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860" activeTab="1"/>
  </bookViews>
  <sheets>
    <sheet name="数据元" sheetId="1" r:id="rId1"/>
    <sheet name="数据集标准分类" sheetId="2" r:id="rId2"/>
    <sheet name="电子病历分类" sheetId="5" state="hidden" r:id="rId3"/>
    <sheet name="AI平台数据元(排序备份)" sheetId="7" state="hidden" r:id="rId4"/>
    <sheet name="数据元信息" sheetId="8" state="hidden" r:id="rId5"/>
  </sheets>
  <definedNames>
    <definedName name="_xlnm._FilterDatabase" localSheetId="2" hidden="1">电子病历分类!$A$1:$Z$343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<sst xmlns="http://schemas.openxmlformats.org/spreadsheetml/2006/main" count="44526" uniqueCount="6251">
  <si>
    <r>
      <rPr>
        <b/>
        <sz val="11"/>
        <color rgb="FF000000"/>
        <rFont val="SimSun"/>
        <charset val="134"/>
      </rPr>
      <t>导入信息填写说明：</t>
    </r>
    <r>
      <rPr>
        <b/>
        <sz val="11"/>
        <color rgb="FF000000"/>
        <rFont val="SimSun"/>
        <charset val="134"/>
      </rPr>
      <t xml:space="preserve">
1、数据集名称、数据集英文名、数据元标准编码、数据元英文名、数据元名称，必填，其他字段请根据系统页面要求必填；</t>
    </r>
    <r>
      <rPr>
        <b/>
        <sz val="11"/>
        <color rgb="FF000000"/>
        <rFont val="SimSun"/>
        <charset val="134"/>
      </rPr>
      <t xml:space="preserve">
2、数据集排序、数据元排序为空则默认排到最后；</t>
    </r>
    <r>
      <rPr>
        <b/>
        <sz val="11"/>
        <color rgb="FF000000"/>
        <rFont val="SimSun"/>
        <charset val="134"/>
      </rPr>
      <t xml:space="preserve">
3、数据集名称，必填，支持中英文数字；</t>
    </r>
    <r>
      <rPr>
        <b/>
        <sz val="11"/>
        <color rgb="FF000000"/>
        <rFont val="SimSun"/>
        <charset val="134"/>
      </rPr>
      <t xml:space="preserve">
4、数据集英文名，必填，仅支持英文数字、特殊符号；</t>
    </r>
    <r>
      <rPr>
        <b/>
        <sz val="11"/>
        <color rgb="FF000000"/>
        <rFont val="SimSun"/>
        <charset val="134"/>
      </rPr>
      <t xml:space="preserve">
5、数据集排序，选填，仅支持数字；</t>
    </r>
    <r>
      <rPr>
        <b/>
        <sz val="11"/>
        <color rgb="FF000000"/>
        <rFont val="SimSun"/>
        <charset val="134"/>
      </rPr>
      <t xml:space="preserve">
6、数据元标准编码，必填，仅支持英文数字和小数点；</t>
    </r>
    <r>
      <rPr>
        <b/>
        <sz val="11"/>
        <color rgb="FF000000"/>
        <rFont val="SimSun"/>
        <charset val="134"/>
      </rPr>
      <t xml:space="preserve">
7、数据元英文，必填，仅支持英文数字、特殊符号；</t>
    </r>
    <r>
      <rPr>
        <b/>
        <sz val="11"/>
        <color rgb="FF000000"/>
        <rFont val="SimSun"/>
        <charset val="134"/>
      </rPr>
      <t xml:space="preserve">
8、数据元名称，必填，支持中英文数字；</t>
    </r>
    <r>
      <rPr>
        <b/>
        <sz val="11"/>
        <color rgb="FF000000"/>
        <rFont val="SimSun"/>
        <charset val="134"/>
      </rPr>
      <t xml:space="preserve">
9、数据元定义，选填，支持中英文数字、特殊符号；</t>
    </r>
    <r>
      <rPr>
        <b/>
        <sz val="11"/>
        <color rgb="FF000000"/>
        <rFont val="SimSun"/>
        <charset val="134"/>
      </rPr>
      <t xml:space="preserve">
10、数据元排序，选填，仅支持数字；</t>
    </r>
    <r>
      <rPr>
        <b/>
        <sz val="11"/>
        <color rgb="FF000000"/>
        <rFont val="SimSun"/>
        <charset val="134"/>
      </rPr>
      <t xml:space="preserve">
11、系统从第3行开始读取导入数据，请勿删除1、2行；</t>
    </r>
  </si>
  <si>
    <t>一级分类ID</t>
  </si>
  <si>
    <t>数据集一级分类</t>
  </si>
  <si>
    <t>二级分类ID</t>
  </si>
  <si>
    <t>数据集二级分类</t>
  </si>
  <si>
    <t>三级分类ID</t>
  </si>
  <si>
    <t>数据集三级分类</t>
  </si>
  <si>
    <t>数据集英文名</t>
  </si>
  <si>
    <t>数据集排序</t>
  </si>
  <si>
    <t>数据元标准编码</t>
  </si>
  <si>
    <t>数据元英文名</t>
  </si>
  <si>
    <t>数据元驼峰名称</t>
  </si>
  <si>
    <t>数据元名称</t>
  </si>
  <si>
    <t>数据元定义</t>
  </si>
  <si>
    <t>数据元排序</t>
  </si>
  <si>
    <t>敏感性</t>
  </si>
  <si>
    <t>患者基本信息</t>
  </si>
  <si>
    <t xml:space="preserve"> </t>
  </si>
  <si>
    <t>health_archives_no</t>
  </si>
  <si>
    <t>healthArchivesNo</t>
  </si>
  <si>
    <t>健康档案编号</t>
  </si>
  <si>
    <t>城乡居民个人健康档案的编号</t>
  </si>
  <si>
    <t>DE02.01.044.00</t>
  </si>
  <si>
    <t>insur_class_code</t>
  </si>
  <si>
    <t>insurClassCode</t>
  </si>
  <si>
    <t>医保类别代码</t>
  </si>
  <si>
    <t>患者本人参加的医疗保险类别在特定编码体系中的代码</t>
  </si>
  <si>
    <t>DE02.01.005.00</t>
  </si>
  <si>
    <t>birth_date</t>
  </si>
  <si>
    <t>birthDate</t>
  </si>
  <si>
    <t>出生日期</t>
  </si>
  <si>
    <t>患者出生当日的公元纪年日期的完整描述</t>
  </si>
  <si>
    <t>DE02.01.026.00</t>
  </si>
  <si>
    <t>age</t>
  </si>
  <si>
    <t>年龄</t>
  </si>
  <si>
    <t>患者年龄满1周岁的实足年龄，为患者出生后按照日历计算的历法年龄，以实足年龄的相应整数填写</t>
  </si>
  <si>
    <t>DE02.01.032.00</t>
  </si>
  <si>
    <t>chronological_age</t>
  </si>
  <si>
    <t>chronologicalAge</t>
  </si>
  <si>
    <t>实足年龄</t>
  </si>
  <si>
    <t>年龄不足1周岁的实足年龄的月龄，以分数形式表示：分数的整数部分代表实足月龄，分数部分分母为30，分子为不足1个月的天数</t>
  </si>
  <si>
    <t>DE02.01.040.00</t>
  </si>
  <si>
    <t>sex_code</t>
  </si>
  <si>
    <t>sexCode</t>
  </si>
  <si>
    <t>性别代码</t>
  </si>
  <si>
    <t>患者生理性别在特定编码体系中的代码</t>
  </si>
  <si>
    <t>DE01.00.004.00</t>
  </si>
  <si>
    <t>case_no</t>
  </si>
  <si>
    <t>caseNo</t>
  </si>
  <si>
    <t>病案号</t>
  </si>
  <si>
    <t>本医疗机构为患者住院病案设置的唯一性编码。原则上，同一患者在同一医疗机构多次住院应当使用同一病案号</t>
  </si>
  <si>
    <t>DE02.01.018.00</t>
  </si>
  <si>
    <t>marital_status_code</t>
  </si>
  <si>
    <t>maritalStatusCode</t>
  </si>
  <si>
    <t>婚姻状况代码</t>
  </si>
  <si>
    <t>患者当前婚姻状况在特定编码体系中的代码</t>
  </si>
  <si>
    <t>DE02.01.052.00</t>
  </si>
  <si>
    <t>occup_class_code</t>
  </si>
  <si>
    <t>occupClassCode</t>
  </si>
  <si>
    <t>职业分类代码</t>
  </si>
  <si>
    <t>患者当前从事的职业类别在特定编码体系中的代码</t>
  </si>
  <si>
    <t>DE02.01.039.68</t>
  </si>
  <si>
    <t>contacts_name</t>
  </si>
  <si>
    <t>contactsName</t>
  </si>
  <si>
    <t>联系人姓名</t>
  </si>
  <si>
    <t>联系人在公安户籍管理部门正式登记注册的姓氏和名称</t>
  </si>
  <si>
    <t>DE06.00.050.00</t>
  </si>
  <si>
    <t>create_archives_date</t>
  </si>
  <si>
    <t>createArchivesDate</t>
  </si>
  <si>
    <t>建档日期</t>
  </si>
  <si>
    <t>患者电子病历初次建档完成时的公元纪年日期和时间的完整描述</t>
  </si>
  <si>
    <t>DE02.01.039.01</t>
  </si>
  <si>
    <t>patient_name</t>
  </si>
  <si>
    <t>patientName</t>
  </si>
  <si>
    <t>患者姓名</t>
  </si>
  <si>
    <t>首次为患者建立电子病历的人员在公安户籍管理部门正式登记注册的姓氏和名称</t>
  </si>
  <si>
    <t>基本健康信息</t>
  </si>
  <si>
    <t>DE04.50.001.00</t>
  </si>
  <si>
    <t>abo_blood_group_code</t>
  </si>
  <si>
    <t>aboBloodGroupCode</t>
  </si>
  <si>
    <t>ABO血型代码</t>
  </si>
  <si>
    <t>进行血型检查明确，或既往病历资料能够明确的患者ABO血型类别在特定编码体系中的代码</t>
  </si>
  <si>
    <t>DE04.50.010.00</t>
  </si>
  <si>
    <t>rh_blood_group_code</t>
  </si>
  <si>
    <t>rhBloodGroupCode</t>
  </si>
  <si>
    <t>Rh血型代码</t>
  </si>
  <si>
    <t>进行血型检查明确，或既往病历资料能够明确的患者Rh血型的类别代码</t>
  </si>
  <si>
    <t>DE02.10.026.00</t>
  </si>
  <si>
    <t>dis_hist</t>
  </si>
  <si>
    <t>disHist</t>
  </si>
  <si>
    <t>疾病史（含外伤）</t>
  </si>
  <si>
    <t>对患者既往健康状况和疾病（含外伤）的详细描述</t>
  </si>
  <si>
    <t>DE02.10.008.00</t>
  </si>
  <si>
    <t>inf_dis_hist</t>
  </si>
  <si>
    <t>infDisHist</t>
  </si>
  <si>
    <t>传染病史</t>
  </si>
  <si>
    <t>患者既往所患各种急性或慢性传染性疾病名称的详细描述</t>
  </si>
  <si>
    <t>DE02.10.061.00</t>
  </si>
  <si>
    <t>surgical_hist</t>
  </si>
  <si>
    <t>surgicalHist</t>
  </si>
  <si>
    <t>手术史</t>
  </si>
  <si>
    <t>与患者预防接种情况的详细描述</t>
  </si>
  <si>
    <t>DE02.10.098.00</t>
  </si>
  <si>
    <t>marit_childb_hist</t>
  </si>
  <si>
    <t>maritChildbHist</t>
  </si>
  <si>
    <t>婚育史</t>
  </si>
  <si>
    <t>对患者既往接受手术/操作经历的详细描述</t>
  </si>
  <si>
    <t>DE02.10.101.00</t>
  </si>
  <si>
    <t>vaccination_hist</t>
  </si>
  <si>
    <t>vaccinationHist</t>
  </si>
  <si>
    <t>预防接种史</t>
  </si>
  <si>
    <t>对患者既往输血史的详细描述</t>
  </si>
  <si>
    <t>DE02.10.100.00</t>
  </si>
  <si>
    <t>blood_transf_hist_desc</t>
  </si>
  <si>
    <t>bloodTransfHistDesc</t>
  </si>
  <si>
    <t>输血史描述</t>
  </si>
  <si>
    <t>患者既往发生过敏情况的详细描述</t>
  </si>
  <si>
    <t>DE02.10.097.00</t>
  </si>
  <si>
    <t>personal_hist</t>
  </si>
  <si>
    <t>personalHist</t>
  </si>
  <si>
    <t>个人史</t>
  </si>
  <si>
    <t>对患者婚育史的详细描述</t>
  </si>
  <si>
    <t>DE02.10.102.00</t>
  </si>
  <si>
    <t>menses</t>
  </si>
  <si>
    <t>月经</t>
  </si>
  <si>
    <t>对患者月经史的详细描述</t>
  </si>
  <si>
    <t>DE02.10.103.00</t>
  </si>
  <si>
    <t>fam_hist</t>
  </si>
  <si>
    <t>famHist</t>
  </si>
  <si>
    <t>家族史</t>
  </si>
  <si>
    <t>患者3代以内有血缘关系的家族成员中所患遗传疾病史的描述</t>
  </si>
  <si>
    <t>卫生事件摘要</t>
  </si>
  <si>
    <t>DE08.10.052.00</t>
  </si>
  <si>
    <t>org_inst_code</t>
  </si>
  <si>
    <t>orgInstCode</t>
  </si>
  <si>
    <t>组织机构代码</t>
  </si>
  <si>
    <t>经《医疗机构执业许可证》登记的，并按照特定编码体系填写的代码</t>
  </si>
  <si>
    <t>DE02.01.060.00</t>
  </si>
  <si>
    <t>patient_type_code</t>
  </si>
  <si>
    <t>patientTypeCode</t>
  </si>
  <si>
    <t>患者类型代码</t>
  </si>
  <si>
    <t>患者就诊类型的的分类代码</t>
  </si>
  <si>
    <t>DE01.00.010.00</t>
  </si>
  <si>
    <t>outp_no</t>
  </si>
  <si>
    <t>outpNo</t>
  </si>
  <si>
    <t>门诊号</t>
  </si>
  <si>
    <t>按照某一特定编码规则赋予门（急）诊就诊对象的顺序号</t>
  </si>
  <si>
    <t>DE06.00.062.00</t>
  </si>
  <si>
    <t>visit_time</t>
  </si>
  <si>
    <t>visitTime</t>
  </si>
  <si>
    <t>就诊时间</t>
  </si>
  <si>
    <t>患者在门（急）诊就诊结束时的公元纪年日期和时间的完整描述</t>
  </si>
  <si>
    <t>DE06.00.092.00</t>
  </si>
  <si>
    <t>admission_time</t>
  </si>
  <si>
    <t>admissionTime</t>
  </si>
  <si>
    <t>入院时间</t>
  </si>
  <si>
    <t>患者实际办理入院手续时的公元纪年日期和时间的完整描述</t>
  </si>
  <si>
    <t>DE06.00.017.00</t>
  </si>
  <si>
    <t>discharge_time</t>
  </si>
  <si>
    <t>dischargeTime</t>
  </si>
  <si>
    <t>出院时间</t>
  </si>
  <si>
    <t>患者实际办理出院手续时的公元纪年日期和时间的完整描述</t>
  </si>
  <si>
    <t>DE04.01.018.00</t>
  </si>
  <si>
    <t>onset_time</t>
  </si>
  <si>
    <t>onsetTime</t>
  </si>
  <si>
    <t>发病时间</t>
  </si>
  <si>
    <t>疾病发病症状的首次出现的公元纪年日期和时间的完整描述</t>
  </si>
  <si>
    <t>DE05.10.053.00</t>
  </si>
  <si>
    <t>admission_reason</t>
  </si>
  <si>
    <t>admissionReason</t>
  </si>
  <si>
    <t>入院原因</t>
  </si>
  <si>
    <t>就诊原因的详细描述，如门(急)诊就诊原因、住院原因、转科原因等</t>
  </si>
  <si>
    <t>DE05.01.024.00</t>
  </si>
  <si>
    <t>diag_wm_dis_code</t>
  </si>
  <si>
    <t>diagWmDisCode</t>
  </si>
  <si>
    <t>诊断西医疾病代码（西医疾病诊断代码）</t>
  </si>
  <si>
    <t>患者所患疾病在西医诊断特定编码体系中的编码</t>
  </si>
  <si>
    <t>DE05.01.168.00</t>
  </si>
  <si>
    <t>tcm_dis_code</t>
  </si>
  <si>
    <t>tcmDisCode</t>
  </si>
  <si>
    <t>中医病名代码</t>
  </si>
  <si>
    <t>患者所患疾病在中医病名特定分类体系中的代码</t>
  </si>
  <si>
    <t>DE05.01.170.00</t>
  </si>
  <si>
    <t>tcm_syd_ptn_code</t>
  </si>
  <si>
    <t>tcmSydPtnCode</t>
  </si>
  <si>
    <t>中医证候代码</t>
  </si>
  <si>
    <t>患者所患疾病在中医证候特定分类体系中的代码</t>
  </si>
  <si>
    <t>DE05.01.024.04</t>
  </si>
  <si>
    <t>discharge_other_diag_wm_dis_code</t>
  </si>
  <si>
    <t>dischargeOtherDiagWmDisCode</t>
  </si>
  <si>
    <t>出院其他诊断西医疾病代码</t>
  </si>
  <si>
    <t>除主要诊断外的其他诊断在西医诊断特定编码体系中的编码</t>
  </si>
  <si>
    <t>DE06.00.093.00</t>
  </si>
  <si>
    <t>op_oper_code</t>
  </si>
  <si>
    <t>opOperCode</t>
  </si>
  <si>
    <t>手术/操作代码</t>
  </si>
  <si>
    <t>患者住院期间实施的手术及操作在特定编码体系中的编码(按照《T/CHIA001-2017 手术、操作分类与代码》团体标准的分类代</t>
  </si>
  <si>
    <t>DE08.50.022.00</t>
  </si>
  <si>
    <t>drug_name</t>
  </si>
  <si>
    <t>药品名称</t>
  </si>
  <si>
    <t>与本次就诊相关的关键药物通用名称</t>
  </si>
  <si>
    <t>DE06.00.136.00</t>
  </si>
  <si>
    <t>drug_usage</t>
  </si>
  <si>
    <t>drugUsage</t>
  </si>
  <si>
    <t>药品用法</t>
  </si>
  <si>
    <t>与本次就诊相关的关键药物（含中药）治疗疾病具体用法的描述</t>
  </si>
  <si>
    <t>DE06.00.129.00</t>
  </si>
  <si>
    <t>drug_adr_flag</t>
  </si>
  <si>
    <t>drugAdrFlag</t>
  </si>
  <si>
    <t>药品不良反应标志</t>
  </si>
  <si>
    <t>对可能影响患者诊治的、严重的药物不良反应描述，包括：药物不良反应的表现、相关处理及结局</t>
  </si>
  <si>
    <t>DE06.00.164.00</t>
  </si>
  <si>
    <t>chm_use_class_code</t>
  </si>
  <si>
    <t>chmUseClassCode</t>
  </si>
  <si>
    <t>中药使用类别代码</t>
  </si>
  <si>
    <t>临床治疗中中药使用情况分类在特定编码体系中的代码</t>
  </si>
  <si>
    <t>DE06.00.251.00</t>
  </si>
  <si>
    <t>op_oper_method</t>
  </si>
  <si>
    <t>opOperMethod</t>
  </si>
  <si>
    <t>手术/操作方法</t>
  </si>
  <si>
    <t>临床医师对患者实施的除检查/检验、用药、手术/操作以外的医学处置的描述(手术/操作方法的详细描述)</t>
  </si>
  <si>
    <t>DE05.01.021.00</t>
  </si>
  <si>
    <t>child_underlying_cod_diag_code</t>
  </si>
  <si>
    <t>childUnderlyingCodDiagCode</t>
  </si>
  <si>
    <t>儿童根本死因ICD-10代码</t>
  </si>
  <si>
    <t>导致患者死亡的最根本疾病的诊断代码</t>
  </si>
  <si>
    <t>010103</t>
  </si>
  <si>
    <t>DE05.10.113.00</t>
  </si>
  <si>
    <t>treat_result_code</t>
  </si>
  <si>
    <t>treatResultCode</t>
  </si>
  <si>
    <t>治疗结果代码</t>
  </si>
  <si>
    <t>出院时患者所患的每种疾病的治疗结果类别在特定编码体系中的代码</t>
  </si>
  <si>
    <t>DE02.01.039.25</t>
  </si>
  <si>
    <t>resp_physician_name</t>
  </si>
  <si>
    <t>respPhysicianName</t>
  </si>
  <si>
    <t>责任医师姓名</t>
  </si>
  <si>
    <t>负责患者诊疗的主治医师以上的医师在公安户籍管理部门正式登记注册的姓氏和名称</t>
  </si>
  <si>
    <t>020101</t>
  </si>
  <si>
    <t>住院病案首页</t>
  </si>
  <si>
    <t>inpatient_case_homepage</t>
  </si>
  <si>
    <t>DE02.01.030.02</t>
  </si>
  <si>
    <t>patient_id_cred_no</t>
  </si>
  <si>
    <t>patientIdCredNo</t>
  </si>
  <si>
    <t>患者身份证件号码</t>
  </si>
  <si>
    <t>患者的身份证件上的唯一法定标识符</t>
  </si>
  <si>
    <t>DE02.01.039.00</t>
  </si>
  <si>
    <t>full_name</t>
  </si>
  <si>
    <t>fullName</t>
  </si>
  <si>
    <t>姓名</t>
  </si>
  <si>
    <t>为患者实施手术的主要执行人员在公安户籍管理部门正式登记注册的姓氏和名称</t>
  </si>
  <si>
    <t>ZOE99.01.00.176</t>
  </si>
  <si>
    <t>sex_name</t>
  </si>
  <si>
    <t>sexName</t>
  </si>
  <si>
    <t>性别</t>
  </si>
  <si>
    <t>DE02.01.015.00</t>
  </si>
  <si>
    <t>nationality</t>
  </si>
  <si>
    <t>国籍</t>
  </si>
  <si>
    <t>DE02.01.025.00</t>
  </si>
  <si>
    <t>nation_code</t>
  </si>
  <si>
    <t>nationCode</t>
  </si>
  <si>
    <t>民族</t>
  </si>
  <si>
    <t>ZOE99.00.03.6906</t>
  </si>
  <si>
    <t>native</t>
  </si>
  <si>
    <t>籍贯</t>
  </si>
  <si>
    <t>ZOE99.00.03.7098</t>
  </si>
  <si>
    <t>occup_name</t>
  </si>
  <si>
    <t>occupName</t>
  </si>
  <si>
    <t>职业</t>
  </si>
  <si>
    <t>ZOE99.00.03.4044</t>
  </si>
  <si>
    <t>marital</t>
  </si>
  <si>
    <t>婚姻</t>
  </si>
  <si>
    <t>ZOE99.00.03.3036</t>
  </si>
  <si>
    <t>birthplace</t>
  </si>
  <si>
    <t>出生地</t>
  </si>
  <si>
    <t>ZOE99.00.00.172</t>
  </si>
  <si>
    <t>current_resid_addr_code</t>
  </si>
  <si>
    <t>currentResidAddrCode</t>
  </si>
  <si>
    <t>现住址</t>
  </si>
  <si>
    <t>DE08.10.007.00</t>
  </si>
  <si>
    <t>work_unit_name</t>
  </si>
  <si>
    <t>workUnitName</t>
  </si>
  <si>
    <t>工作单位</t>
  </si>
  <si>
    <t>ZOE99.00.03.3456</t>
  </si>
  <si>
    <t>unit_addr</t>
  </si>
  <si>
    <t>unitAddr</t>
  </si>
  <si>
    <t>单位地址</t>
  </si>
  <si>
    <t>DE02.01.010.04</t>
  </si>
  <si>
    <t>work_unit_phone_no</t>
  </si>
  <si>
    <t>workUnitPhoneNo</t>
  </si>
  <si>
    <t>单位电话</t>
  </si>
  <si>
    <t>ZOE99.00.03.7118</t>
  </si>
  <si>
    <t>contacts_rel</t>
  </si>
  <si>
    <t>contactsRel</t>
  </si>
  <si>
    <t>联系人关系</t>
  </si>
  <si>
    <t>ZOE99.00.00.129</t>
  </si>
  <si>
    <t>contacts_addr</t>
  </si>
  <si>
    <t>contactsAddr</t>
  </si>
  <si>
    <t>联系人地址</t>
  </si>
  <si>
    <t>DE02.01.010.11</t>
  </si>
  <si>
    <t>contacts_phone_no</t>
  </si>
  <si>
    <t>contactsPhoneNo</t>
  </si>
  <si>
    <t>联系人电话</t>
  </si>
  <si>
    <t>ZOE99.00.03.11721</t>
  </si>
  <si>
    <t>drug_allergy_hist</t>
  </si>
  <si>
    <t>drugAllergyHist</t>
  </si>
  <si>
    <t>药物过敏</t>
  </si>
  <si>
    <t>ZOE99.00.03.7675</t>
  </si>
  <si>
    <t>allergy_drug</t>
  </si>
  <si>
    <t>allergyDrug</t>
  </si>
  <si>
    <t>过敏药物名</t>
  </si>
  <si>
    <t>在本次住院期间进行血型检查明确，或既往病历资料能够明确的患者ABO血型类别在特定编码体系中的代码</t>
  </si>
  <si>
    <t>在本次住院期间进行血型检查明确，或既往病历资料能够明确的患者Rh血型的类别代码</t>
  </si>
  <si>
    <t>ZOE99.00.03.11655</t>
  </si>
  <si>
    <t>current_resid_addr_phone_no</t>
  </si>
  <si>
    <t>currentResidAddrPhoneNo</t>
  </si>
  <si>
    <t>现住址电话</t>
  </si>
  <si>
    <t>DE02.01.031.00</t>
  </si>
  <si>
    <t>id_cred_class_code</t>
  </si>
  <si>
    <t>idCredClassCode</t>
  </si>
  <si>
    <t>身份证件类别代码</t>
  </si>
  <si>
    <t>患者身份证件所属类别在特定编码体系中的代码</t>
  </si>
  <si>
    <t>DE02.10.090.00</t>
  </si>
  <si>
    <t>inp_times</t>
  </si>
  <si>
    <t>inpTimes</t>
  </si>
  <si>
    <t>住院次数（次）</t>
  </si>
  <si>
    <t>即“第 次住院”指患者在本医疗机构住院诊治的次数</t>
  </si>
  <si>
    <t>ZOE99.00.03.9017</t>
  </si>
  <si>
    <t>insuff_1_year_old_age</t>
  </si>
  <si>
    <t>insuff1YearOldAge</t>
  </si>
  <si>
    <t>不足一岁年龄</t>
  </si>
  <si>
    <t>DE04.10.019.00</t>
  </si>
  <si>
    <t>newborn_birth_weight</t>
  </si>
  <si>
    <t>newbornBirthWeight</t>
  </si>
  <si>
    <t>新生儿出生体重（kg）</t>
  </si>
  <si>
    <t>新生儿出生后第1小时内第1次称得的重量，产妇病历和新生儿期住院的患儿都应填写</t>
  </si>
  <si>
    <t>ZOE99.00.03.2016</t>
  </si>
  <si>
    <t>newborn_admission_weight</t>
  </si>
  <si>
    <t>newbornAdmissionWeight</t>
  </si>
  <si>
    <t>新生儿入院体重</t>
  </si>
  <si>
    <t>新生儿患儿入院时称得的重量，新生儿期住院的患儿应填写</t>
  </si>
  <si>
    <t>DE06.00.339.00</t>
  </si>
  <si>
    <t>admission_way_code</t>
  </si>
  <si>
    <t>admissionWayCode</t>
  </si>
  <si>
    <t>入院途径代码</t>
  </si>
  <si>
    <t>患者收治入院治疗的来源分类在特定编码体系中的代码</t>
  </si>
  <si>
    <t>DE01.00.005.00</t>
  </si>
  <si>
    <t>path_no</t>
  </si>
  <si>
    <t>pathNo</t>
  </si>
  <si>
    <t>病理号</t>
  </si>
  <si>
    <t>按照一定的编码规则赋予病理标本的编号</t>
  </si>
  <si>
    <t>DE09.00.108.00</t>
  </si>
  <si>
    <t>death_patient_autopsy_flag</t>
  </si>
  <si>
    <t>deathPatientAutopsyFlag</t>
  </si>
  <si>
    <t>死亡患者尸检标志</t>
  </si>
  <si>
    <t>是否对死亡患者的机体进行剖验，以明确死亡原因的标志。非死亡患者应当在“□”内填写“-”</t>
  </si>
  <si>
    <t>DE06.00.223.00</t>
  </si>
  <si>
    <t>discharge_mode_code</t>
  </si>
  <si>
    <t>dischargeModeCode</t>
  </si>
  <si>
    <t>离院方式代码</t>
  </si>
  <si>
    <t>患者本次住院离开医院的方式在特定编码体系中的代码</t>
  </si>
  <si>
    <t>ZOE99.00.03.16225</t>
  </si>
  <si>
    <t>treat_class_name</t>
  </si>
  <si>
    <t>treatClassName</t>
  </si>
  <si>
    <t>治疗类别</t>
  </si>
  <si>
    <t>DE09.00.103.00</t>
  </si>
  <si>
    <t>case_quality_code</t>
  </si>
  <si>
    <t>caseQualityCode</t>
  </si>
  <si>
    <t>病案质量代码</t>
  </si>
  <si>
    <t>按照医院病案评审标准对病案终末质量所做的综合评价结果的分类代码</t>
  </si>
  <si>
    <t>DE06.00.247.00</t>
  </si>
  <si>
    <t>imp_clin_pathway_code</t>
  </si>
  <si>
    <t>impClinPathwayCode</t>
  </si>
  <si>
    <t>实施临床路径</t>
  </si>
  <si>
    <t>ZOE99.00.02.080</t>
  </si>
  <si>
    <t>path_explain</t>
  </si>
  <si>
    <t>pathExplain</t>
  </si>
  <si>
    <t>病理描述</t>
  </si>
  <si>
    <t>DE99.08.162.00</t>
  </si>
  <si>
    <t>op_part_name</t>
  </si>
  <si>
    <t>opPartName</t>
  </si>
  <si>
    <t>手术部位</t>
  </si>
  <si>
    <t>ZOE99.00.03.10708</t>
  </si>
  <si>
    <t>op_duration</t>
  </si>
  <si>
    <t>opDuration</t>
  </si>
  <si>
    <t>手术持续时间</t>
  </si>
  <si>
    <t>患者住院期间实施的手术及操作在特定编码体系中的编码</t>
  </si>
  <si>
    <t>DE06.00.221.00.02</t>
  </si>
  <si>
    <t>op_oper_date</t>
  </si>
  <si>
    <t>opOperDate</t>
  </si>
  <si>
    <t>手术及操作日期</t>
  </si>
  <si>
    <t>患者住院期间开始实施手术及操作时的公元纪年日期和时间的完整描述</t>
  </si>
  <si>
    <t>DE05.10.231.00</t>
  </si>
  <si>
    <t>op_level_code</t>
  </si>
  <si>
    <t>opLevelCode</t>
  </si>
  <si>
    <t>手术级别代码</t>
  </si>
  <si>
    <t>按照手术分级管理制度，根据风险性和难易程度不同划分的手术级别在特定编码体系中的代码</t>
  </si>
  <si>
    <t>DE06.00.094.00</t>
  </si>
  <si>
    <t>op_oper_name</t>
  </si>
  <si>
    <t>opOperName</t>
  </si>
  <si>
    <t>手术/操作名称</t>
  </si>
  <si>
    <t>患者住院期间实施的手术及非手术操作（包括诊断及治疗性操作，如介入操作）名称</t>
  </si>
  <si>
    <t>DE02.01.039.79</t>
  </si>
  <si>
    <t>assistant_1_name</t>
  </si>
  <si>
    <t>assistant1Name</t>
  </si>
  <si>
    <t>一助姓名</t>
  </si>
  <si>
    <t>协助手术者完成手术及操作的第1助手在公安户籍管理部门正式登记注册的姓氏和名称</t>
  </si>
  <si>
    <t>DE02.01.039.80</t>
  </si>
  <si>
    <t>assistant_2_name</t>
  </si>
  <si>
    <t>assistant2Name</t>
  </si>
  <si>
    <t>二助姓名</t>
  </si>
  <si>
    <t>协助手术者完成手术及操作的第2助手在公安户籍管理部门正式登记注册的姓氏和名称</t>
  </si>
  <si>
    <t>DE05.10.232.00</t>
  </si>
  <si>
    <t>op_incision_class_code</t>
  </si>
  <si>
    <t>opIncisionClassCode</t>
  </si>
  <si>
    <t>手术切口类别代码</t>
  </si>
  <si>
    <t>手术切口类别的分类在特定编码体系中的代码</t>
  </si>
  <si>
    <t>DE05.10.147.00</t>
  </si>
  <si>
    <t>incision_heal_grade_code</t>
  </si>
  <si>
    <t>incisionHealGradeCode</t>
  </si>
  <si>
    <t>切口愈合等级代码</t>
  </si>
  <si>
    <t>手术切口愈合类别在特定编码体系中的代码</t>
  </si>
  <si>
    <t>DE06.00.073.00</t>
  </si>
  <si>
    <t>anes_mode_code</t>
  </si>
  <si>
    <t>anesModeCode</t>
  </si>
  <si>
    <t>麻醉方式代码</t>
  </si>
  <si>
    <t>为患者进行手术、操作时使用的麻醉方法在特定编码体系中的代码</t>
  </si>
  <si>
    <t>DE02.01.039.84</t>
  </si>
  <si>
    <t>anes_physician_name</t>
  </si>
  <si>
    <t>anesPhysicianName</t>
  </si>
  <si>
    <t>麻醉医师姓名</t>
  </si>
  <si>
    <t>对患者实施麻醉的医师在公安户籍管理部门正式登记注册的姓氏和名称</t>
  </si>
  <si>
    <t>DE05.01.025.01</t>
  </si>
  <si>
    <t>outp_emer_diag_wm_dis_name</t>
  </si>
  <si>
    <t>outpEmerDiagWmDisName</t>
  </si>
  <si>
    <t>门（急）诊诊断西医疾病名称</t>
  </si>
  <si>
    <t>患者在住院前，由门（急）诊接诊医师在住院证上填写的门（急）诊诊断</t>
  </si>
  <si>
    <t>DE05.01.024.01</t>
  </si>
  <si>
    <t>outp_emer_diag_wm_dis_code</t>
  </si>
  <si>
    <t>outpEmerDiagWmDisCode</t>
  </si>
  <si>
    <t>门（急）诊诊断西医疾病代码</t>
  </si>
  <si>
    <t>门（急）诊诊断在特定编码体系中的编码</t>
  </si>
  <si>
    <t>DE05.01.025.03</t>
  </si>
  <si>
    <t>discharge_main_diag_wm_dis_name</t>
  </si>
  <si>
    <t>dischargeMainDiagWmDisName</t>
  </si>
  <si>
    <t>出院主要诊断西医疾病名称</t>
  </si>
  <si>
    <t>患者住院过程中对身体健康危害最大，花费医疗资源最多，住院时间最长的疾病诊断。外科的主要诊断指患者住院接受手术进行治疗的疾病；产科的主要诊断指产科的主要并发症或伴随疾病</t>
  </si>
  <si>
    <t>DE05.01.024.03</t>
  </si>
  <si>
    <t>discharge_main_diag_wm_dis_code</t>
  </si>
  <si>
    <t>dischargeMainDiagWmDisCode</t>
  </si>
  <si>
    <t>出院主要诊断西医疾病代码</t>
  </si>
  <si>
    <t>出院诊断中的主要诊断在特定编码体系中的编码</t>
  </si>
  <si>
    <t>DE09.00.104.00</t>
  </si>
  <si>
    <t>discharge_diag_main_diag_admission_med_cond_code</t>
  </si>
  <si>
    <t>dischargeDiagMainDiagAdmissionMedCondCode</t>
  </si>
  <si>
    <t>出院诊断-主要诊断入院病情代码</t>
  </si>
  <si>
    <t>对出院诊断在患者入院时是否已具有的评估情况分类在特定编码体系中的代码。这里是指“出院诊断-主要诊断”</t>
  </si>
  <si>
    <t>DE05.01.025.04</t>
  </si>
  <si>
    <t>discharge_other_diag_wm_dis_name</t>
  </si>
  <si>
    <t>dischargeOtherDiagWmDisName</t>
  </si>
  <si>
    <t>出院其他诊断西医疾病名称</t>
  </si>
  <si>
    <t>出院时除主要诊断及医院感染名称（诊断）外的其他西医诊断，包括并发症和合并症</t>
  </si>
  <si>
    <t>出院诊断中除主要诊断外的其他诊断在特定编码体系中的编码</t>
  </si>
  <si>
    <t>ZOE99.00.03.2017</t>
  </si>
  <si>
    <t>discharge_diag_other_diag_admission_med_cond_code</t>
  </si>
  <si>
    <t>dischargeDiagOtherDiagAdmissionMedCondCode</t>
  </si>
  <si>
    <t>出院诊断-其他诊断入院病情代码</t>
  </si>
  <si>
    <t>对出院诊断在患者入院时是否已具有的评估情况分类在特定编码体系中的代码。这里是指“出院诊断-其他诊断”</t>
  </si>
  <si>
    <t>DE05.10.152.00</t>
  </si>
  <si>
    <t>damage_toxic_ext_reason</t>
  </si>
  <si>
    <t>damageToxicExtReason</t>
  </si>
  <si>
    <t>损伤中毒的外部原因</t>
  </si>
  <si>
    <t>造成损伤的外部原因及引起中毒的物质名称</t>
  </si>
  <si>
    <t>DE05.01.024.05</t>
  </si>
  <si>
    <t>damage_toxic_ext_reason_wm_dis_code</t>
  </si>
  <si>
    <t>damageToxicExtReasonWmDisCode</t>
  </si>
  <si>
    <t>损伤中毒的外部原因西医疾病代码</t>
  </si>
  <si>
    <t>损伤中毒的外部原因在特定编码体系中的编码</t>
  </si>
  <si>
    <t>DE05.01.025.06</t>
  </si>
  <si>
    <t>path_diag_name</t>
  </si>
  <si>
    <t>pathDiagName</t>
  </si>
  <si>
    <t>病理诊断名称</t>
  </si>
  <si>
    <t>各种活检、细胞学检查及尸检的诊断，包括术中冰冻的病理诊断结果</t>
  </si>
  <si>
    <t>DE05.01.024.06</t>
  </si>
  <si>
    <t>path_diag_dis_code</t>
  </si>
  <si>
    <t>pathDiagDisCode</t>
  </si>
  <si>
    <t>病理诊断疾病代码</t>
  </si>
  <si>
    <t>病理诊断在特定编码体系中的编码</t>
  </si>
  <si>
    <t>ZOE99.00.03.7139</t>
  </si>
  <si>
    <t>tumor_stage_name</t>
  </si>
  <si>
    <t>tumorStageName</t>
  </si>
  <si>
    <t>肿瘤分期方式</t>
  </si>
  <si>
    <t>ZOE99.00.00.169</t>
  </si>
  <si>
    <t>tumor_stage_t</t>
  </si>
  <si>
    <t>tumorStageT</t>
  </si>
  <si>
    <t>肿瘤分期T值</t>
  </si>
  <si>
    <t>ZOE99.00.00.170</t>
  </si>
  <si>
    <t>tumor_stage_n</t>
  </si>
  <si>
    <t>tumorStageN</t>
  </si>
  <si>
    <t>肿瘤分期N值</t>
  </si>
  <si>
    <t>ZOE99.00.00.171</t>
  </si>
  <si>
    <t>tumor_stage_m</t>
  </si>
  <si>
    <t>tumorStageM</t>
  </si>
  <si>
    <t>肿瘤分期M值</t>
  </si>
  <si>
    <t>DE02.10.023.00</t>
  </si>
  <si>
    <t>allergy_hist_flag</t>
  </si>
  <si>
    <t>allergyHistFlag</t>
  </si>
  <si>
    <t>过敏史标志</t>
  </si>
  <si>
    <t>患者在本次住院治疗以及既往就诊过程中有无明确药物过敏史的标志</t>
  </si>
  <si>
    <t>DE02.10.022.00</t>
  </si>
  <si>
    <t>allergy_hist_desc</t>
  </si>
  <si>
    <t>allergyHistDesc</t>
  </si>
  <si>
    <t>过敏史描述</t>
  </si>
  <si>
    <t>患者在本次住院治疗以及既往就诊过程中的过敏药物的描述</t>
  </si>
  <si>
    <t>DE06.00.194.00</t>
  </si>
  <si>
    <t>discharge_31_day_reinp_flag</t>
  </si>
  <si>
    <t>discharge31DayReinpFlag</t>
  </si>
  <si>
    <t>出院31天内再次住院标志</t>
  </si>
  <si>
    <t>标识患者本次住院出院后31d内是否有诊疗需要的再住院安排的标志</t>
  </si>
  <si>
    <t>DE06.00.195.00</t>
  </si>
  <si>
    <t>discharge_31_day_reinp_purpose</t>
  </si>
  <si>
    <t>discharge31DayReinpPurpose</t>
  </si>
  <si>
    <t>出院31天内再次住院目的</t>
  </si>
  <si>
    <t>患者计划在本次住院出院后31d内再住院的目的</t>
  </si>
  <si>
    <t>DE05.10.138.01</t>
  </si>
  <si>
    <t>cci_patient_admission_pre_coma_d</t>
  </si>
  <si>
    <t>cciPatientAdmissionPreComaD</t>
  </si>
  <si>
    <t>颅脑损伤患者入院前昏迷时间-d</t>
  </si>
  <si>
    <t>颅脑损伤患者入院前昏迷时间的天数</t>
  </si>
  <si>
    <t>DE05.10.138.02</t>
  </si>
  <si>
    <t>cci_patient_admission_pre_coma_h</t>
  </si>
  <si>
    <t>cciPatientAdmissionPreComaH</t>
  </si>
  <si>
    <t>颅脑损伤患者入院前昏迷时间-h</t>
  </si>
  <si>
    <t>颅脑损伤患者入院前昏迷时间的小时数</t>
  </si>
  <si>
    <t>DE05.10.138.03</t>
  </si>
  <si>
    <t>cci_patient_admission_pre_coma_min</t>
  </si>
  <si>
    <t>cciPatientAdmissionPreComaMin</t>
  </si>
  <si>
    <t>颅脑损伤患者入院前昏迷时间-min</t>
  </si>
  <si>
    <t>颅脑损伤患者入院前昏迷时间的分钟数</t>
  </si>
  <si>
    <t>DE05.10.138.04</t>
  </si>
  <si>
    <t>cci_patient_admission_after_coma_d</t>
  </si>
  <si>
    <t>cciPatientAdmissionAfterComaD</t>
  </si>
  <si>
    <t>颅脑损伤患者入院后昏迷时间-d</t>
  </si>
  <si>
    <t>颅脑损伤患者入院后昏迷时间的天数</t>
  </si>
  <si>
    <t>DE05.10.138.05</t>
  </si>
  <si>
    <t>cci_patient_admission_after_coma_h</t>
  </si>
  <si>
    <t>cciPatientAdmissionAfterComaH</t>
  </si>
  <si>
    <t>颅脑损伤患者入院后昏迷时间-h</t>
  </si>
  <si>
    <t>颅脑损伤患者入院后昏迷时间的小时数</t>
  </si>
  <si>
    <t>DE05.10.138.06</t>
  </si>
  <si>
    <t>cci_patient_admission_after_coma_min</t>
  </si>
  <si>
    <t>cciPatientAdmissionAfterComaMin</t>
  </si>
  <si>
    <t>颅脑损伤患者入院后昏迷时间-min</t>
  </si>
  <si>
    <t>颅脑损伤患者入院后昏迷时间的分钟数</t>
  </si>
  <si>
    <t>DE07.00.010.10</t>
  </si>
  <si>
    <t>diag_clin_item_cost</t>
  </si>
  <si>
    <t>diagClinItemCost</t>
  </si>
  <si>
    <t>诊断类-临床诊断项目费</t>
  </si>
  <si>
    <t>临床科室开展的其他用于诊断的各种检查项目的费用，包括有关内镜检查、肛门指诊、视力检测等项目费用，计量单位为元</t>
  </si>
  <si>
    <t>DE07.00.010.12</t>
  </si>
  <si>
    <t>treat_clin_physical_treat_cost</t>
  </si>
  <si>
    <t>treatClinPhysicalTreatCost</t>
  </si>
  <si>
    <t>治疗类-非手术治疗项目费-临床物理治疗费</t>
  </si>
  <si>
    <t>临床利用光、电、热等外界物理因素进行治疗的项目产生的费用，如放射治疗、放射性核素治疗、聚焦超声治疗等项目产生的费用，计量单位为元</t>
  </si>
  <si>
    <t>中医住院病案首页</t>
  </si>
  <si>
    <t>DE06.00.304.00</t>
  </si>
  <si>
    <t>treat_class_code</t>
  </si>
  <si>
    <t>treatClassCode</t>
  </si>
  <si>
    <t>治疗类别代码</t>
  </si>
  <si>
    <t>对患者采用的医学治疗方法类别在特定编码体系中的代码</t>
  </si>
  <si>
    <t>DE01.00.019.00</t>
  </si>
  <si>
    <t>sickroom_no</t>
  </si>
  <si>
    <t>sickroomNo</t>
  </si>
  <si>
    <t>病房号</t>
  </si>
  <si>
    <t>患者出院时，所住病房对应的编号</t>
  </si>
  <si>
    <t>DE06.00.310.00</t>
  </si>
  <si>
    <t>actual_inp_day_count</t>
  </si>
  <si>
    <t>actualInpDayCount</t>
  </si>
  <si>
    <t>实际住院天数</t>
  </si>
  <si>
    <t>患者实际的住院天数，入院日与出院日只计算1天</t>
  </si>
  <si>
    <t>DE05.01.169.01</t>
  </si>
  <si>
    <t>outp_emer_diag_tcm_dis_name</t>
  </si>
  <si>
    <t>outpEmerDiagTcmDisName</t>
  </si>
  <si>
    <t>门（急）诊诊断中医病名名称</t>
  </si>
  <si>
    <t>患者在住院前，由门（急）诊接诊医师在住院证上填写的门（急）诊中医病名</t>
  </si>
  <si>
    <t>DE05.01.168.01</t>
  </si>
  <si>
    <t>outp_emer_diag_tcm_dis_code</t>
  </si>
  <si>
    <t>outpEmerDiagTcmDisCode</t>
  </si>
  <si>
    <t>门（急）诊诊断中医病名代码</t>
  </si>
  <si>
    <t>门（急）诊诊断在中医病名特定分类体系中的代码</t>
  </si>
  <si>
    <t>DE05.01.171.01</t>
  </si>
  <si>
    <t>outp_emer_diag_tcm_syd_ptn_name</t>
  </si>
  <si>
    <t>outpEmerDiagTcmSydPtnName</t>
  </si>
  <si>
    <t>门（急）诊诊断中医证候名称</t>
  </si>
  <si>
    <t>患者在住院前，由门（急）诊接诊医师在住院证上填写的门（急）诊中医证候</t>
  </si>
  <si>
    <t>DE05.01.170.01</t>
  </si>
  <si>
    <t>outp_emer_diag_tcm_syd_ptn_code</t>
  </si>
  <si>
    <t>outpEmerDiagTcmSydPtnCode</t>
  </si>
  <si>
    <t>门（急）诊诊断中医证候代码</t>
  </si>
  <si>
    <t>门（急）诊诊断在中医证候特定分类体系中的代码</t>
  </si>
  <si>
    <t>患者在住院前，由门（急）诊接诊医师在住院证上填写的门（急）诊西医诊断</t>
  </si>
  <si>
    <t>门（急）诊诊断在西医诊断特定编码体系中的编码</t>
  </si>
  <si>
    <t>实施临床路径标志代码</t>
  </si>
  <si>
    <t>是否实施临床路径或实施临床路径的中、西医类别的分类代码</t>
  </si>
  <si>
    <t>DE06.00.243.00</t>
  </si>
  <si>
    <t>use_med_inst_tcmp_flag</t>
  </si>
  <si>
    <t>useMedInstTcmpFlag</t>
  </si>
  <si>
    <t>使用医疗机构中药制剂标志</t>
  </si>
  <si>
    <t>标识是否使用了医疗机构中药制剂的标志</t>
  </si>
  <si>
    <t>DE06.00.244.00</t>
  </si>
  <si>
    <t>use_tcm_diag_treat_equip_flag</t>
  </si>
  <si>
    <t>useTcmDiagTreatEquipFlag</t>
  </si>
  <si>
    <t>使用中医诊疗设备标志</t>
  </si>
  <si>
    <t>标识是否使用了中医诊疗设备的标志</t>
  </si>
  <si>
    <t>DE06.00.245.00</t>
  </si>
  <si>
    <t>use_tcm_diag_treat_tech_flag</t>
  </si>
  <si>
    <t>useTcmDiagTreatTechFlag</t>
  </si>
  <si>
    <t>使用中医诊疗技术标志</t>
  </si>
  <si>
    <t>标识是否使用了中医诊疗技术的标志</t>
  </si>
  <si>
    <t>DE06.00.180.00</t>
  </si>
  <si>
    <t>syd_diff_nsg_flag</t>
  </si>
  <si>
    <t>sydDiffNsgFlag</t>
  </si>
  <si>
    <t>辨证施护标志</t>
  </si>
  <si>
    <t>标识是否进行辨证施护的标志</t>
  </si>
  <si>
    <t>DE05.01.169.03</t>
  </si>
  <si>
    <t>discharge_diag_tcm_primary_diag_name</t>
  </si>
  <si>
    <t>dischargeDiagTcmPrimaryDiagName</t>
  </si>
  <si>
    <t>出院诊断中医主病名称</t>
  </si>
  <si>
    <t>患者在住院期间确诊的主要中医病名</t>
  </si>
  <si>
    <t>DE05.01.168.08</t>
  </si>
  <si>
    <t>discharge_diag_tcm_primary_diag_code</t>
  </si>
  <si>
    <t>dischargeDiagTcmPrimaryDiagCode</t>
  </si>
  <si>
    <t>出院诊断中医主病代码</t>
  </si>
  <si>
    <t>出院诊断中的主要诊断在中医病名特定分类体系中的代码</t>
  </si>
  <si>
    <t>ZOE99.00.03.2018</t>
  </si>
  <si>
    <t>discharge_tcm_diag_primary_diag_admission_med_cond_code</t>
  </si>
  <si>
    <t>dischargeTcmDiagPrimaryDiagAdmissionMedCondCode</t>
  </si>
  <si>
    <t>出院中医诊断-主病-入院病情代码</t>
  </si>
  <si>
    <t>对出院诊断在患者入院时是否已具有的评估情况分类在特定编码体系中的代码。这里是指出院诊断的中医主病</t>
  </si>
  <si>
    <t>DE05.01.171.03</t>
  </si>
  <si>
    <t>discharge_diag_tcm_prin_syd_name</t>
  </si>
  <si>
    <t>dischargeDiagTcmPrinSydName</t>
  </si>
  <si>
    <t>出院诊断中医主证名称</t>
  </si>
  <si>
    <t>患者所患主病的主要中医证候</t>
  </si>
  <si>
    <t>DE05.01.170.03</t>
  </si>
  <si>
    <t>discharge_diag_tcm_prin_syd_code</t>
  </si>
  <si>
    <t>dischargeDiagTcmPrinSydCode</t>
  </si>
  <si>
    <t>出院诊断中医主证代码</t>
  </si>
  <si>
    <t>出院诊断中的主要诊断在中医证候特定分类体系中的代码</t>
  </si>
  <si>
    <t>ZOE99.00.03.2019</t>
  </si>
  <si>
    <t>discharge_tcm_diag_prin_syd_admission_med_cond_code</t>
  </si>
  <si>
    <t>dischargeTcmDiagPrinSydAdmissionMedCondCode</t>
  </si>
  <si>
    <t>出院中医诊断-主证-入院病情代码</t>
  </si>
  <si>
    <t>对出院诊断在患者入院时是否已具有的评估情况分类在特定编码体系中的代码。这里是指出院诊断的中医主证</t>
  </si>
  <si>
    <t>患者住院过程中对身体健康危害最大，花费医疗资源最多，住院时间最长的疾病西医诊断。外科的主要诊断指患者住院接受手术进行治疗的疾病；产科的主要诊断指产科的主要并发症或伴随疾病</t>
  </si>
  <si>
    <t>出院诊断中的主要诊断在西医诊断特定编码体系中的编码</t>
  </si>
  <si>
    <t>对出院诊断在患者入院时是否已具有的评估情况分类在特定编码体系中的代码。这里是指出院诊断的西医主要诊断</t>
  </si>
  <si>
    <t>出院诊断中除主要诊断外的其他诊断在西医诊断特定编码体系中的编码</t>
  </si>
  <si>
    <t>ZOE99.00.03.2020</t>
  </si>
  <si>
    <t>discharge_wm_diag_other_diag_admission_med_cond_code</t>
  </si>
  <si>
    <t>dischargeWmDiagOtherDiagAdmissionMedCondCode</t>
  </si>
  <si>
    <t>出院西医诊断-其他诊断-入院病情代码</t>
  </si>
  <si>
    <t>对出院诊断在患者入院时是否已具有的评估情况分类在特定编码体系中的代码。这里是指出院诊断的西医其他诊断</t>
  </si>
  <si>
    <t>入院记录</t>
  </si>
  <si>
    <t>DE04.01.119.00</t>
  </si>
  <si>
    <t>chief_complaint</t>
  </si>
  <si>
    <t>chiefComplaint</t>
  </si>
  <si>
    <t>主诉</t>
  </si>
  <si>
    <t>对患者本次疾病相关的主要症状及其持续时间的描述，一般由患者本人或监护人描述</t>
  </si>
  <si>
    <t>DE02.10.071.00</t>
  </si>
  <si>
    <t>pres_hist</t>
  </si>
  <si>
    <t>presHist</t>
  </si>
  <si>
    <t>现病史</t>
  </si>
  <si>
    <t>对患者当前所患疾病情况的详细描述</t>
  </si>
  <si>
    <t>DE05.10.031.00</t>
  </si>
  <si>
    <t>health_assmnt_abn_flag</t>
  </si>
  <si>
    <t>healthAssmntAbnFlag</t>
  </si>
  <si>
    <t>健康评估异常标志</t>
  </si>
  <si>
    <t>标识患者既往是否健康的标志</t>
  </si>
  <si>
    <t>DE05.10.119.00</t>
  </si>
  <si>
    <t>patient_infectivity_flag</t>
  </si>
  <si>
    <t>patientInfectivityFlag</t>
  </si>
  <si>
    <t>患者传染性标志</t>
  </si>
  <si>
    <t>标识患者是否具有传染性的标志</t>
  </si>
  <si>
    <t>患者个人生活习惯及有无烟、酒、药物等嗜好，职业与工作条件及有无工业毒物、粉尘、放射性物质接触史，有无冶游史的描述</t>
  </si>
  <si>
    <t>DE04.10.186.00</t>
  </si>
  <si>
    <t>body_temp</t>
  </si>
  <si>
    <t>bodyTemp</t>
  </si>
  <si>
    <t>体温（℃）</t>
  </si>
  <si>
    <t>体温的测量值，计量单位为℃</t>
  </si>
  <si>
    <t>DE04.10.118.00</t>
  </si>
  <si>
    <t>pulse_rate</t>
  </si>
  <si>
    <t>pulseRate</t>
  </si>
  <si>
    <t>脉率（次/min）</t>
  </si>
  <si>
    <t>患者每分钟脉搏次数的测量值，计量单位为次/min</t>
  </si>
  <si>
    <t>DE04.10.082.00</t>
  </si>
  <si>
    <t>breath_freq</t>
  </si>
  <si>
    <t>breathFreq</t>
  </si>
  <si>
    <t>呼吸频率（次/min）</t>
  </si>
  <si>
    <t>患者每分钟呼吸次数的测量值，计量单位为次/min</t>
  </si>
  <si>
    <t>DE04.10.174.00</t>
  </si>
  <si>
    <t>sbp</t>
  </si>
  <si>
    <t>收缩压（mmHg）</t>
  </si>
  <si>
    <t>收缩压的测量值，计量单位为mmHg</t>
  </si>
  <si>
    <t>DE04.10.176.00</t>
  </si>
  <si>
    <t>dbp</t>
  </si>
  <si>
    <t>舒张压（mmHg）</t>
  </si>
  <si>
    <t>舒张压的测量值，计量单位为mmHg</t>
  </si>
  <si>
    <t>DE04.10.167.00</t>
  </si>
  <si>
    <t>height</t>
  </si>
  <si>
    <t>身高（cm）</t>
  </si>
  <si>
    <t>患者身高的测量值，计量单位为cm</t>
  </si>
  <si>
    <t>DE04.10.188.00</t>
  </si>
  <si>
    <t>weight</t>
  </si>
  <si>
    <t>体重（kg）</t>
  </si>
  <si>
    <t>患者体重的测量值，计量单位为kg</t>
  </si>
  <si>
    <t>DE04.10.219.00</t>
  </si>
  <si>
    <t>general_cond_exam_result</t>
  </si>
  <si>
    <t>generalCondExamResult</t>
  </si>
  <si>
    <t>一般状况检查结果</t>
  </si>
  <si>
    <t>对患者一般状况检查结果的详细描述，包括其发育状况、营养状况、体味、步态、面容与表情、意识，检查能否合作等等</t>
  </si>
  <si>
    <t>DE04.10.126.00</t>
  </si>
  <si>
    <t>skin_mucosa_exam_result</t>
  </si>
  <si>
    <t>skinMucosaExamResult</t>
  </si>
  <si>
    <t>皮肤和黏膜检查结果</t>
  </si>
  <si>
    <t>对患者皮肤和黏膜检查结果的详细描述</t>
  </si>
  <si>
    <t>DE04.10.114.00</t>
  </si>
  <si>
    <t>ln_exam_result_desc</t>
  </si>
  <si>
    <t>lnExamResultDesc</t>
  </si>
  <si>
    <t>淋巴结检查结果描述</t>
  </si>
  <si>
    <t>DE04.10.261.00</t>
  </si>
  <si>
    <t>head_organ_exam_result</t>
  </si>
  <si>
    <t>headOrganExamResult</t>
  </si>
  <si>
    <t>头部及其器官检查结果</t>
  </si>
  <si>
    <t>对患者头部及其器官检查结果的详细描述</t>
  </si>
  <si>
    <t>DE04.10.255.00</t>
  </si>
  <si>
    <t>neck_exam_result</t>
  </si>
  <si>
    <t>neckExamResult</t>
  </si>
  <si>
    <t>颈部检查结果</t>
  </si>
  <si>
    <t>对患者颈部检查结果的详细描述</t>
  </si>
  <si>
    <t>DE04.10.263.00</t>
  </si>
  <si>
    <t>chest_exam_result</t>
  </si>
  <si>
    <t>chestExamResult</t>
  </si>
  <si>
    <t>胸部检查结果</t>
  </si>
  <si>
    <t>对患者胸部（胸廓、肺部、心脏、血管）检查结果的详细描述，包括视触叩听的检查结果</t>
  </si>
  <si>
    <t>DE04.10.046.00</t>
  </si>
  <si>
    <t>abd_exam_result</t>
  </si>
  <si>
    <t>abdExamResult</t>
  </si>
  <si>
    <t>腹部检查结果</t>
  </si>
  <si>
    <t>对患者腹部（肝脾等）检查结果的详细描述，包括视触叩听的检查结果</t>
  </si>
  <si>
    <t>DE04.10.065.00</t>
  </si>
  <si>
    <t>dre_exam_desc</t>
  </si>
  <si>
    <t>dreExamDesc</t>
  </si>
  <si>
    <t>肛门指诊检查结果描述</t>
  </si>
  <si>
    <t>对患者肛门指诊检查结果的详细描述</t>
  </si>
  <si>
    <t>DE04.10.195.00</t>
  </si>
  <si>
    <t>exge_exam_result</t>
  </si>
  <si>
    <t>exgeExamResult</t>
  </si>
  <si>
    <t>外生殖器检查结果</t>
  </si>
  <si>
    <t>对患者外生殖器检查结果的详细描述</t>
  </si>
  <si>
    <t>DE04.10.093.00</t>
  </si>
  <si>
    <t>spine_exam_result</t>
  </si>
  <si>
    <t>spineExamResult</t>
  </si>
  <si>
    <t>脊柱检查结果</t>
  </si>
  <si>
    <t>对患者脊柱检查结果的详细描述</t>
  </si>
  <si>
    <t>DE04.10.179.00</t>
  </si>
  <si>
    <t>limbs_exam_result</t>
  </si>
  <si>
    <t>limbsExamResult</t>
  </si>
  <si>
    <t>四肢检查结果</t>
  </si>
  <si>
    <t>对患者四肢检查结果的详细描述</t>
  </si>
  <si>
    <t>DE05.10.149.00</t>
  </si>
  <si>
    <t>nervous_sys_exam_result</t>
  </si>
  <si>
    <t>nervousSysExamResult</t>
  </si>
  <si>
    <t>神经系统检查结果</t>
  </si>
  <si>
    <t>对患者神经系统检查结果的详细描述</t>
  </si>
  <si>
    <t>DE08.10.061.00</t>
  </si>
  <si>
    <t>specialist_cond</t>
  </si>
  <si>
    <t>specialistCond</t>
  </si>
  <si>
    <t>专科情况</t>
  </si>
  <si>
    <t>根据专科需要对患者进行专科特殊检查结果的详细描述</t>
  </si>
  <si>
    <t>DE04.30.009.00</t>
  </si>
  <si>
    <t>auxiliary_exam_result</t>
  </si>
  <si>
    <t>auxiliaryExamResult</t>
  </si>
  <si>
    <t>辅助检查结果</t>
  </si>
  <si>
    <t>患者辅助检查结果的详细描述</t>
  </si>
  <si>
    <t>DE02.10.028.00</t>
  </si>
  <si>
    <t>observe_result</t>
  </si>
  <si>
    <t>observeResult</t>
  </si>
  <si>
    <t>观察结果</t>
  </si>
  <si>
    <t>中医“四诊”观察结果的详细描述，包括望、闻、问、切四诊内容</t>
  </si>
  <si>
    <t>DE06.00.300.00</t>
  </si>
  <si>
    <t>tpam</t>
  </si>
  <si>
    <t>治则治法</t>
  </si>
  <si>
    <t>根据辨证结果采用的治则治法名称术语</t>
  </si>
  <si>
    <t>DE05.01.025.12</t>
  </si>
  <si>
    <t>prelim_diag_wm_dis_name</t>
  </si>
  <si>
    <t>prelimDiagWmDisName</t>
  </si>
  <si>
    <t>初步诊断西医疾病名称（初步西医诊断名称）</t>
  </si>
  <si>
    <t>由医师根据患者入院时的情况，综合分析所作出的西医诊断名称</t>
  </si>
  <si>
    <t>DE05.01.024.12</t>
  </si>
  <si>
    <t>prelim_diag_wm_dis_code</t>
  </si>
  <si>
    <t>prelimDiagWmDisCode</t>
  </si>
  <si>
    <t>初步诊断西医疾病代码（初步西医诊断代码）</t>
  </si>
  <si>
    <t>患者入院后初步做出的疾病诊断在西医诊断特定编码体系中的编码</t>
  </si>
  <si>
    <t>DE05.01.169.05</t>
  </si>
  <si>
    <t>prelim_diag_tcm_dis_name</t>
  </si>
  <si>
    <t>prelimDiagTcmDisName</t>
  </si>
  <si>
    <t>初步诊断中医病名名称</t>
  </si>
  <si>
    <t>由医师根据患者入院时的情况，综合分析所作出的中医病名</t>
  </si>
  <si>
    <t>DE05.01.168.03</t>
  </si>
  <si>
    <t>prelim_diag_tcm_dis_code</t>
  </si>
  <si>
    <t>prelimDiagTcmDisCode</t>
  </si>
  <si>
    <t>初步诊断中医病名代码</t>
  </si>
  <si>
    <t>患者入院后初步做出的疾病诊断在中医病名特定分类体系中的代码</t>
  </si>
  <si>
    <t>DE05.01.171.05</t>
  </si>
  <si>
    <t>prelim_diag_tcm_syd_ptn_name</t>
  </si>
  <si>
    <t>prelimDiagTcmSydPtnName</t>
  </si>
  <si>
    <t>初步诊断中医证候名称</t>
  </si>
  <si>
    <t>由医师根据患者入院时的情况，综合分析所作出的中医证候名称</t>
  </si>
  <si>
    <t>DE05.01.170.05</t>
  </si>
  <si>
    <t>prelim_diag_tcm_syd_ptn_code</t>
  </si>
  <si>
    <t>prelimDiagTcmSydPtnCode</t>
  </si>
  <si>
    <t>初步诊断中医证候代码</t>
  </si>
  <si>
    <t>患者入院后初步做出的疾病诊断在中医证候特定分类体系中的代码</t>
  </si>
  <si>
    <t>ZOE99.00.03.2021</t>
  </si>
  <si>
    <t>prelim_diag_date</t>
  </si>
  <si>
    <t>prelimDiagDate</t>
  </si>
  <si>
    <t>初步诊断日期</t>
  </si>
  <si>
    <t>初步诊断下达当日的公元纪年日期的完整描述</t>
  </si>
  <si>
    <t>DE05.01.025.15</t>
  </si>
  <si>
    <t>modify_diag_wm_dis_name</t>
  </si>
  <si>
    <t>modifyDiagWmDisName</t>
  </si>
  <si>
    <t>修正诊断西医疾病名称</t>
  </si>
  <si>
    <t>修正诊断的西医诊断名称</t>
  </si>
  <si>
    <t>DE05.01.024.15</t>
  </si>
  <si>
    <t>modify_diag_wm_dis_code</t>
  </si>
  <si>
    <t>modifyDiagWmDisCode</t>
  </si>
  <si>
    <t>修正诊断西医疾病代码</t>
  </si>
  <si>
    <t>修正诊断在西医诊断特定编码体系中的编码</t>
  </si>
  <si>
    <t>DE05.01.169.07</t>
  </si>
  <si>
    <t>modify_diag_tcm_dis_name</t>
  </si>
  <si>
    <t>modifyDiagTcmDisName</t>
  </si>
  <si>
    <t>修正诊断中医病名名称</t>
  </si>
  <si>
    <t>修正诊断的中医病名</t>
  </si>
  <si>
    <t>DE05.01.168.05</t>
  </si>
  <si>
    <t>modify_diag_tcm_dis_code</t>
  </si>
  <si>
    <t>modifyDiagTcmDisCode</t>
  </si>
  <si>
    <t>修正诊断中医病名代码</t>
  </si>
  <si>
    <t>修正诊断在中医病名特定分类体系中的代码</t>
  </si>
  <si>
    <t>DE05.01.171.07</t>
  </si>
  <si>
    <t>modify_diag_tcm_syd_ptn_name</t>
  </si>
  <si>
    <t>modifyDiagTcmSydPtnName</t>
  </si>
  <si>
    <t>修正诊断中医证候名称</t>
  </si>
  <si>
    <t>修正诊断的中医证候名称</t>
  </si>
  <si>
    <t>DE05.01.170.07</t>
  </si>
  <si>
    <t>modify_diag_tcm_syd_ptn_code</t>
  </si>
  <si>
    <t>modifyDiagTcmSydPtnCode</t>
  </si>
  <si>
    <t>修正诊断中医证候代码</t>
  </si>
  <si>
    <t>修正诊断在中医证候特定分类体系中的代码</t>
  </si>
  <si>
    <t>ZOE99.00.03.2022</t>
  </si>
  <si>
    <t>modify_diag_date</t>
  </si>
  <si>
    <t>modifyDiagDate</t>
  </si>
  <si>
    <t>修正诊断日期</t>
  </si>
  <si>
    <t>修正诊断下达当日的公元纪年日期的完整描述</t>
  </si>
  <si>
    <t>DE05.01.025.16</t>
  </si>
  <si>
    <t>confirm_diag_wm_dis_name</t>
  </si>
  <si>
    <t>confirmDiagWmDisName</t>
  </si>
  <si>
    <t>确定诊断西医疾病名称</t>
  </si>
  <si>
    <t>确定诊断的西医诊断名称</t>
  </si>
  <si>
    <t>DE05.01.024.16</t>
  </si>
  <si>
    <t>confirm_diag_wm_dis_code</t>
  </si>
  <si>
    <t>confirmDiagWmDisCode</t>
  </si>
  <si>
    <t>确定诊断西医疾病代码</t>
  </si>
  <si>
    <t>确诊诊断在西医诊断特定编码体系中的编码</t>
  </si>
  <si>
    <t>DE05.01.169.08</t>
  </si>
  <si>
    <t>confirm_diag_tcm_dis_name</t>
  </si>
  <si>
    <t>confirmDiagTcmDisName</t>
  </si>
  <si>
    <t>确定诊断中医病名名称</t>
  </si>
  <si>
    <t>确定诊断的中医病名</t>
  </si>
  <si>
    <t>DE05.01.168.06</t>
  </si>
  <si>
    <t>confirm_diag_tcm_dis_code</t>
  </si>
  <si>
    <t>confirmDiagTcmDisCode</t>
  </si>
  <si>
    <t>确定诊断中医病名代码</t>
  </si>
  <si>
    <t>确定诊断在中医病名特定分类体系中的代码</t>
  </si>
  <si>
    <t>DE05.01.171.08</t>
  </si>
  <si>
    <t>confirm_diag_tcm_syd_ptn_name</t>
  </si>
  <si>
    <t>confirmDiagTcmSydPtnName</t>
  </si>
  <si>
    <t>确定诊断中医证候名称</t>
  </si>
  <si>
    <t>确定诊断的中医证候名称</t>
  </si>
  <si>
    <t>DE05.01.170.08</t>
  </si>
  <si>
    <t>confirm_diag_tcm_syd_ptn_code</t>
  </si>
  <si>
    <t>confirmDiagTcmSydPtnCode</t>
  </si>
  <si>
    <t>确定诊断中医证候代码</t>
  </si>
  <si>
    <t>确定诊断在中医证候特定分类体系中的代码</t>
  </si>
  <si>
    <t>DE05.01.034.00</t>
  </si>
  <si>
    <t>confirm_diag_date</t>
  </si>
  <si>
    <t>confirmDiagDate</t>
  </si>
  <si>
    <t>确定诊断日期</t>
  </si>
  <si>
    <t>确定诊断下达当日的公元纪年日期的完整描述</t>
  </si>
  <si>
    <t>DE05.01.025.11</t>
  </si>
  <si>
    <t>suppl_diag_wm_dis_name</t>
  </si>
  <si>
    <t>supplDiagWmDisName</t>
  </si>
  <si>
    <t>补充诊断西医疾病名称</t>
  </si>
  <si>
    <t>补充诊断的名称</t>
  </si>
  <si>
    <t>DE05.01.024.11</t>
  </si>
  <si>
    <t>suppl_diag_wm_dis_code</t>
  </si>
  <si>
    <t>supplDiagWmDisCode</t>
  </si>
  <si>
    <t>补充诊断西医疾病代码</t>
  </si>
  <si>
    <t>补充诊断在特定编码体系中的编码</t>
  </si>
  <si>
    <t>ZOE99.00.03.2023</t>
  </si>
  <si>
    <t>suppl_diag_date</t>
  </si>
  <si>
    <t>supplDiagDate</t>
  </si>
  <si>
    <t>补充诊断日期</t>
  </si>
  <si>
    <t>补充诊断下达当日的公元纪年日期的完整描述</t>
  </si>
  <si>
    <t>DE05.01.080.00</t>
  </si>
  <si>
    <t>admission_diag_ranking</t>
  </si>
  <si>
    <t>admissionDiagRanking</t>
  </si>
  <si>
    <t>入院诊断顺位</t>
  </si>
  <si>
    <t>表示入院诊断的顺位及其从属关系</t>
  </si>
  <si>
    <t>DE02.10.099.00</t>
  </si>
  <si>
    <t>past_hist</t>
  </si>
  <si>
    <t>pastHist</t>
  </si>
  <si>
    <t>既往史</t>
  </si>
  <si>
    <t>既往健康状况及重要相关病史的描述</t>
  </si>
  <si>
    <t>24h内入出院记录</t>
  </si>
  <si>
    <t>DE05.10.148.00</t>
  </si>
  <si>
    <t>admission_cond</t>
  </si>
  <si>
    <t>admissionCond</t>
  </si>
  <si>
    <t>入院情况</t>
  </si>
  <si>
    <t>对患者入院情况的详细描述</t>
  </si>
  <si>
    <t>DE04.01.118.00</t>
  </si>
  <si>
    <t>symptom_name</t>
  </si>
  <si>
    <t>symptomName</t>
  </si>
  <si>
    <t>症状名称</t>
  </si>
  <si>
    <t>患者出现的临床主要症状的名称</t>
  </si>
  <si>
    <t>DE04.01.117.00</t>
  </si>
  <si>
    <t>symptom_desc</t>
  </si>
  <si>
    <t>symptomDesc</t>
  </si>
  <si>
    <t>症状描述</t>
  </si>
  <si>
    <t>对患者出现症状的详细描述</t>
  </si>
  <si>
    <t>DE05.01.025.10</t>
  </si>
  <si>
    <t>admission_diag_wm_dis_name</t>
  </si>
  <si>
    <t>admissionDiagWmDisName</t>
  </si>
  <si>
    <t>入院诊断西医疾病名称</t>
  </si>
  <si>
    <t>DE05.01.024.10</t>
  </si>
  <si>
    <t>admission_diag_wm_dis_code</t>
  </si>
  <si>
    <t>admissionDiagWmDisCode</t>
  </si>
  <si>
    <t>入院诊断西医疾病代码</t>
  </si>
  <si>
    <t>患者入院时做出的疾病诊断在西医诊断特定编码体系中的编码</t>
  </si>
  <si>
    <t>DE05.01.169.04</t>
  </si>
  <si>
    <t>admission_diag_tcm_dis_name</t>
  </si>
  <si>
    <t>admissionDiagTcmDisName</t>
  </si>
  <si>
    <t>入院诊断中医病名名称</t>
  </si>
  <si>
    <t>DE05.01.168.02</t>
  </si>
  <si>
    <t>admission_diag_tcm_dis_code</t>
  </si>
  <si>
    <t>admissionDiagTcmDisCode</t>
  </si>
  <si>
    <t>入院诊断中医病名代码</t>
  </si>
  <si>
    <t>患者入院时做出的疾病诊断在中医病名特定分类体系中的代码</t>
  </si>
  <si>
    <t>DE05.01.171.04</t>
  </si>
  <si>
    <t>admission_diag_tcm_syd_ptn_name</t>
  </si>
  <si>
    <t>admissionDiagTcmSydPtnName</t>
  </si>
  <si>
    <t>入院诊断中医证候名称</t>
  </si>
  <si>
    <t>DE05.01.170.04</t>
  </si>
  <si>
    <t>admission_diag_tcm_syd_ptn_code</t>
  </si>
  <si>
    <t>admissionDiagTcmSydPtnCode</t>
  </si>
  <si>
    <t>入院诊断中医证候代码</t>
  </si>
  <si>
    <t>患者入院时做出的疾病诊断在中医证候特定分类体系中的代码</t>
  </si>
  <si>
    <t>DE06.00.296.00</t>
  </si>
  <si>
    <t>diag_treat_process_desc</t>
  </si>
  <si>
    <t>diagTreatProcessDesc</t>
  </si>
  <si>
    <t>诊疗过程描述</t>
  </si>
  <si>
    <t>对患者诊疗过程的详细描述</t>
  </si>
  <si>
    <t>DE99.11.066.00</t>
  </si>
  <si>
    <t>discharge_cond</t>
  </si>
  <si>
    <t>dischargeCond</t>
  </si>
  <si>
    <t>出院情况</t>
  </si>
  <si>
    <t>对患者出院情况的详细描述</t>
  </si>
  <si>
    <t>DE05.01.025.02</t>
  </si>
  <si>
    <t>discharge_diag_wm_dis_name</t>
  </si>
  <si>
    <t>dischargeDiagWmDisName</t>
  </si>
  <si>
    <t>出院诊断西医疾病名称</t>
  </si>
  <si>
    <t>患者出院时所患主要疾病的西医诊断名称</t>
  </si>
  <si>
    <t>DE05.01.024.02</t>
  </si>
  <si>
    <t>discharge_diag_wm_dis_code</t>
  </si>
  <si>
    <t>dischargeDiagWmDisCode</t>
  </si>
  <si>
    <t>出院诊断西医疾病代码</t>
  </si>
  <si>
    <t>出院诊断在西医诊断特定编码体系中的编码</t>
  </si>
  <si>
    <t>DE05.01.169.02</t>
  </si>
  <si>
    <t>discharge_diag_tcm_dis_name</t>
  </si>
  <si>
    <t>dischargeDiagTcmDisName</t>
  </si>
  <si>
    <t>出院诊断中医病名名称</t>
  </si>
  <si>
    <t>患者出院时所患主要疾病的中医病名</t>
  </si>
  <si>
    <t>DE05.01.168.07</t>
  </si>
  <si>
    <t>discharge_diag_tcm_dis_code</t>
  </si>
  <si>
    <t>dischargeDiagTcmDisCode</t>
  </si>
  <si>
    <t>出院诊断中医病名代码</t>
  </si>
  <si>
    <t>出院诊断在中医病名特定分类体系中的代码</t>
  </si>
  <si>
    <t>DE05.01.171.02</t>
  </si>
  <si>
    <t>discharge_diag_tcm_syd_ptn_name</t>
  </si>
  <si>
    <t>dischargeDiagTcmSydPtnName</t>
  </si>
  <si>
    <t>出院诊断中医证候名称</t>
  </si>
  <si>
    <t>患者出院时所患主要疾病的中医证候名称</t>
  </si>
  <si>
    <t>DE05.01.170.02</t>
  </si>
  <si>
    <t>discharge_diag_tcm_syd_ptn_code</t>
  </si>
  <si>
    <t>dischargeDiagTcmSydPtnCode</t>
  </si>
  <si>
    <t>出院诊断中医证候代码</t>
  </si>
  <si>
    <t>出院诊断在中医证候特定分类体系中的代码</t>
  </si>
  <si>
    <t>DE06.00.287.00</t>
  </si>
  <si>
    <t>order_name</t>
  </si>
  <si>
    <t>orderName</t>
  </si>
  <si>
    <t>医嘱名称</t>
  </si>
  <si>
    <t>对患者出院医嘱的详细描述</t>
  </si>
  <si>
    <t>DE08.50.033.00</t>
  </si>
  <si>
    <t>pres_create_date</t>
  </si>
  <si>
    <t>presCreateDate</t>
  </si>
  <si>
    <t>处方开立日期</t>
  </si>
  <si>
    <t>出院医嘱开立结束时的公元纪年日期和时间的完整描述</t>
  </si>
  <si>
    <t>24h内入院死亡记录</t>
  </si>
  <si>
    <t>DE02.01.036.00</t>
  </si>
  <si>
    <t>death_time</t>
  </si>
  <si>
    <t>deathTime</t>
  </si>
  <si>
    <t>死亡时间</t>
  </si>
  <si>
    <t>患者死亡时的公元纪年日期和时间的完整描述</t>
  </si>
  <si>
    <t>DE05.10.099.00</t>
  </si>
  <si>
    <t>direct_death_reason</t>
  </si>
  <si>
    <t>directDeathReason</t>
  </si>
  <si>
    <t>死亡原因</t>
  </si>
  <si>
    <t>患者死亡直接原因的详细描述</t>
  </si>
  <si>
    <t>DE05.01.025.07</t>
  </si>
  <si>
    <t>death_diag_wm_dis_name</t>
  </si>
  <si>
    <t>deathDiagWmDisName</t>
  </si>
  <si>
    <t>死亡诊断西医疾病名称</t>
  </si>
  <si>
    <t>导致病人死亡的主要疾病的西医诊断名称</t>
  </si>
  <si>
    <t>DE05.01.024.07</t>
  </si>
  <si>
    <t>death_diag_wm_dis_code</t>
  </si>
  <si>
    <t>deathDiagWmDisCode</t>
  </si>
  <si>
    <t>死亡诊断西医疾病代码</t>
  </si>
  <si>
    <t>死亡诊断在西医诊断特定编码体系中的编码</t>
  </si>
  <si>
    <t>DE05.01.169.09</t>
  </si>
  <si>
    <t>death_diag_tcm_dis_name</t>
  </si>
  <si>
    <t>deathDiagTcmDisName</t>
  </si>
  <si>
    <t>死亡诊断中医病名名称</t>
  </si>
  <si>
    <t>导致病人死亡的主要疾病的中医病名名称</t>
  </si>
  <si>
    <t>DE05.01.168.09</t>
  </si>
  <si>
    <t>death_diag_tcm_dis_code</t>
  </si>
  <si>
    <t>deathDiagTcmDisCode</t>
  </si>
  <si>
    <t>死亡诊断中医病名代码</t>
  </si>
  <si>
    <t>死亡诊断在中医病名特定分类体系中的代码</t>
  </si>
  <si>
    <t>DE05.01.171.09</t>
  </si>
  <si>
    <t>death_diag_tcm_syd_ptn_name</t>
  </si>
  <si>
    <t>deathDiagTcmSydPtnName</t>
  </si>
  <si>
    <t>死亡诊断中医证候名称</t>
  </si>
  <si>
    <t>导致病人死亡的主要疾病的中医证候名称</t>
  </si>
  <si>
    <t>DE05.01.170.09</t>
  </si>
  <si>
    <t>death_diag_tcm_syd_ptn_code</t>
  </si>
  <si>
    <t>deathDiagTcmSydPtnCode</t>
  </si>
  <si>
    <t>死亡诊断中医证候代码</t>
  </si>
  <si>
    <t>死亡诊断在中医证候特定分类体系中的代码</t>
  </si>
  <si>
    <t>首次病程记录</t>
  </si>
  <si>
    <t>DE05.10.133.00</t>
  </si>
  <si>
    <t>case_charact</t>
  </si>
  <si>
    <t>caseCharact</t>
  </si>
  <si>
    <t>病例特点</t>
  </si>
  <si>
    <t>对病史、体格检查和辅助检查进行全面分析、归纳和整理后写出本病例特征,包括阳性发现和具有鉴别诊断意义的阴性症状和体征等</t>
  </si>
  <si>
    <t>DE05.01.070.00</t>
  </si>
  <si>
    <t>tumor_diag_basis_code</t>
  </si>
  <si>
    <t>tumorDiagBasisCode</t>
  </si>
  <si>
    <t>肿瘤诊断依据代码</t>
  </si>
  <si>
    <t>疾病诊断的依据描述</t>
  </si>
  <si>
    <t>DE05.01.025.14</t>
  </si>
  <si>
    <t>diff_diag_wm_dis_name</t>
  </si>
  <si>
    <t>diffDiagWmDisName</t>
  </si>
  <si>
    <t>鉴别诊断西医疾病名称</t>
  </si>
  <si>
    <t>需要进行鉴别的西医疾病诊断名称</t>
  </si>
  <si>
    <t>DE05.01.169.06</t>
  </si>
  <si>
    <t>diff_diag_tcm_dis_name</t>
  </si>
  <si>
    <t>diffDiagTcmDisName</t>
  </si>
  <si>
    <t>鉴别诊断中医病名名称</t>
  </si>
  <si>
    <t>需要进行鉴别诊断的中医病名名称</t>
  </si>
  <si>
    <t>DE05.01.171.06</t>
  </si>
  <si>
    <t>diff_diag_tcm_syd_ptn_name</t>
  </si>
  <si>
    <t>diffDiagTcmSydPtnName</t>
  </si>
  <si>
    <t>鉴别诊断中医证候名称</t>
  </si>
  <si>
    <t>需要进行鉴别诊断的中医证候名称</t>
  </si>
  <si>
    <t>DE06.00.298.00</t>
  </si>
  <si>
    <t>diag_treat_plan</t>
  </si>
  <si>
    <t>diagTreatPlan</t>
  </si>
  <si>
    <t>诊疗计划</t>
  </si>
  <si>
    <t>具体的检查、中西医治疗措施及中医调护</t>
  </si>
  <si>
    <t>ZOE99.00.03.12245</t>
  </si>
  <si>
    <t>diag_basis</t>
  </si>
  <si>
    <t>diagBasis</t>
  </si>
  <si>
    <t>诊断依据</t>
  </si>
  <si>
    <t>DE05.01.173.00</t>
  </si>
  <si>
    <t>syd_diff_treat_prin_detail_desc</t>
  </si>
  <si>
    <t>sydDiffTreatPrinDetailDesc</t>
  </si>
  <si>
    <t>辨证论治详细描述</t>
  </si>
  <si>
    <t>日常病程记录</t>
  </si>
  <si>
    <t>DE06.00.309.00</t>
  </si>
  <si>
    <t>inp_course</t>
  </si>
  <si>
    <t>inpCourse</t>
  </si>
  <si>
    <t>住院病程</t>
  </si>
  <si>
    <t>住院病历中病程记录内容的详细描述</t>
  </si>
  <si>
    <t>ZOE99.00.00.007</t>
  </si>
  <si>
    <t>med_hist_record_time</t>
  </si>
  <si>
    <t>medHistRecordTime</t>
  </si>
  <si>
    <t>病史记录时间</t>
  </si>
  <si>
    <t>完成此项业务活动时的公元纪年日期和时间的完整描述</t>
  </si>
  <si>
    <t>医嘱内容的详细描述，中医依据《中药处方格式及书写规范》描述</t>
  </si>
  <si>
    <t>对辨证分型的名称、主要依据和采用的治则治法的详细描述</t>
  </si>
  <si>
    <t>DE08.50.047.00</t>
  </si>
  <si>
    <t>chm_decoc_method_code</t>
  </si>
  <si>
    <t>chmDecocMethodCode</t>
  </si>
  <si>
    <t>中药煎煮方法代码</t>
  </si>
  <si>
    <t>中药煎煮的方法的描述</t>
  </si>
  <si>
    <t>中药的用药方法的描述</t>
  </si>
  <si>
    <t>DE06.00.343.00</t>
  </si>
  <si>
    <t>consultation_time</t>
  </si>
  <si>
    <t>consultationTime</t>
  </si>
  <si>
    <t>会诊时间</t>
  </si>
  <si>
    <t>会诊到达时间</t>
  </si>
  <si>
    <t>DE06.00.038.00</t>
  </si>
  <si>
    <t>consultation_opinion</t>
  </si>
  <si>
    <t>consultationOpinion</t>
  </si>
  <si>
    <t>会诊意见</t>
  </si>
  <si>
    <t>会诊的内容</t>
  </si>
  <si>
    <t>上级医师查房记录</t>
  </si>
  <si>
    <t>DE06.00.189.00</t>
  </si>
  <si>
    <t>ward_round_time</t>
  </si>
  <si>
    <t>wardRoundTime</t>
  </si>
  <si>
    <t>查房时间</t>
  </si>
  <si>
    <t>开始查房时的公元纪年日期和时间的完整描述</t>
  </si>
  <si>
    <t>查房记录内容</t>
  </si>
  <si>
    <t>查房记录的主要内容</t>
  </si>
  <si>
    <t>DE06.00.181.00</t>
  </si>
  <si>
    <t>blood_transf_process_record</t>
  </si>
  <si>
    <t>bloodTransfProcessRecord</t>
  </si>
  <si>
    <t>输血过程记录</t>
  </si>
  <si>
    <t>对患者查房结果和诊疗相关意见的详细描述</t>
  </si>
  <si>
    <t>疑难病例讨论</t>
  </si>
  <si>
    <t>DE02.01.039.28</t>
  </si>
  <si>
    <t>compere_name</t>
  </si>
  <si>
    <t>compereName</t>
  </si>
  <si>
    <t>主持人姓名</t>
  </si>
  <si>
    <t>疑难病例讨论的主持人在公安户籍管理部门正式登记注册的姓氏和名称</t>
  </si>
  <si>
    <t>ZOE99.00.02.199</t>
  </si>
  <si>
    <t>diff_emr_discuss_opinion</t>
  </si>
  <si>
    <t>diffEmrDiscussOpinion</t>
  </si>
  <si>
    <t>疑难病历讨论意见</t>
  </si>
  <si>
    <t>疑难病历讨论过程中的具体讨论意见的详细描述</t>
  </si>
  <si>
    <t>对中药处方医嘱内容的详细描述</t>
  </si>
  <si>
    <t>ZOE99.00.02.016</t>
  </si>
  <si>
    <t>compere_summary_opinion</t>
  </si>
  <si>
    <t>compereSummaryOpinion</t>
  </si>
  <si>
    <t>主持人总结意见</t>
  </si>
  <si>
    <t>主持人就疑难病例讨论过程总结意见的详细描述</t>
  </si>
  <si>
    <t>DE05.10.226.00</t>
  </si>
  <si>
    <t>discuss_time</t>
  </si>
  <si>
    <t>discussTime</t>
  </si>
  <si>
    <t>讨论时间</t>
  </si>
  <si>
    <t>DE06.00.274.00</t>
  </si>
  <si>
    <t>discuss_place</t>
  </si>
  <si>
    <t>discussPlace</t>
  </si>
  <si>
    <t>讨论地点</t>
  </si>
  <si>
    <t>ZOE99.00.03.15057</t>
  </si>
  <si>
    <t>participate_discuss_person_list_name</t>
  </si>
  <si>
    <t>participateDiscussPersonListName</t>
  </si>
  <si>
    <t>参加讨论人员名单名称</t>
  </si>
  <si>
    <t>ZOE99.00.02.119</t>
  </si>
  <si>
    <t>diff_emr_discuss_purpose</t>
  </si>
  <si>
    <t>diffEmrDiscussPurpose</t>
  </si>
  <si>
    <t>疑难病历讨论目的</t>
  </si>
  <si>
    <t>交接班记录</t>
  </si>
  <si>
    <t>DE05.10.224.00</t>
  </si>
  <si>
    <t>present_cond</t>
  </si>
  <si>
    <t>presentCond</t>
  </si>
  <si>
    <t>目前情况</t>
  </si>
  <si>
    <t>对患者当前的情况的描述</t>
  </si>
  <si>
    <t>DE05.01.024.13</t>
  </si>
  <si>
    <t>present_diag_wm_dis_code</t>
  </si>
  <si>
    <t>presentDiagWmDisCode</t>
  </si>
  <si>
    <t>目前诊断西医疾病代码</t>
  </si>
  <si>
    <t>交接班时患者所患的疾病在西医诊断特定编码体系中的编码</t>
  </si>
  <si>
    <t>DE05.01.168.04</t>
  </si>
  <si>
    <t>present_diag_tcm_dis_code</t>
  </si>
  <si>
    <t>presentDiagTcmDisCode</t>
  </si>
  <si>
    <t>目前诊断中医病名代码</t>
  </si>
  <si>
    <t>交接班时患者所患的疾病在中医病名特定分类体系中的代码</t>
  </si>
  <si>
    <t>DE05.01.170.06</t>
  </si>
  <si>
    <t>present_diag_tcm_syd_ptn_code</t>
  </si>
  <si>
    <t>presentDiagTcmSydPtnCode</t>
  </si>
  <si>
    <t>目前诊断中医证候代码</t>
  </si>
  <si>
    <t>交接班时患者所患的疾病在中医证候特定分类体系中的代码</t>
  </si>
  <si>
    <t>DE09.00.119.00</t>
  </si>
  <si>
    <t>precautions_desc</t>
  </si>
  <si>
    <t>precautionsDesc</t>
  </si>
  <si>
    <t>注意事项</t>
  </si>
  <si>
    <t>对可能出现问题及采取相应措施的描述</t>
  </si>
  <si>
    <t>接班后的诊疗计划，具体的检查、中西医治疗措施及中医调护</t>
  </si>
  <si>
    <t>ZOE99.00.03.4884</t>
  </si>
  <si>
    <t>nurse_shift_change_order_audit_time</t>
  </si>
  <si>
    <t>nurseShiftChangeOrderAuditTime</t>
  </si>
  <si>
    <t>交班日期时间</t>
  </si>
  <si>
    <t>DE02.01.126.65</t>
  </si>
  <si>
    <t>shift_change_person_sig_name</t>
  </si>
  <si>
    <t>shiftChangePersonSigName</t>
  </si>
  <si>
    <t>交班者签名</t>
  </si>
  <si>
    <t>ZOE99.00.03.15598</t>
  </si>
  <si>
    <t>takeover_time</t>
  </si>
  <si>
    <t>takeoverTime</t>
  </si>
  <si>
    <t>接班日期时间</t>
  </si>
  <si>
    <t>DE02.01.126.66</t>
  </si>
  <si>
    <t>takeover_person_sig_name</t>
  </si>
  <si>
    <t>takeoverPersonSigName</t>
  </si>
  <si>
    <t>接班者签名</t>
  </si>
  <si>
    <t>转科记录</t>
  </si>
  <si>
    <t>转科时患者所患的疾病在西医诊断特定编码体系中的编码</t>
  </si>
  <si>
    <t>转科时患者所患的疾病在中医病名特定分类体系中的代码</t>
  </si>
  <si>
    <t>转科时患者所患的疾病在中医证候特定分类体系中的代码</t>
  </si>
  <si>
    <t>DE06.00.315.00</t>
  </si>
  <si>
    <t>transfer_dept_purpose</t>
  </si>
  <si>
    <t>transferDeptPurpose</t>
  </si>
  <si>
    <t>转科目的</t>
  </si>
  <si>
    <t>对患者转科目的的详细描述</t>
  </si>
  <si>
    <t>患者转入科室后的诊疗计划，具体的检查、中西医治疗措施及中医调护</t>
  </si>
  <si>
    <t>阶段小结</t>
  </si>
  <si>
    <t>患者住院期间，所住病房对应的编号</t>
  </si>
  <si>
    <t>ZOE99.00.03.12809</t>
  </si>
  <si>
    <t>brief_sum_time</t>
  </si>
  <si>
    <t>briefSumTime</t>
  </si>
  <si>
    <t>小结时间</t>
  </si>
  <si>
    <t>记录小结完成的公元纪年日期和时间的完整描述</t>
  </si>
  <si>
    <t>记录阶段小结时患者所患的疾病在西医诊断特定编码体系中的编码</t>
  </si>
  <si>
    <t>记录阶段小结时患者所患的疾病在中医病名特定分类体系中的代码</t>
  </si>
  <si>
    <t>记录阶段小结时患者所患的疾病在中医证候特定分类体系中的代码</t>
  </si>
  <si>
    <t>DE06.00.159.00</t>
  </si>
  <si>
    <t>treat_protocol</t>
  </si>
  <si>
    <t>treatProtocol</t>
  </si>
  <si>
    <t>治疗方案</t>
  </si>
  <si>
    <t>今后治疗方案的详细描述，包含中医及民族医治疗项目</t>
  </si>
  <si>
    <t>抢救记录</t>
  </si>
  <si>
    <t>DE05.01.025.00</t>
  </si>
  <si>
    <t>diag_wm_dis_name</t>
  </si>
  <si>
    <t>diagWmDisName</t>
  </si>
  <si>
    <t>诊断西医疾病名称（西医疾病诊断名称）</t>
  </si>
  <si>
    <t>患者所患疾病的西医诊断名称</t>
  </si>
  <si>
    <t>患者所患的疾病诊断特定编码体系中的编码</t>
  </si>
  <si>
    <t>ZOE99.00.999.2758</t>
  </si>
  <si>
    <t>med_cond_change_course</t>
  </si>
  <si>
    <t>medCondChangeCourse</t>
  </si>
  <si>
    <t>病情变化情况</t>
  </si>
  <si>
    <t>DE05.10.134.00</t>
  </si>
  <si>
    <t>intraop_puerpera_cond</t>
  </si>
  <si>
    <t>intraopPuerperaCond</t>
  </si>
  <si>
    <t>手术时产妇情况</t>
  </si>
  <si>
    <t>对患者病情变化的详细描述</t>
  </si>
  <si>
    <t>DE06.00.231.00</t>
  </si>
  <si>
    <t>rescue_measure</t>
  </si>
  <si>
    <t>rescueMeasure</t>
  </si>
  <si>
    <t>抢救措施</t>
  </si>
  <si>
    <t>进行抢救过程中采取的措施</t>
  </si>
  <si>
    <t>按照ICD-9-CM-3的名称</t>
  </si>
  <si>
    <t>DE06.00.187.00</t>
  </si>
  <si>
    <t>op_oper_target_papt_name</t>
  </si>
  <si>
    <t>opOperTargetPaptName</t>
  </si>
  <si>
    <t>手术/操作目标部位名称</t>
  </si>
  <si>
    <t>实施手术/操作的人体部位名称</t>
  </si>
  <si>
    <t>DE08.50.037.00</t>
  </si>
  <si>
    <t>inven_matl_name</t>
  </si>
  <si>
    <t>invenMatlName</t>
  </si>
  <si>
    <t>介入物名称</t>
  </si>
  <si>
    <t>实施手术操作时使用/放置的材料/药物的名称</t>
  </si>
  <si>
    <t>手术/操作方法的详细描述</t>
  </si>
  <si>
    <t>DE06.00.250.00</t>
  </si>
  <si>
    <t>op_oper_times</t>
  </si>
  <si>
    <t>opOperTimes</t>
  </si>
  <si>
    <t>手术/操作次数</t>
  </si>
  <si>
    <t>实施操作的次数</t>
  </si>
  <si>
    <t>DE06.00.221.00.01</t>
  </si>
  <si>
    <t>rescue_start_time</t>
  </si>
  <si>
    <t>rescueStartTime</t>
  </si>
  <si>
    <t>抢救开始时间</t>
  </si>
  <si>
    <t>实施抢救的开始时间的公元纪年日期和时间的完整描述</t>
  </si>
  <si>
    <t>ZOE99.00.03.10801</t>
  </si>
  <si>
    <t>rescue_end_time</t>
  </si>
  <si>
    <t>rescueEndTime</t>
  </si>
  <si>
    <t>抢救结束时间</t>
  </si>
  <si>
    <t>实施抢救的结束时间的公元纪年日期和时间的完整描述</t>
  </si>
  <si>
    <t>DE04.30.020.00</t>
  </si>
  <si>
    <t>exam_lab_item_name</t>
  </si>
  <si>
    <t>examLabItemName</t>
  </si>
  <si>
    <t>检查/检验项目名称</t>
  </si>
  <si>
    <t>患者检查/检验项目的正式名称</t>
  </si>
  <si>
    <t>患者检查/检验结果的描述</t>
  </si>
  <si>
    <t>DE04.30.015.00</t>
  </si>
  <si>
    <t>exam_lab_quan_result</t>
  </si>
  <si>
    <t>examLabQuanResult</t>
  </si>
  <si>
    <t>检查/检验定量结果</t>
  </si>
  <si>
    <t>患者检查/检验结果的测量值（定量）</t>
  </si>
  <si>
    <t>DE04.30.017.00</t>
  </si>
  <si>
    <t>exam_lab_result_code</t>
  </si>
  <si>
    <t>examLabResultCode</t>
  </si>
  <si>
    <t>检查/检验结果代码</t>
  </si>
  <si>
    <t>患者检查/检验结果的分类代码</t>
  </si>
  <si>
    <t>DE08.30.032.00</t>
  </si>
  <si>
    <t>participate_rescue_person_list</t>
  </si>
  <si>
    <t>participateRescuePersonList</t>
  </si>
  <si>
    <t>参与抢救人员名单</t>
  </si>
  <si>
    <t>DE99.12.152.00</t>
  </si>
  <si>
    <t>memo</t>
  </si>
  <si>
    <t>备注</t>
  </si>
  <si>
    <t>DE08.30.031.00</t>
  </si>
  <si>
    <t>prof_tech_position_class_code</t>
  </si>
  <si>
    <t>profTechPositionClassCode</t>
  </si>
  <si>
    <t>签名医师专业技术职务类别代码</t>
  </si>
  <si>
    <t>ZOE99.00.02.323</t>
  </si>
  <si>
    <t>other_cond</t>
  </si>
  <si>
    <t>otherCond</t>
  </si>
  <si>
    <t>其他抢救情况</t>
  </si>
  <si>
    <t>DE02.01.126.28</t>
  </si>
  <si>
    <t>compere_sig_name</t>
  </si>
  <si>
    <t>compereSigName</t>
  </si>
  <si>
    <t>主持人签名</t>
  </si>
  <si>
    <t>输血记录</t>
  </si>
  <si>
    <t>DE06.00.106.00</t>
  </si>
  <si>
    <t>blood_transf_hist_flag</t>
  </si>
  <si>
    <t>bloodTransfHistFlag</t>
  </si>
  <si>
    <t>输血史标志</t>
  </si>
  <si>
    <t>既往有无输血经历的分类代码</t>
  </si>
  <si>
    <t>DE06.00.506.00</t>
  </si>
  <si>
    <t>blood_transf_property_code</t>
  </si>
  <si>
    <t>bloodTransfPropertyCode</t>
  </si>
  <si>
    <t>输血性质代码</t>
  </si>
  <si>
    <t>输血性质类别的分类代码</t>
  </si>
  <si>
    <t>ZOE99.00.02.1243|1</t>
  </si>
  <si>
    <t>apply_abo_blood_group_code</t>
  </si>
  <si>
    <t>applyAboBloodGroupCode</t>
  </si>
  <si>
    <t>申请ABO血型代码</t>
  </si>
  <si>
    <t>为患者申请的并实际输入的与患者本人相同的ABO血型类别在特定编码体系中的代码</t>
  </si>
  <si>
    <t>ZOE99.00.02.1244|1</t>
  </si>
  <si>
    <t>apply_rh_blood_group_code</t>
  </si>
  <si>
    <t>applyRhBloodGroupCode</t>
  </si>
  <si>
    <t>申请Rh血型代码</t>
  </si>
  <si>
    <t>为患者申请的并实际输入的与患者本人相同的Rh血型类别在特定编码体系中的代码</t>
  </si>
  <si>
    <t>DE05.10.234.00</t>
  </si>
  <si>
    <t>blood_transf_indication</t>
  </si>
  <si>
    <t>bloodTransfIndication</t>
  </si>
  <si>
    <t>输血指征</t>
  </si>
  <si>
    <t>受血者接受输血治疗的指征描述</t>
  </si>
  <si>
    <t>对患者输血过程的详细描述</t>
  </si>
  <si>
    <t>DE08.50.040.00</t>
  </si>
  <si>
    <t>blood_transf_kind_code</t>
  </si>
  <si>
    <t>bloodTransfKindCode</t>
  </si>
  <si>
    <t>输血品种代码</t>
  </si>
  <si>
    <t>输入全血或血液成分类别在特定编码体系中的代码</t>
  </si>
  <si>
    <t>DE01.00.023.00</t>
  </si>
  <si>
    <t>blood_pouch_no</t>
  </si>
  <si>
    <t>bloodPouchNo</t>
  </si>
  <si>
    <t>血袋编号</t>
  </si>
  <si>
    <t>按照特定编码规则赋予血袋的顺序号</t>
  </si>
  <si>
    <t>DE06.00.267.00</t>
  </si>
  <si>
    <t>blood_transf_vol</t>
  </si>
  <si>
    <t>bloodTransfVol</t>
  </si>
  <si>
    <t>输血量（mL）</t>
  </si>
  <si>
    <t>输入红细胞、血小板、血浆、全血等的数量，计量单位为mL</t>
  </si>
  <si>
    <t>DE08.50.036.00</t>
  </si>
  <si>
    <t>blood_transf_meter_unit</t>
  </si>
  <si>
    <t>bloodTransfMeterUnit</t>
  </si>
  <si>
    <t>输血量计量单位</t>
  </si>
  <si>
    <t>输入血液或血液成分的计量单位，可包含汉字的字符，如mL，单位，治疗量等</t>
  </si>
  <si>
    <t>DE06.00.264.00</t>
  </si>
  <si>
    <t>blood_transf_rxn_flag</t>
  </si>
  <si>
    <t>bloodTransfRxnFlag</t>
  </si>
  <si>
    <t>输血反应标志</t>
  </si>
  <si>
    <t>标识患者术中输血后是否发生了输血反应的标志</t>
  </si>
  <si>
    <t>DE06.00.265.00</t>
  </si>
  <si>
    <t>blood_transf_rxn_code</t>
  </si>
  <si>
    <t>bloodTransfRxnCode</t>
  </si>
  <si>
    <t>输血反应类型代码</t>
  </si>
  <si>
    <t>患者发生输血反应的分类在特定编码体系中的代码</t>
  </si>
  <si>
    <t>DE06.00.263.00</t>
  </si>
  <si>
    <t>blood_transf_times</t>
  </si>
  <si>
    <t>bloodTransfTimes</t>
  </si>
  <si>
    <t>输血次数</t>
  </si>
  <si>
    <t>输血次数的累计值</t>
  </si>
  <si>
    <t>DE06.00.218.00</t>
  </si>
  <si>
    <t>blood_transf_time</t>
  </si>
  <si>
    <t>bloodTransfTime</t>
  </si>
  <si>
    <t>输血时间</t>
  </si>
  <si>
    <t>患者输血结束时的公元纪年日期和时间的完整描述</t>
  </si>
  <si>
    <t>DE06.00.107.00</t>
  </si>
  <si>
    <t>blood_transf_reason</t>
  </si>
  <si>
    <t>bloodTransfReason</t>
  </si>
  <si>
    <t>输血原因</t>
  </si>
  <si>
    <t>表示本次输血的原因</t>
  </si>
  <si>
    <t>DE09.00.053.00</t>
  </si>
  <si>
    <t>fill_out_time</t>
  </si>
  <si>
    <t>fillOutTime</t>
  </si>
  <si>
    <t>填报时间</t>
  </si>
  <si>
    <t>进行电子签名时的公元纪年日期和时间的完整描述</t>
  </si>
  <si>
    <t>DE06.00.266.00</t>
  </si>
  <si>
    <t>blood_transf_mode</t>
  </si>
  <si>
    <t>bloodTransfMode</t>
  </si>
  <si>
    <t>输血方式</t>
  </si>
  <si>
    <t>死亡病例讨论记录</t>
  </si>
  <si>
    <t>主持死亡讨论的主持人公安户籍管理部门正式登记注册的姓氏和名称</t>
  </si>
  <si>
    <t>DE05.01.025.09</t>
  </si>
  <si>
    <t>direct_death_reason_wm_dis_name</t>
  </si>
  <si>
    <t>directDeathReasonWmDisName</t>
  </si>
  <si>
    <t>直接死亡原因西医疾病名称</t>
  </si>
  <si>
    <t>直接导致患者死亡的最终疾病或原因名称</t>
  </si>
  <si>
    <t>DE05.01.024.09</t>
  </si>
  <si>
    <t>direct_death_reason_wm_dis_code</t>
  </si>
  <si>
    <t>directDeathReasonWmDisCode</t>
  </si>
  <si>
    <t>直接死亡原因西医疾病代码</t>
  </si>
  <si>
    <t>直接导致患者死亡的最终疾病或原因在特定编码体系中的编码</t>
  </si>
  <si>
    <t>导致患者死亡的疾病诊断名称，如果有多个疾病诊断，这里指与其他疾病有因果关系的，并因其发生发展引起其他疾病，最终导致死亡的一系列疾病诊断中最初确定的疾病诊断名称</t>
  </si>
  <si>
    <t>死亡诊断在特定编码体系中的编码</t>
  </si>
  <si>
    <t>死亡讨论过程中的具体意见描述</t>
  </si>
  <si>
    <t>DE06.00.018.00</t>
  </si>
  <si>
    <t>deal_guidance_opinion</t>
  </si>
  <si>
    <t>dealGuidanceOpinion</t>
  </si>
  <si>
    <t>处理及指导意见</t>
  </si>
  <si>
    <t>主持人就死亡病例讨论过程总结意见的详细描述</t>
  </si>
  <si>
    <t>术后首次病程记录</t>
  </si>
  <si>
    <t>ZOE99.00.03.15459</t>
  </si>
  <si>
    <t>postop_first_course_record_time</t>
  </si>
  <si>
    <t>postopFirstCourseRecordTime</t>
  </si>
  <si>
    <t>记录日期时间</t>
  </si>
  <si>
    <t>术后首次病程的记录时间</t>
  </si>
  <si>
    <t>实施手术的人体部位名称</t>
  </si>
  <si>
    <t>DE06.00.095.00</t>
  </si>
  <si>
    <t>op_oper_time</t>
  </si>
  <si>
    <t>opOperTime</t>
  </si>
  <si>
    <t>手术/操作时间</t>
  </si>
  <si>
    <t>患者住院期间开始实施手术时的公元纪年日期和时间的完整描述</t>
  </si>
  <si>
    <t>DE05.10.063.00</t>
  </si>
  <si>
    <t>op_process_desc</t>
  </si>
  <si>
    <t>opProcessDesc</t>
  </si>
  <si>
    <t>手术过程描述</t>
  </si>
  <si>
    <t>手术过程的详细描述</t>
  </si>
  <si>
    <t>DE05.01.025.18</t>
  </si>
  <si>
    <t>postop_diag_wm_dis_name</t>
  </si>
  <si>
    <t>postopDiagWmDisName</t>
  </si>
  <si>
    <t>术后诊断西医疾病名称</t>
  </si>
  <si>
    <t>在对患者进行手术操作后做出的西医诊断名称</t>
  </si>
  <si>
    <t>术后诊断在特定编码体系中的编码</t>
  </si>
  <si>
    <t>DE05.10.162.00</t>
  </si>
  <si>
    <t>intraop_appear_accident_risk</t>
  </si>
  <si>
    <t>intraopAppearAccidentRisk</t>
  </si>
  <si>
    <t>手术中可能出现的意外及风险</t>
  </si>
  <si>
    <t>转诊（院）记录</t>
  </si>
  <si>
    <t>DE06.00.176.00</t>
  </si>
  <si>
    <t>refer_date</t>
  </si>
  <si>
    <t>referDate</t>
  </si>
  <si>
    <t>转诊（院）日期</t>
  </si>
  <si>
    <t>患者转诊（院）当日的公元纪年日期的完整描述</t>
  </si>
  <si>
    <t>DE06.00.177.00</t>
  </si>
  <si>
    <t>refer_reason</t>
  </si>
  <si>
    <t>referReason</t>
  </si>
  <si>
    <t>转诊原因</t>
  </si>
  <si>
    <t>对患者转诊原因的简要描述</t>
  </si>
  <si>
    <t>对患者转诊过程的描述</t>
  </si>
  <si>
    <t>转诊医师在公安户籍管理部门正式登记注册的姓氏和名称</t>
  </si>
  <si>
    <t>DE05.01.058.00</t>
  </si>
  <si>
    <t>diag_date</t>
  </si>
  <si>
    <t>diagDate</t>
  </si>
  <si>
    <t>诊断日期</t>
  </si>
  <si>
    <t>对患者所患疾病做出诊断时当日的公元纪年日期的完整描述</t>
  </si>
  <si>
    <t>对患者相关症状的详细描述</t>
  </si>
  <si>
    <t>DE06.00.308.00</t>
  </si>
  <si>
    <t>main_treat_measure</t>
  </si>
  <si>
    <t>mainTreatMeasure</t>
  </si>
  <si>
    <t>主要治疗措施</t>
  </si>
  <si>
    <t>出现症状采取的主要措施，包含中医及民族医相关治疗措施</t>
  </si>
  <si>
    <t>ZOE99.00.03.1827</t>
  </si>
  <si>
    <t>op_oper_start_time</t>
  </si>
  <si>
    <t>opOperStartTime</t>
  </si>
  <si>
    <t>手术及操作开始时间</t>
  </si>
  <si>
    <t>对患者开始实施手术操作时的公元纪年日期和时间的完整描述</t>
  </si>
  <si>
    <t>根据对转诊患者的临床表现、实验室检查结果等为患者制定的治疗方案的详细描述</t>
  </si>
  <si>
    <t>DE05.10.014.00</t>
  </si>
  <si>
    <t>disposal_plan</t>
  </si>
  <si>
    <t>disposalPlan</t>
  </si>
  <si>
    <t>处置计划</t>
  </si>
  <si>
    <t>在患者评估基础上为其制定的处置计划的详细描述</t>
  </si>
  <si>
    <t>DE05.10.033.00</t>
  </si>
  <si>
    <t>health_status_assmnt</t>
  </si>
  <si>
    <t>healthStatusAssmnt</t>
  </si>
  <si>
    <t>健康状况评估</t>
  </si>
  <si>
    <t>根据患者疾病临床表现、实验室检查结果等作出的健康问题评估结果的详细描述</t>
  </si>
  <si>
    <t>DE06.00.066.00</t>
  </si>
  <si>
    <t>rehab_measure_guidance_desc</t>
  </si>
  <si>
    <t>rehabMeasureGuidanceDesc</t>
  </si>
  <si>
    <t>康复措施指导</t>
  </si>
  <si>
    <t>医师对患者实施康复措施指导的描述</t>
  </si>
  <si>
    <t>CRUSADE出血评分</t>
  </si>
  <si>
    <t>ZOE99.00.02.398</t>
  </si>
  <si>
    <t>total_score</t>
  </si>
  <si>
    <t>totalScore</t>
  </si>
  <si>
    <t>总分</t>
  </si>
  <si>
    <t>ZOE99.00.03.8415</t>
  </si>
  <si>
    <t>risk_result</t>
  </si>
  <si>
    <t>riskResult</t>
  </si>
  <si>
    <t>风险</t>
  </si>
  <si>
    <t>ZOE99.00.03.8411</t>
  </si>
  <si>
    <t>risk_grade_name</t>
  </si>
  <si>
    <t>riskGradeName</t>
  </si>
  <si>
    <t>风险等级</t>
  </si>
  <si>
    <t>会诊记录</t>
  </si>
  <si>
    <t>DE05.10.236.00</t>
  </si>
  <si>
    <t>briefly_med_cond</t>
  </si>
  <si>
    <t>brieflyMedCond</t>
  </si>
  <si>
    <t>简要病情</t>
  </si>
  <si>
    <t>对患者病情摘要的描述</t>
  </si>
  <si>
    <t>DE05.01.169.00</t>
  </si>
  <si>
    <t>tcm_dis_name</t>
  </si>
  <si>
    <t>tcmDisName</t>
  </si>
  <si>
    <t>中医病名名称</t>
  </si>
  <si>
    <t>患者所患疾病的中医病名</t>
  </si>
  <si>
    <t>DE05.01.171.00</t>
  </si>
  <si>
    <t>tcm_syd_ptn_name</t>
  </si>
  <si>
    <t>tcmSydPtnName</t>
  </si>
  <si>
    <t>中医证候名称</t>
  </si>
  <si>
    <t>患者所患疾病的中医证候名称</t>
  </si>
  <si>
    <t>DE06.00.297.00</t>
  </si>
  <si>
    <t>diag_treat_process_name</t>
  </si>
  <si>
    <t>diagTreatProcessName</t>
  </si>
  <si>
    <t>诊疗过程名称</t>
  </si>
  <si>
    <t>诊疗过程的名称描述</t>
  </si>
  <si>
    <t>DE06.00.319.00</t>
  </si>
  <si>
    <t>consultation_type</t>
  </si>
  <si>
    <t>consultationType</t>
  </si>
  <si>
    <t>会诊类型</t>
  </si>
  <si>
    <t>申请会诊的类型描述，如：院内会诊、院外会诊、多学科会诊等</t>
  </si>
  <si>
    <t>DE06.00.039.00</t>
  </si>
  <si>
    <t>consultation_reason</t>
  </si>
  <si>
    <t>consultationReason</t>
  </si>
  <si>
    <t>会诊原因</t>
  </si>
  <si>
    <t>由会诊医师填写患者需会诊的主要情况的详细描述</t>
  </si>
  <si>
    <t>DE06.00.214.00</t>
  </si>
  <si>
    <t>consultation_purpose</t>
  </si>
  <si>
    <t>consultationPurpose</t>
  </si>
  <si>
    <t>会诊目的</t>
  </si>
  <si>
    <t>申请会诊医师就患者目前存在问题提出会诊要达到的目的</t>
  </si>
  <si>
    <t>DE02.01.126.07</t>
  </si>
  <si>
    <t>consultation_apply_physician_sig_name</t>
  </si>
  <si>
    <t>consultationApplyPhysicianSigName</t>
  </si>
  <si>
    <t>会诊申请医师签名名称</t>
  </si>
  <si>
    <t>申请会诊的医师签署的在公安户籍管理部门正式登记注册的姓氏和名称</t>
  </si>
  <si>
    <t>ZOE99.00.03.2026</t>
  </si>
  <si>
    <t>consultation_apply_dept_name</t>
  </si>
  <si>
    <t>consultationApplyDeptName</t>
  </si>
  <si>
    <t>会诊申请科室名称</t>
  </si>
  <si>
    <t>申请会诊的科室名称</t>
  </si>
  <si>
    <t>会诊结束时的公元纪年日期和时间的完整描述</t>
  </si>
  <si>
    <t>由会诊医师填写患者会诊时的主要处置、指导意见的详细描述</t>
  </si>
  <si>
    <t>ZOE99.00.03.2029</t>
  </si>
  <si>
    <t>consultation_dept_name</t>
  </si>
  <si>
    <t>consultationDeptName</t>
  </si>
  <si>
    <t>会诊科室名称</t>
  </si>
  <si>
    <t>出院记录</t>
  </si>
  <si>
    <t>患者入院时做出的疾病诊断在特定编码体系中的编码</t>
  </si>
  <si>
    <t>涉及到阳性结果的辅助检查结果的描述</t>
  </si>
  <si>
    <t>020501</t>
  </si>
  <si>
    <t>患者出院时的疾病西医诊断名称</t>
  </si>
  <si>
    <t>患者所患主病的主要证候</t>
  </si>
  <si>
    <t>ZOE99.00.03.2033</t>
  </si>
  <si>
    <t>on_discharge_symptom_signs</t>
  </si>
  <si>
    <t>onDischargeSymptomSigns</t>
  </si>
  <si>
    <t>出院时症状与体征</t>
  </si>
  <si>
    <t>患者出院时症状和体征的详细描述</t>
  </si>
  <si>
    <t>出院小结</t>
  </si>
  <si>
    <t>DE04.50.128.00</t>
  </si>
  <si>
    <t>lab_exam_result</t>
  </si>
  <si>
    <t>labExamResult</t>
  </si>
  <si>
    <t>实验室检查结果</t>
  </si>
  <si>
    <t>死亡记录</t>
  </si>
  <si>
    <t>DE09.00.115.00</t>
  </si>
  <si>
    <t>fam_mbr_has_agree_corpse_dissect_flag</t>
  </si>
  <si>
    <t>famMbrHasAgreeCorpseDissectFlag</t>
  </si>
  <si>
    <t>家属是否同意尸体解剖标志</t>
  </si>
  <si>
    <t>标识患者家属是否同意进行尸体解剖的标志</t>
  </si>
  <si>
    <t>一般手术记录</t>
  </si>
  <si>
    <t>DE05.01.024.17</t>
  </si>
  <si>
    <t>preop_diag_wm_dis_code</t>
  </si>
  <si>
    <t>preopDiagWmDisCode</t>
  </si>
  <si>
    <t>术前诊断西医疾病代码</t>
  </si>
  <si>
    <t>术前诊断在特定编码体系中的编码</t>
  </si>
  <si>
    <t>DE05.01.024.18</t>
  </si>
  <si>
    <t>postop_diag_wm_dis_code</t>
  </si>
  <si>
    <t>postopDiagWmDisCode</t>
  </si>
  <si>
    <t>术后诊断西医疾病代码</t>
  </si>
  <si>
    <t>ZOE99.00.03.1826</t>
  </si>
  <si>
    <t>op_start_time</t>
  </si>
  <si>
    <t>opStartTime</t>
  </si>
  <si>
    <t>手术开始时间</t>
  </si>
  <si>
    <t>对患者开始手术操作时的公元纪年日期和时间的完整描述</t>
  </si>
  <si>
    <t>DE06.00.219.00</t>
  </si>
  <si>
    <t>end_time</t>
  </si>
  <si>
    <t>endTime</t>
  </si>
  <si>
    <t>结束时间</t>
  </si>
  <si>
    <t>对患者结束手术操作时的公元纪年日期和时间的完整描述</t>
  </si>
  <si>
    <t>DE06.00.260.00</t>
  </si>
  <si>
    <t>op_body_pos_code</t>
  </si>
  <si>
    <t>opBodyPosCode</t>
  </si>
  <si>
    <t>手术体位代码</t>
  </si>
  <si>
    <t>手术时患者采取的体位在特定编码体系中的代码</t>
  </si>
  <si>
    <t>DE02.10.062.00</t>
  </si>
  <si>
    <t>op_flag</t>
  </si>
  <si>
    <t>opFlag</t>
  </si>
  <si>
    <t>手术标志</t>
  </si>
  <si>
    <t>标识患者有无手术经历的标志</t>
  </si>
  <si>
    <t>DE08.50.057.00</t>
  </si>
  <si>
    <t>skin_disinfect_desc</t>
  </si>
  <si>
    <t>skinDisinfectDesc</t>
  </si>
  <si>
    <t>皮肤消毒描述</t>
  </si>
  <si>
    <t>对手术中皮肤消毒情况的具体描述</t>
  </si>
  <si>
    <t>DE06.00.321.00</t>
  </si>
  <si>
    <t>op_incision_desc</t>
  </si>
  <si>
    <t>opIncisionDesc</t>
  </si>
  <si>
    <t>手术切口描述</t>
  </si>
  <si>
    <t>对手术中皮肤切口情况的具体描述</t>
  </si>
  <si>
    <t>DE05.10.165.00</t>
  </si>
  <si>
    <t>removal_ti_flag</t>
  </si>
  <si>
    <t>removalTiFlag</t>
  </si>
  <si>
    <t>拔除气管插管标志</t>
  </si>
  <si>
    <t>标识术中是否有引流的标志</t>
  </si>
  <si>
    <t>DE06.00.097.00</t>
  </si>
  <si>
    <t>op_bleed_quantity</t>
  </si>
  <si>
    <t>opBleedQuantity</t>
  </si>
  <si>
    <t>手术出血量（mL）</t>
  </si>
  <si>
    <t>手术中出血量的累计值，计量单位为mL</t>
  </si>
  <si>
    <t>DE06.00.268.00</t>
  </si>
  <si>
    <t>ivinf_quantity</t>
  </si>
  <si>
    <t>ivinfQuantity</t>
  </si>
  <si>
    <t>输液量（mL）</t>
  </si>
  <si>
    <t>术中输液量的描述，单位为mL</t>
  </si>
  <si>
    <t>ZOE99.00.03.2004</t>
  </si>
  <si>
    <t>preop_use_drug</t>
  </si>
  <si>
    <t>preopUseDrug</t>
  </si>
  <si>
    <t>术前用药</t>
  </si>
  <si>
    <t>对患者术前用药情况的描述</t>
  </si>
  <si>
    <t>ZOE99.00.02.282</t>
  </si>
  <si>
    <t>intraop_use_drug</t>
  </si>
  <si>
    <t>intraopUseDrug</t>
  </si>
  <si>
    <t>术中用药</t>
  </si>
  <si>
    <t>对患者术中用药情况的描述</t>
  </si>
  <si>
    <t>DE08.50.044.00</t>
  </si>
  <si>
    <t>consum_name</t>
  </si>
  <si>
    <t>consumName</t>
  </si>
  <si>
    <t>耗材名称</t>
  </si>
  <si>
    <t>对手术中引流材料名称的具体描述</t>
  </si>
  <si>
    <t>DE08.50.045.00</t>
  </si>
  <si>
    <t>drain_material_quantity</t>
  </si>
  <si>
    <t>drainMaterialQuantity</t>
  </si>
  <si>
    <t>引流材料数目</t>
  </si>
  <si>
    <t>对手术中引流材料数目的具体描述</t>
  </si>
  <si>
    <t>DE06.00.341.00</t>
  </si>
  <si>
    <t>placement_part</t>
  </si>
  <si>
    <t>placementPart</t>
  </si>
  <si>
    <t>放置部位</t>
  </si>
  <si>
    <t>引流管放置在病人体内的具体位置的描述</t>
  </si>
  <si>
    <t>ZOE99.00.02.008</t>
  </si>
  <si>
    <t>drain_flag</t>
  </si>
  <si>
    <t>drainFlag</t>
  </si>
  <si>
    <t>引流标志</t>
  </si>
  <si>
    <t>ZOE99.00.03.4650</t>
  </si>
  <si>
    <t>op_times</t>
  </si>
  <si>
    <t>opTimes</t>
  </si>
  <si>
    <t>本次住院第几次手术</t>
  </si>
  <si>
    <t>ZOE99.00.00.029</t>
  </si>
  <si>
    <t>op_hist_flag</t>
  </si>
  <si>
    <t>opHistFlag</t>
  </si>
  <si>
    <t>手术史标识</t>
  </si>
  <si>
    <t>ZOE99.00.00.306</t>
  </si>
  <si>
    <t>return_op_room_flag</t>
  </si>
  <si>
    <t>returnOpRoomFlag</t>
  </si>
  <si>
    <t>重返手术标志</t>
  </si>
  <si>
    <t>DE05.10.151.00</t>
  </si>
  <si>
    <t>op_indication</t>
  </si>
  <si>
    <t>opIndication</t>
  </si>
  <si>
    <t>手术指征</t>
  </si>
  <si>
    <t>DE05.10.230.00</t>
  </si>
  <si>
    <t>anes_effect</t>
  </si>
  <si>
    <t>anesEffect</t>
  </si>
  <si>
    <t>麻醉效果</t>
  </si>
  <si>
    <t>ZOE99.00.03.10048</t>
  </si>
  <si>
    <t>op_oper_code_1</t>
  </si>
  <si>
    <t>opOperCode1</t>
  </si>
  <si>
    <t>新手术编码</t>
  </si>
  <si>
    <t>ZOE99.00.03.10298</t>
  </si>
  <si>
    <t>op_oper_level_code_1</t>
  </si>
  <si>
    <t>opOperLevelCode1</t>
  </si>
  <si>
    <t>新手术级别</t>
  </si>
  <si>
    <t>ZOE99.00.999.3856</t>
  </si>
  <si>
    <t>catheter_insert_time</t>
  </si>
  <si>
    <t>catheterInsertTime</t>
  </si>
  <si>
    <t>Staged术中数据指导导管插入时间</t>
  </si>
  <si>
    <t>ZOE99.00.999.3857</t>
  </si>
  <si>
    <t>catheter_removal_time</t>
  </si>
  <si>
    <t>catheterRemovalTime</t>
  </si>
  <si>
    <t>Staged术中数据指导导管撤出时间</t>
  </si>
  <si>
    <t>ZOE99.00.03.659</t>
  </si>
  <si>
    <t>dosage</t>
  </si>
  <si>
    <t>Staged术中数据造影剂量</t>
  </si>
  <si>
    <t>ZOE99.00.02.434</t>
  </si>
  <si>
    <t>score</t>
  </si>
  <si>
    <t>Staged术中数据SYNTAX评分</t>
  </si>
  <si>
    <t>ZOE99.00.02.5713</t>
  </si>
  <si>
    <t>cardiac_arrest_flag</t>
  </si>
  <si>
    <t>cardiacArrestFlag</t>
  </si>
  <si>
    <t>术前心跳骤停</t>
  </si>
  <si>
    <t>ZOE99.00.01.1023</t>
  </si>
  <si>
    <t>postop_final_mtici_grade</t>
  </si>
  <si>
    <t>postopFinalMticiGrade</t>
  </si>
  <si>
    <t>术后血流mTICI分级</t>
  </si>
  <si>
    <t>ZOE99.00.999.2073</t>
  </si>
  <si>
    <t>transfusion_augo_bld_flag</t>
  </si>
  <si>
    <t>transfusionAugoBldFlag</t>
  </si>
  <si>
    <t>自体血</t>
  </si>
  <si>
    <t>术前讨论</t>
  </si>
  <si>
    <t>术前讨论的主持人在公安户籍管理部门正式登记注册的姓氏和名称</t>
  </si>
  <si>
    <t>拟为患者实施的手术及操作在特定编码体系中的编码</t>
  </si>
  <si>
    <t>拟对患者开始实施手术操作的公元纪年日期和时间的完整描述</t>
  </si>
  <si>
    <t>为患者进行手术、操作时拟使用的麻醉方法在特定编码体系中的代码</t>
  </si>
  <si>
    <t>DE06.00.254.00</t>
  </si>
  <si>
    <t>op_essential</t>
  </si>
  <si>
    <t>opEssential</t>
  </si>
  <si>
    <t>手术要点</t>
  </si>
  <si>
    <t>手术要点的详细描述</t>
  </si>
  <si>
    <t>DE06.00.271.00</t>
  </si>
  <si>
    <t>preop_preparation</t>
  </si>
  <si>
    <t>preopPreparation</t>
  </si>
  <si>
    <t>术前准备</t>
  </si>
  <si>
    <t>手术前准备工作的详细描述</t>
  </si>
  <si>
    <t>患者具备的、适宜实施手术的主要症状和体征描述</t>
  </si>
  <si>
    <t>ZOE99.00.03.2030</t>
  </si>
  <si>
    <t>op_protocol</t>
  </si>
  <si>
    <t>opProtocol</t>
  </si>
  <si>
    <t>手术方案</t>
  </si>
  <si>
    <t>手术方案的详细描述</t>
  </si>
  <si>
    <t>ZOE99.00.03.2031</t>
  </si>
  <si>
    <t>discuss_opinion</t>
  </si>
  <si>
    <t>discussOpinion</t>
  </si>
  <si>
    <t>讨论意见</t>
  </si>
  <si>
    <t>术前讨论过程中的具体意见的详细描述</t>
  </si>
  <si>
    <t>ZOE99.00.03.2032</t>
  </si>
  <si>
    <t>discuss_conclusion</t>
  </si>
  <si>
    <t>discussConclusion</t>
  </si>
  <si>
    <t>讨论结论</t>
  </si>
  <si>
    <t>术前讨论结论性意见的详细描述</t>
  </si>
  <si>
    <t>ZOE99.00.03.15154</t>
  </si>
  <si>
    <t>preop_discuss_sig_time</t>
  </si>
  <si>
    <t>preopDiscussSigTime</t>
  </si>
  <si>
    <t>术前讨论时间</t>
  </si>
  <si>
    <t>ZOE99.00.03.15132</t>
  </si>
  <si>
    <t>preop_discuss_place</t>
  </si>
  <si>
    <t>preopDiscussPlace</t>
  </si>
  <si>
    <t>术前讨论地点</t>
  </si>
  <si>
    <t>ZOE99.00.03.16576</t>
  </si>
  <si>
    <t>propose_op_name</t>
  </si>
  <si>
    <t>proposeOpName</t>
  </si>
  <si>
    <t>拟行手术</t>
  </si>
  <si>
    <t>ZOE99.00.03.11437</t>
  </si>
  <si>
    <t>preop_discuss_opinion</t>
  </si>
  <si>
    <t>preopDiscussOpinion</t>
  </si>
  <si>
    <t>ZOE99.00.03.11438</t>
  </si>
  <si>
    <t>preop_discuss_conclusion</t>
  </si>
  <si>
    <t>preopDiscussConclusion</t>
  </si>
  <si>
    <t>ZOE99.00.00.142</t>
  </si>
  <si>
    <t>diff_case_flag</t>
  </si>
  <si>
    <t>diffCaseFlag</t>
  </si>
  <si>
    <t>是否疑难病历</t>
  </si>
  <si>
    <t>诊疗情况</t>
  </si>
  <si>
    <t>ZOE99.00.03.7387</t>
  </si>
  <si>
    <t>record_time</t>
  </si>
  <si>
    <t>recordTime</t>
  </si>
  <si>
    <t>记录时间</t>
  </si>
  <si>
    <t>术前小结</t>
  </si>
  <si>
    <t>标识患者有无过敏经历的标志</t>
  </si>
  <si>
    <t>DE05.10.062.00</t>
  </si>
  <si>
    <t>op_compl_detail_desc</t>
  </si>
  <si>
    <t>opComplDetailDesc</t>
  </si>
  <si>
    <t>手术并发症详细描述</t>
  </si>
  <si>
    <t>手术适应证的详细描述</t>
  </si>
  <si>
    <t>DE05.10.141.00</t>
  </si>
  <si>
    <t>op_coind</t>
  </si>
  <si>
    <t>opCoind</t>
  </si>
  <si>
    <t>手术禁忌症</t>
  </si>
  <si>
    <t>拟实施手术的禁忌症的描述</t>
  </si>
  <si>
    <t>剖宫产记录</t>
  </si>
  <si>
    <t>DE06.00.197.00</t>
  </si>
  <si>
    <t>predelivery_time</t>
  </si>
  <si>
    <t>predeliveryTime</t>
  </si>
  <si>
    <t>待产时间</t>
  </si>
  <si>
    <t>产妇进入产房时的公元纪年日期和时间的完整描述</t>
  </si>
  <si>
    <t>DE05.10.156.00</t>
  </si>
  <si>
    <t>fet_memb_intact_cond_flag</t>
  </si>
  <si>
    <t>fetMembIntactCondFlag</t>
  </si>
  <si>
    <t>胎膜完整情况标志</t>
  </si>
  <si>
    <t>标识胎膜是否完整的标志</t>
  </si>
  <si>
    <t>DE04.30.055.00</t>
  </si>
  <si>
    <t>umb_cord_length</t>
  </si>
  <si>
    <t>umbCordLength</t>
  </si>
  <si>
    <t>脐带长度（cm）</t>
  </si>
  <si>
    <t>脐带的长度值，计量单位为cm</t>
  </si>
  <si>
    <t>DE04.30.059.00</t>
  </si>
  <si>
    <t>around_neck</t>
  </si>
  <si>
    <t>aroundNeck</t>
  </si>
  <si>
    <t>绕颈身（周）</t>
  </si>
  <si>
    <t>脐带绕颈身的周数，计量单位为周</t>
  </si>
  <si>
    <t>DE05.01.172.00</t>
  </si>
  <si>
    <t>diag_result_desc</t>
  </si>
  <si>
    <t>diagResultDesc</t>
  </si>
  <si>
    <t>诊断结果描述</t>
  </si>
  <si>
    <t>产妇产前诊断的详细描述</t>
  </si>
  <si>
    <t>DE04.10.260.00</t>
  </si>
  <si>
    <t>anes_body_pos</t>
  </si>
  <si>
    <t>anesBodyPos</t>
  </si>
  <si>
    <t>麻醉体位</t>
  </si>
  <si>
    <t>麻醉体位的详细描述</t>
  </si>
  <si>
    <t>实施麻醉效果的描述</t>
  </si>
  <si>
    <t>剖宫产手术过程的详细描述，如腹壁脂肪层厚度、腹膜分离情况、腹腔粘连枪口、腹水情况、腹壁缝合、缝合膀胱腹膜反折情况等</t>
  </si>
  <si>
    <t>ZOE99.00.02.293</t>
  </si>
  <si>
    <t>vaginal_childbirth_uterus_cond</t>
  </si>
  <si>
    <t>vaginalChildbirthUterusCond</t>
  </si>
  <si>
    <t>阴道分娩-子宫情况</t>
  </si>
  <si>
    <t>子宫情况的详细描述</t>
  </si>
  <si>
    <t>DE05.01.044.00</t>
  </si>
  <si>
    <t>fetus_orient_code</t>
  </si>
  <si>
    <t>fetusOrientCode</t>
  </si>
  <si>
    <t>胎方位代码</t>
  </si>
  <si>
    <t>胎儿方位类别在特定编码体系中的代码</t>
  </si>
  <si>
    <t>DE05.10.157.00</t>
  </si>
  <si>
    <t>plac_expulsion_cond</t>
  </si>
  <si>
    <t>placExpulsionCond</t>
  </si>
  <si>
    <t>胎盘娩出情况</t>
  </si>
  <si>
    <t>胎儿娩出方式的详细描述</t>
  </si>
  <si>
    <t>DE05.10.153.00</t>
  </si>
  <si>
    <t>plac_stained_yellow</t>
  </si>
  <si>
    <t>placStainedYellow</t>
  </si>
  <si>
    <t>胎盘黄染</t>
  </si>
  <si>
    <t>胎盘黄染情况的详细描述</t>
  </si>
  <si>
    <t>胎膜黄染情况的详细描述</t>
  </si>
  <si>
    <t>DE04.30.054.00</t>
  </si>
  <si>
    <t>abd_b_us_exam_abn_flag</t>
  </si>
  <si>
    <t>abdBUsExamAbnFlag</t>
  </si>
  <si>
    <t>腹部B超检查异常标志</t>
  </si>
  <si>
    <t>脐带缠绕方式及周数的详细描述</t>
  </si>
  <si>
    <t>ZOE99.00.02.856</t>
  </si>
  <si>
    <t>umb_cord_torsion</t>
  </si>
  <si>
    <t>umbCordTorsion</t>
  </si>
  <si>
    <t>脐带扭转（周）</t>
  </si>
  <si>
    <t>脐带扭转的周数，计量单位为周</t>
  </si>
  <si>
    <t>DE04.50.138.00</t>
  </si>
  <si>
    <t>umb_cord_blood_retention_flag</t>
  </si>
  <si>
    <t>umbCordBloodRetentionFlag</t>
  </si>
  <si>
    <t>脐带血存留标志</t>
  </si>
  <si>
    <t>标识是否留存脐带血的标志</t>
  </si>
  <si>
    <t>DE05.10.225.00</t>
  </si>
  <si>
    <t>uw_suture_cond</t>
  </si>
  <si>
    <t>uwSutureCond</t>
  </si>
  <si>
    <t>子宫壁缝合情况</t>
  </si>
  <si>
    <t>产妇子宫壁缝合情况的详细描述，如子宫壁缝合层数、缝合线、缝合方法等</t>
  </si>
  <si>
    <t>ZOE99.00.02.326</t>
  </si>
  <si>
    <t>uterotonic_name</t>
  </si>
  <si>
    <t>uterotonicName</t>
  </si>
  <si>
    <t>宫缩剂名称</t>
  </si>
  <si>
    <t>所使用宫缩剂的名称</t>
  </si>
  <si>
    <t>宫缩剂使用方法的详细描述</t>
  </si>
  <si>
    <t>ZOE99.00.02.328</t>
  </si>
  <si>
    <t>op_use_drug</t>
  </si>
  <si>
    <t>opUseDrug</t>
  </si>
  <si>
    <t>手术用药</t>
  </si>
  <si>
    <t>手术所用药物的通用名称</t>
  </si>
  <si>
    <t>DE06.00.293.00</t>
  </si>
  <si>
    <t>op_use_drug_quantity</t>
  </si>
  <si>
    <t>opUseDrugQuantity</t>
  </si>
  <si>
    <t>手术用药量</t>
  </si>
  <si>
    <t>手术用药用量的详细描述</t>
  </si>
  <si>
    <t>ZOE99.00.03.2011</t>
  </si>
  <si>
    <t>abd_cav_probe_uterus</t>
  </si>
  <si>
    <t>abdCavProbeUterus</t>
  </si>
  <si>
    <t>腹腔探查子宫</t>
  </si>
  <si>
    <t>腹腔探查时子宫情况的详细描述</t>
  </si>
  <si>
    <t>DE04.10.042.00</t>
  </si>
  <si>
    <t>annex_abn_desc</t>
  </si>
  <si>
    <t>annexAbnDesc</t>
  </si>
  <si>
    <t>附件异常描述</t>
  </si>
  <si>
    <t>腹腔探查时附件情况的详细描述</t>
  </si>
  <si>
    <t>DE04.30.053.00</t>
  </si>
  <si>
    <t>utca_probe_abn_cond_desc</t>
  </si>
  <si>
    <t>utcaProbeAbnCondDesc</t>
  </si>
  <si>
    <t>宫腔探查异常情况描述</t>
  </si>
  <si>
    <t>标识宫腔探查是否有异常的标志</t>
  </si>
  <si>
    <t>DE05.10.166.00</t>
  </si>
  <si>
    <t>utca_probe_myoma_flag</t>
  </si>
  <si>
    <t>utcaProbeMyomaFlag</t>
  </si>
  <si>
    <t>宫腔探查肌瘤标志</t>
  </si>
  <si>
    <t>标识宫腔探查是否存在肌瘤的标志</t>
  </si>
  <si>
    <t>DE04.30.052.00</t>
  </si>
  <si>
    <t>utca_probe_deal_cond</t>
  </si>
  <si>
    <t>utcaProbeDealCond</t>
  </si>
  <si>
    <t>宫腔探查处理情况</t>
  </si>
  <si>
    <t>宫腔探查后处理方式的详细描述</t>
  </si>
  <si>
    <t>手术时产妇情况的详细描述</t>
  </si>
  <si>
    <t>DE06.00.262.00</t>
  </si>
  <si>
    <t>blood_transf_component</t>
  </si>
  <si>
    <t>bloodTransfComponent</t>
  </si>
  <si>
    <t>输血成分</t>
  </si>
  <si>
    <t>输血成分的详细描述</t>
  </si>
  <si>
    <t>DE06.00.318.00</t>
  </si>
  <si>
    <t>feed_oxy_time</t>
  </si>
  <si>
    <t>feedOxyTime</t>
  </si>
  <si>
    <t>供氧时间（min）</t>
  </si>
  <si>
    <t>供氧时间的时长，计量单位为min</t>
  </si>
  <si>
    <t>ZOE99.00.03.2012</t>
  </si>
  <si>
    <t>other_use_drug</t>
  </si>
  <si>
    <t>otherUseDrug</t>
  </si>
  <si>
    <t>其他用药</t>
  </si>
  <si>
    <t>其他使用药物的通用名称</t>
  </si>
  <si>
    <t>DE06.00.179.00</t>
  </si>
  <si>
    <t>order_use_memo</t>
  </si>
  <si>
    <t>orderUseMemo</t>
  </si>
  <si>
    <t>医嘱使用备注</t>
  </si>
  <si>
    <t>其他用药情况的详细描述</t>
  </si>
  <si>
    <t>DE06.00.259.00</t>
  </si>
  <si>
    <t>op_total_time</t>
  </si>
  <si>
    <t>opTotalTime</t>
  </si>
  <si>
    <t>手术全程时间（min）</t>
  </si>
  <si>
    <t>手术全程所用的总时长,计量单位为min</t>
  </si>
  <si>
    <t>DE05.10.007.00</t>
  </si>
  <si>
    <t>postpartum_42_day_exam_result</t>
  </si>
  <si>
    <t>postpartum42DayExamResult</t>
  </si>
  <si>
    <t>产后42天检查结果</t>
  </si>
  <si>
    <t>对产妇产后诊断（包括孕产次数）的详细描述</t>
  </si>
  <si>
    <t>ZOE99.00.02.317</t>
  </si>
  <si>
    <t>postpartum_observe_time</t>
  </si>
  <si>
    <t>postpartumObserveTime</t>
  </si>
  <si>
    <t>产后观察时间</t>
  </si>
  <si>
    <t>产后观察结束时间的公元纪年日期和时间的完整描述</t>
  </si>
  <si>
    <t>DE04.10.246.00</t>
  </si>
  <si>
    <t>postop_exam_time</t>
  </si>
  <si>
    <t>postopExamTime</t>
  </si>
  <si>
    <t>术后检查时间（min）</t>
  </si>
  <si>
    <t>产后检查时，距离分娩结束后的时间，计量单位为min</t>
  </si>
  <si>
    <t>产后收缩压的测量值，计量单位为mmHg</t>
  </si>
  <si>
    <t>产后舒张压的测量值，计量单位为mmHg</t>
  </si>
  <si>
    <t>产后每分钟脉搏的次数测量值，计量单位为次/min</t>
  </si>
  <si>
    <t>DE04.10.206.00</t>
  </si>
  <si>
    <t>heart_rate</t>
  </si>
  <si>
    <t>heartRate</t>
  </si>
  <si>
    <t>心率（次/min）</t>
  </si>
  <si>
    <t>产后心脏搏动频率的测量值，计量单位为次/min</t>
  </si>
  <si>
    <t>DE04.10.012.00</t>
  </si>
  <si>
    <t>postpartum_bleed_quantity</t>
  </si>
  <si>
    <t>postpartumBleedQuantity</t>
  </si>
  <si>
    <t>产后出血量（mL）</t>
  </si>
  <si>
    <t>产妇产时和产后出血量的累计值，计量单位为mL</t>
  </si>
  <si>
    <t>DE04.10.245.00</t>
  </si>
  <si>
    <t>utc_cond</t>
  </si>
  <si>
    <t>utcCond</t>
  </si>
  <si>
    <t>宫缩情况</t>
  </si>
  <si>
    <t>产妇分娩后宫缩强度等情况的详细描述</t>
  </si>
  <si>
    <t>DE04.10.067.00</t>
  </si>
  <si>
    <t>fund_uteri_height</t>
  </si>
  <si>
    <t>fundUteriHeight</t>
  </si>
  <si>
    <t>宫底高度（cm）</t>
  </si>
  <si>
    <t>产妇产后耻骨联合上缘至子宫底部距离的测量值，计量单位为cm</t>
  </si>
  <si>
    <t>DE04.10.018.00</t>
  </si>
  <si>
    <t>newborn_birth_body_length</t>
  </si>
  <si>
    <t>newbornBirthBodyLength</t>
  </si>
  <si>
    <t>新生儿出生身长（cm）</t>
  </si>
  <si>
    <t>新生儿出生后第1小时内身长的测量值，计量单位为cm</t>
  </si>
  <si>
    <t>DE05.10.168.00</t>
  </si>
  <si>
    <t>caput_suss_size</t>
  </si>
  <si>
    <t>caputSussSize</t>
  </si>
  <si>
    <t>产瘤大小</t>
  </si>
  <si>
    <t>产瘤大小的详细描述，计量单位cm</t>
  </si>
  <si>
    <t>ZOE99.00.02.319</t>
  </si>
  <si>
    <t>caput_suss_part</t>
  </si>
  <si>
    <t>caputSussPart</t>
  </si>
  <si>
    <t>产瘤部位</t>
  </si>
  <si>
    <t>产瘤部位的详细描述</t>
  </si>
  <si>
    <t>ZOE99.00.02.320</t>
  </si>
  <si>
    <t>apgar_score_interval_time_code</t>
  </si>
  <si>
    <t>apgarScoreIntervalTimeCode</t>
  </si>
  <si>
    <t>Apgar评分间隔时间代码</t>
  </si>
  <si>
    <t>Apgar评分间隔时间的分类代码</t>
  </si>
  <si>
    <t>DE05.10.001.00</t>
  </si>
  <si>
    <t>apgar_score_value</t>
  </si>
  <si>
    <t>apgarScoreValue</t>
  </si>
  <si>
    <t>Apgar评分值（分）</t>
  </si>
  <si>
    <t>对新生儿娩出后呼吸、心率、皮肤颜色、肌张力及对刺激的反应等5项指标的评分结果值，计量单位为分</t>
  </si>
  <si>
    <t>DE06.00.026.00</t>
  </si>
  <si>
    <t>childbirth_outcome_code</t>
  </si>
  <si>
    <t>childbirthOutcomeCode</t>
  </si>
  <si>
    <t>分娩结局代码</t>
  </si>
  <si>
    <t>胎儿分娩结局的分类代码</t>
  </si>
  <si>
    <t>DE05.10.160.00</t>
  </si>
  <si>
    <t>newborn_abn_cond_code</t>
  </si>
  <si>
    <t>newbornAbnCondCode</t>
  </si>
  <si>
    <t>新生儿异常情况代码</t>
  </si>
  <si>
    <t>新生儿异常情况类别在特定编码体系中的代码</t>
  </si>
  <si>
    <t>DE02.01.039.18</t>
  </si>
  <si>
    <t>op_physician_name</t>
  </si>
  <si>
    <t>opPhysicianName</t>
  </si>
  <si>
    <t>手术医师姓名</t>
  </si>
  <si>
    <t>为患者实施手术的主要执行人员签署的在公安户籍管理部门正式登记注册的姓氏和名称</t>
  </si>
  <si>
    <t>麻醉记录</t>
  </si>
  <si>
    <t>DE06.00.228.00</t>
  </si>
  <si>
    <t>ti_class</t>
  </si>
  <si>
    <t>tiClass</t>
  </si>
  <si>
    <t>气管插管分类</t>
  </si>
  <si>
    <t>标识全身麻醉时气管插管分类的描述</t>
  </si>
  <si>
    <t>ZOE99.00.02.1238|1</t>
  </si>
  <si>
    <t>anes_drug_name</t>
  </si>
  <si>
    <t>anesDrugName</t>
  </si>
  <si>
    <t>麻醉药品名称</t>
  </si>
  <si>
    <t>药物通用名称</t>
  </si>
  <si>
    <t>DE06.00.208.00</t>
  </si>
  <si>
    <t>breath_type_code</t>
  </si>
  <si>
    <t>breathTypeCode</t>
  </si>
  <si>
    <t>呼吸类型代码</t>
  </si>
  <si>
    <t>呼吸类型的分类代码</t>
  </si>
  <si>
    <t>DE06.00.226.00</t>
  </si>
  <si>
    <t>anes_desc</t>
  </si>
  <si>
    <t>anesDesc</t>
  </si>
  <si>
    <t>麻醉描述</t>
  </si>
  <si>
    <t>麻醉过程的详细描述</t>
  </si>
  <si>
    <t>DE06.00.216.00</t>
  </si>
  <si>
    <t>anes_monitor_item_name</t>
  </si>
  <si>
    <t>anesMonitorItemName</t>
  </si>
  <si>
    <t>麻醉常规监测项目名称</t>
  </si>
  <si>
    <t>麻醉过程中，需要常规监测项目的名称</t>
  </si>
  <si>
    <t>ZOE99.00.03.2007</t>
  </si>
  <si>
    <t>routine_monitor_item_result</t>
  </si>
  <si>
    <t>routineMonitorItemResult</t>
  </si>
  <si>
    <t>常规监测项目结果</t>
  </si>
  <si>
    <t>麻醉过程中，常规监测项目结果的详细记录</t>
  </si>
  <si>
    <t>ZOE99.00.03.2008</t>
  </si>
  <si>
    <t>special_monitor_item_name</t>
  </si>
  <si>
    <t>specialMonitorItemName</t>
  </si>
  <si>
    <t>特殊监测项目名称</t>
  </si>
  <si>
    <t>麻醉过程中，需要特殊监测项目的名称</t>
  </si>
  <si>
    <t>ZOE99.00.02.1240</t>
  </si>
  <si>
    <t>special_monitor_item_result</t>
  </si>
  <si>
    <t>specialMonitorItemResult</t>
  </si>
  <si>
    <t>特殊监测项目结果</t>
  </si>
  <si>
    <t>麻醉过程中，特殊监测项目结果的详细记录</t>
  </si>
  <si>
    <t>DE05.01.077.00</t>
  </si>
  <si>
    <t>anes_comorb_flag_code</t>
  </si>
  <si>
    <t>anesComorbFlagCode</t>
  </si>
  <si>
    <t>麻醉合并症标志代码</t>
  </si>
  <si>
    <t>是否具有麻醉合并症的分类代码</t>
  </si>
  <si>
    <t>局部麻醉中穿刺过程的详细描述</t>
  </si>
  <si>
    <t>心脏搏动频率的测量值，计量单位为次/min</t>
  </si>
  <si>
    <t>患者单位时间内呼吸次数的测量值，计量单位为次/min</t>
  </si>
  <si>
    <t>DE05.10.129.00</t>
  </si>
  <si>
    <t>asa_grade_std_code</t>
  </si>
  <si>
    <t>asaGradeStdCode</t>
  </si>
  <si>
    <t>ASA分级标准代码</t>
  </si>
  <si>
    <t>根据美国麻醉师协会（ASA）制定的分级标准，对病人体质状况和对手术危险性进行评估分级的结果在特定编码体系中的代码</t>
  </si>
  <si>
    <t>ZOE99.00.02.1242</t>
  </si>
  <si>
    <t>preanes_use_drug</t>
  </si>
  <si>
    <t>preanesUseDrug</t>
  </si>
  <si>
    <t>麻醉前用药</t>
  </si>
  <si>
    <t>在患者进行麻醉前给予的药品的具体描述</t>
  </si>
  <si>
    <t>麻醉开始时的公元纪年日期和时间的完整描述</t>
  </si>
  <si>
    <t>DE06.00.191.00</t>
  </si>
  <si>
    <t>exit_op_room_time</t>
  </si>
  <si>
    <t>exitOpRoomTime</t>
  </si>
  <si>
    <t>出手术室时间</t>
  </si>
  <si>
    <t>患者离开手术室时的公元纪年日期和时间的完整描述</t>
  </si>
  <si>
    <t>drugName</t>
  </si>
  <si>
    <t>药物（含中药）治疗疾病具体用法的描述</t>
  </si>
  <si>
    <t>DE06.00.133.00</t>
  </si>
  <si>
    <t>drug_use_freq_code</t>
  </si>
  <si>
    <t>drugUseFreqCode</t>
  </si>
  <si>
    <t>药品使用频次代码</t>
  </si>
  <si>
    <t>标识单位时间内药物使用的次数</t>
  </si>
  <si>
    <t>DE08.50.024.00</t>
  </si>
  <si>
    <t>drug_use_dosage_unit</t>
  </si>
  <si>
    <t>drugUseDosageUnit</t>
  </si>
  <si>
    <t>药品使用剂量单位</t>
  </si>
  <si>
    <t>标识药物剂量的计量单位</t>
  </si>
  <si>
    <t>DE08.50.023.00</t>
  </si>
  <si>
    <t>drug_use_once_dosage</t>
  </si>
  <si>
    <t>drugUseOnceDosage</t>
  </si>
  <si>
    <t>药品使用次剂量</t>
  </si>
  <si>
    <t>单次使用药物的剂量</t>
  </si>
  <si>
    <t>DE06.00.135.00</t>
  </si>
  <si>
    <t>drug_use_total_dosage</t>
  </si>
  <si>
    <t>drugUseTotalDosage</t>
  </si>
  <si>
    <t>药品使用总剂量</t>
  </si>
  <si>
    <t>服药者在一段时间内累计服用某药物的剂量总计</t>
  </si>
  <si>
    <t>DE06.00.134.00</t>
  </si>
  <si>
    <t>drug_use_way_code</t>
  </si>
  <si>
    <t>drugUseWayCode</t>
  </si>
  <si>
    <t>药品使用途径代码</t>
  </si>
  <si>
    <t>药物使用途径在特定编码体系中的代码</t>
  </si>
  <si>
    <t>DE06.00.269.00</t>
  </si>
  <si>
    <t>ivinf_item</t>
  </si>
  <si>
    <t>ivinfItem</t>
  </si>
  <si>
    <t>输液项目</t>
  </si>
  <si>
    <t>手术过程中输入液体的描述</t>
  </si>
  <si>
    <t>DE06.00.185.00</t>
  </si>
  <si>
    <t>patient_destination</t>
  </si>
  <si>
    <t>patientDestination</t>
  </si>
  <si>
    <t>患者去向</t>
  </si>
  <si>
    <t>患者当前诊疗过程结束后的去向在特定编码体系中的代码，这里指手术结束后的去向</t>
  </si>
  <si>
    <t>麻醉术后访视记录</t>
  </si>
  <si>
    <t>DE05.10.227.00</t>
  </si>
  <si>
    <t>anes_recover_cond</t>
  </si>
  <si>
    <t>anesRecoverCond</t>
  </si>
  <si>
    <t>麻醉恢复情况</t>
  </si>
  <si>
    <t>对麻醉恢复情况的描述</t>
  </si>
  <si>
    <t>DE06.00.233.00</t>
  </si>
  <si>
    <t>sober_time</t>
  </si>
  <si>
    <t>soberTime</t>
  </si>
  <si>
    <t>清醒时间</t>
  </si>
  <si>
    <t>麻醉后患者清醒时的公元纪年日期和时间的完整描述</t>
  </si>
  <si>
    <t>标识是否已拔除气管插管的标志</t>
  </si>
  <si>
    <t>DE05.10.158.00</t>
  </si>
  <si>
    <t>special_cond_record</t>
  </si>
  <si>
    <t>specialCondRecord</t>
  </si>
  <si>
    <t>特殊情况记录</t>
  </si>
  <si>
    <t>对存在特殊情况的描述</t>
  </si>
  <si>
    <t>DE05.10.228.00</t>
  </si>
  <si>
    <t>anes_adaptation</t>
  </si>
  <si>
    <t>anesAdaptation</t>
  </si>
  <si>
    <t>麻醉适应证</t>
  </si>
  <si>
    <t>麻醉适应证的描述</t>
  </si>
  <si>
    <t>麻醉术前访视</t>
  </si>
  <si>
    <t>DE05.01.076.00</t>
  </si>
  <si>
    <t>preop_comorbidity</t>
  </si>
  <si>
    <t>preopComorbidity</t>
  </si>
  <si>
    <t>术前合并疾病</t>
  </si>
  <si>
    <t>患者在接受手术前，除与手术相关的诊断外，同时合并的其他疾病</t>
  </si>
  <si>
    <t>DE05.10.140.00</t>
  </si>
  <si>
    <t>briefly_dis_hist</t>
  </si>
  <si>
    <t>brieflyDisHist</t>
  </si>
  <si>
    <t>简要病史</t>
  </si>
  <si>
    <t>对患者病史的简要描述</t>
  </si>
  <si>
    <t>DE04.30.043.00</t>
  </si>
  <si>
    <t>ecg_exam_result</t>
  </si>
  <si>
    <t>ecgExamResult</t>
  </si>
  <si>
    <t>心电图检查结果</t>
  </si>
  <si>
    <t>对患者心电图检查结果的详细描述</t>
  </si>
  <si>
    <t>DE04.30.045.00</t>
  </si>
  <si>
    <t>chest_xray_result</t>
  </si>
  <si>
    <t>chestXrayResult</t>
  </si>
  <si>
    <t>胸部X线检查结果</t>
  </si>
  <si>
    <t>对患者胸部X线检查结果的详细描述</t>
  </si>
  <si>
    <t>DE04.30.005.00</t>
  </si>
  <si>
    <t>ct_exam_result</t>
  </si>
  <si>
    <t>ctExamResult</t>
  </si>
  <si>
    <t>CT检查结果</t>
  </si>
  <si>
    <t>CT检查结果的详细描述</t>
  </si>
  <si>
    <t>DE04.30.002.00</t>
  </si>
  <si>
    <t>b_us_exam_result</t>
  </si>
  <si>
    <t>bUsExamResult</t>
  </si>
  <si>
    <t>B超检查结果</t>
  </si>
  <si>
    <t>B超检查结果的详细描述</t>
  </si>
  <si>
    <t>DE04.30.165.00</t>
  </si>
  <si>
    <t>mri_exam_result</t>
  </si>
  <si>
    <t>mriExamResult</t>
  </si>
  <si>
    <t>MRI检查结果</t>
  </si>
  <si>
    <t>MRI检查结果的详细描述</t>
  </si>
  <si>
    <t>DE04.30.166.00</t>
  </si>
  <si>
    <t>pfunc_exam_result</t>
  </si>
  <si>
    <t>pfuncExamResult</t>
  </si>
  <si>
    <t>肺功能检查结果</t>
  </si>
  <si>
    <t>患者肺功能检查结果的详细描述</t>
  </si>
  <si>
    <t>ZOE99.00.03.2006</t>
  </si>
  <si>
    <t>cbc_exam_result</t>
  </si>
  <si>
    <t>cbcExamResult</t>
  </si>
  <si>
    <t>血常规检查结果</t>
  </si>
  <si>
    <t>麻醉术前访视时，对患者血常规检查结果的详细描述</t>
  </si>
  <si>
    <t>DE04.50.048.00</t>
  </si>
  <si>
    <t>ru_micro_exam_result</t>
  </si>
  <si>
    <t>ruMicroExamResult</t>
  </si>
  <si>
    <t>尿常规镜检结果</t>
  </si>
  <si>
    <t>麻醉术前访视时，对患者尿常规检查结果的详细描述</t>
  </si>
  <si>
    <t>DE04.50.142.00</t>
  </si>
  <si>
    <t>coag_func_exam_result</t>
  </si>
  <si>
    <t>coagFuncExamResult</t>
  </si>
  <si>
    <t>凝血功能检查结果</t>
  </si>
  <si>
    <t>麻醉术前访视时，对患者凝血功能检查结果的详细描述</t>
  </si>
  <si>
    <t>DE04.50.026.00</t>
  </si>
  <si>
    <t>liver_func_test_code</t>
  </si>
  <si>
    <t>liverFuncTestCode</t>
  </si>
  <si>
    <t>肝功能检测结果代码</t>
  </si>
  <si>
    <t>对患者肝功能检查结果的详细描述</t>
  </si>
  <si>
    <t>ZOE99.00.02.1237</t>
  </si>
  <si>
    <t>abg_analysis_exam_result</t>
  </si>
  <si>
    <t>abgAnalysisExamResult</t>
  </si>
  <si>
    <t>血气分析检查结果</t>
  </si>
  <si>
    <t>麻醉术前访视时，对患者血气分析检查结果的详细描述</t>
  </si>
  <si>
    <t>DE05.10.142.00</t>
  </si>
  <si>
    <t>mental_state_normal_flag</t>
  </si>
  <si>
    <t>mentalStateNormalFlag</t>
  </si>
  <si>
    <t>精神状态正常标志</t>
  </si>
  <si>
    <t>标识患者精神状态是否正常的标志</t>
  </si>
  <si>
    <t>DE04.10.207.00</t>
  </si>
  <si>
    <t>heart_auscultation_result</t>
  </si>
  <si>
    <t>heartAuscultationResult</t>
  </si>
  <si>
    <t>心脏听诊结果</t>
  </si>
  <si>
    <t>麻醉术前访视时，对心脏听诊结果的详细描述</t>
  </si>
  <si>
    <t>DE04.10.031.00</t>
  </si>
  <si>
    <t>puly_auscultation_result</t>
  </si>
  <si>
    <t>pulyAuscultationResult</t>
  </si>
  <si>
    <t>肺部听诊结果</t>
  </si>
  <si>
    <t>麻醉术前访视时，对患者肺部听诊检查结果的描述</t>
  </si>
  <si>
    <t>麻醉术前访视时，对四肢检查结果的详细描述</t>
  </si>
  <si>
    <t>麻醉术前访视时，对脊柱检查结果的详细描述</t>
  </si>
  <si>
    <t>麻醉术前访视时，对腹部检查结果的详细描述</t>
  </si>
  <si>
    <t>DE06.00.230.00</t>
  </si>
  <si>
    <t>trachea_exam_result</t>
  </si>
  <si>
    <t>tracheaExamResult</t>
  </si>
  <si>
    <t>气管检查结果</t>
  </si>
  <si>
    <t>麻醉术前访视时，对气管检查结果的详细描述</t>
  </si>
  <si>
    <t>DE04.10.264.00</t>
  </si>
  <si>
    <t>tooth_exam_result</t>
  </si>
  <si>
    <t>toothExamResult</t>
  </si>
  <si>
    <t>牙齿检查结果</t>
  </si>
  <si>
    <t>麻醉术前访视时，对牙齿检查结果的详细描述</t>
  </si>
  <si>
    <t>术前麻醉医师下达的医嘱</t>
  </si>
  <si>
    <t>术前多学科讨论</t>
  </si>
  <si>
    <t>ZOE99.00.999.6491</t>
  </si>
  <si>
    <t>discipline_1_opinion</t>
  </si>
  <si>
    <t>discipline1Opinion</t>
  </si>
  <si>
    <t>学科一意见</t>
  </si>
  <si>
    <t>ZOE99.00.999.6492</t>
  </si>
  <si>
    <t>discipline_2_opinion</t>
  </si>
  <si>
    <t>discipline2Opinion</t>
  </si>
  <si>
    <t>学科二意见</t>
  </si>
  <si>
    <t>ZOE99.00.999.6493</t>
  </si>
  <si>
    <t>discipline_3_opinion</t>
  </si>
  <si>
    <t>discipline3Opinion</t>
  </si>
  <si>
    <t>学科三意见</t>
  </si>
  <si>
    <t>手术申请记录</t>
  </si>
  <si>
    <t>DE08.10.026.00</t>
  </si>
  <si>
    <t>dept_name</t>
  </si>
  <si>
    <t>deptName</t>
  </si>
  <si>
    <t>住院科室</t>
  </si>
  <si>
    <t>DE01.00.026.00</t>
  </si>
  <si>
    <t>hosp_bed_no</t>
  </si>
  <si>
    <t>hospBedNo</t>
  </si>
  <si>
    <t>床号</t>
  </si>
  <si>
    <t>ZOE99.00.03.3663</t>
  </si>
  <si>
    <t>send_time</t>
  </si>
  <si>
    <t>sendTime</t>
  </si>
  <si>
    <t>发送时间</t>
  </si>
  <si>
    <t>ZOE99.00.03.3727</t>
  </si>
  <si>
    <t>cancel_flag</t>
  </si>
  <si>
    <t>cancelFlag</t>
  </si>
  <si>
    <t>取消标志</t>
  </si>
  <si>
    <t>cancel_time</t>
  </si>
  <si>
    <t>cancelTime</t>
  </si>
  <si>
    <t>取消日期</t>
  </si>
  <si>
    <t>ZOE99.00.03.3686</t>
  </si>
  <si>
    <t>cancel_reason</t>
  </si>
  <si>
    <t>cancelReason</t>
  </si>
  <si>
    <t>取消原因</t>
  </si>
  <si>
    <t>手术代码1</t>
  </si>
  <si>
    <t>ZOE99.00.03.10099</t>
  </si>
  <si>
    <t>op_oper_name_1</t>
  </si>
  <si>
    <t>opOperName1</t>
  </si>
  <si>
    <t>手术名称1</t>
  </si>
  <si>
    <t>ZOE99.00.03.10060</t>
  </si>
  <si>
    <t>op_oper_code_2</t>
  </si>
  <si>
    <t>opOperCode2</t>
  </si>
  <si>
    <t>手术代码2</t>
  </si>
  <si>
    <t>ZOE99.00.03.10110</t>
  </si>
  <si>
    <t>op_oper_name_2</t>
  </si>
  <si>
    <t>opOperName2</t>
  </si>
  <si>
    <t>手术名称2</t>
  </si>
  <si>
    <t>ZOE99.00.03.10071</t>
  </si>
  <si>
    <t>op_oper_code_3</t>
  </si>
  <si>
    <t>opOperCode3</t>
  </si>
  <si>
    <t>手术代码3</t>
  </si>
  <si>
    <t>ZOE99.00.03.10121</t>
  </si>
  <si>
    <t>op_oper_name_3</t>
  </si>
  <si>
    <t>opOperName3</t>
  </si>
  <si>
    <t>手术名称3</t>
  </si>
  <si>
    <t>ZOE99.00.03.10082</t>
  </si>
  <si>
    <t>op_oper_code_4</t>
  </si>
  <si>
    <t>opOperCode4</t>
  </si>
  <si>
    <t>手术代码4</t>
  </si>
  <si>
    <t>ZOE99.00.03.10132</t>
  </si>
  <si>
    <t>op_oper_name_4</t>
  </si>
  <si>
    <t>opOperName4</t>
  </si>
  <si>
    <t>手术名称4</t>
  </si>
  <si>
    <t>手术日期</t>
  </si>
  <si>
    <t>DE06.00.074.00</t>
  </si>
  <si>
    <t>anes_method_name</t>
  </si>
  <si>
    <t>anesMethodName</t>
  </si>
  <si>
    <t>麻醉方式</t>
  </si>
  <si>
    <t>ZOE99.00.03.2379</t>
  </si>
  <si>
    <t>operate_doctor_name</t>
  </si>
  <si>
    <t>operateDoctorName</t>
  </si>
  <si>
    <t>主刀医生</t>
  </si>
  <si>
    <t>1助</t>
  </si>
  <si>
    <t>2助</t>
  </si>
  <si>
    <t>ZOE99.00.03.8962</t>
  </si>
  <si>
    <t>assistant_3_name</t>
  </si>
  <si>
    <t>assistant3Name</t>
  </si>
  <si>
    <t>3助</t>
  </si>
  <si>
    <t>ZOE99.00.03.8989</t>
  </si>
  <si>
    <t>assistant_4_name</t>
  </si>
  <si>
    <t>assistant4Name</t>
  </si>
  <si>
    <t>4助</t>
  </si>
  <si>
    <t>输血知情同意书</t>
  </si>
  <si>
    <t>DE04.50.260.00</t>
  </si>
  <si>
    <t>blood_transf_exam_rse</t>
  </si>
  <si>
    <t>bloodTransfExamRse</t>
  </si>
  <si>
    <t>输血前有关检查项目及结果</t>
  </si>
  <si>
    <t>输血前与输血相关的检查项目及检查结果描述，如HBsAg、Anti_HBs、梅毒等</t>
  </si>
  <si>
    <t>输血同意书中本次输血方式的详细描述，如自体输血、异体输血</t>
  </si>
  <si>
    <t>ZOE99.00.02.1259</t>
  </si>
  <si>
    <t>draft_blood_transf_time</t>
  </si>
  <si>
    <t>draftBloodTransfTime</t>
  </si>
  <si>
    <t>拟定输血时间</t>
  </si>
  <si>
    <t>拟对患者开始进行输血时的公元纪年日期和时间的完整描述</t>
  </si>
  <si>
    <t>DE05.10.222.00</t>
  </si>
  <si>
    <t>blood_transf_risk_result</t>
  </si>
  <si>
    <t>bloodTransfRiskResult</t>
  </si>
  <si>
    <t>输血风险及可能发生的不良后果</t>
  </si>
  <si>
    <t>输血治疗存在的风险及可能发生的不良后果的详细描述</t>
  </si>
  <si>
    <t>在此诊疗活动过程中，医疗机构对患者应尽责任的陈述以及对可能面临的风险或意外情况所采取的应对措施的详细描述</t>
  </si>
  <si>
    <t>患者/法定代理人对输血治疗知情同意书中告知内容的意见描述</t>
  </si>
  <si>
    <t>病危（重）通知书</t>
  </si>
  <si>
    <t>DE06.00.183.00</t>
  </si>
  <si>
    <t>med_cond_summary_main_rescue_measure</t>
  </si>
  <si>
    <t>medCondSummaryMainRescueMeasure</t>
  </si>
  <si>
    <t>病情概括及主要抢救措施</t>
  </si>
  <si>
    <t>病危（重）通知书中的病情概括及主要抢救措施的描述，包括神志、生命体征、主要器官功能的描述</t>
  </si>
  <si>
    <t>DE06.00.278.00</t>
  </si>
  <si>
    <t>critical_svr_notice_content</t>
  </si>
  <si>
    <t>criticalSvrNoticeContent</t>
  </si>
  <si>
    <t>病危（重）通知内容</t>
  </si>
  <si>
    <t>患者病情危、重时，由经治医师或值班医师向患者家属告知病情危重情况的详细描述</t>
  </si>
  <si>
    <t>病危（重）通知书下达时的公元纪年日期和时间的完整描述</t>
  </si>
  <si>
    <t>手术同意书</t>
  </si>
  <si>
    <t>DE06.00.221.00.03</t>
  </si>
  <si>
    <t>propose_imp_op_oper_time</t>
  </si>
  <si>
    <t>proposeImpOpOperTime</t>
  </si>
  <si>
    <t>拟实施手术及操作时间</t>
  </si>
  <si>
    <t>DE06.00.302.00</t>
  </si>
  <si>
    <t>op_mode</t>
  </si>
  <si>
    <t>opMode</t>
  </si>
  <si>
    <t>手术方式</t>
  </si>
  <si>
    <t>拟实施手术方式的描述</t>
  </si>
  <si>
    <t>手术中可能发生的意外情况及风险描述</t>
  </si>
  <si>
    <t>DE05.01.075.00</t>
  </si>
  <si>
    <t>exam_compl_desc</t>
  </si>
  <si>
    <t>examComplDesc</t>
  </si>
  <si>
    <t>检查及治疗可能引起的并发症及风险</t>
  </si>
  <si>
    <t>手术后可能出现的意外及并发症的详细描述</t>
  </si>
  <si>
    <t>ZOE99.00.02.013</t>
  </si>
  <si>
    <t>alternative_protocol</t>
  </si>
  <si>
    <t>alternativeProtocol</t>
  </si>
  <si>
    <t>替代方案</t>
  </si>
  <si>
    <t>医生即将为患者实施的手术或有创性操作方案之外的其他方案，供患者选择</t>
  </si>
  <si>
    <t>ZOE99.00.02.207</t>
  </si>
  <si>
    <t>med_inst_opinion</t>
  </si>
  <si>
    <t>medInstOpinion</t>
  </si>
  <si>
    <t>医疗机构意见</t>
  </si>
  <si>
    <t>ZOE99.00.02.014</t>
  </si>
  <si>
    <t>patient_fam_mbr_legal_agent_opinion</t>
  </si>
  <si>
    <t>patientFamMbrLegalAgentOpinion</t>
  </si>
  <si>
    <t>患者/家属/法定代理人意见</t>
  </si>
  <si>
    <t>患者/法定代理人对手术同意书中告知内容的意见的详细描述</t>
  </si>
  <si>
    <t>麻醉知情同意书记录</t>
  </si>
  <si>
    <t>DE04.01.121.00</t>
  </si>
  <si>
    <t>patient_basic_dis</t>
  </si>
  <si>
    <t>patientBasicDis</t>
  </si>
  <si>
    <t>患者基础疾病</t>
  </si>
  <si>
    <t>患者所患的基础疾病的描述</t>
  </si>
  <si>
    <t>DE05.10.146.00</t>
  </si>
  <si>
    <t>basic_dis_anes_generate_impact</t>
  </si>
  <si>
    <t>basicDisAnesGenerateImpact</t>
  </si>
  <si>
    <t>基础疾病对麻醉可能产生的影响</t>
  </si>
  <si>
    <t>患者所患的基础疾病可能对麻醉产生影响的特殊情况描述</t>
  </si>
  <si>
    <t>麻醉过程中拟实施的有创操作和监测的详细描述</t>
  </si>
  <si>
    <t>麻醉中、麻醉后可能发生的意外情况及并发症的详细描述</t>
  </si>
  <si>
    <t>DE06.00.240.00</t>
  </si>
  <si>
    <t>use_anes_pcea_flag</t>
  </si>
  <si>
    <t>useAnesPceaFlag</t>
  </si>
  <si>
    <t>使用麻醉镇痛泵标志</t>
  </si>
  <si>
    <t>标识患者是否同意使用麻醉镇痛泵的的标志</t>
  </si>
  <si>
    <t>DE01.00.016.00</t>
  </si>
  <si>
    <t>participate_anes_safety_insur_flag</t>
  </si>
  <si>
    <t>participateAnesSafetyInsurFlag</t>
  </si>
  <si>
    <t>参加麻醉安全保险标志</t>
  </si>
  <si>
    <t>标识患者是否同意参加麻醉安全保险的标志</t>
  </si>
  <si>
    <t>特殊检查及特殊治疗同意书</t>
  </si>
  <si>
    <t>DE06.00.306.00</t>
  </si>
  <si>
    <t>special_exam_item_name</t>
  </si>
  <si>
    <t>specialExamItemName</t>
  </si>
  <si>
    <t>特殊检查及特殊治疗项目名称</t>
  </si>
  <si>
    <t>拟进行的特殊检查及特殊治疗项目名称的描述</t>
  </si>
  <si>
    <t>DE06.00.305.00</t>
  </si>
  <si>
    <t>special_exam_purpose</t>
  </si>
  <si>
    <t>specialExamPurpose</t>
  </si>
  <si>
    <t>特殊检查及特殊治疗目的</t>
  </si>
  <si>
    <t>拟进行的特殊检查及特殊治疗的目的描述</t>
  </si>
  <si>
    <t>拟进行的特殊检查及特殊治疗项目可能引起的并发症及风险描述</t>
  </si>
  <si>
    <t>其他知情同意书</t>
  </si>
  <si>
    <t>DE09.00.116.00</t>
  </si>
  <si>
    <t>ic_content</t>
  </si>
  <si>
    <t>icContent</t>
  </si>
  <si>
    <t>知情同意内容</t>
  </si>
  <si>
    <t>知情同意书中涉及的诊疗项目在实施或应用过程中可能存在的风险及其他意外或不良后果的详细描述</t>
  </si>
  <si>
    <t>患者/法定代理人对知情同意书中告知内容的意见描述</t>
  </si>
  <si>
    <t>021101</t>
  </si>
  <si>
    <t>检验记录</t>
  </si>
  <si>
    <t>dx_test_record</t>
  </si>
  <si>
    <t>DE08.10.013.00</t>
  </si>
  <si>
    <t>inst_name</t>
  </si>
  <si>
    <t>instName</t>
  </si>
  <si>
    <t>机构名称</t>
  </si>
  <si>
    <t>对患者所患疾病作出诊断的医疗机构的组织机构名称</t>
  </si>
  <si>
    <t>DE04.50.154.00</t>
  </si>
  <si>
    <t>specimen_class</t>
  </si>
  <si>
    <t>specimenClass</t>
  </si>
  <si>
    <t>标本类别</t>
  </si>
  <si>
    <t>对标本类别的描述</t>
  </si>
  <si>
    <t>DE01.00.003.00</t>
  </si>
  <si>
    <t>specimen_no</t>
  </si>
  <si>
    <t>specimenNo</t>
  </si>
  <si>
    <t>标本编号</t>
  </si>
  <si>
    <t>按照某一特定编码规则赋予检验标本的顺序号</t>
  </si>
  <si>
    <t>DE04.50.135.00</t>
  </si>
  <si>
    <t>specimen_state</t>
  </si>
  <si>
    <t>specimenState</t>
  </si>
  <si>
    <t>标本状态</t>
  </si>
  <si>
    <t>对受检标本状态的描述</t>
  </si>
  <si>
    <t>DE04.30.173.00</t>
  </si>
  <si>
    <t>specimen_sampling_time</t>
  </si>
  <si>
    <t>specimenSamplingTime</t>
  </si>
  <si>
    <t>标本采样时间</t>
  </si>
  <si>
    <t>采集标本时的公元纪年日期和时间的完整描述</t>
  </si>
  <si>
    <t>DE04.50.141.00</t>
  </si>
  <si>
    <t>receive_specimen_time</t>
  </si>
  <si>
    <t>receiveSpecimenTime</t>
  </si>
  <si>
    <t>接收标本时间</t>
  </si>
  <si>
    <t>检验科室实际接收标本时的公元纪年日期和时间的完整描述</t>
  </si>
  <si>
    <t>DE04.50.254.00</t>
  </si>
  <si>
    <t>lab_method_name</t>
  </si>
  <si>
    <t>labMethodName</t>
  </si>
  <si>
    <t>检验方法名称</t>
  </si>
  <si>
    <t>患者接受医学检查项目所采用的检验方法名称</t>
  </si>
  <si>
    <t>DE04.50.258.00</t>
  </si>
  <si>
    <t>lab_class_name</t>
  </si>
  <si>
    <t>labClassName</t>
  </si>
  <si>
    <t>检验类别</t>
  </si>
  <si>
    <t>患者检验项目所属的类别详细描述</t>
  </si>
  <si>
    <t>DE04.30.019.00</t>
  </si>
  <si>
    <t>exam_lab_item_code</t>
  </si>
  <si>
    <t>examLabItemCode</t>
  </si>
  <si>
    <t>检查/检验项目代码</t>
  </si>
  <si>
    <t>患者检验项目在特定编码体系中的代码，如LOINC的代码值</t>
  </si>
  <si>
    <t>患者检验结果的分类代码</t>
  </si>
  <si>
    <t>患者检验结果的测量值（定量）</t>
  </si>
  <si>
    <t>DE04.30.016.00</t>
  </si>
  <si>
    <t>exam_lab_meter_unit</t>
  </si>
  <si>
    <t>examLabMeterUnit</t>
  </si>
  <si>
    <t>检查/检验计量单位</t>
  </si>
  <si>
    <t>患者定量检验测量值的计量单位</t>
  </si>
  <si>
    <t>DE04.50.140.00</t>
  </si>
  <si>
    <t>lab_date</t>
  </si>
  <si>
    <t>labDate</t>
  </si>
  <si>
    <t>检验日期</t>
  </si>
  <si>
    <t>检验项目执行当日的公元纪年日期的完整描述</t>
  </si>
  <si>
    <t>DE04.50.130.00</t>
  </si>
  <si>
    <t>lab_report_result</t>
  </si>
  <si>
    <t>labReportResult</t>
  </si>
  <si>
    <t>检验报告结果</t>
  </si>
  <si>
    <t>检验项目结果报告的客观说明</t>
  </si>
  <si>
    <t>DE04.50.259.00</t>
  </si>
  <si>
    <t>lab_report_memo</t>
  </si>
  <si>
    <t>labReportMemo</t>
  </si>
  <si>
    <t>检验报告备注</t>
  </si>
  <si>
    <t>检验项目结果报告的主观说明</t>
  </si>
  <si>
    <t>DE04.50.133.00</t>
  </si>
  <si>
    <t>lab_report_date</t>
  </si>
  <si>
    <t>labReportDate</t>
  </si>
  <si>
    <t>检验报告日期</t>
  </si>
  <si>
    <t>检验报告当日的公元纪年日期的完整描述</t>
  </si>
  <si>
    <t>DE99.17.012.00</t>
  </si>
  <si>
    <t>reference_value_memo</t>
  </si>
  <si>
    <t>referenceValueMemo</t>
  </si>
  <si>
    <t>参考值备注</t>
  </si>
  <si>
    <t>对检验检查项目正常参考值的补充说明</t>
  </si>
  <si>
    <t>DE99.12.136.00</t>
  </si>
  <si>
    <t>normal_reference_value_ul</t>
  </si>
  <si>
    <t>normalReferenceValueUl</t>
  </si>
  <si>
    <t>正常参考值上限</t>
  </si>
  <si>
    <t>检验/检查项目的正常参考上限值</t>
  </si>
  <si>
    <t>DE99.12.137.00</t>
  </si>
  <si>
    <t>normal_reference_value_ll</t>
  </si>
  <si>
    <t>normalReferenceValueLl</t>
  </si>
  <si>
    <t>正常参考值下限</t>
  </si>
  <si>
    <t>对正常参考值下限的描述</t>
  </si>
  <si>
    <t>ZOE99.00.999.3245</t>
  </si>
  <si>
    <t>report_title</t>
  </si>
  <si>
    <t>reportTitle</t>
  </si>
  <si>
    <t>报告标题</t>
  </si>
  <si>
    <t>ZOE99.00.03.13144</t>
  </si>
  <si>
    <t>lab_time</t>
  </si>
  <si>
    <t>labTime</t>
  </si>
  <si>
    <t>检验时间</t>
  </si>
  <si>
    <t>ZOE99.00.03.4921</t>
  </si>
  <si>
    <t>report_audit_time</t>
  </si>
  <si>
    <t>reportAuditTime</t>
  </si>
  <si>
    <t>报告审核时间</t>
  </si>
  <si>
    <t>ZOE99.00.03.7989</t>
  </si>
  <si>
    <t>sampling_time</t>
  </si>
  <si>
    <t>samplingTime</t>
  </si>
  <si>
    <t>采样时间</t>
  </si>
  <si>
    <t>检查记录</t>
  </si>
  <si>
    <t>DE02.01.010.00</t>
  </si>
  <si>
    <t>phone_no</t>
  </si>
  <si>
    <t>phoneNo</t>
  </si>
  <si>
    <t>电话号码</t>
  </si>
  <si>
    <t>患者本人或联系人的联系电话号码，包括国际、国内区号和分机号</t>
  </si>
  <si>
    <t>ZOE99.00.03.1828</t>
  </si>
  <si>
    <t>symptom_start_time</t>
  </si>
  <si>
    <t>symptomStartTime</t>
  </si>
  <si>
    <t>症状开始时间</t>
  </si>
  <si>
    <t>当次症状开始发生时的公元纪年日期和时间的完整描述</t>
  </si>
  <si>
    <t>ZOE99.00.03.12810</t>
  </si>
  <si>
    <t>symptom_stop_time</t>
  </si>
  <si>
    <t>symptomStopTime</t>
  </si>
  <si>
    <t>症状停止时间</t>
  </si>
  <si>
    <t>当次症状停止时的公元纪年日期和时间的完整描述</t>
  </si>
  <si>
    <t>DE04.30.169.00</t>
  </si>
  <si>
    <t>special_exam_flag</t>
  </si>
  <si>
    <t>specialExamFlag</t>
  </si>
  <si>
    <t>特殊检查标志</t>
  </si>
  <si>
    <t>标识患者有无特殊检查操作经历的标志</t>
  </si>
  <si>
    <t>为患者实施的手术及操作在特定编码体系中的编码</t>
  </si>
  <si>
    <t>DE06.00.186.00</t>
  </si>
  <si>
    <t>exam_part_name</t>
  </si>
  <si>
    <t>examPartName</t>
  </si>
  <si>
    <t>检查部位名称</t>
  </si>
  <si>
    <t>检查（含病理）的人体部位在特定编码体系中的代码</t>
  </si>
  <si>
    <t>操作方法的详细描述</t>
  </si>
  <si>
    <t>对患者实施的操作结束时的公元纪年日期和时间的完整描述</t>
  </si>
  <si>
    <t>多个麻醉观察项目结果的详细描述</t>
  </si>
  <si>
    <t>exam_record</t>
  </si>
  <si>
    <t>DE06.00.307.00</t>
  </si>
  <si>
    <t>anes_tcm_wm_class_code</t>
  </si>
  <si>
    <t>anesTcmWmClassCode</t>
  </si>
  <si>
    <t>麻醉中西医分类代码</t>
  </si>
  <si>
    <t>麻醉方法的中西医类别的分类代码</t>
  </si>
  <si>
    <t>021201</t>
  </si>
  <si>
    <t>DE08.50.027.00</t>
  </si>
  <si>
    <t>specimen_fixative_name</t>
  </si>
  <si>
    <t>specimenFixativeName</t>
  </si>
  <si>
    <t>标本固定液名称</t>
  </si>
  <si>
    <t>用于标本固定的液体的名称</t>
  </si>
  <si>
    <t>检查科室实际接收标本时的公元纪年日期和时间的完整描述</t>
  </si>
  <si>
    <t>DE04.30.168.00</t>
  </si>
  <si>
    <t>exam_method_name</t>
  </si>
  <si>
    <t>examMethodName</t>
  </si>
  <si>
    <t>检查方法名称</t>
  </si>
  <si>
    <t>患者接受医学检查项目所采用的检查方法名称</t>
  </si>
  <si>
    <t>DE04.30.018.00</t>
  </si>
  <si>
    <t>exam_lab_class_name</t>
  </si>
  <si>
    <t>examLabClassName</t>
  </si>
  <si>
    <t>检查/检验类别</t>
  </si>
  <si>
    <t>患者检查项目所属的类别详细描述</t>
  </si>
  <si>
    <t>DE04.30.068.00</t>
  </si>
  <si>
    <t>exam_item_code</t>
  </si>
  <si>
    <t>examItemCode</t>
  </si>
  <si>
    <t>检查项目代码</t>
  </si>
  <si>
    <t>患者检查项目在特定编码体系中的代码，如LOINC的代码值</t>
  </si>
  <si>
    <t>患者检查结果的分类代码</t>
  </si>
  <si>
    <t>患者检查结果的测量值（定量）</t>
  </si>
  <si>
    <t>患者定量检查测量值的计量单位</t>
  </si>
  <si>
    <t>DE04.30.174.00</t>
  </si>
  <si>
    <t>exam_date</t>
  </si>
  <si>
    <t>examDate</t>
  </si>
  <si>
    <t>检查日期</t>
  </si>
  <si>
    <t>检查项目执行当日的公元纪年日期的完整描述</t>
  </si>
  <si>
    <t>DE04.30.170.00</t>
  </si>
  <si>
    <t>exam_report_result_findings</t>
  </si>
  <si>
    <t>examReportResultFindings</t>
  </si>
  <si>
    <t>检查报告结果客观所见</t>
  </si>
  <si>
    <t>检查项目结果报告的客观说明</t>
  </si>
  <si>
    <t>DE04.30.171.00</t>
  </si>
  <si>
    <t>exam_report_result_subjective_prompt</t>
  </si>
  <si>
    <t>examReportResultSubjectivePrompt</t>
  </si>
  <si>
    <t>检查报告结果主观提示</t>
  </si>
  <si>
    <t>检查项目结果报告的主观说明</t>
  </si>
  <si>
    <t>DE04.30.175.00</t>
  </si>
  <si>
    <t>exam_report_memo</t>
  </si>
  <si>
    <t>examReportMemo</t>
  </si>
  <si>
    <t>检查报告备注</t>
  </si>
  <si>
    <t>关于检查报告的其他描述</t>
  </si>
  <si>
    <t>DE04.30.172.00</t>
  </si>
  <si>
    <t>exam_report_date</t>
  </si>
  <si>
    <t>examReportDate</t>
  </si>
  <si>
    <t>检查报告日期</t>
  </si>
  <si>
    <t>检查报告当日的公元纪年日期的完整描述</t>
  </si>
  <si>
    <t>DE99.08.146.00</t>
  </si>
  <si>
    <t>image_conclusion</t>
  </si>
  <si>
    <t>imageConclusion</t>
  </si>
  <si>
    <t>影像结果</t>
  </si>
  <si>
    <t>ZOE99.00.02.730</t>
  </si>
  <si>
    <t>med_image_diag_postop</t>
  </si>
  <si>
    <t>medImageDiagPostop</t>
  </si>
  <si>
    <t>影像诊断</t>
  </si>
  <si>
    <t>DE99.12.076.00</t>
  </si>
  <si>
    <t>audit_time</t>
  </si>
  <si>
    <t>auditTime</t>
  </si>
  <si>
    <t>审核时间</t>
  </si>
  <si>
    <t>ZOE99.00.02.5162|1</t>
  </si>
  <si>
    <t>exam_item_name</t>
  </si>
  <si>
    <t>examItemName</t>
  </si>
  <si>
    <t>检查项目名称</t>
  </si>
  <si>
    <t>检验报告标题</t>
  </si>
  <si>
    <t>治疗记录</t>
  </si>
  <si>
    <t>对某事件进行处理及指导意见内容的详细描述</t>
  </si>
  <si>
    <t>DE06.00.507.00</t>
  </si>
  <si>
    <t>invasive_diag_treat_oper_flag</t>
  </si>
  <si>
    <t>invasiveDiagTreatOperFlag</t>
  </si>
  <si>
    <t>有创诊疗操作标志</t>
  </si>
  <si>
    <t>标识患者是否接受过有创诊疗操作的标志</t>
  </si>
  <si>
    <t>实施操作的人体部位名称</t>
  </si>
  <si>
    <t>DE08.50.011.00</t>
  </si>
  <si>
    <t>drug_form_code</t>
  </si>
  <si>
    <t>drugFormCode</t>
  </si>
  <si>
    <t>药品剂型代码</t>
  </si>
  <si>
    <t>药物剂型类别在特定编码体系中的代码</t>
  </si>
  <si>
    <t>医嘱执行过程中的注意事项</t>
  </si>
  <si>
    <t>今后治疗方案的详细描述</t>
  </si>
  <si>
    <t>DE06.00.109.00</t>
  </si>
  <si>
    <t>followup_date</t>
  </si>
  <si>
    <t>followupDate</t>
  </si>
  <si>
    <t>随访日期</t>
  </si>
  <si>
    <t>对患者进行随访时当日的公元纪年日期的完整描述</t>
  </si>
  <si>
    <t>DE06.00.112.00</t>
  </si>
  <si>
    <t>followup_cycle_suggestion_code</t>
  </si>
  <si>
    <t>followupCycleSuggestionCode</t>
  </si>
  <si>
    <t>随访周期建议代码</t>
  </si>
  <si>
    <t>患者接受医学随访的建议间隔时长在特定编码体系中的代码</t>
  </si>
  <si>
    <t>门(急)诊病历</t>
  </si>
  <si>
    <t>outp_emer_mr</t>
  </si>
  <si>
    <t>DE06.00.196.00</t>
  </si>
  <si>
    <t>first_visit_flag_code</t>
  </si>
  <si>
    <t>firstVisitFlagCode</t>
  </si>
  <si>
    <t>首诊标志代码</t>
  </si>
  <si>
    <t>患者是否因该疾病首次就诊的分类代码</t>
  </si>
  <si>
    <t>ZOE99.00.00.00.520</t>
  </si>
  <si>
    <t>epidemiology_hist</t>
  </si>
  <si>
    <t>epidemiologyHist</t>
  </si>
  <si>
    <t>流行病学史</t>
  </si>
  <si>
    <t>患者流行病学史描述</t>
  </si>
  <si>
    <t>DE04.10.258.00</t>
  </si>
  <si>
    <t>physique_exam</t>
  </si>
  <si>
    <t>physiqueExam</t>
  </si>
  <si>
    <t>体格检查</t>
  </si>
  <si>
    <t>由门急诊接诊医师对患者进行的体格检查项目及主要检查结果的描述,包括主要的阳性体征和必要的阴性体征</t>
  </si>
  <si>
    <t>DE04.30.010.00</t>
  </si>
  <si>
    <t>auxiliary_exam_item_name</t>
  </si>
  <si>
    <t>auxiliaryExamItemName</t>
  </si>
  <si>
    <t>辅助检查项目名称</t>
  </si>
  <si>
    <t>患者辅助检查、检验项目的通用名称</t>
  </si>
  <si>
    <t>患者辅助检查、检验结果的详细描述</t>
  </si>
  <si>
    <t>患者在门（急）诊就诊时初步做出的疾病诊断在西医诊断特定编码体系中的编码</t>
  </si>
  <si>
    <t>由医师根据患者就诊时的情况，综合分析所作出的西医诊断名称</t>
  </si>
  <si>
    <t>患者在门（急）诊就诊时初步做出的疾病诊断在中医病名特定分类体系中的代码</t>
  </si>
  <si>
    <t>由医师根据患者就诊时的情况，综合分析所作出的中医诊断病名</t>
  </si>
  <si>
    <t>患者在门（急）诊就诊时初步做出的疾病诊断在中医证候特定分类体系中的代码</t>
  </si>
  <si>
    <t>由医师根据患者就诊时的情况，综合分析所作出的中医证候名称</t>
  </si>
  <si>
    <t>DE05.01.174.00</t>
  </si>
  <si>
    <t>syd_diff_basis</t>
  </si>
  <si>
    <t>sydDiffBasis</t>
  </si>
  <si>
    <t>辨证依据</t>
  </si>
  <si>
    <t>中医证候辨证分型主要依据的详细描述</t>
  </si>
  <si>
    <t>021401</t>
  </si>
  <si>
    <t>DE06.00.289.00</t>
  </si>
  <si>
    <t>order_item_type_code</t>
  </si>
  <si>
    <t>orderItemTypeCode</t>
  </si>
  <si>
    <t>医嘱项目类型代码</t>
  </si>
  <si>
    <t>医嘱项目分类在特定编码体系中的代码</t>
  </si>
  <si>
    <t>DE06.00.288.00</t>
  </si>
  <si>
    <t>order_item_content</t>
  </si>
  <si>
    <t>orderItemContent</t>
  </si>
  <si>
    <t>医嘱项目内容</t>
  </si>
  <si>
    <t>对医嘱项目具体内容的描述</t>
  </si>
  <si>
    <t>对下达医嘱的补充说明和注意事项提示</t>
  </si>
  <si>
    <t>ZOE99.00.02.1322|1</t>
  </si>
  <si>
    <t>order_create_dept_name</t>
  </si>
  <si>
    <t>orderCreateDeptName</t>
  </si>
  <si>
    <t>医嘱开立科室名称</t>
  </si>
  <si>
    <t>开立医嘱的科室名称</t>
  </si>
  <si>
    <t>DE06.00.220.00</t>
  </si>
  <si>
    <t>start_time</t>
  </si>
  <si>
    <t>startTime</t>
  </si>
  <si>
    <t>开始时间</t>
  </si>
  <si>
    <t>医嘱开立结束时的公元纪年日期和时间的完整描述</t>
  </si>
  <si>
    <t>ZOE99.00.02.1328|1</t>
  </si>
  <si>
    <t>order_exec_dept_name</t>
  </si>
  <si>
    <t>orderExecDeptName</t>
  </si>
  <si>
    <t>医嘱执行科室名称</t>
  </si>
  <si>
    <t>执行医嘱的科室名称</t>
  </si>
  <si>
    <t>DE06.00.222.00</t>
  </si>
  <si>
    <t>order_exec_time</t>
  </si>
  <si>
    <t>orderExecTime</t>
  </si>
  <si>
    <t>医嘱执行时间</t>
  </si>
  <si>
    <t>医嘱执行结束时的公元纪年日期和时间的完整描述</t>
  </si>
  <si>
    <t>急诊留观病历</t>
  </si>
  <si>
    <t>DE06.00.235.00</t>
  </si>
  <si>
    <t>enter_observe_room_time</t>
  </si>
  <si>
    <t>enterObserveRoomTime</t>
  </si>
  <si>
    <t>收入观察室时间</t>
  </si>
  <si>
    <t>急诊患者被收入观察室或监护室的公元纪年日期和时间的完整描述</t>
  </si>
  <si>
    <t>DE06.00.508.00</t>
  </si>
  <si>
    <t>emer_observed_course_record</t>
  </si>
  <si>
    <t>emerObservedCourseRecord</t>
  </si>
  <si>
    <t>急诊留观病程记录</t>
  </si>
  <si>
    <t>急诊留观病历中病程记录内容的详细描述，重点记录观察期间病情变化和诊疗措施</t>
  </si>
  <si>
    <t>DE06.00.509.00</t>
  </si>
  <si>
    <t>emer_rescue_recode</t>
  </si>
  <si>
    <t>emerRescueRecode</t>
  </si>
  <si>
    <t>急诊抢救记录</t>
  </si>
  <si>
    <t>对急诊抢救过程的描述</t>
  </si>
  <si>
    <t>实施手术/操作的次数</t>
  </si>
  <si>
    <t>患者当前诊疗过程结束后的去向在特定编码体系中的代码，这里指离开急诊观察室或监护室后的去向</t>
  </si>
  <si>
    <t>危急值数据记录</t>
  </si>
  <si>
    <t>ZOE99.00.03.4922</t>
  </si>
  <si>
    <t>report_time</t>
  </si>
  <si>
    <t>reportTime</t>
  </si>
  <si>
    <t>报告时间</t>
  </si>
  <si>
    <t>危急值数据源的检查/检验报告时间</t>
  </si>
  <si>
    <t>项目名称</t>
  </si>
  <si>
    <t>危急值数据源的检查/检验项目名</t>
  </si>
  <si>
    <t>ZOE99.00.02.1624</t>
  </si>
  <si>
    <t>exam_lab_result</t>
  </si>
  <si>
    <t>examLabResult</t>
  </si>
  <si>
    <t>当前值或描述</t>
  </si>
  <si>
    <t>检查/检验结果</t>
  </si>
  <si>
    <t>低参考值</t>
  </si>
  <si>
    <t>高参考值</t>
  </si>
  <si>
    <t>ZOE99.00.03.4290</t>
  </si>
  <si>
    <t>platform_response_time</t>
  </si>
  <si>
    <t>platformResponseTime</t>
  </si>
  <si>
    <t>响应时间</t>
  </si>
  <si>
    <t>危急值响应时间</t>
  </si>
  <si>
    <t>ZOE99.00.999.2138</t>
  </si>
  <si>
    <t>normal_reference_value_range</t>
  </si>
  <si>
    <t>normalReferenceValueRange</t>
  </si>
  <si>
    <t>正常范围</t>
  </si>
  <si>
    <t>检查/检验结果参考的正常范围</t>
  </si>
  <si>
    <t>ZOE99.00.03.3594</t>
  </si>
  <si>
    <t>feedback_opinion</t>
  </si>
  <si>
    <t>feedbackOpinion</t>
  </si>
  <si>
    <t>反馈意见</t>
  </si>
  <si>
    <t>单位</t>
  </si>
  <si>
    <t>检查/检验结果的单位</t>
  </si>
  <si>
    <t>DE99.17.003.00</t>
  </si>
  <si>
    <t>create_time</t>
  </si>
  <si>
    <t>createTime</t>
  </si>
  <si>
    <t>危急值注册时间</t>
  </si>
  <si>
    <t>030101</t>
  </si>
  <si>
    <t>住院医嘱</t>
  </si>
  <si>
    <t>inpatient_med_order</t>
  </si>
  <si>
    <t>DE06.00.286.00</t>
  </si>
  <si>
    <t>order_class_code</t>
  </si>
  <si>
    <t>orderClassCode</t>
  </si>
  <si>
    <t>医嘱类别代码</t>
  </si>
  <si>
    <t>表示临床医嘱类别的分类代码</t>
  </si>
  <si>
    <t>医嘱计划开始时的公元纪年日期和时间的完整描述</t>
  </si>
  <si>
    <t>医嘱计划结束时的公元纪年日期和时间的完整描述</t>
  </si>
  <si>
    <t>DE06.00.205.00</t>
  </si>
  <si>
    <t>order_check_time</t>
  </si>
  <si>
    <t>orderCheckTime</t>
  </si>
  <si>
    <t>医嘱核对时间</t>
  </si>
  <si>
    <t>对医嘱进行核对时的公元纪年日期和时间的详细描述</t>
  </si>
  <si>
    <t>DE06.00.290.00</t>
  </si>
  <si>
    <t>order_exec_state</t>
  </si>
  <si>
    <t>orderExecState</t>
  </si>
  <si>
    <t>医嘱执行状态</t>
  </si>
  <si>
    <t>显示医嘱执行状态的信息描述</t>
  </si>
  <si>
    <t>DE99.12.169.00</t>
  </si>
  <si>
    <t>order_stop_time</t>
  </si>
  <si>
    <t>orderStopTime</t>
  </si>
  <si>
    <t>医嘱停止时间</t>
  </si>
  <si>
    <t>医嘱停止时的公元纪年日期和时间的完整描述</t>
  </si>
  <si>
    <t>DE06.00.234.00</t>
  </si>
  <si>
    <t>order_cancel_time</t>
  </si>
  <si>
    <t>orderCancelTime</t>
  </si>
  <si>
    <t>医嘱取消时间</t>
  </si>
  <si>
    <t>取消医嘱时的公元纪年日期和时间的完整描述</t>
  </si>
  <si>
    <t>ZOE99.00.02.5155|2</t>
  </si>
  <si>
    <t>order_freq_code</t>
  </si>
  <si>
    <t>orderFreqCode</t>
  </si>
  <si>
    <t>医嘱频次代码</t>
  </si>
  <si>
    <t>剂量</t>
  </si>
  <si>
    <t>ZOE99.00.03.660</t>
  </si>
  <si>
    <t>dosage_unit</t>
  </si>
  <si>
    <t>dosageUnit</t>
  </si>
  <si>
    <t>剂量单位</t>
  </si>
  <si>
    <t>ZOE99.00.03.15986</t>
  </si>
  <si>
    <t>order_property_name</t>
  </si>
  <si>
    <t>orderPropertyName</t>
  </si>
  <si>
    <t>医嘱性质名称</t>
  </si>
  <si>
    <t>ZOE99.00.03.4827</t>
  </si>
  <si>
    <t>exec_dept_name</t>
  </si>
  <si>
    <t>execDeptName</t>
  </si>
  <si>
    <t>执行科室名称</t>
  </si>
  <si>
    <t>ZOE99.00.03.615</t>
  </si>
  <si>
    <t>order_state_name</t>
  </si>
  <si>
    <t>orderStateName</t>
  </si>
  <si>
    <t>医嘱状态名称</t>
  </si>
  <si>
    <t>ZOE99.00.999.5009</t>
  </si>
  <si>
    <t>special_drug_flag</t>
  </si>
  <si>
    <t>specialDrugFlag</t>
  </si>
  <si>
    <t>特殊药品标志</t>
  </si>
  <si>
    <t>住院西药医嘱</t>
  </si>
  <si>
    <t>药品用量</t>
  </si>
  <si>
    <t>用药方法</t>
  </si>
  <si>
    <t>用药方法的描述</t>
  </si>
  <si>
    <t>DE08.50.043.00</t>
  </si>
  <si>
    <t>drug_spec</t>
  </si>
  <si>
    <t>drugSpec</t>
  </si>
  <si>
    <t>药品规格</t>
  </si>
  <si>
    <t>药物规格的描述，如0.25g</t>
  </si>
  <si>
    <t>门诊西药处方</t>
  </si>
  <si>
    <t>门（急）诊医师开具处方当日的公元纪日期的完整描述</t>
  </si>
  <si>
    <t>030201</t>
  </si>
  <si>
    <t>科室名称</t>
  </si>
  <si>
    <t>门（急）诊医师开具的处方的有效天数</t>
  </si>
  <si>
    <t>wmd_prescription</t>
  </si>
  <si>
    <t>DE08.50.056.00</t>
  </si>
  <si>
    <t>pres_drug_group_no</t>
  </si>
  <si>
    <t>presDrugGroupNo</t>
  </si>
  <si>
    <t>处方药品组号</t>
  </si>
  <si>
    <t>由系统从1开始根据自然递增的原则赋予每条新增医嘱的顺序号，用于标识大输液配液分组</t>
  </si>
  <si>
    <t>对处方信息的重要提示和补充说明</t>
  </si>
  <si>
    <t>门诊中药处方</t>
  </si>
  <si>
    <t>chm_prescription</t>
  </si>
  <si>
    <t>DE08.50.032.00</t>
  </si>
  <si>
    <t>chm_pres_class_code</t>
  </si>
  <si>
    <t>chmPresClassCode</t>
  </si>
  <si>
    <t>中药处方类别代码</t>
  </si>
  <si>
    <t>门（急）诊处方的中药类别的分类代码</t>
  </si>
  <si>
    <t>DE06.00.294.00</t>
  </si>
  <si>
    <t>pres_valid_day_count</t>
  </si>
  <si>
    <t>presValidDayCount</t>
  </si>
  <si>
    <t>处方有效天数</t>
  </si>
  <si>
    <t>DE08.50.049.00</t>
  </si>
  <si>
    <t>chm_slices_pres</t>
  </si>
  <si>
    <t>chmSlicesPres</t>
  </si>
  <si>
    <t>中药饮片处方</t>
  </si>
  <si>
    <t>中药饮片处方的详细描述</t>
  </si>
  <si>
    <t>DE08.50.050.00</t>
  </si>
  <si>
    <t>chm_slices_dosage_quantity</t>
  </si>
  <si>
    <t>chmSlicesDosageQuantity</t>
  </si>
  <si>
    <t>中药饮片剂数（剂）</t>
  </si>
  <si>
    <t>本次就诊给患者所开中药饮片的剂数，计量单位为剂</t>
  </si>
  <si>
    <t>中药饮片煎煮方法描述</t>
  </si>
  <si>
    <t>医疗费用记录</t>
  </si>
  <si>
    <t>DE07.00.007.00</t>
  </si>
  <si>
    <t>med_cost_pay_mode_code</t>
  </si>
  <si>
    <t>medCostPayModeCode</t>
  </si>
  <si>
    <t>医疗费用支付方式代码</t>
  </si>
  <si>
    <t>患者单次住院诊疗所发生费用的支付方式在特定编码体系中的代码(患者单次住院期间所发生费用的来源在特定编码体系中的编码)</t>
  </si>
  <si>
    <t>DE07.00.004.00</t>
  </si>
  <si>
    <t>outp_cost_amount</t>
  </si>
  <si>
    <t>outpCostAmount</t>
  </si>
  <si>
    <t>门(急)诊费用金额（元）</t>
  </si>
  <si>
    <t>患者门诊就诊所发生的费用金额，计量单位为人民币元(就诊者在某次门 (急) 诊就诊所发生的费用金额,计量单位为人民币元)</t>
  </si>
  <si>
    <t>DE07.00.010.00</t>
  </si>
  <si>
    <t>inp_cost_amount</t>
  </si>
  <si>
    <t>inpCostAmount</t>
  </si>
  <si>
    <t>住院费用金额（元）</t>
  </si>
  <si>
    <t>住院者在住院期间所有项目的费用，计量单位为人民币元</t>
  </si>
  <si>
    <t>DE07.00.001.00</t>
  </si>
  <si>
    <t>personal_cost</t>
  </si>
  <si>
    <t>personalCost</t>
  </si>
  <si>
    <t>个人承担费用（元）</t>
  </si>
  <si>
    <t>因治疗疾病个人承担的费用金额，计量单位为人民币元</t>
  </si>
  <si>
    <t>入出院记录</t>
  </si>
  <si>
    <t>DE01.00.014.00</t>
  </si>
  <si>
    <t>inp_no</t>
  </si>
  <si>
    <t>inpNo</t>
  </si>
  <si>
    <t>住院号</t>
  </si>
  <si>
    <t>按照某一特定编码规则赋予住院就诊对象的顺序号</t>
  </si>
  <si>
    <t>患者在医疗机构就诊的科室名称</t>
  </si>
  <si>
    <t>DE08.10.054.00</t>
  </si>
  <si>
    <t>ward_name</t>
  </si>
  <si>
    <t>wardName</t>
  </si>
  <si>
    <t>病区名称</t>
  </si>
  <si>
    <t>患者当前所在病区的名称</t>
  </si>
  <si>
    <t>病床号</t>
  </si>
  <si>
    <t>患者住院期间，所住床位对应的编号</t>
  </si>
  <si>
    <t>ZOE99.00.03.2035</t>
  </si>
  <si>
    <t>admission_dept_name</t>
  </si>
  <si>
    <t>admissionDeptName</t>
  </si>
  <si>
    <t>入院科室名称</t>
  </si>
  <si>
    <t>患者入院时，入住的科室名称</t>
  </si>
  <si>
    <t>ZOE99.00.03.2038</t>
  </si>
  <si>
    <t>admission_sickroom_name</t>
  </si>
  <si>
    <t>admissionSickroomName</t>
  </si>
  <si>
    <t>入院病房名称</t>
  </si>
  <si>
    <t>患者入院时，所住病房对应的编号</t>
  </si>
  <si>
    <t>ZOE99.00.03.2041</t>
  </si>
  <si>
    <t>transfer_dept_name</t>
  </si>
  <si>
    <t>transferDeptName</t>
  </si>
  <si>
    <t>转科科室名称</t>
  </si>
  <si>
    <t>患者住院期间转科的转入科室名称，如果超过一次以上的转科，用“→”转接表示</t>
  </si>
  <si>
    <t>ZOE99.00.03.2044</t>
  </si>
  <si>
    <t>discharge_dept_name</t>
  </si>
  <si>
    <t>dischargeDeptName</t>
  </si>
  <si>
    <t>出院科室名称</t>
  </si>
  <si>
    <t>患者出院时的科室名称</t>
  </si>
  <si>
    <t>ZOE99.00.03.2047</t>
  </si>
  <si>
    <t>discharge_sickroom_name</t>
  </si>
  <si>
    <t>dischargeSickroomName</t>
  </si>
  <si>
    <t>出院病房名称</t>
  </si>
  <si>
    <t>诊断信息</t>
  </si>
  <si>
    <t>ZOE99.00.02.148</t>
  </si>
  <si>
    <t>diag_id</t>
  </si>
  <si>
    <t>diagId</t>
  </si>
  <si>
    <t>诊断ID</t>
  </si>
  <si>
    <t>ZOE99.00.03.13209</t>
  </si>
  <si>
    <t>parent_diag_id</t>
  </si>
  <si>
    <t>parentDiagId</t>
  </si>
  <si>
    <t>上级诊断ID</t>
  </si>
  <si>
    <t>ZOE99.01.00.177</t>
  </si>
  <si>
    <t>patient_id</t>
  </si>
  <si>
    <t>patientId</t>
  </si>
  <si>
    <t>患者ID</t>
  </si>
  <si>
    <t>ZOE99.00.03.4232</t>
  </si>
  <si>
    <t>visit_no</t>
  </si>
  <si>
    <t>visitNo</t>
  </si>
  <si>
    <t>就诊号</t>
  </si>
  <si>
    <t>DE99.10.026.00</t>
  </si>
  <si>
    <t>diag_type_code</t>
  </si>
  <si>
    <t>diagTypeCode</t>
  </si>
  <si>
    <t>诊断类型代码</t>
  </si>
  <si>
    <t>ZOE99.00.00.131|1</t>
  </si>
  <si>
    <t>diag_type_name</t>
  </si>
  <si>
    <t>diagTypeName</t>
  </si>
  <si>
    <t>诊断类型名称</t>
  </si>
  <si>
    <t>ZOE99.00.03.2286</t>
  </si>
  <si>
    <t>tcm_diag_class_code</t>
  </si>
  <si>
    <t>tcmDiagClassCode</t>
  </si>
  <si>
    <t>中医诊断类别代码</t>
  </si>
  <si>
    <t>ZOE99.00.03.2287</t>
  </si>
  <si>
    <t>tcm_diag_class_name</t>
  </si>
  <si>
    <t>tcmDiagClassName</t>
  </si>
  <si>
    <t>中医诊断类别名称</t>
  </si>
  <si>
    <t>ZOE99.00.03.13216</t>
  </si>
  <si>
    <t>tcm_diag_type_code</t>
  </si>
  <si>
    <t>tcmDiagTypeCode</t>
  </si>
  <si>
    <t>中医诊断类型代码</t>
  </si>
  <si>
    <t>ZOE99.00.03.13217</t>
  </si>
  <si>
    <t>tcm_diag_type_name</t>
  </si>
  <si>
    <t>tcmDiagTypeName</t>
  </si>
  <si>
    <t>中医诊断类型名称</t>
  </si>
  <si>
    <t>ZOE99.00.00.133</t>
  </si>
  <si>
    <t>diag_seq_no</t>
  </si>
  <si>
    <t>diagSeqNo</t>
  </si>
  <si>
    <t>诊断序号</t>
  </si>
  <si>
    <t>ZOE99.00.03.7451</t>
  </si>
  <si>
    <t>diag_code</t>
  </si>
  <si>
    <t>diagCode</t>
  </si>
  <si>
    <t>诊断代码</t>
  </si>
  <si>
    <t>ZOE99.00.03.7456</t>
  </si>
  <si>
    <t>diag_name</t>
  </si>
  <si>
    <t>diagName</t>
  </si>
  <si>
    <t>诊断名称</t>
  </si>
  <si>
    <t>ZOE99.00.02.144</t>
  </si>
  <si>
    <t>diag_auxiliary_code</t>
  </si>
  <si>
    <t>diagAuxiliaryCode</t>
  </si>
  <si>
    <t>诊断辅助码</t>
  </si>
  <si>
    <t>ZOE99.00.02.145</t>
  </si>
  <si>
    <t>diag_additional_code</t>
  </si>
  <si>
    <t>diagAdditionalCode</t>
  </si>
  <si>
    <t>诊断附加码</t>
  </si>
  <si>
    <t>ZOE99.00.02.640|2</t>
  </si>
  <si>
    <t>diag_orient_code</t>
  </si>
  <si>
    <t>diagOrientCode</t>
  </si>
  <si>
    <t>诊断方位代码</t>
  </si>
  <si>
    <t>ZOE99.00.02.640|1</t>
  </si>
  <si>
    <t>diag_orient_name</t>
  </si>
  <si>
    <t>diagOrientName</t>
  </si>
  <si>
    <t>诊断方位名称</t>
  </si>
  <si>
    <t>ZOE99.00.03.7465</t>
  </si>
  <si>
    <t>diag_part_code</t>
  </si>
  <si>
    <t>diagPartCode</t>
  </si>
  <si>
    <t>诊断部位代码</t>
  </si>
  <si>
    <t>ZOE99.00.03.7466</t>
  </si>
  <si>
    <t>diag_part_name</t>
  </si>
  <si>
    <t>diagPartName</t>
  </si>
  <si>
    <t>诊断部位名称</t>
  </si>
  <si>
    <t>ZOE99.00.03.7463</t>
  </si>
  <si>
    <t>diag_explain</t>
  </si>
  <si>
    <t>diagExplain</t>
  </si>
  <si>
    <t>诊断说明</t>
  </si>
  <si>
    <t>ZOE99.00.03.7454</t>
  </si>
  <si>
    <t>diag_doctor_code</t>
  </si>
  <si>
    <t>diagDoctorCode</t>
  </si>
  <si>
    <t>诊断医生代码</t>
  </si>
  <si>
    <t>ZOE99.00.03.7455</t>
  </si>
  <si>
    <t>diag_doctor_name</t>
  </si>
  <si>
    <t>diagDoctorName</t>
  </si>
  <si>
    <t>诊断医生姓名</t>
  </si>
  <si>
    <t>DE05.01.059.00</t>
  </si>
  <si>
    <t>diag_time</t>
  </si>
  <si>
    <t>diagTime</t>
  </si>
  <si>
    <t>诊断时间</t>
  </si>
  <si>
    <t>ZOE99.00.03.6541</t>
  </si>
  <si>
    <t>emr_id</t>
  </si>
  <si>
    <t>emrId</t>
  </si>
  <si>
    <t>病历ID</t>
  </si>
  <si>
    <t>DE05.10.121.00</t>
  </si>
  <si>
    <t>med_cond_outcome_code</t>
  </si>
  <si>
    <t>medCondOutcomeCode</t>
  </si>
  <si>
    <t>病情转归代码</t>
  </si>
  <si>
    <t>患者所患的每种疾病的治疗结果类别在特定编码体系中的编码</t>
  </si>
  <si>
    <t>ZOE99.00.02.1513|1</t>
  </si>
  <si>
    <t>med_cond_outcome_name</t>
  </si>
  <si>
    <t>medCondOutcomeName</t>
  </si>
  <si>
    <t>病情转归名称</t>
  </si>
  <si>
    <t>ZOE99.00.03.2876</t>
  </si>
  <si>
    <t>admission_med_cond_code</t>
  </si>
  <si>
    <t>admissionMedCondCode</t>
  </si>
  <si>
    <t>入院病情代码</t>
  </si>
  <si>
    <t>ZOE99.00.03.2877</t>
  </si>
  <si>
    <t>admission_med_cond_name</t>
  </si>
  <si>
    <t>admissionMedCondName</t>
  </si>
  <si>
    <t>入院病情名称</t>
  </si>
  <si>
    <t>手术次数</t>
  </si>
  <si>
    <t>ZOE99.00.02.058</t>
  </si>
  <si>
    <t>treat_flag</t>
  </si>
  <si>
    <t>treatFlag</t>
  </si>
  <si>
    <t>治疗标志</t>
  </si>
  <si>
    <t>ZOE99.00.03.13218</t>
  </si>
  <si>
    <t>treat_name_flag</t>
  </si>
  <si>
    <t>treatNameFlag</t>
  </si>
  <si>
    <t>治疗名称标志</t>
  </si>
  <si>
    <t>ZOE99.00.03.2115</t>
  </si>
  <si>
    <t>tnm_stage_t</t>
  </si>
  <si>
    <t>tnmStageT</t>
  </si>
  <si>
    <t>TNM分期-T</t>
  </si>
  <si>
    <t>ZOE99.00.03.2106</t>
  </si>
  <si>
    <t>tnm_stage_n</t>
  </si>
  <si>
    <t>tnmStageN</t>
  </si>
  <si>
    <t>TNM分期-N</t>
  </si>
  <si>
    <t>ZOE99.00.03.2105</t>
  </si>
  <si>
    <t>tnm_stage_m</t>
  </si>
  <si>
    <t>tnmStageM</t>
  </si>
  <si>
    <t>TNM分期-M</t>
  </si>
  <si>
    <t>ZOE99.00.03.13219</t>
  </si>
  <si>
    <t>tnm_stage</t>
  </si>
  <si>
    <t>tnmStage</t>
  </si>
  <si>
    <t>TNM分期</t>
  </si>
  <si>
    <t>生命体征</t>
  </si>
  <si>
    <t>06</t>
  </si>
  <si>
    <t>患者佩戴起搏器后的心率，计量单位为次/min</t>
  </si>
  <si>
    <t>ZOE99.00.03.4467</t>
  </si>
  <si>
    <t>consc</t>
  </si>
  <si>
    <t>意识</t>
  </si>
  <si>
    <t>ZOE99.00.00.008</t>
  </si>
  <si>
    <t>bp</t>
  </si>
  <si>
    <t>血压</t>
  </si>
  <si>
    <t>ZOE99.00.00.018</t>
  </si>
  <si>
    <t>stool_cond</t>
  </si>
  <si>
    <t>stoolCond</t>
  </si>
  <si>
    <t>大便</t>
  </si>
  <si>
    <t>身高</t>
  </si>
  <si>
    <t>ZOE99.00.03.7285</t>
  </si>
  <si>
    <t>spo3_quantity</t>
  </si>
  <si>
    <t>spo3Quantity</t>
  </si>
  <si>
    <t>血氧量</t>
  </si>
  <si>
    <t>ZOE99.00.999.3325</t>
  </si>
  <si>
    <t>pain_degree</t>
  </si>
  <si>
    <t>painDegree</t>
  </si>
  <si>
    <t>疼痛程度</t>
  </si>
  <si>
    <t>ZOE99.00.999.3888</t>
  </si>
  <si>
    <t>meas_mode_code</t>
  </si>
  <si>
    <t>measModeCode</t>
  </si>
  <si>
    <t>测量方式代码</t>
  </si>
  <si>
    <t>ZOE99.00.999.4649</t>
  </si>
  <si>
    <t>perimeter_length</t>
  </si>
  <si>
    <t>perimeterLength</t>
  </si>
  <si>
    <t>围长</t>
  </si>
  <si>
    <t>ZOE99.00.999.6283</t>
  </si>
  <si>
    <t>body_temp_form_include_in_flag</t>
  </si>
  <si>
    <t>bodyTempFormIncludeInFlag</t>
  </si>
  <si>
    <t>体温单计入标志</t>
  </si>
  <si>
    <t>ZOE99.00.999.6284</t>
  </si>
  <si>
    <t>nursing_record_form_include_in_flag</t>
  </si>
  <si>
    <t>nursingRecordFormIncludeInFlag</t>
  </si>
  <si>
    <t>护理记录单计入标志</t>
  </si>
  <si>
    <t>特殊事件</t>
  </si>
  <si>
    <t>ZOE99.00.03.2457</t>
  </si>
  <si>
    <t>event_name</t>
  </si>
  <si>
    <t>eventName</t>
  </si>
  <si>
    <t>事件名称</t>
  </si>
  <si>
    <t>ZOE99.00.999.4659</t>
  </si>
  <si>
    <t>event_occur_time</t>
  </si>
  <si>
    <t>eventOccurTime</t>
  </si>
  <si>
    <t>事件发生时间</t>
  </si>
  <si>
    <t>出入量管理</t>
  </si>
  <si>
    <t>intake_output_management</t>
  </si>
  <si>
    <t>ZOE99.00.03.4303</t>
  </si>
  <si>
    <t>bed_no</t>
  </si>
  <si>
    <t>bedNo</t>
  </si>
  <si>
    <t>床位号</t>
  </si>
  <si>
    <t>ZOE99.00.999.3838</t>
  </si>
  <si>
    <t>io_type_code</t>
  </si>
  <si>
    <t>ioTypeCode</t>
  </si>
  <si>
    <t>出入量类型代码</t>
  </si>
  <si>
    <t>1=出量，2=入量</t>
  </si>
  <si>
    <t>ZOE99.00.999.3843</t>
  </si>
  <si>
    <t>io</t>
  </si>
  <si>
    <t>出入量</t>
  </si>
  <si>
    <t>ZOE99.00.999.3844</t>
  </si>
  <si>
    <t>io_unit_code</t>
  </si>
  <si>
    <t>ioUnitCode</t>
  </si>
  <si>
    <t>出入量单位代码</t>
  </si>
  <si>
    <t>ZOE99.00.999.3845</t>
  </si>
  <si>
    <t>io_meas_time</t>
  </si>
  <si>
    <t>ioMeasTime</t>
  </si>
  <si>
    <t>出入量测量时间</t>
  </si>
  <si>
    <t>ZOE99.00.999.3846</t>
  </si>
  <si>
    <t>io_name</t>
  </si>
  <si>
    <t>ioName</t>
  </si>
  <si>
    <t>出入量名称</t>
  </si>
  <si>
    <t>ZOE99.00.999.3887</t>
  </si>
  <si>
    <t>io_property_name</t>
  </si>
  <si>
    <t>ioPropertyName</t>
  </si>
  <si>
    <t>出入量性质名称</t>
  </si>
  <si>
    <t>药名/特性（入量的就是药名，出量就是特性）</t>
  </si>
  <si>
    <t>管路管理</t>
  </si>
  <si>
    <t>ZOE99.00.999.3851</t>
  </si>
  <si>
    <t>catheter_name</t>
  </si>
  <si>
    <t>catheterName</t>
  </si>
  <si>
    <t>导管名称</t>
  </si>
  <si>
    <t>导管置入时间</t>
  </si>
  <si>
    <t>导管拔除时间</t>
  </si>
  <si>
    <t>ZOE99.00.999.3858</t>
  </si>
  <si>
    <t>catheter_scale</t>
  </si>
  <si>
    <t>catheterScale</t>
  </si>
  <si>
    <t>导管刻度</t>
  </si>
  <si>
    <t>ZOE99.00.999.3859</t>
  </si>
  <si>
    <t>catheter_scale_type_code</t>
  </si>
  <si>
    <t>catheterScaleTypeCode</t>
  </si>
  <si>
    <t>导管刻度类型代码</t>
  </si>
  <si>
    <t>ZOE99.00.999.3863</t>
  </si>
  <si>
    <t>catheter_insert_part_name</t>
  </si>
  <si>
    <t>catheterInsertPartName</t>
  </si>
  <si>
    <t>导管置入部位名称</t>
  </si>
  <si>
    <t>ZOE99.00.999.6209</t>
  </si>
  <si>
    <t>orient_part_style_name</t>
  </si>
  <si>
    <t>orientPartStyleName</t>
  </si>
  <si>
    <t>方位部位样式名称</t>
  </si>
  <si>
    <t>ZOE99.00.999.3864</t>
  </si>
  <si>
    <t>indwelling_day_count</t>
  </si>
  <si>
    <t>indwellingDayCount</t>
  </si>
  <si>
    <t>留置天数</t>
  </si>
  <si>
    <t>血糖监测</t>
  </si>
  <si>
    <t>ZOE99.00.01.822</t>
  </si>
  <si>
    <t>bg_exam_date</t>
  </si>
  <si>
    <t>bgExamDate</t>
  </si>
  <si>
    <t>血糖-检查日期</t>
  </si>
  <si>
    <t>ZOE99.00.03.7308</t>
  </si>
  <si>
    <t>bg_value</t>
  </si>
  <si>
    <t>bgValue</t>
  </si>
  <si>
    <t>血糖值</t>
  </si>
  <si>
    <t>ZOE99.00.03.16533</t>
  </si>
  <si>
    <t>bg_unit_name</t>
  </si>
  <si>
    <t>bgUnitName</t>
  </si>
  <si>
    <t>血糖单位名称</t>
  </si>
  <si>
    <t>ZOE99.00.999.4681</t>
  </si>
  <si>
    <t>meas_time_segment</t>
  </si>
  <si>
    <t>measTimeSegment</t>
  </si>
  <si>
    <t>测量时间段</t>
  </si>
  <si>
    <t>ZOE99.00.999.4704</t>
  </si>
  <si>
    <t>meas_non_normal_reason</t>
  </si>
  <si>
    <t>measNonNormalReason</t>
  </si>
  <si>
    <t>测量不正常原因</t>
  </si>
  <si>
    <t>昏迷等级评估</t>
  </si>
  <si>
    <t>DE05.10.144.00</t>
  </si>
  <si>
    <t>assmnt_time</t>
  </si>
  <si>
    <t>assmntTime</t>
  </si>
  <si>
    <t>评估时间</t>
  </si>
  <si>
    <t>ZOE99.00.03.1900</t>
  </si>
  <si>
    <t>item_name</t>
  </si>
  <si>
    <t>itemName</t>
  </si>
  <si>
    <t>ZOE99.00.02.399</t>
  </si>
  <si>
    <t>assmnt_result</t>
  </si>
  <si>
    <t>assmntResult</t>
  </si>
  <si>
    <t>评估结果</t>
  </si>
  <si>
    <t>过敏史管理</t>
  </si>
  <si>
    <t>ZOE99.00.02.632</t>
  </si>
  <si>
    <t>content</t>
  </si>
  <si>
    <t>内容</t>
  </si>
  <si>
    <t>ZOE99.00.03.7674</t>
  </si>
  <si>
    <t>allergy_name</t>
  </si>
  <si>
    <t>allergyName</t>
  </si>
  <si>
    <t>过敏名称</t>
  </si>
  <si>
    <t>成人体征记录</t>
  </si>
  <si>
    <t>060108</t>
  </si>
  <si>
    <t>患者当前实际的住院天数</t>
  </si>
  <si>
    <t>DE06.00.270.00</t>
  </si>
  <si>
    <t>op_childbirth_day_quantity</t>
  </si>
  <si>
    <t>opChildbirthDayQuantity</t>
  </si>
  <si>
    <t>手术或分娩后天数</t>
  </si>
  <si>
    <t>截止当前记录日期为止，患者行手术或分娩后的天数</t>
  </si>
  <si>
    <t>DE06.00.239.00</t>
  </si>
  <si>
    <t>use_vent_flag</t>
  </si>
  <si>
    <t>useVentFlag</t>
  </si>
  <si>
    <t>使用呼吸机标志</t>
  </si>
  <si>
    <t>标识患者是否同意使用呼吸机辅助通气的标志</t>
  </si>
  <si>
    <t>adult_sign_record</t>
  </si>
  <si>
    <t>DE04.10.052.00</t>
  </si>
  <si>
    <t>abgi</t>
  </si>
  <si>
    <t>腹围（cm）</t>
  </si>
  <si>
    <t>患者腹部周长的测量值，计量单位为cm</t>
  </si>
  <si>
    <t>DE02.10.031.00</t>
  </si>
  <si>
    <t>observe_item_name</t>
  </si>
  <si>
    <t>observeItemName</t>
  </si>
  <si>
    <t>观察项目名称</t>
  </si>
  <si>
    <t>护理观察项目的名称，如患者神志状态、饮食情况，皮肤情况、氧疗情况、排尿排便情况，流量、出量、入量等等，根据护理内容的不同选择不同的观察项目名称</t>
  </si>
  <si>
    <t>对护理观察项目结果的详细描述</t>
  </si>
  <si>
    <t>入院护理评估</t>
  </si>
  <si>
    <t>ZOE99.00.03.1898</t>
  </si>
  <si>
    <t>item_id</t>
  </si>
  <si>
    <t>itemId</t>
  </si>
  <si>
    <t>项目ID</t>
  </si>
  <si>
    <t>ZOE99.00.03.13669</t>
  </si>
  <si>
    <t>parent_item_class_id</t>
  </si>
  <si>
    <t>parentItemClassId</t>
  </si>
  <si>
    <t>上级项目类别ID</t>
  </si>
  <si>
    <t>ZOE99.00.03.3067</t>
  </si>
  <si>
    <t>score_value</t>
  </si>
  <si>
    <t>scoreValue</t>
  </si>
  <si>
    <t>分值</t>
  </si>
  <si>
    <t>DE02.01.041.00</t>
  </si>
  <si>
    <t>academic_code</t>
  </si>
  <si>
    <t>academicCode</t>
  </si>
  <si>
    <t>学历代码</t>
  </si>
  <si>
    <t>患者本人受教育的最高程度类别在特定编码体系中的代码</t>
  </si>
  <si>
    <t>DE06.00.237.00</t>
  </si>
  <si>
    <t>enter_sickroom_mode</t>
  </si>
  <si>
    <t>enterSickroomMode</t>
  </si>
  <si>
    <t>进入病房方式</t>
  </si>
  <si>
    <t>患者进入病房时采用的方式，如步行、轮椅等</t>
  </si>
  <si>
    <t>患者出现的临床主要症状的描述</t>
  </si>
  <si>
    <t>因某种疾病或健康问题住院治疗的原因的描述</t>
  </si>
  <si>
    <t>DE03.00.080.00</t>
  </si>
  <si>
    <t>diet_cond_code</t>
  </si>
  <si>
    <t>dietCondCode</t>
  </si>
  <si>
    <t>饮食情况代码</t>
  </si>
  <si>
    <t>患者饮食情况所属类别的分类代码</t>
  </si>
  <si>
    <t>DE05.10.022.00</t>
  </si>
  <si>
    <t>development_degree_code</t>
  </si>
  <si>
    <t>developmentDegreeCode</t>
  </si>
  <si>
    <t>发育程度代码</t>
  </si>
  <si>
    <t>发育情况评估结果的分类代码</t>
  </si>
  <si>
    <t>DE05.10.065.00</t>
  </si>
  <si>
    <t>sleep_status</t>
  </si>
  <si>
    <t>sleepStatus</t>
  </si>
  <si>
    <t>睡眠状况</t>
  </si>
  <si>
    <t>患者睡眠状况的描述</t>
  </si>
  <si>
    <t>DE05.10.084.00</t>
  </si>
  <si>
    <t>psych_state_code</t>
  </si>
  <si>
    <t>psychStateCode</t>
  </si>
  <si>
    <t>心理状态代码</t>
  </si>
  <si>
    <t>患者心理状况的分类在特定编码体系中的代码</t>
  </si>
  <si>
    <t>DE05.10.097.00</t>
  </si>
  <si>
    <t>nutrition_state_code</t>
  </si>
  <si>
    <t>nutritionStateCode</t>
  </si>
  <si>
    <t>营养状态代码</t>
  </si>
  <si>
    <t>患者营养情况评估结果类别的分类代码</t>
  </si>
  <si>
    <t>DE05.10.122.00</t>
  </si>
  <si>
    <t>self_care_ability_code</t>
  </si>
  <si>
    <t>selfCareAbilityCode</t>
  </si>
  <si>
    <t>自理能力代码</t>
  </si>
  <si>
    <t>患者本人的基本生活自我照料能力的分类代码</t>
  </si>
  <si>
    <t>DE03.00.070.00</t>
  </si>
  <si>
    <t>smoking_flag</t>
  </si>
  <si>
    <t>smokingFlag</t>
  </si>
  <si>
    <t>吸烟标志</t>
  </si>
  <si>
    <t>标识患者是否吸烟的标志</t>
  </si>
  <si>
    <t>DE03.00.065.00</t>
  </si>
  <si>
    <t>stop_smoking_duration</t>
  </si>
  <si>
    <t>stopSmokingDuration</t>
  </si>
  <si>
    <t>停止吸烟时长（d）</t>
  </si>
  <si>
    <t>患者停止吸烟的总天数，计量单位为d</t>
  </si>
  <si>
    <t>DE03.00.073.00</t>
  </si>
  <si>
    <t>smoking_status_code</t>
  </si>
  <si>
    <t>smokingStatusCode</t>
  </si>
  <si>
    <t>吸烟状况代码</t>
  </si>
  <si>
    <t>患者过去和现在吸烟情况的分类代码</t>
  </si>
  <si>
    <t>DE03.00.053.00</t>
  </si>
  <si>
    <t>daily_smoking_quantity</t>
  </si>
  <si>
    <t>dailySmokingQuantity</t>
  </si>
  <si>
    <t>日吸烟量（支）</t>
  </si>
  <si>
    <t>最近1个月内平均每天的吸烟量，计量单位为支</t>
  </si>
  <si>
    <t>DE03.00.075.00</t>
  </si>
  <si>
    <t>drink_alcohol_flag</t>
  </si>
  <si>
    <t>drinkAlcoholFlag</t>
  </si>
  <si>
    <t>饮酒标志</t>
  </si>
  <si>
    <t>标识患者是否饮酒的标志</t>
  </si>
  <si>
    <t>DE03.00.076.00</t>
  </si>
  <si>
    <t>drink_alcohol_freq_code</t>
  </si>
  <si>
    <t>drinkAlcoholFreqCode</t>
  </si>
  <si>
    <t>饮酒频率代码</t>
  </si>
  <si>
    <t>患者饮酒频率分类在特定编码体系中的代码</t>
  </si>
  <si>
    <t>DE03.00.054.00</t>
  </si>
  <si>
    <t>daily_drink_alcohol_quantity</t>
  </si>
  <si>
    <t>dailyDrinkAlcoholQuantity</t>
  </si>
  <si>
    <t>日饮酒量（ml）</t>
  </si>
  <si>
    <t>患者平均每天的饮酒量相当于白酒量,计量单位为mL</t>
  </si>
  <si>
    <t>患者入院后接受护理评估结束时的公元纪年日期和时间的完整描述</t>
  </si>
  <si>
    <t>每日评估</t>
  </si>
  <si>
    <t>结果</t>
  </si>
  <si>
    <t>ZOE99.00.03.12868</t>
  </si>
  <si>
    <t>assmnt_total_score</t>
  </si>
  <si>
    <t>assmntTotalScore</t>
  </si>
  <si>
    <t>跌倒风险评估</t>
  </si>
  <si>
    <t>ZOE99.00.03.12880</t>
  </si>
  <si>
    <t>item_result_value</t>
  </si>
  <si>
    <t>itemResultValue</t>
  </si>
  <si>
    <t>项目结果值</t>
  </si>
  <si>
    <t>ZOE99.00.03.7417</t>
  </si>
  <si>
    <t>assmnt_score</t>
  </si>
  <si>
    <t>assmntScore</t>
  </si>
  <si>
    <t>评估分数</t>
  </si>
  <si>
    <t>ZOE99.00.00.299|2</t>
  </si>
  <si>
    <t>high_risk_class_code</t>
  </si>
  <si>
    <t>highRiskClassCode</t>
  </si>
  <si>
    <t>高危类别代码</t>
  </si>
  <si>
    <t>1=高风险 0=非高风险</t>
  </si>
  <si>
    <t>压疮风险评估量表</t>
  </si>
  <si>
    <t>评估总分</t>
  </si>
  <si>
    <t>肌力评估</t>
  </si>
  <si>
    <t>评估项目</t>
  </si>
  <si>
    <t>MRC肌力评估</t>
  </si>
  <si>
    <t>物理性约束评估</t>
  </si>
  <si>
    <t>1</t>
  </si>
  <si>
    <t>2</t>
  </si>
  <si>
    <t>3</t>
  </si>
  <si>
    <t>ADL风险评估</t>
  </si>
  <si>
    <t>评估项ID</t>
  </si>
  <si>
    <t>评估名称</t>
  </si>
  <si>
    <t>评估项结果</t>
  </si>
  <si>
    <t>分数</t>
  </si>
  <si>
    <t>评估项父级</t>
  </si>
  <si>
    <t>三管评估</t>
  </si>
  <si>
    <t>ZOE99.00.03.7324</t>
  </si>
  <si>
    <t>table_name</t>
  </si>
  <si>
    <t>tableName</t>
  </si>
  <si>
    <t>表格名称</t>
  </si>
  <si>
    <t>4</t>
  </si>
  <si>
    <t>ZOE99.00.03.12869</t>
  </si>
  <si>
    <t>assmnt_detail_item</t>
  </si>
  <si>
    <t>assmntDetailItem</t>
  </si>
  <si>
    <t>评估细项</t>
  </si>
  <si>
    <t>5</t>
  </si>
  <si>
    <t>6</t>
  </si>
  <si>
    <t>疼痛评估</t>
  </si>
  <si>
    <t>脆弱长者评估</t>
  </si>
  <si>
    <t>ZOE99.00.999.4931</t>
  </si>
  <si>
    <t>health_status</t>
  </si>
  <si>
    <t>healthStatus</t>
  </si>
  <si>
    <t>健康状况</t>
  </si>
  <si>
    <t>ZOE99.00.999.4344</t>
  </si>
  <si>
    <t>activity_ability</t>
  </si>
  <si>
    <t>activityAbility</t>
  </si>
  <si>
    <t>活动能力</t>
  </si>
  <si>
    <t>ZOE99.00.02.404</t>
  </si>
  <si>
    <t>daily_living_activity_ability_score</t>
  </si>
  <si>
    <t>dailyLivingActivityAbilityScore</t>
  </si>
  <si>
    <t>日常生活活动能力分值</t>
  </si>
  <si>
    <t>儿童跌倒风险评估</t>
  </si>
  <si>
    <t>简易体能状况量表SPPB</t>
  </si>
  <si>
    <t>出院评估与指导记录</t>
  </si>
  <si>
    <t>出院诊断在特定编码体系中的编码</t>
  </si>
  <si>
    <t>患者出院后用药指导的描述</t>
  </si>
  <si>
    <t>DE06.00.291.00</t>
  </si>
  <si>
    <t>diet_guidance_class_code</t>
  </si>
  <si>
    <t>dietGuidanceClassCode</t>
  </si>
  <si>
    <t>饮食指导类别代码</t>
  </si>
  <si>
    <t>饮食指导类别在特定编码体系中的代码</t>
  </si>
  <si>
    <t>DE06.00.238.00</t>
  </si>
  <si>
    <t>living_mode_guidance</t>
  </si>
  <si>
    <t>livingModeGuidance</t>
  </si>
  <si>
    <t>生活方式指导</t>
  </si>
  <si>
    <t>对患者出院后进行生活方式指导</t>
  </si>
  <si>
    <t>DE06.00.124.00</t>
  </si>
  <si>
    <t>propaganda_content</t>
  </si>
  <si>
    <t>propagandaContent</t>
  </si>
  <si>
    <t>宣教内容</t>
  </si>
  <si>
    <t>医护人员对服务对象进行相关宣传指导活动的详细描述</t>
  </si>
  <si>
    <t>DE06.00.299.00</t>
  </si>
  <si>
    <t>return_visit_guidance</t>
  </si>
  <si>
    <t>returnVisitGuidance</t>
  </si>
  <si>
    <t>复诊指导</t>
  </si>
  <si>
    <t>患者出院后再次就诊情况指导</t>
  </si>
  <si>
    <t>RASS评估</t>
  </si>
  <si>
    <t>COPT评估</t>
  </si>
  <si>
    <t>MMSE简易智能精神状态检查量表</t>
  </si>
  <si>
    <t>重症监护谵妄筛查量表</t>
  </si>
  <si>
    <t>CAM-ICU谵妄评估</t>
  </si>
  <si>
    <t>管道滑脱评估</t>
  </si>
  <si>
    <t>肠内营养耐受不良评估表</t>
  </si>
  <si>
    <t>洼田饮水试验</t>
  </si>
  <si>
    <t>PAT风险评估</t>
  </si>
  <si>
    <t>GAD-7焦虑自评量表</t>
  </si>
  <si>
    <t>PHQ-9抑郁自评量表</t>
  </si>
  <si>
    <t>PHQ-15躯体症状量表</t>
  </si>
  <si>
    <t>自主感觉劳累分级表（RPE）</t>
  </si>
  <si>
    <t>SF-36生活指数量表</t>
  </si>
  <si>
    <t>MNA微型营养评估表</t>
  </si>
  <si>
    <t>心脏健康餐盘</t>
  </si>
  <si>
    <t>尼古丁依赖量表</t>
  </si>
  <si>
    <t>PSQI匹茨堡睡眠质量指数量表</t>
  </si>
  <si>
    <t>库宾-杰克迅压疮评估量表</t>
  </si>
  <si>
    <t>普通护理记录单</t>
  </si>
  <si>
    <t>ZOE99.00.02.631</t>
  </si>
  <si>
    <t>重症护理记录单</t>
  </si>
  <si>
    <t>060403</t>
  </si>
  <si>
    <t>一般护理记录</t>
  </si>
  <si>
    <t>critical_nursing_record</t>
  </si>
  <si>
    <t>DE06.00.211.00</t>
  </si>
  <si>
    <t>nursing_grade_code</t>
  </si>
  <si>
    <t>nursingGradeCode</t>
  </si>
  <si>
    <t>护理等级代码</t>
  </si>
  <si>
    <t>护理级别的分类在特定编码体系中的代码</t>
  </si>
  <si>
    <t>DE06.00.212.00</t>
  </si>
  <si>
    <t>nursing_type_code</t>
  </si>
  <si>
    <t>nursingTypeCode</t>
  </si>
  <si>
    <t>护理类型代码</t>
  </si>
  <si>
    <t>护理类型的分类在特定编码体系中的代码</t>
  </si>
  <si>
    <t>DE04.50.149.00</t>
  </si>
  <si>
    <t>spo2_value</t>
  </si>
  <si>
    <t>spo2Value</t>
  </si>
  <si>
    <t>血氧饱和度（%）</t>
  </si>
  <si>
    <t>脉搏血氧饱和度的测量值，计量单位为%</t>
  </si>
  <si>
    <t>DE04.10.237.00</t>
  </si>
  <si>
    <t>doped_artery_pulsate_flag</t>
  </si>
  <si>
    <t>dopedArteryPulsateFlag</t>
  </si>
  <si>
    <t>足背动脉搏动标志</t>
  </si>
  <si>
    <t>标识患者是否存在足背动脉搏动的标志</t>
  </si>
  <si>
    <t>general_nursing_record</t>
  </si>
  <si>
    <t>ZOE99.00.02.301</t>
  </si>
  <si>
    <t>catheter_nursing_desc</t>
  </si>
  <si>
    <t>catheterNursingDesc</t>
  </si>
  <si>
    <t>导管护理描述</t>
  </si>
  <si>
    <t>对患者进行导管护理的详细描述</t>
  </si>
  <si>
    <t>DE06.00.229.00</t>
  </si>
  <si>
    <t>trachea_nursing_code</t>
  </si>
  <si>
    <t>tracheaNursingCode</t>
  </si>
  <si>
    <t>气管护理代码</t>
  </si>
  <si>
    <t>气管护理类别的分类代码</t>
  </si>
  <si>
    <t>DE04.10.259.00</t>
  </si>
  <si>
    <t>body_pos_nursing</t>
  </si>
  <si>
    <t>bodyPosNursing</t>
  </si>
  <si>
    <t>体位护理</t>
  </si>
  <si>
    <t>标识体位护理的描述</t>
  </si>
  <si>
    <t>DE04.50.068.00</t>
  </si>
  <si>
    <t>skin_body_hair_exam_result</t>
  </si>
  <si>
    <t>skinBodyHairExamResult</t>
  </si>
  <si>
    <t>皮肤/毛发检查结果</t>
  </si>
  <si>
    <t>对患者进行皮肤护理的描述</t>
  </si>
  <si>
    <t>DE06.00.292.00</t>
  </si>
  <si>
    <t>nutrition_nursing</t>
  </si>
  <si>
    <t>nutritionNursing</t>
  </si>
  <si>
    <t>营养护理</t>
  </si>
  <si>
    <t>营养护理的描述</t>
  </si>
  <si>
    <t>DE06.00.283.00</t>
  </si>
  <si>
    <t>psych_nursing_code</t>
  </si>
  <si>
    <t>psychNursingCode</t>
  </si>
  <si>
    <t>心理护理代码</t>
  </si>
  <si>
    <t>心理护理类别的分类代码</t>
  </si>
  <si>
    <t>DE06.00.178.00</t>
  </si>
  <si>
    <t>safety_nursing_code</t>
  </si>
  <si>
    <t>safetyNursingCode</t>
  </si>
  <si>
    <t>安全护理代码</t>
  </si>
  <si>
    <t>安全护理类别的分类代码</t>
  </si>
  <si>
    <t>对病人简要病情的描述</t>
  </si>
  <si>
    <t>DE06.00.342.00</t>
  </si>
  <si>
    <t>nursing_oper_name</t>
  </si>
  <si>
    <t>nursingOperName</t>
  </si>
  <si>
    <t>护理操作名称</t>
  </si>
  <si>
    <t>进行护理操作的具体名称</t>
  </si>
  <si>
    <t>DE06.00.210.00</t>
  </si>
  <si>
    <t>nursing_oper_item_name</t>
  </si>
  <si>
    <t>nursingOperItemName</t>
  </si>
  <si>
    <t>护理操作项目类目名称</t>
  </si>
  <si>
    <t>多个护理操作项目的名称</t>
  </si>
  <si>
    <t>DE06.00.209.00</t>
  </si>
  <si>
    <t>nursing_oper_result</t>
  </si>
  <si>
    <t>nursingOperResult</t>
  </si>
  <si>
    <t>护理操作结果</t>
  </si>
  <si>
    <t>多个护理操作结果的详细描述</t>
  </si>
  <si>
    <t>ZOE99.00.02.296</t>
  </si>
  <si>
    <t>send_op_safety_check_flag</t>
  </si>
  <si>
    <t>sendOpSafetyCheckFlag</t>
  </si>
  <si>
    <t>发出手术安全核对表标志</t>
  </si>
  <si>
    <t>对接受手术治疗的患者，标识是否已发出手术安全核对表的标志</t>
  </si>
  <si>
    <t>ZOE99.00.03.2013</t>
  </si>
  <si>
    <t>take_back_op_safety_check_flag</t>
  </si>
  <si>
    <t>takeBackOpSafetyCheckFlag</t>
  </si>
  <si>
    <t>收回手术安全核对表标志</t>
  </si>
  <si>
    <t>对接受手术治疗的患者，标识是否已收回手术安全核对表的标志</t>
  </si>
  <si>
    <t>ZOE99.00.02.298</t>
  </si>
  <si>
    <t>send_op_risk_assmnt_flag</t>
  </si>
  <si>
    <t>sendOpRiskAssmntFlag</t>
  </si>
  <si>
    <t>发出手术风险评估表标志</t>
  </si>
  <si>
    <t>对接受手术治疗的患者，标识是否已发出手术风险评估表的标志</t>
  </si>
  <si>
    <t>ZOE99.00.02.299</t>
  </si>
  <si>
    <t>take_back_op_risk_assmnt_flag</t>
  </si>
  <si>
    <t>takeBackOpRiskAssmntFlag</t>
  </si>
  <si>
    <t>收回手术风险评估表标志</t>
  </si>
  <si>
    <t>对接受手术治疗的患者，标识是否已收回手术风险评估表的标志</t>
  </si>
  <si>
    <t>DE06.00.201.00</t>
  </si>
  <si>
    <t>isolation_flag</t>
  </si>
  <si>
    <t>isolationFlag</t>
  </si>
  <si>
    <t>隔离标志</t>
  </si>
  <si>
    <t>标识对患者是否采取隔离措施的标志</t>
  </si>
  <si>
    <t>DE06.00.202.00</t>
  </si>
  <si>
    <t>isolation_kind_code</t>
  </si>
  <si>
    <t>isolationKindCode</t>
  </si>
  <si>
    <t>隔离种类代码</t>
  </si>
  <si>
    <t>对患者采取的隔离种类在特定编码体系中的代码</t>
  </si>
  <si>
    <t>出入量记录</t>
  </si>
  <si>
    <t>DE04.01.048.00</t>
  </si>
  <si>
    <t>vomiting_flag</t>
  </si>
  <si>
    <t>vomitingFlag</t>
  </si>
  <si>
    <t>呕吐标志</t>
  </si>
  <si>
    <t>标识患者是否有呕吐症状的标志</t>
  </si>
  <si>
    <t>DE04.01.051.00</t>
  </si>
  <si>
    <t>dysuria_flag</t>
  </si>
  <si>
    <t>dysuriaFlag</t>
  </si>
  <si>
    <t>排尿困难标志</t>
  </si>
  <si>
    <t>标识患者是否有排尿困难症状的标志</t>
  </si>
  <si>
    <t>手术护理记录</t>
  </si>
  <si>
    <t>为患者实施手术的主要执行人员的在公安户籍管理部门正式登记注册的姓氏和名称</t>
  </si>
  <si>
    <t>ZOE99.00.03.4706</t>
  </si>
  <si>
    <t>op_end_time</t>
  </si>
  <si>
    <t>opEndTime</t>
  </si>
  <si>
    <t>手术结束时间</t>
  </si>
  <si>
    <t>ZOE99.00.02.335</t>
  </si>
  <si>
    <t>skin_exam_desc</t>
  </si>
  <si>
    <t>skinExamDesc</t>
  </si>
  <si>
    <t>皮肤检查描述</t>
  </si>
  <si>
    <t>皮肤检查结果的详细描述</t>
  </si>
  <si>
    <t>DE06.00.236.00</t>
  </si>
  <si>
    <t>enter_op_room_time</t>
  </si>
  <si>
    <t>enterOpRoomTime</t>
  </si>
  <si>
    <t>进入手术室时间</t>
  </si>
  <si>
    <t>患者进入手术室时的公元纪年日期和时间的完整描述</t>
  </si>
  <si>
    <t>DE06.00.317.00</t>
  </si>
  <si>
    <t>preparation_matter</t>
  </si>
  <si>
    <t>preparationMatter</t>
  </si>
  <si>
    <t>准备事项</t>
  </si>
  <si>
    <t>针对病人实施手术的准备工作描述</t>
  </si>
  <si>
    <t>DE04.30.060.00</t>
  </si>
  <si>
    <t>intraop_path_flag</t>
  </si>
  <si>
    <t>intraopPathFlag</t>
  </si>
  <si>
    <t>术中病理标志</t>
  </si>
  <si>
    <t>标识术中手术标本是否进行病理切片检查的标志</t>
  </si>
  <si>
    <t>DE08.50.042.00</t>
  </si>
  <si>
    <t>intraop_use_goods_name</t>
  </si>
  <si>
    <t>intraopUseGoodsName</t>
  </si>
  <si>
    <t>术中所用物品名称</t>
  </si>
  <si>
    <t>术中所用物品的名称</t>
  </si>
  <si>
    <t>DE09.00.111.00</t>
  </si>
  <si>
    <t>preop_inv_check_flag</t>
  </si>
  <si>
    <t>preopInvCheckFlag</t>
  </si>
  <si>
    <t>术前清点标志</t>
  </si>
  <si>
    <t>标识术前是否对即将使用的物品进行清点的标志</t>
  </si>
  <si>
    <t>ZOE99.00.03.2014</t>
  </si>
  <si>
    <t>pre_clos_check_flag</t>
  </si>
  <si>
    <t>preClosCheckFlag</t>
  </si>
  <si>
    <t>关前核对标志</t>
  </si>
  <si>
    <t>标识手术切口缝合前对物品是否进行了清点核对的标志</t>
  </si>
  <si>
    <t>ZOE99.00.03.2015</t>
  </si>
  <si>
    <t>post_clos_check_flag</t>
  </si>
  <si>
    <t>postClosCheckFlag</t>
  </si>
  <si>
    <t>关后核对标志</t>
  </si>
  <si>
    <t>标识手术切口缝合后对物品是否进行了清点核对的标志</t>
  </si>
  <si>
    <t>DE06.00.206.00</t>
  </si>
  <si>
    <t>patient_handover_item</t>
  </si>
  <si>
    <t>patientHandoverItem</t>
  </si>
  <si>
    <t>患者交接核对项目</t>
  </si>
  <si>
    <t>病人在进行交接时需要核对的项目名称</t>
  </si>
  <si>
    <t>DE09.00.107.00</t>
  </si>
  <si>
    <t>handover_time</t>
  </si>
  <si>
    <t>handoverTime</t>
  </si>
  <si>
    <t>交接时间</t>
  </si>
  <si>
    <t>手术患者在转运过程（术前交接、术后交接及麻醉恢复后患者交接）中进行交接时的公元纪年日期和时间的完整描述</t>
  </si>
  <si>
    <t>病危病重护理记录</t>
  </si>
  <si>
    <t>DE04.50.102.00</t>
  </si>
  <si>
    <t>bg_test_value</t>
  </si>
  <si>
    <t>bgTestValue</t>
  </si>
  <si>
    <t>血糖检测值（mmol/L）</t>
  </si>
  <si>
    <t>空腹时血液中葡萄糖定量检测结果值，计量单位为mmol/L</t>
  </si>
  <si>
    <t>DE06.00.207.00</t>
  </si>
  <si>
    <t>vent_guardian_item</t>
  </si>
  <si>
    <t>ventGuardianItem</t>
  </si>
  <si>
    <t>呼吸机监护项目</t>
  </si>
  <si>
    <t>对呼吸机监测项目的描述</t>
  </si>
  <si>
    <t>护理计划</t>
  </si>
  <si>
    <t>ZOE99.00.03.12862</t>
  </si>
  <si>
    <t>meas_time</t>
  </si>
  <si>
    <t>measTime</t>
  </si>
  <si>
    <t>测量时间</t>
  </si>
  <si>
    <t>ZOE99.00.999.4705</t>
  </si>
  <si>
    <t>nursing_diag_name</t>
  </si>
  <si>
    <t>nursingDiagName</t>
  </si>
  <si>
    <t>护理诊断名称</t>
  </si>
  <si>
    <t>ZOE99.00.999.4727</t>
  </si>
  <si>
    <t>relevant_factor</t>
  </si>
  <si>
    <t>relevantFactor</t>
  </si>
  <si>
    <t>相关因素</t>
  </si>
  <si>
    <t>ZOE99.00.03.16402</t>
  </si>
  <si>
    <t>charact</t>
  </si>
  <si>
    <t>性状</t>
  </si>
  <si>
    <t>ZOE99.00.999.4709</t>
  </si>
  <si>
    <t>nursing_target</t>
  </si>
  <si>
    <t>nursingTarget</t>
  </si>
  <si>
    <t>护理目标</t>
  </si>
  <si>
    <t>ZOE99.00.999.4708</t>
  </si>
  <si>
    <t>nursing_measure</t>
  </si>
  <si>
    <t>nursingMeasure</t>
  </si>
  <si>
    <t>护理措施</t>
  </si>
  <si>
    <t>护理指导</t>
  </si>
  <si>
    <t>DE08.10.025.00</t>
  </si>
  <si>
    <t>dept_code</t>
  </si>
  <si>
    <t>deptCode</t>
  </si>
  <si>
    <t>科室代码</t>
  </si>
  <si>
    <t>ZOE99.00.999.4710</t>
  </si>
  <si>
    <t>nursing_guidance_item_name</t>
  </si>
  <si>
    <t>nursingGuidanceItemName</t>
  </si>
  <si>
    <t>护理指导项目名称</t>
  </si>
  <si>
    <t>ZOE99.00.999.4713</t>
  </si>
  <si>
    <t>nursing_guidance_item_detail</t>
  </si>
  <si>
    <t>nursingGuidanceItemDetail</t>
  </si>
  <si>
    <t>护理指导项目明细</t>
  </si>
  <si>
    <t>护理计划记录</t>
  </si>
  <si>
    <t>DE05.10.136.00</t>
  </si>
  <si>
    <t>nursing_problem</t>
  </si>
  <si>
    <t>nursingProblem</t>
  </si>
  <si>
    <t>护理问题</t>
  </si>
  <si>
    <t>患者入院后需要采取相应护理措施的问题描述</t>
  </si>
  <si>
    <t>床旁交班</t>
  </si>
  <si>
    <t>DE02.01.039.65</t>
  </si>
  <si>
    <t>shift_change_person_name</t>
  </si>
  <si>
    <t>shiftChangePersonName</t>
  </si>
  <si>
    <t>交班者姓名</t>
  </si>
  <si>
    <t>DE02.01.039.66</t>
  </si>
  <si>
    <t>takeover_pers_name</t>
  </si>
  <si>
    <t>takeoverPersName</t>
  </si>
  <si>
    <t>接班者姓名</t>
  </si>
  <si>
    <t>ZOE99.00.03.4897</t>
  </si>
  <si>
    <t>nurse_shift_time</t>
  </si>
  <si>
    <t>nurseShiftTime</t>
  </si>
  <si>
    <t>交班时间</t>
  </si>
  <si>
    <t>ZOE99.00.03.145</t>
  </si>
  <si>
    <t>de_data_type_name</t>
  </si>
  <si>
    <t>deDataTypeName</t>
  </si>
  <si>
    <t>数据元数据类型名称</t>
  </si>
  <si>
    <t>PDA执行记录</t>
  </si>
  <si>
    <t>DE99.02.006.00</t>
  </si>
  <si>
    <t>order_no</t>
  </si>
  <si>
    <t>orderNo</t>
  </si>
  <si>
    <t>医嘱号</t>
  </si>
  <si>
    <t>ZOE99.00.03.3354</t>
  </si>
  <si>
    <t>order_sub_no</t>
  </si>
  <si>
    <t>orderSubNo</t>
  </si>
  <si>
    <t>医嘱子序号</t>
  </si>
  <si>
    <t>执行状态</t>
  </si>
  <si>
    <t>ZOE99.01.00.164</t>
  </si>
  <si>
    <t>exec_time</t>
  </si>
  <si>
    <t>execTime</t>
  </si>
  <si>
    <t>PDA执行时间</t>
  </si>
  <si>
    <t>DE02.01.039.47</t>
  </si>
  <si>
    <t>order_executor_name</t>
  </si>
  <si>
    <t>orderExecutorName</t>
  </si>
  <si>
    <t>PDA执行人</t>
  </si>
  <si>
    <t>实时监测</t>
  </si>
  <si>
    <t>ZOE99.00.02.1239|1</t>
  </si>
  <si>
    <t>routine_monitor_item_name</t>
  </si>
  <si>
    <t>routineMonitorItemName</t>
  </si>
  <si>
    <t>常规监测项目名称</t>
  </si>
  <si>
    <t>重症出入量</t>
  </si>
  <si>
    <t>ZOE99.00.01.687</t>
  </si>
  <si>
    <t>use_other_drug_name</t>
  </si>
  <si>
    <t>useOtherDrugName</t>
  </si>
  <si>
    <t>使用其他药品名称</t>
  </si>
  <si>
    <t>ZOE99.00.03.6478</t>
  </si>
  <si>
    <t>patient_weight</t>
  </si>
  <si>
    <t>patientWeight</t>
  </si>
  <si>
    <t>患者体重</t>
  </si>
  <si>
    <t>ZOE99.00.999.4717</t>
  </si>
  <si>
    <t>flow_v</t>
  </si>
  <si>
    <t>flowV</t>
  </si>
  <si>
    <t>流速</t>
  </si>
  <si>
    <t>ZOE99.00.999.4718</t>
  </si>
  <si>
    <t>flow_v_unit_name</t>
  </si>
  <si>
    <t>flowVUnitName</t>
  </si>
  <si>
    <t>流速单位名称</t>
  </si>
  <si>
    <t>ZOE99.00.999.4719</t>
  </si>
  <si>
    <t>activity_drug_dosage</t>
  </si>
  <si>
    <t>activityDrugDosage</t>
  </si>
  <si>
    <t>活性药品剂量</t>
  </si>
  <si>
    <t>ZOE99.00.999.4721</t>
  </si>
  <si>
    <t>activity_drug_name</t>
  </si>
  <si>
    <t>activityDrugName</t>
  </si>
  <si>
    <t>活性药品名称</t>
  </si>
  <si>
    <t>ZOE99.00.999.4722</t>
  </si>
  <si>
    <t>other_drug_dosage</t>
  </si>
  <si>
    <t>otherDrugDosage</t>
  </si>
  <si>
    <t>其他药品剂量</t>
  </si>
  <si>
    <t>辅助维生设备</t>
  </si>
  <si>
    <t>ZOE99.00.03.5077</t>
  </si>
  <si>
    <t>indicator_name</t>
  </si>
  <si>
    <t>indicatorName</t>
  </si>
  <si>
    <t>指标名称</t>
  </si>
  <si>
    <t>ZOE99.00.03.3160</t>
  </si>
  <si>
    <t>delete_flag</t>
  </si>
  <si>
    <t>deleteFlag</t>
  </si>
  <si>
    <t>删除标志</t>
  </si>
  <si>
    <t>ZOE99.00.02.5891</t>
  </si>
  <si>
    <t>oper_start_time</t>
  </si>
  <si>
    <t>operStartTime</t>
  </si>
  <si>
    <t>操作开始时间</t>
  </si>
  <si>
    <t>ZOE99.00.999.3877</t>
  </si>
  <si>
    <t>equip_running_mode_name</t>
  </si>
  <si>
    <t>equipRunningModeName</t>
  </si>
  <si>
    <t>设备运行模式名称</t>
  </si>
  <si>
    <t>ZOE99.00.999.3879</t>
  </si>
  <si>
    <t>equip_model_name</t>
  </si>
  <si>
    <t>equipModelName</t>
  </si>
  <si>
    <t>设备型号名称</t>
  </si>
  <si>
    <t>ZOE99.00.999.3881</t>
  </si>
  <si>
    <t>power_down_time</t>
  </si>
  <si>
    <t>powerDownTime</t>
  </si>
  <si>
    <t>断电时间</t>
  </si>
  <si>
    <t>ZOE99.00.999.3883</t>
  </si>
  <si>
    <t>monitor_value_1</t>
  </si>
  <si>
    <t>monitorValue1</t>
  </si>
  <si>
    <t>监测数值0</t>
  </si>
  <si>
    <t>ZOE99.00.999.3885</t>
  </si>
  <si>
    <t>monitor_value_1_unit_code</t>
  </si>
  <si>
    <t>monitorValue1UnitCode</t>
  </si>
  <si>
    <t>监测数值0单位代码</t>
  </si>
  <si>
    <t>ZOE99.00.999.3884</t>
  </si>
  <si>
    <t>monitor_value_2</t>
  </si>
  <si>
    <t>monitorValue2</t>
  </si>
  <si>
    <t>监测数值1</t>
  </si>
  <si>
    <t>ZOE99.00.999.3886</t>
  </si>
  <si>
    <t>monitor_value_2_unit_code</t>
  </si>
  <si>
    <t>monitorValue2UnitCode</t>
  </si>
  <si>
    <t>监测数值1单位代码</t>
  </si>
  <si>
    <t>ZOE99.00.999.3882</t>
  </si>
  <si>
    <t>lower_line_time</t>
  </si>
  <si>
    <t>lowerLineTime</t>
  </si>
  <si>
    <t>下线时间</t>
  </si>
  <si>
    <t>心力衰竭照顾者出院清单</t>
  </si>
  <si>
    <t>心衰患者自我管理清单核查单</t>
  </si>
  <si>
    <t>060902</t>
  </si>
  <si>
    <t>手术记录单</t>
  </si>
  <si>
    <t>ZOE99.00.03.5792</t>
  </si>
  <si>
    <t>preop_diag_name</t>
  </si>
  <si>
    <t>preopDiagName</t>
  </si>
  <si>
    <t>术前诊断</t>
  </si>
  <si>
    <t>ZOE99.00.03.5825</t>
  </si>
  <si>
    <t>postop_diag_name</t>
  </si>
  <si>
    <t>postopDiagName</t>
  </si>
  <si>
    <t>术后诊断</t>
  </si>
  <si>
    <t>ZOE99.00.03.4529</t>
  </si>
  <si>
    <t>op_code</t>
  </si>
  <si>
    <t>opCode</t>
  </si>
  <si>
    <t>手术编码</t>
  </si>
  <si>
    <t>ZOE99.00.03.4573</t>
  </si>
  <si>
    <t>op_name</t>
  </si>
  <si>
    <t>opName</t>
  </si>
  <si>
    <t>手术名称</t>
  </si>
  <si>
    <t>ZOE99.00.02.1774</t>
  </si>
  <si>
    <t>op_process_1</t>
  </si>
  <si>
    <t>opProcess1</t>
  </si>
  <si>
    <t>主手术经过</t>
  </si>
  <si>
    <t>ZOE99.00.02.1775</t>
  </si>
  <si>
    <t>op_process_2</t>
  </si>
  <si>
    <t>opProcess2</t>
  </si>
  <si>
    <t>辅手术经过</t>
  </si>
  <si>
    <t>ZOE99.00.03.11505</t>
  </si>
  <si>
    <t>surgeon_name</t>
  </si>
  <si>
    <t>surgeonName</t>
  </si>
  <si>
    <t>术者</t>
  </si>
  <si>
    <t>一助</t>
  </si>
  <si>
    <t>二助</t>
  </si>
  <si>
    <t>三助</t>
  </si>
  <si>
    <t>麻醉医师</t>
  </si>
  <si>
    <t>麻醉方法</t>
  </si>
  <si>
    <t>ZOE99.00.03.4249</t>
  </si>
  <si>
    <t>circuit_nurse_name</t>
  </si>
  <si>
    <t>circuitNurseName</t>
  </si>
  <si>
    <t>手术巡回护士</t>
  </si>
  <si>
    <t>待产记录</t>
  </si>
  <si>
    <t>DE04.01.108.00</t>
  </si>
  <si>
    <t>preg_times</t>
  </si>
  <si>
    <t>pregTimes</t>
  </si>
  <si>
    <t>孕次</t>
  </si>
  <si>
    <t>妊娠次数的累计值，包括异位妊娠，计量单位为次</t>
  </si>
  <si>
    <t>DE02.10.002.00</t>
  </si>
  <si>
    <t>labor_times</t>
  </si>
  <si>
    <t>laborTimes</t>
  </si>
  <si>
    <t>产次</t>
  </si>
  <si>
    <t>产妇分娩总次数，包括28周后的引产，双多胎分娩只计1次</t>
  </si>
  <si>
    <t>DE02.10.051.00</t>
  </si>
  <si>
    <t>last_menses_date</t>
  </si>
  <si>
    <t>lastMensesDate</t>
  </si>
  <si>
    <t>末次月经日期</t>
  </si>
  <si>
    <t>末次月经首日的公元纪年日期的完整描述</t>
  </si>
  <si>
    <t>DE06.00.261.00</t>
  </si>
  <si>
    <t>conception_situation_code</t>
  </si>
  <si>
    <t>conceptionSituationCode</t>
  </si>
  <si>
    <t>受孕形式代码</t>
  </si>
  <si>
    <t>受孕采取的形式的分类代码</t>
  </si>
  <si>
    <t>DE05.10.098.00</t>
  </si>
  <si>
    <t>cdc</t>
  </si>
  <si>
    <t>预产期</t>
  </si>
  <si>
    <t>根据产妇末次月经首日推算的预产期的公元纪年日期的完整描述</t>
  </si>
  <si>
    <t>DE04.10.013.00</t>
  </si>
  <si>
    <t>antepartum_exam_flag</t>
  </si>
  <si>
    <t>antepartumExamFlag</t>
  </si>
  <si>
    <t>产前检查标志</t>
  </si>
  <si>
    <t>标识孕期患者是否已进行产前检查的标志</t>
  </si>
  <si>
    <t>DE05.10.161.00</t>
  </si>
  <si>
    <t>antepartum_exam_abn_cond</t>
  </si>
  <si>
    <t>antepartumExamAbnCond</t>
  </si>
  <si>
    <t>产前检查异常情况</t>
  </si>
  <si>
    <t>产妇产前检查异常情况的详细描述</t>
  </si>
  <si>
    <t>产妇孕前体重的测量值，计量单位为kg</t>
  </si>
  <si>
    <t>产妇身高的测量值，计量单位为cm</t>
  </si>
  <si>
    <t>ZOE99.00.02.285</t>
  </si>
  <si>
    <t>antepartum_weight</t>
  </si>
  <si>
    <t>antepartumWeight</t>
  </si>
  <si>
    <t>产前体重（kg）</t>
  </si>
  <si>
    <t>产妇产前体重的测量值，计量单位为kg</t>
  </si>
  <si>
    <t>对产妇此次妊娠特殊情况的详细描述</t>
  </si>
  <si>
    <t>对产妇既往孕产史的详细描述</t>
  </si>
  <si>
    <t>患者耻骨联合上缘至子宫底部距离的测量值，计量单位为cm</t>
  </si>
  <si>
    <t>DE04.10.183.00</t>
  </si>
  <si>
    <t>fet_heart_rate</t>
  </si>
  <si>
    <t>fetHeartRate</t>
  </si>
  <si>
    <t>胎心率（次/min）</t>
  </si>
  <si>
    <t>每分钟胎儿胎心搏动的次数，计量单位为次/min</t>
  </si>
  <si>
    <t>DE05.10.135.00</t>
  </si>
  <si>
    <t>dystocia_cond_assmnt</t>
  </si>
  <si>
    <t>dystociaCondAssmnt</t>
  </si>
  <si>
    <t>难产情况评估</t>
  </si>
  <si>
    <t>对头位难产情况的评估</t>
  </si>
  <si>
    <t>DE04.10.247.00</t>
  </si>
  <si>
    <t>outlet_td</t>
  </si>
  <si>
    <t>outletTd</t>
  </si>
  <si>
    <t>出口横径（cm）</t>
  </si>
  <si>
    <t>产妇出口横径的测量值，计量单位为cm</t>
  </si>
  <si>
    <t>DE04.10.175.00</t>
  </si>
  <si>
    <t>external_conjugate</t>
  </si>
  <si>
    <t>externalConjugate</t>
  </si>
  <si>
    <t>骶耻外径（cm）</t>
  </si>
  <si>
    <t>产妇第5腰椎棘突下至耻骨联合上缘中点距离的测量值,计量单位为cm</t>
  </si>
  <si>
    <t>DE04.10.239.00</t>
  </si>
  <si>
    <t>istu_dia</t>
  </si>
  <si>
    <t>istuDia</t>
  </si>
  <si>
    <t>坐骨结节间径（cm）</t>
  </si>
  <si>
    <t>产妇两坐骨结节内侧缘的距离的测量值，又称骨盆出口横径，计量单位为cm</t>
  </si>
  <si>
    <t>对产妇宫缩强弱、频率、持续时间等情况的详细描述</t>
  </si>
  <si>
    <t>DE04.10.248.00</t>
  </si>
  <si>
    <t>cervix_uteri_cond</t>
  </si>
  <si>
    <t>cervixUteriCond</t>
  </si>
  <si>
    <t>宫颈情况</t>
  </si>
  <si>
    <t>产妇宫颈厚度的详细描述</t>
  </si>
  <si>
    <t>DE04.10.265.00</t>
  </si>
  <si>
    <t>ou_cond</t>
  </si>
  <si>
    <t>ouCond</t>
  </si>
  <si>
    <t>宫口情况</t>
  </si>
  <si>
    <t>产妇宫口扩张大小情况的详细描述</t>
  </si>
  <si>
    <t>DE05.10.155.00</t>
  </si>
  <si>
    <t>fet_memb_cond_code</t>
  </si>
  <si>
    <t>fetMembCondCode</t>
  </si>
  <si>
    <t>胎膜情况代码</t>
  </si>
  <si>
    <t>产妇胎膜是否已破裂的分类代码</t>
  </si>
  <si>
    <t>DE04.10.256.00</t>
  </si>
  <si>
    <t>rupt_membs_mode_code</t>
  </si>
  <si>
    <t>ruptMembsModeCode</t>
  </si>
  <si>
    <t>破膜方式代码</t>
  </si>
  <si>
    <t>采用的破膜方式类别的分类代码</t>
  </si>
  <si>
    <t>DE04.10.262.00</t>
  </si>
  <si>
    <t>presentation_position</t>
  </si>
  <si>
    <t>presentationPosition</t>
  </si>
  <si>
    <t>先露位置</t>
  </si>
  <si>
    <t>先露位置的详细描述</t>
  </si>
  <si>
    <t>DE04.30.062.00</t>
  </si>
  <si>
    <t>af_cond_id</t>
  </si>
  <si>
    <t>afCondId</t>
  </si>
  <si>
    <t>羊水情况ID</t>
  </si>
  <si>
    <t>羊水情况的详细描述</t>
  </si>
  <si>
    <t>DE04.10.257.00</t>
  </si>
  <si>
    <t>bladder_fullness_flag</t>
  </si>
  <si>
    <t>bladderFullnessFlag</t>
  </si>
  <si>
    <t>膀胱充盈标志</t>
  </si>
  <si>
    <t>标识膀胱是否充盈的标志</t>
  </si>
  <si>
    <t>DE04.01.123.00</t>
  </si>
  <si>
    <t>intest_flatulence_flag</t>
  </si>
  <si>
    <t>intestFlatulenceFlag</t>
  </si>
  <si>
    <t>肠胀气标志</t>
  </si>
  <si>
    <t>标识患者是否有肠胀气情况的标志</t>
  </si>
  <si>
    <t>DE04.10.310.00</t>
  </si>
  <si>
    <t>predelivery_exam_mode_code</t>
  </si>
  <si>
    <t>predeliveryExamModeCode</t>
  </si>
  <si>
    <t>待产检查方式代码</t>
  </si>
  <si>
    <t>待产检查方式的分类代码</t>
  </si>
  <si>
    <t>对产妇情况进行综合评估的基础上，为其制定的处置计划的详细描述</t>
  </si>
  <si>
    <t>DE02.10.011.00</t>
  </si>
  <si>
    <t>childbirth_mode_code</t>
  </si>
  <si>
    <t>childbirthModeCode</t>
  </si>
  <si>
    <t>分娩方式代码</t>
  </si>
  <si>
    <t>计划选取的分娩方式类别在特定编码体系中的代码</t>
  </si>
  <si>
    <t>DE06.00.190.00</t>
  </si>
  <si>
    <t>stage_labor_process</t>
  </si>
  <si>
    <t>stageLaborProcess</t>
  </si>
  <si>
    <t>产程经过</t>
  </si>
  <si>
    <t>产程经过的详细描述</t>
  </si>
  <si>
    <t>自然分娩记录</t>
  </si>
  <si>
    <t>DE06.00.224.00</t>
  </si>
  <si>
    <t>labor_time</t>
  </si>
  <si>
    <t>laborTime</t>
  </si>
  <si>
    <t>临产时间</t>
  </si>
  <si>
    <t>产妇阵缩开始时的公元纪年日期和时间的完整描述</t>
  </si>
  <si>
    <t>DE05.10.154.00</t>
  </si>
  <si>
    <t>fet_memb_rupture_time</t>
  </si>
  <si>
    <t>fetMembRuptureTime</t>
  </si>
  <si>
    <t>胎膜破裂时间</t>
  </si>
  <si>
    <t>胎膜破裂时的公元纪年日期和时间的完整描述</t>
  </si>
  <si>
    <t>DE04.30.058.00</t>
  </si>
  <si>
    <t>forewaters_charact</t>
  </si>
  <si>
    <t>forewatersCharact</t>
  </si>
  <si>
    <t>前羊水性状</t>
  </si>
  <si>
    <t>前羊水性状的详细描述</t>
  </si>
  <si>
    <t>DE04.30.057.00</t>
  </si>
  <si>
    <t>forewaters_quantity</t>
  </si>
  <si>
    <t>forewatersQuantity</t>
  </si>
  <si>
    <t>前羊水量（mL）</t>
  </si>
  <si>
    <t>前羊水量的描述，单位为mL</t>
  </si>
  <si>
    <t>ZOE99.00.03.2009</t>
  </si>
  <si>
    <t>utc_start_time</t>
  </si>
  <si>
    <t>utcStartTime</t>
  </si>
  <si>
    <t>宫缩开始时间</t>
  </si>
  <si>
    <t>产妇宫缩开始时的公元纪年日期和时间的完整描述</t>
  </si>
  <si>
    <t>DE06.00.021.00</t>
  </si>
  <si>
    <t>first_stage_labor_duration</t>
  </si>
  <si>
    <t>firstStageLaborDuration</t>
  </si>
  <si>
    <t>第一产程时长（min）</t>
  </si>
  <si>
    <t>产妇分娩过程中，从开始出现间歇3-4min的规律宫缩到宫口开全的时长,计量单位为min</t>
  </si>
  <si>
    <t>DE04.10.250.00</t>
  </si>
  <si>
    <t>ou_full_open_time</t>
  </si>
  <si>
    <t>ouFullOpenTime</t>
  </si>
  <si>
    <t>宫口开全时间</t>
  </si>
  <si>
    <t>产妇宫口开全时的公元纪年日期和时间的完整描述</t>
  </si>
  <si>
    <t>DE06.00.019.00</t>
  </si>
  <si>
    <t>second_stage_labor_duration</t>
  </si>
  <si>
    <t>secondStageLaborDuration</t>
  </si>
  <si>
    <t>第二产程时长（min）</t>
  </si>
  <si>
    <t>产妇分娩过程中，从宫口开全到胎儿娩出的时长,计量单位为min</t>
  </si>
  <si>
    <t>DE02.01.090.01</t>
  </si>
  <si>
    <t>fetus_delivery_time</t>
  </si>
  <si>
    <t>fetusDeliveryTime</t>
  </si>
  <si>
    <t>胎儿娩出时间</t>
  </si>
  <si>
    <t>胎儿娩出时的公元纪年日期和时间的完整描述</t>
  </si>
  <si>
    <t>DE06.00.020.00</t>
  </si>
  <si>
    <t>third_stage_labor_duration</t>
  </si>
  <si>
    <t>thirdStageLaborDuration</t>
  </si>
  <si>
    <t>第三产程时长（min）</t>
  </si>
  <si>
    <t>产妇分娩过程中，从胎儿娩出到胎盘娩出的时长,计量单位为min</t>
  </si>
  <si>
    <t>DE06.00.273.00</t>
  </si>
  <si>
    <t>plac_delivery_time</t>
  </si>
  <si>
    <t>placDeliveryTime</t>
  </si>
  <si>
    <t>胎盘娩出时间</t>
  </si>
  <si>
    <t>胎盘娩出时的公元纪年日期和时间的完整描述</t>
  </si>
  <si>
    <t>DE04.10.236.00</t>
  </si>
  <si>
    <t>total_stage_labor_duration</t>
  </si>
  <si>
    <t>totalStageLaborDuration</t>
  </si>
  <si>
    <t>总产程时长（min）</t>
  </si>
  <si>
    <t>产妇分娩过程中，从开始出现规律宫缩到胎盘娩出的时间长度，计量单位为min</t>
  </si>
  <si>
    <t>指胎儿方位类别在特定编码体系中的代码</t>
  </si>
  <si>
    <t>DE06.00.311.00</t>
  </si>
  <si>
    <t>vaginal_midwifery_flag</t>
  </si>
  <si>
    <t>vaginalMidwiferyFlag</t>
  </si>
  <si>
    <t>阴道助产标志</t>
  </si>
  <si>
    <t>标识胎儿娩出是否采取助产的标志</t>
  </si>
  <si>
    <t>DE06.00.312.00</t>
  </si>
  <si>
    <t>vaginal_midwifery_mode</t>
  </si>
  <si>
    <t>vaginalMidwiferyMode</t>
  </si>
  <si>
    <t>阴道助产方式</t>
  </si>
  <si>
    <t>胎儿娩出时采取的助产方式的名称</t>
  </si>
  <si>
    <t>对胎盘娩出情况的描述，如娩出方式、胎盘重量、胎盘完整情况、胎盘附着位置等</t>
  </si>
  <si>
    <t>DE04.30.063.00</t>
  </si>
  <si>
    <t>af_charact</t>
  </si>
  <si>
    <t>afCharact</t>
  </si>
  <si>
    <t>羊水性状</t>
  </si>
  <si>
    <t>羊水性状的详细描述</t>
  </si>
  <si>
    <t>DE04.30.061.00</t>
  </si>
  <si>
    <t>af_quantity</t>
  </si>
  <si>
    <t>afQuantity</t>
  </si>
  <si>
    <t>羊水量（mL）</t>
  </si>
  <si>
    <t>羊水量的描述，单位为mL</t>
  </si>
  <si>
    <t>DE05.10.145.00</t>
  </si>
  <si>
    <t>umb_cord_abn_cond_desc</t>
  </si>
  <si>
    <t>umbCordAbnCondDesc</t>
  </si>
  <si>
    <t>脐带异常情况描述</t>
  </si>
  <si>
    <t>标识脐带是否存在异常情况的标志</t>
  </si>
  <si>
    <t>ZOE99.00.02.1075</t>
  </si>
  <si>
    <t>intrapartum_use_drug</t>
  </si>
  <si>
    <t>intrapartumUseDrug</t>
  </si>
  <si>
    <t>产时用药</t>
  </si>
  <si>
    <t>产时所用药物的通用名称</t>
  </si>
  <si>
    <t>DE06.00.295.00</t>
  </si>
  <si>
    <t>prevent_measure</t>
  </si>
  <si>
    <t>preventMeasure</t>
  </si>
  <si>
    <t>预防措施</t>
  </si>
  <si>
    <t>对产妇进行预防措施的详细描述</t>
  </si>
  <si>
    <t>DE06.00.012.00</t>
  </si>
  <si>
    <t>puerpera_perineum_incision_flag</t>
  </si>
  <si>
    <t>puerperaPerineumIncisionFlag</t>
  </si>
  <si>
    <t>产妇会阴切开标志</t>
  </si>
  <si>
    <t>标识产妇是否行会阴切开操作的标志</t>
  </si>
  <si>
    <t>DE04.10.252.00</t>
  </si>
  <si>
    <t>perineum_incision_position</t>
  </si>
  <si>
    <t>perineumIncisionPosition</t>
  </si>
  <si>
    <t>会阴切开位置</t>
  </si>
  <si>
    <t>会阴切开位置的详细描述</t>
  </si>
  <si>
    <t>DE06.00.011.00</t>
  </si>
  <si>
    <t>puerpera_perineum_suture_times</t>
  </si>
  <si>
    <t>puerperaPerineumSutureTimes</t>
  </si>
  <si>
    <t>产妇会阴缝合针数</t>
  </si>
  <si>
    <t>产妇会阴缝合针数的计数值</t>
  </si>
  <si>
    <t>DE05.01.003.00</t>
  </si>
  <si>
    <t>perineum_lac_cond_code</t>
  </si>
  <si>
    <t>perineumLacCondCode</t>
  </si>
  <si>
    <t>会阴裂伤情况代码</t>
  </si>
  <si>
    <t>产妇会阴裂伤的程度类别在特定编码体系中的代码</t>
  </si>
  <si>
    <t>DE04.10.253.00</t>
  </si>
  <si>
    <t>perineum_heto_flag</t>
  </si>
  <si>
    <t>perineumHetoFlag</t>
  </si>
  <si>
    <t>会阴血肿标志</t>
  </si>
  <si>
    <t>标识会阴是否存在血肿的标志</t>
  </si>
  <si>
    <t>DE04.10.254.00</t>
  </si>
  <si>
    <t>vaginal_heto_size</t>
  </si>
  <si>
    <t>vaginalHetoSize</t>
  </si>
  <si>
    <t>阴道血肿大小</t>
  </si>
  <si>
    <t>会阴血肿大小的详细描述</t>
  </si>
  <si>
    <t>DE06.00.213.00</t>
  </si>
  <si>
    <t>vaginal_heto_deal_desc</t>
  </si>
  <si>
    <t>vaginalHetoDealDesc</t>
  </si>
  <si>
    <t>阴道血肿处理</t>
  </si>
  <si>
    <t>会阴血肿处理情况的详细描述</t>
  </si>
  <si>
    <t>所用麻醉药物的通用名称</t>
  </si>
  <si>
    <t>DE05.10.163.00</t>
  </si>
  <si>
    <t>vaginal_lac_flag</t>
  </si>
  <si>
    <t>vaginalLacFlag</t>
  </si>
  <si>
    <t>阴道裂伤标志</t>
  </si>
  <si>
    <t>标识阴道是否存在裂伤的标志</t>
  </si>
  <si>
    <t>DE05.10.164.00</t>
  </si>
  <si>
    <t>vaginal_heto_flag</t>
  </si>
  <si>
    <t>vaginalHetoFlag</t>
  </si>
  <si>
    <t>阴道血肿标志</t>
  </si>
  <si>
    <t>标识阴道是否存在血肿的标志</t>
  </si>
  <si>
    <t>DE04.10.249.00</t>
  </si>
  <si>
    <t>cervix_uteri_lac_flag</t>
  </si>
  <si>
    <t>cervixUteriLacFlag</t>
  </si>
  <si>
    <t>宫颈裂伤标志</t>
  </si>
  <si>
    <t>标识宫颈是否存在裂伤的标志</t>
  </si>
  <si>
    <t>ZOE99.00.02.019</t>
  </si>
  <si>
    <t>cervix_uteri_suture_cond</t>
  </si>
  <si>
    <t>cervixUteriSutureCond</t>
  </si>
  <si>
    <t>宫颈缝合情况</t>
  </si>
  <si>
    <t>产妇宫颈缝合情况的详细描述，如缝合针数等</t>
  </si>
  <si>
    <t>ZOE99.01.00.434</t>
  </si>
  <si>
    <t>postpartum_use_drug_name</t>
  </si>
  <si>
    <t>postpartumUseDrugName</t>
  </si>
  <si>
    <t>产后用药名称</t>
  </si>
  <si>
    <t>产后所用药物的通用名称</t>
  </si>
  <si>
    <t>DE06.00.182.00</t>
  </si>
  <si>
    <t>childbirth_special_cond_desc</t>
  </si>
  <si>
    <t>childbirthSpecialCondDesc</t>
  </si>
  <si>
    <t>分娩过程特殊情况描述</t>
  </si>
  <si>
    <t>产妇分娩过程摘要</t>
  </si>
  <si>
    <t>DE04.10.233.00</t>
  </si>
  <si>
    <t>uterus_exam_result</t>
  </si>
  <si>
    <t>uterusExamResult</t>
  </si>
  <si>
    <t>子宫检查结果</t>
  </si>
  <si>
    <t>DE04.10.025.00</t>
  </si>
  <si>
    <t>lochia_condition</t>
  </si>
  <si>
    <t>lochiaCondition</t>
  </si>
  <si>
    <t>恶露状况</t>
  </si>
  <si>
    <t>对产妇产后恶露检查结果的详细描述</t>
  </si>
  <si>
    <t>DE05.10.137.00</t>
  </si>
  <si>
    <t>perineum_cond</t>
  </si>
  <si>
    <t>perineumCond</t>
  </si>
  <si>
    <t>会阴情况</t>
  </si>
  <si>
    <t>会阴情况的详细描述</t>
  </si>
  <si>
    <t>DE06.00.284.00</t>
  </si>
  <si>
    <t>mend_op_process</t>
  </si>
  <si>
    <t>mendOpProcess</t>
  </si>
  <si>
    <t>修补手术过程</t>
  </si>
  <si>
    <t>修补手术过程情况的详细描述</t>
  </si>
  <si>
    <t>ZOE99.00.03.2010</t>
  </si>
  <si>
    <t>postpartum_utc</t>
  </si>
  <si>
    <t>postpartumUtc</t>
  </si>
  <si>
    <t>产后宫缩</t>
  </si>
  <si>
    <t>DE04.10.240.00</t>
  </si>
  <si>
    <t>anus_exam_result</t>
  </si>
  <si>
    <t>anusExamResult</t>
  </si>
  <si>
    <t>肛门检查结果</t>
  </si>
  <si>
    <t>产妇分娩后肛查情况的详细描述</t>
  </si>
  <si>
    <t>高值耗材使用记录</t>
  </si>
  <si>
    <t>DE08.50.058.00</t>
  </si>
  <si>
    <t>implant_consum_flag</t>
  </si>
  <si>
    <t>implantConsumFlag</t>
  </si>
  <si>
    <t>植入性耗材标志</t>
  </si>
  <si>
    <t>标识是否为植入性高值耗材的标志</t>
  </si>
  <si>
    <t>高值耗材名称</t>
  </si>
  <si>
    <t>DE08.50.034.00</t>
  </si>
  <si>
    <t>consum_unit</t>
  </si>
  <si>
    <t>consumUnit</t>
  </si>
  <si>
    <t>耗材单位</t>
  </si>
  <si>
    <t>高值耗材的单位规格</t>
  </si>
  <si>
    <t>DE06.00.241.00</t>
  </si>
  <si>
    <t>hvc_quantity</t>
  </si>
  <si>
    <t>hvcQuantity</t>
  </si>
  <si>
    <t>高值耗材数量</t>
  </si>
  <si>
    <t>高值耗材的实际使用数量</t>
  </si>
  <si>
    <t>DE06.00.242.00</t>
  </si>
  <si>
    <t>hvc_use_way</t>
  </si>
  <si>
    <t>hvcUseWay</t>
  </si>
  <si>
    <t>高值耗材使用途径</t>
  </si>
  <si>
    <t>高值耗材的使用途径</t>
  </si>
  <si>
    <t>三级目录名称</t>
  </si>
  <si>
    <t>三级目录英文名称</t>
  </si>
  <si>
    <t>三级目录代码</t>
  </si>
  <si>
    <t>二级目录名称</t>
  </si>
  <si>
    <t>二级目录代码</t>
  </si>
  <si>
    <t>一级目录名称</t>
  </si>
  <si>
    <t>一级目录代码</t>
  </si>
  <si>
    <t>新增时间</t>
  </si>
  <si>
    <t>新增人</t>
  </si>
  <si>
    <t>patient_basic_information</t>
  </si>
  <si>
    <t>010101</t>
  </si>
  <si>
    <t>0101</t>
  </si>
  <si>
    <t>患者信息</t>
  </si>
  <si>
    <t>01</t>
  </si>
  <si>
    <t>basic_health_information</t>
  </si>
  <si>
    <t>010102</t>
  </si>
  <si>
    <t>health_event_abstract</t>
  </si>
  <si>
    <t>病案首页</t>
  </si>
  <si>
    <t>0201</t>
  </si>
  <si>
    <t>电子病历</t>
  </si>
  <si>
    <t>02</t>
  </si>
  <si>
    <t>tcm_inp_case_homepage</t>
  </si>
  <si>
    <t>020102</t>
  </si>
  <si>
    <t>门(急)诊病案首页</t>
  </si>
  <si>
    <t>outp_emer_case_homepage</t>
  </si>
  <si>
    <t>020103</t>
  </si>
  <si>
    <t>admission_record</t>
  </si>
  <si>
    <t>020201</t>
  </si>
  <si>
    <t>0202</t>
  </si>
  <si>
    <t>admsn_dc_record_24_h</t>
  </si>
  <si>
    <t>020202</t>
  </si>
  <si>
    <t>admsn_death_record</t>
  </si>
  <si>
    <t>020203</t>
  </si>
  <si>
    <t>first_course_record</t>
  </si>
  <si>
    <t>020301</t>
  </si>
  <si>
    <t>病程记录</t>
  </si>
  <si>
    <t>0203</t>
  </si>
  <si>
    <t>daily_course_record</t>
  </si>
  <si>
    <t>020302</t>
  </si>
  <si>
    <t>parent_phy_ward_rounds_rec</t>
  </si>
  <si>
    <t>020303</t>
  </si>
  <si>
    <t>difficulty_case_discuss</t>
  </si>
  <si>
    <t>020304</t>
  </si>
  <si>
    <t>shift_changeover_record</t>
  </si>
  <si>
    <t>020305</t>
  </si>
  <si>
    <t>transfer_record</t>
  </si>
  <si>
    <t>020306</t>
  </si>
  <si>
    <t>stage_brief_summary</t>
  </si>
  <si>
    <t>020307</t>
  </si>
  <si>
    <t>rescue_record</t>
  </si>
  <si>
    <t>020308</t>
  </si>
  <si>
    <t>blood_transfusion_record</t>
  </si>
  <si>
    <t>020309</t>
  </si>
  <si>
    <t>death_case_discuss_rec</t>
  </si>
  <si>
    <t>020310</t>
  </si>
  <si>
    <t>po_1st_crs_rec</t>
  </si>
  <si>
    <t>020311</t>
  </si>
  <si>
    <t>rfrl_ht_record</t>
  </si>
  <si>
    <t>020312</t>
  </si>
  <si>
    <t>crusade_bleeding_score</t>
  </si>
  <si>
    <t>020313</t>
  </si>
  <si>
    <t>consultation_record</t>
  </si>
  <si>
    <t>020401</t>
  </si>
  <si>
    <t>0204</t>
  </si>
  <si>
    <t>discharge_record</t>
  </si>
  <si>
    <t>0205</t>
  </si>
  <si>
    <t>discharge_brief_summary</t>
  </si>
  <si>
    <t>020502</t>
  </si>
  <si>
    <t>death_record</t>
  </si>
  <si>
    <t>020503</t>
  </si>
  <si>
    <t>general_operation_record</t>
  </si>
  <si>
    <t>020601</t>
  </si>
  <si>
    <t>手术麻醉记录</t>
  </si>
  <si>
    <t>0206</t>
  </si>
  <si>
    <t>preoperative_discuss</t>
  </si>
  <si>
    <t>020602</t>
  </si>
  <si>
    <t>preoperative_brief_summary</t>
  </si>
  <si>
    <t>020603</t>
  </si>
  <si>
    <t>cs_record</t>
  </si>
  <si>
    <t>020604</t>
  </si>
  <si>
    <t>anes_record</t>
  </si>
  <si>
    <t>020605</t>
  </si>
  <si>
    <t>anes_po_visit_rec</t>
  </si>
  <si>
    <t>020606</t>
  </si>
  <si>
    <t>anes_preoperative_visiting</t>
  </si>
  <si>
    <t>020607</t>
  </si>
  <si>
    <t>preop_md_disc_record</t>
  </si>
  <si>
    <t>020608</t>
  </si>
  <si>
    <t>surg_application_record</t>
  </si>
  <si>
    <t>020609</t>
  </si>
  <si>
    <t>blood_transfusion_icf</t>
  </si>
  <si>
    <t>021001</t>
  </si>
  <si>
    <t>知情同意书</t>
  </si>
  <si>
    <t>0210</t>
  </si>
  <si>
    <t>critical_severe_notification</t>
  </si>
  <si>
    <t>021002</t>
  </si>
  <si>
    <t>surgical_iinformed_consent_form</t>
  </si>
  <si>
    <t>021003</t>
  </si>
  <si>
    <t>anes_icf_record</t>
  </si>
  <si>
    <t>021004</t>
  </si>
  <si>
    <t>spcl_exam_trtmt_icf</t>
  </si>
  <si>
    <t>021005</t>
  </si>
  <si>
    <t>other_icf</t>
  </si>
  <si>
    <t>021006</t>
  </si>
  <si>
    <t>0211</t>
  </si>
  <si>
    <t>0212</t>
  </si>
  <si>
    <t>treatment_record</t>
  </si>
  <si>
    <t>021301</t>
  </si>
  <si>
    <t>0213</t>
  </si>
  <si>
    <t>0214</t>
  </si>
  <si>
    <t>门(急)诊续写记录</t>
  </si>
  <si>
    <t>outpatient_continue_record</t>
  </si>
  <si>
    <t>021402</t>
  </si>
  <si>
    <t>emer_obs_mr</t>
  </si>
  <si>
    <t>021801</t>
  </si>
  <si>
    <t>急诊留观</t>
  </si>
  <si>
    <t>0218</t>
  </si>
  <si>
    <t>crit_value_data_record</t>
  </si>
  <si>
    <t>021901</t>
  </si>
  <si>
    <t>0219</t>
  </si>
  <si>
    <t>0301</t>
  </si>
  <si>
    <t>医嘱处方</t>
  </si>
  <si>
    <t>03</t>
  </si>
  <si>
    <t>inp_wmd_prescription</t>
  </si>
  <si>
    <t>030102</t>
  </si>
  <si>
    <t>门诊处方</t>
  </si>
  <si>
    <t>0302</t>
  </si>
  <si>
    <t>030202</t>
  </si>
  <si>
    <t>medical_cost_record</t>
  </si>
  <si>
    <t>040101</t>
  </si>
  <si>
    <t>0401</t>
  </si>
  <si>
    <t>结算信息</t>
  </si>
  <si>
    <t>04</t>
  </si>
  <si>
    <t>门诊挂号记录</t>
  </si>
  <si>
    <t>outpatient_medreg_record</t>
  </si>
  <si>
    <t>050101</t>
  </si>
  <si>
    <t>门急诊信息</t>
  </si>
  <si>
    <t>0501</t>
  </si>
  <si>
    <t>就诊信息</t>
  </si>
  <si>
    <t>05</t>
  </si>
  <si>
    <t>急诊诊病记录</t>
  </si>
  <si>
    <t>emergency_diagnosis_record</t>
  </si>
  <si>
    <t>050102</t>
  </si>
  <si>
    <t>admission_discharge_record</t>
  </si>
  <si>
    <t>050201</t>
  </si>
  <si>
    <t>住院信息</t>
  </si>
  <si>
    <t>0502</t>
  </si>
  <si>
    <t>入出转科记录</t>
  </si>
  <si>
    <t>enter_ex_trf_rec</t>
  </si>
  <si>
    <t>050202</t>
  </si>
  <si>
    <t>体检登记记录</t>
  </si>
  <si>
    <t>physical_registered_record</t>
  </si>
  <si>
    <t>050301</t>
  </si>
  <si>
    <t>体检信息</t>
  </si>
  <si>
    <t>0503</t>
  </si>
  <si>
    <t>diagnosis_information</t>
  </si>
  <si>
    <t>050401</t>
  </si>
  <si>
    <t>0504</t>
  </si>
  <si>
    <t>body_temperature</t>
  </si>
  <si>
    <t>060101</t>
  </si>
  <si>
    <t>体征/生理监测</t>
  </si>
  <si>
    <t>0601</t>
  </si>
  <si>
    <t>护理病历</t>
  </si>
  <si>
    <t>inp_special_event</t>
  </si>
  <si>
    <t>060102</t>
  </si>
  <si>
    <t>060103</t>
  </si>
  <si>
    <t>inp_catheter_record</t>
  </si>
  <si>
    <t>060104</t>
  </si>
  <si>
    <t>blood_glucose_monitoring</t>
  </si>
  <si>
    <t>060105</t>
  </si>
  <si>
    <t>dgview_tongkpng</t>
  </si>
  <si>
    <t>060106</t>
  </si>
  <si>
    <t>allergies_record</t>
  </si>
  <si>
    <t>060107</t>
  </si>
  <si>
    <t>婴儿体征记录</t>
  </si>
  <si>
    <t>baby_signs_record</t>
  </si>
  <si>
    <t>060109</t>
  </si>
  <si>
    <t>儿童生长发育记录</t>
  </si>
  <si>
    <t>child_growth_upgrowth_rec</t>
  </si>
  <si>
    <t>060110</t>
  </si>
  <si>
    <t>admission_nursing_eval</t>
  </si>
  <si>
    <t>060201</t>
  </si>
  <si>
    <t>护理评估</t>
  </si>
  <si>
    <t>0602</t>
  </si>
  <si>
    <t>inp_assessment_mrpg</t>
  </si>
  <si>
    <t>060202</t>
  </si>
  <si>
    <t>fall_assessment_record</t>
  </si>
  <si>
    <t>060203</t>
  </si>
  <si>
    <t>dgview_inp_assessment_yachuang</t>
  </si>
  <si>
    <t>060204</t>
  </si>
  <si>
    <t>jilipg</t>
  </si>
  <si>
    <t>060205</t>
  </si>
  <si>
    <t>inp_assessment_mrcjili</t>
  </si>
  <si>
    <t>060206</t>
  </si>
  <si>
    <t>physical_restraint_management</t>
  </si>
  <si>
    <t>060207</t>
  </si>
  <si>
    <t>inp_assessment_adl</t>
  </si>
  <si>
    <t>060208</t>
  </si>
  <si>
    <t>triple_assessment</t>
  </si>
  <si>
    <t>060209</t>
  </si>
  <si>
    <t>pain_assessment_record</t>
  </si>
  <si>
    <t>060210</t>
  </si>
  <si>
    <t>vulnerable_elderly_assessment</t>
  </si>
  <si>
    <t>060211</t>
  </si>
  <si>
    <t>child_fall_assessment_record</t>
  </si>
  <si>
    <t>060212</t>
  </si>
  <si>
    <t>assessment_sppb_record</t>
  </si>
  <si>
    <t>060213</t>
  </si>
  <si>
    <t>dc_assmnt_with_guide_rec</t>
  </si>
  <si>
    <t>060214</t>
  </si>
  <si>
    <t>inp_assessment_rass</t>
  </si>
  <si>
    <t>060301</t>
  </si>
  <si>
    <t>专项评估</t>
  </si>
  <si>
    <t>0603</t>
  </si>
  <si>
    <t>inp_assessment_cpot</t>
  </si>
  <si>
    <t>060302</t>
  </si>
  <si>
    <t>mini_mental_state_examination</t>
  </si>
  <si>
    <t>060303</t>
  </si>
  <si>
    <t>icdsc_record</t>
  </si>
  <si>
    <t>060304</t>
  </si>
  <si>
    <t>cam_icu_record</t>
  </si>
  <si>
    <t>060305</t>
  </si>
  <si>
    <t>pipeline_dl_assmnt_rec</t>
  </si>
  <si>
    <t>060306</t>
  </si>
  <si>
    <t>enter_record</t>
  </si>
  <si>
    <t>060307</t>
  </si>
  <si>
    <t>kubota_water_swallowing_test</t>
  </si>
  <si>
    <t>060308</t>
  </si>
  <si>
    <t>pilot_assessment_tool</t>
  </si>
  <si>
    <t>060309</t>
  </si>
  <si>
    <t>inp_assessment_jiaolv</t>
  </si>
  <si>
    <t>060310</t>
  </si>
  <si>
    <t>inp_assessment_yiyu</t>
  </si>
  <si>
    <t>060311</t>
  </si>
  <si>
    <t>inp_assessment_quti</t>
  </si>
  <si>
    <t>060312</t>
  </si>
  <si>
    <t>rating_of_perceived_exertion</t>
  </si>
  <si>
    <t>060313</t>
  </si>
  <si>
    <t>short_form_36</t>
  </si>
  <si>
    <t>060314</t>
  </si>
  <si>
    <t>mini_nutritional_assessment</t>
  </si>
  <si>
    <t>060315</t>
  </si>
  <si>
    <t>harvard_healthy_eating_plate</t>
  </si>
  <si>
    <t>060316</t>
  </si>
  <si>
    <t>nicotine_dependence_scale</t>
  </si>
  <si>
    <t>060317</t>
  </si>
  <si>
    <t>psqi_sleepassessment</t>
  </si>
  <si>
    <t>060318</t>
  </si>
  <si>
    <t>cubbin_jackson_assessment</t>
  </si>
  <si>
    <t>060319</t>
  </si>
  <si>
    <t>general_nursing_record_sheet</t>
  </si>
  <si>
    <t>060401</t>
  </si>
  <si>
    <t>护理记录</t>
  </si>
  <si>
    <t>0604</t>
  </si>
  <si>
    <t>critical_care_nursing_record</t>
  </si>
  <si>
    <t>060402</t>
  </si>
  <si>
    <t>intake_output_record</t>
  </si>
  <si>
    <t>060404</t>
  </si>
  <si>
    <t>operation_nursing_record</t>
  </si>
  <si>
    <t>060405</t>
  </si>
  <si>
    <t>cr_svr_nsg_rec</t>
  </si>
  <si>
    <t>060406</t>
  </si>
  <si>
    <t>nursing_plan</t>
  </si>
  <si>
    <t>060501</t>
  </si>
  <si>
    <t>0605</t>
  </si>
  <si>
    <t>nursing_instruction</t>
  </si>
  <si>
    <t>060502</t>
  </si>
  <si>
    <t>nursing_plan_record</t>
  </si>
  <si>
    <t>060503</t>
  </si>
  <si>
    <t>inp_bedside_handover</t>
  </si>
  <si>
    <t>060601</t>
  </si>
  <si>
    <t>护理交班</t>
  </si>
  <si>
    <t>0606</t>
  </si>
  <si>
    <t>pda_execution_record</t>
  </si>
  <si>
    <t>060701</t>
  </si>
  <si>
    <t>医嘱执行</t>
  </si>
  <si>
    <t>0607</t>
  </si>
  <si>
    <t>real_time_monitoring</t>
  </si>
  <si>
    <t>060801</t>
  </si>
  <si>
    <t>重症模块</t>
  </si>
  <si>
    <t>0608</t>
  </si>
  <si>
    <t>inp_vasoactivedrug</t>
  </si>
  <si>
    <t>060802</t>
  </si>
  <si>
    <t>inp_weishentsb_wc</t>
  </si>
  <si>
    <t>060803</t>
  </si>
  <si>
    <t>hfc_discharge_checklist</t>
  </si>
  <si>
    <t>060901</t>
  </si>
  <si>
    <t>心力衰竭</t>
  </si>
  <si>
    <t>0609</t>
  </si>
  <si>
    <t>hfp_sm_checklist_verification</t>
  </si>
  <si>
    <t>op_record_sheet</t>
  </si>
  <si>
    <t>061001</t>
  </si>
  <si>
    <t>手术记录</t>
  </si>
  <si>
    <t>0610</t>
  </si>
  <si>
    <t>predelivery_record</t>
  </si>
  <si>
    <t>061101</t>
  </si>
  <si>
    <t>其他护理文书</t>
  </si>
  <si>
    <t>0611</t>
  </si>
  <si>
    <t>spontaneous_childbirth_record</t>
  </si>
  <si>
    <t>061102</t>
  </si>
  <si>
    <t>hvc_use_record</t>
  </si>
  <si>
    <t>061103</t>
  </si>
  <si>
    <t>laboratory_test_record</t>
  </si>
  <si>
    <t>070401</t>
  </si>
  <si>
    <t>0704</t>
  </si>
  <si>
    <t>第三方系统</t>
  </si>
  <si>
    <t>07</t>
  </si>
  <si>
    <t>examination_record</t>
  </si>
  <si>
    <t>070501</t>
  </si>
  <si>
    <t>0705</t>
  </si>
  <si>
    <t>mr_std_cont_name</t>
  </si>
  <si>
    <t>mr_std_cont_code</t>
  </si>
  <si>
    <t>parent_mr_std_cont_code</t>
  </si>
  <si>
    <t>spell_code</t>
  </si>
  <si>
    <t>wbzx_code</t>
  </si>
  <si>
    <t>sort_no</t>
  </si>
  <si>
    <t>creator_code</t>
  </si>
  <si>
    <t>modify_time</t>
  </si>
  <si>
    <t>modifier_code</t>
  </si>
  <si>
    <t>data_state</t>
  </si>
  <si>
    <t>000</t>
  </si>
  <si>
    <t>BASY</t>
  </si>
  <si>
    <t>UPUD</t>
  </si>
  <si>
    <t>RYJL</t>
  </si>
  <si>
    <t>TBYV</t>
  </si>
  <si>
    <t>BCJL</t>
  </si>
  <si>
    <t>UTYV</t>
  </si>
  <si>
    <t>HZJL</t>
  </si>
  <si>
    <t>WYYV</t>
  </si>
  <si>
    <t>CYJL</t>
  </si>
  <si>
    <t>BBYV</t>
  </si>
  <si>
    <t>SSMZJL</t>
  </si>
  <si>
    <t>RSYSYV</t>
  </si>
  <si>
    <t>8</t>
  </si>
  <si>
    <t>HLJL</t>
  </si>
  <si>
    <t>RGYV</t>
  </si>
  <si>
    <t>体温单</t>
  </si>
  <si>
    <t>9</t>
  </si>
  <si>
    <t>TWD</t>
  </si>
  <si>
    <t>WIU</t>
  </si>
  <si>
    <t>10</t>
  </si>
  <si>
    <t>YZD</t>
  </si>
  <si>
    <t>AKU</t>
  </si>
  <si>
    <t>产程图</t>
  </si>
  <si>
    <t>11</t>
  </si>
  <si>
    <t>CCT</t>
  </si>
  <si>
    <t>UTL</t>
  </si>
  <si>
    <t>12</t>
  </si>
  <si>
    <t>ZQTYS</t>
  </si>
  <si>
    <t>TNMUN</t>
  </si>
  <si>
    <t>检验报告</t>
  </si>
  <si>
    <t>13</t>
  </si>
  <si>
    <t>JYBG</t>
  </si>
  <si>
    <t>SCRT</t>
  </si>
  <si>
    <t>检查报告</t>
  </si>
  <si>
    <t>14</t>
  </si>
  <si>
    <t>JCBG</t>
  </si>
  <si>
    <t>SSRT</t>
  </si>
  <si>
    <t>临床路径</t>
  </si>
  <si>
    <t>15</t>
  </si>
  <si>
    <t>LCLJ</t>
  </si>
  <si>
    <t>JYKT</t>
  </si>
  <si>
    <t>随访记录</t>
  </si>
  <si>
    <t>16</t>
  </si>
  <si>
    <t>SFJL</t>
  </si>
  <si>
    <t>BYYV</t>
  </si>
  <si>
    <t>治疗评估</t>
  </si>
  <si>
    <t>17</t>
  </si>
  <si>
    <t>ZLPG</t>
  </si>
  <si>
    <t>18</t>
  </si>
  <si>
    <t>ZLJL</t>
  </si>
  <si>
    <t>IUYV</t>
  </si>
  <si>
    <t>19</t>
  </si>
  <si>
    <t>M J ZBL</t>
  </si>
  <si>
    <t>UQYUD</t>
  </si>
  <si>
    <t>护理计划单</t>
  </si>
  <si>
    <t>22</t>
  </si>
  <si>
    <t>HLJHD</t>
  </si>
  <si>
    <t>RGYAU</t>
  </si>
  <si>
    <t>法定医学证明</t>
  </si>
  <si>
    <t>23</t>
  </si>
  <si>
    <t>FDYXZM</t>
  </si>
  <si>
    <t>IPAIYJ</t>
  </si>
  <si>
    <t>27</t>
  </si>
  <si>
    <t>HLPG</t>
  </si>
  <si>
    <t>RGYW</t>
  </si>
  <si>
    <t>30</t>
  </si>
  <si>
    <t>QTHLWS</t>
  </si>
  <si>
    <t>AWRGYN</t>
  </si>
  <si>
    <t>31</t>
  </si>
  <si>
    <t>JZLGJL</t>
  </si>
  <si>
    <t>QYQCYV</t>
  </si>
  <si>
    <t>科室交班</t>
  </si>
  <si>
    <t>32</t>
  </si>
  <si>
    <t>KSJB</t>
  </si>
  <si>
    <t>TPUG</t>
  </si>
  <si>
    <t>操作记录</t>
  </si>
  <si>
    <t>33</t>
  </si>
  <si>
    <t>CZJL</t>
  </si>
  <si>
    <t>其他门诊病历</t>
  </si>
  <si>
    <t>34</t>
  </si>
  <si>
    <t>QTMZBL</t>
  </si>
  <si>
    <t>申请单</t>
  </si>
  <si>
    <t>35</t>
  </si>
  <si>
    <t>SQD</t>
  </si>
  <si>
    <t>JYU</t>
  </si>
  <si>
    <t>医学量表</t>
  </si>
  <si>
    <t>36</t>
  </si>
  <si>
    <t>YXLB</t>
  </si>
  <si>
    <t>AIJG</t>
  </si>
  <si>
    <t>其他医生文书</t>
  </si>
  <si>
    <t>37</t>
  </si>
  <si>
    <t>QTYSWS</t>
  </si>
  <si>
    <t>AWATYN</t>
  </si>
  <si>
    <t>上报卡</t>
  </si>
  <si>
    <t>38</t>
  </si>
  <si>
    <t>SBK</t>
  </si>
  <si>
    <t>HRH</t>
  </si>
  <si>
    <t>家床病历</t>
  </si>
  <si>
    <t>39</t>
  </si>
  <si>
    <t>JCBL</t>
  </si>
  <si>
    <t>PYUD</t>
  </si>
  <si>
    <t>诊疗评估</t>
  </si>
  <si>
    <t>40</t>
  </si>
  <si>
    <t>YUYW</t>
  </si>
  <si>
    <t>41</t>
  </si>
  <si>
    <t>JZQJJL</t>
  </si>
  <si>
    <t>QYRFYV</t>
  </si>
  <si>
    <t>质控评分记录</t>
  </si>
  <si>
    <t>42</t>
  </si>
  <si>
    <t>ZKPFJL</t>
  </si>
  <si>
    <t>RRYWYV</t>
  </si>
  <si>
    <t>图片病历</t>
  </si>
  <si>
    <t>43</t>
  </si>
  <si>
    <t>TPBL</t>
  </si>
  <si>
    <t>LTUD</t>
  </si>
  <si>
    <t>其他HIS类文书</t>
  </si>
  <si>
    <t>44</t>
  </si>
  <si>
    <t>QTHISLWS</t>
  </si>
  <si>
    <t>AWHISOYN</t>
  </si>
  <si>
    <t>45</t>
  </si>
  <si>
    <t>ZLFA</t>
  </si>
  <si>
    <t>IUYP</t>
  </si>
  <si>
    <t>门诊图片病历</t>
  </si>
  <si>
    <t>46</t>
  </si>
  <si>
    <t>MZTPBL</t>
  </si>
  <si>
    <t>UYLTUD</t>
  </si>
  <si>
    <t>专用病历文书</t>
  </si>
  <si>
    <t>47</t>
  </si>
  <si>
    <t>ZYBLWS</t>
  </si>
  <si>
    <t>FEUDYN</t>
  </si>
  <si>
    <t>非病案病历</t>
  </si>
  <si>
    <t>48</t>
  </si>
  <si>
    <t>FBABL</t>
  </si>
  <si>
    <t>DUPUD</t>
  </si>
  <si>
    <t>治疗同意书</t>
  </si>
  <si>
    <t>49</t>
  </si>
  <si>
    <t>ZLTYS</t>
  </si>
  <si>
    <t>IUMUN</t>
  </si>
  <si>
    <t>生长曲线</t>
  </si>
  <si>
    <t>50</t>
  </si>
  <si>
    <t>SZQX</t>
  </si>
  <si>
    <t>TTMX</t>
  </si>
  <si>
    <t>待审核</t>
  </si>
  <si>
    <t>51</t>
  </si>
  <si>
    <t>DSH</t>
  </si>
  <si>
    <t>TPS</t>
  </si>
  <si>
    <t>待修改</t>
  </si>
  <si>
    <t>52</t>
  </si>
  <si>
    <t>DXG</t>
  </si>
  <si>
    <t>TWN</t>
  </si>
  <si>
    <t>其他急诊文书</t>
  </si>
  <si>
    <t>53</t>
  </si>
  <si>
    <t>QTJZWS</t>
  </si>
  <si>
    <t>AWQYYN</t>
  </si>
  <si>
    <t>护理首页</t>
  </si>
  <si>
    <t>54</t>
  </si>
  <si>
    <t>HLSY</t>
  </si>
  <si>
    <t>RGUD</t>
  </si>
  <si>
    <t>诊断证明书</t>
  </si>
  <si>
    <t>55</t>
  </si>
  <si>
    <t>ZDZMS</t>
  </si>
  <si>
    <t>YOYJN</t>
  </si>
  <si>
    <t>疼痛护理单</t>
  </si>
  <si>
    <t>56</t>
  </si>
  <si>
    <t>TTHLD</t>
  </si>
  <si>
    <t>UURGU</t>
  </si>
  <si>
    <t>术后病程记录</t>
  </si>
  <si>
    <t>57</t>
  </si>
  <si>
    <t>SHBCJL</t>
  </si>
  <si>
    <t>SRUTYV</t>
  </si>
  <si>
    <t>病例讨论记录</t>
  </si>
  <si>
    <t>58</t>
  </si>
  <si>
    <t>BLTLJL</t>
  </si>
  <si>
    <t>UWYYYV</t>
  </si>
  <si>
    <t>管理文档</t>
  </si>
  <si>
    <t>59</t>
  </si>
  <si>
    <t>GLWD</t>
  </si>
  <si>
    <t>TGYS</t>
  </si>
  <si>
    <t>院感病历</t>
  </si>
  <si>
    <t>60</t>
  </si>
  <si>
    <t>YGBL</t>
  </si>
  <si>
    <t>BDUD</t>
  </si>
  <si>
    <t>牙周图</t>
  </si>
  <si>
    <t>62</t>
  </si>
  <si>
    <t>YZT</t>
  </si>
  <si>
    <t>AML</t>
  </si>
  <si>
    <t>新生儿病历</t>
  </si>
  <si>
    <t>63</t>
  </si>
  <si>
    <t>XSEBL</t>
  </si>
  <si>
    <t>UTQUD</t>
  </si>
  <si>
    <t>日间手术</t>
  </si>
  <si>
    <t>64</t>
  </si>
  <si>
    <t>RJSS</t>
  </si>
  <si>
    <t>JURS</t>
  </si>
  <si>
    <t>101</t>
  </si>
  <si>
    <t>ZYBASY</t>
  </si>
  <si>
    <t>KAUPUD</t>
  </si>
  <si>
    <t>102</t>
  </si>
  <si>
    <t>WBUPUD</t>
  </si>
  <si>
    <t>门（急）诊病案首页</t>
  </si>
  <si>
    <t>103</t>
  </si>
  <si>
    <t>MJZBASY</t>
  </si>
  <si>
    <t>UQYUPUD</t>
  </si>
  <si>
    <t>201</t>
  </si>
  <si>
    <t>再次或多次入院记录</t>
  </si>
  <si>
    <t>202</t>
  </si>
  <si>
    <t>ZCHDCRYJL</t>
  </si>
  <si>
    <t>GUAQUTBYV</t>
  </si>
  <si>
    <t>203</t>
  </si>
  <si>
    <t>24XSNRCYJL</t>
  </si>
  <si>
    <t>24IJMTBBYV</t>
  </si>
  <si>
    <t>204</t>
  </si>
  <si>
    <t>24XSNRYSWJL</t>
  </si>
  <si>
    <t>24IJMTBGYYV</t>
  </si>
  <si>
    <t>入院通知单</t>
  </si>
  <si>
    <t>205</t>
  </si>
  <si>
    <t>RYTZD</t>
  </si>
  <si>
    <t>TBCTU</t>
  </si>
  <si>
    <t>日间入出院记录</t>
  </si>
  <si>
    <t>207</t>
  </si>
  <si>
    <t>RJRCYJL</t>
  </si>
  <si>
    <t>JUTBBYV</t>
  </si>
  <si>
    <t>301</t>
  </si>
  <si>
    <t>SCBCJL</t>
  </si>
  <si>
    <t>UUUTYV</t>
  </si>
  <si>
    <t>302</t>
  </si>
  <si>
    <t>RCBCJL</t>
  </si>
  <si>
    <t>JIUTYV</t>
  </si>
  <si>
    <t>主治查房记录</t>
  </si>
  <si>
    <t>303</t>
  </si>
  <si>
    <t>ZZCFJL</t>
  </si>
  <si>
    <t>YISYYV</t>
  </si>
  <si>
    <t>科主任或主任（副主任）医师查房记录</t>
  </si>
  <si>
    <t>304</t>
  </si>
  <si>
    <t>KZRHZR FZR YSCFJL</t>
  </si>
  <si>
    <t>TYWAYWGYWAJSYYV</t>
  </si>
  <si>
    <t>305</t>
  </si>
  <si>
    <t>YNBLTLJL</t>
  </si>
  <si>
    <t>XCUWYYYV</t>
  </si>
  <si>
    <t>306</t>
  </si>
  <si>
    <t>JJBJL</t>
  </si>
  <si>
    <t>URGYV</t>
  </si>
  <si>
    <t>307</t>
  </si>
  <si>
    <t>ZKJL</t>
  </si>
  <si>
    <t>LTYV</t>
  </si>
  <si>
    <t>308</t>
  </si>
  <si>
    <t>JDXJ</t>
  </si>
  <si>
    <t>BWIX</t>
  </si>
  <si>
    <t>309</t>
  </si>
  <si>
    <t>QJJL</t>
  </si>
  <si>
    <t>RFYV</t>
  </si>
  <si>
    <t>传染病防控</t>
  </si>
  <si>
    <t>310</t>
  </si>
  <si>
    <t>CRBFK</t>
  </si>
  <si>
    <t>WIUBR</t>
  </si>
  <si>
    <t>311</t>
  </si>
  <si>
    <t>SXJL</t>
  </si>
  <si>
    <t>312</t>
  </si>
  <si>
    <t>SWBLTLJL</t>
  </si>
  <si>
    <t>GYUWYYYV</t>
  </si>
  <si>
    <t>313</t>
  </si>
  <si>
    <t>SHSCBCJL</t>
  </si>
  <si>
    <t>SRUUUTYV</t>
  </si>
  <si>
    <t>314</t>
  </si>
  <si>
    <t>SQXJ</t>
  </si>
  <si>
    <t>SUIX</t>
  </si>
  <si>
    <t>营养档案</t>
  </si>
  <si>
    <t>315</t>
  </si>
  <si>
    <t>YYDA</t>
  </si>
  <si>
    <t>AUSP</t>
  </si>
  <si>
    <t>SQTLJL</t>
  </si>
  <si>
    <t>SUYYYV</t>
  </si>
  <si>
    <t>危急值病程记录</t>
  </si>
  <si>
    <t>317</t>
  </si>
  <si>
    <t>WJZBCJL</t>
  </si>
  <si>
    <t>QQWUTYV</t>
  </si>
  <si>
    <t>病理报告小结</t>
  </si>
  <si>
    <t>318</t>
  </si>
  <si>
    <t>BLBGXJ</t>
  </si>
  <si>
    <t>UGRTIX</t>
  </si>
  <si>
    <t>401</t>
  </si>
  <si>
    <t>402</t>
  </si>
  <si>
    <t>HZYJ</t>
  </si>
  <si>
    <t>外院会诊记录</t>
  </si>
  <si>
    <t>403</t>
  </si>
  <si>
    <t>WYHZJL</t>
  </si>
  <si>
    <t>QBWYYV</t>
  </si>
  <si>
    <t>多学科会诊（MDT）</t>
  </si>
  <si>
    <t>404</t>
  </si>
  <si>
    <t>DXKHZMDT</t>
  </si>
  <si>
    <t>QITWYMDT</t>
  </si>
  <si>
    <t>其他会诊</t>
  </si>
  <si>
    <t>405</t>
  </si>
  <si>
    <t>QTHZ</t>
  </si>
  <si>
    <t>AWWY</t>
  </si>
  <si>
    <t>特殊使用级抗菌药物会诊</t>
  </si>
  <si>
    <t>406</t>
  </si>
  <si>
    <t>TSSYJKJYWHZ</t>
  </si>
  <si>
    <t>TGWEXRAATWY</t>
  </si>
  <si>
    <t>501</t>
  </si>
  <si>
    <t>SWJL</t>
  </si>
  <si>
    <t>GYYV</t>
  </si>
  <si>
    <t>502</t>
  </si>
  <si>
    <t>CYXJ</t>
  </si>
  <si>
    <t>终末评分表</t>
  </si>
  <si>
    <t>ZMPFB</t>
  </si>
  <si>
    <t>XGYWG</t>
  </si>
  <si>
    <t>重、慢病管理</t>
  </si>
  <si>
    <t>504</t>
  </si>
  <si>
    <t>ZMBGL</t>
  </si>
  <si>
    <t>TNUTG</t>
  </si>
  <si>
    <t>ZZYJL</t>
  </si>
  <si>
    <t>601</t>
  </si>
  <si>
    <t>602</t>
  </si>
  <si>
    <t>603</t>
  </si>
  <si>
    <t>604</t>
  </si>
  <si>
    <t>SSJL</t>
  </si>
  <si>
    <t>RSYV</t>
  </si>
  <si>
    <t>605</t>
  </si>
  <si>
    <t>MZQFSJL</t>
  </si>
  <si>
    <t>YSUYPYV</t>
  </si>
  <si>
    <t>606</t>
  </si>
  <si>
    <t>MZJL</t>
  </si>
  <si>
    <t>YSYV</t>
  </si>
  <si>
    <t>麻醉恢复记录</t>
  </si>
  <si>
    <t>607</t>
  </si>
  <si>
    <t>MZHFJL</t>
  </si>
  <si>
    <t>YSNTYV</t>
  </si>
  <si>
    <t>608</t>
  </si>
  <si>
    <t>MZSHSFJL</t>
  </si>
  <si>
    <t>YSSRBYYV</t>
  </si>
  <si>
    <t>术前患者准备及物品检查清单</t>
  </si>
  <si>
    <t>609</t>
  </si>
  <si>
    <t>SQHZZBJWPJCQD</t>
  </si>
  <si>
    <t>SUKFUTETKSSIU</t>
  </si>
  <si>
    <t>其他麻醉文书</t>
  </si>
  <si>
    <t>610</t>
  </si>
  <si>
    <t>QTMZWS</t>
  </si>
  <si>
    <t>AWYSYN</t>
  </si>
  <si>
    <t>手术器材追溯记录</t>
  </si>
  <si>
    <t>611</t>
  </si>
  <si>
    <t>SSQCZSJL</t>
  </si>
  <si>
    <t>RSKSWIYV</t>
  </si>
  <si>
    <t>耗材申报</t>
  </si>
  <si>
    <t>612</t>
  </si>
  <si>
    <t>HCSB</t>
  </si>
  <si>
    <t>DSJR</t>
  </si>
  <si>
    <t>手术计划</t>
  </si>
  <si>
    <t>613</t>
  </si>
  <si>
    <t>SSJH</t>
  </si>
  <si>
    <t>RSYA</t>
  </si>
  <si>
    <t>自体输血</t>
  </si>
  <si>
    <t>614</t>
  </si>
  <si>
    <t>ZTSX</t>
  </si>
  <si>
    <t>TWLT</t>
  </si>
  <si>
    <t>剖宫产手术记录</t>
  </si>
  <si>
    <t>615</t>
  </si>
  <si>
    <t>PGCSSJL</t>
  </si>
  <si>
    <t>UPURSYV</t>
  </si>
  <si>
    <t>手术评估</t>
  </si>
  <si>
    <t>616</t>
  </si>
  <si>
    <t>SSPG</t>
  </si>
  <si>
    <t>RSYW</t>
  </si>
  <si>
    <t>801</t>
  </si>
  <si>
    <t>YPHZHLJL</t>
  </si>
  <si>
    <t>GTKFRGYV</t>
  </si>
  <si>
    <t>802</t>
  </si>
  <si>
    <t>BZ BW HZHLJL</t>
  </si>
  <si>
    <t>UTUQKFRGYV</t>
  </si>
  <si>
    <t>婴儿护理记录</t>
  </si>
  <si>
    <t>803</t>
  </si>
  <si>
    <t>YETWD</t>
  </si>
  <si>
    <t>CRLJL</t>
  </si>
  <si>
    <t>待产产程观察记录</t>
  </si>
  <si>
    <t>820</t>
  </si>
  <si>
    <t>DCCCGCJL</t>
  </si>
  <si>
    <t>催产素引产记录</t>
  </si>
  <si>
    <t>821</t>
  </si>
  <si>
    <t>CCSYCJL</t>
  </si>
  <si>
    <t>结直肠肛门外科专科护理记录</t>
  </si>
  <si>
    <t>822</t>
  </si>
  <si>
    <t>JZCGMWKZKHLJL</t>
  </si>
  <si>
    <t>XFEEUQTFTRGYV</t>
  </si>
  <si>
    <t>其他护理记录单</t>
  </si>
  <si>
    <t>823</t>
  </si>
  <si>
    <t>QTHLJLD</t>
  </si>
  <si>
    <t>AWRGYVU</t>
  </si>
  <si>
    <t>健康教育</t>
  </si>
  <si>
    <t>824</t>
  </si>
  <si>
    <t>JKJY</t>
  </si>
  <si>
    <t>WYFY</t>
  </si>
  <si>
    <t>产房护理观察记录表</t>
  </si>
  <si>
    <t>825</t>
  </si>
  <si>
    <t>CFHLGCJLB</t>
  </si>
  <si>
    <t>UYRGCPYVG</t>
  </si>
  <si>
    <t>产科护理记录单</t>
  </si>
  <si>
    <t>826</t>
  </si>
  <si>
    <t>CKHLJLD</t>
  </si>
  <si>
    <t>UTRGYVU</t>
  </si>
  <si>
    <t>新生儿护理记录表</t>
  </si>
  <si>
    <t>827</t>
  </si>
  <si>
    <t>XSEHLJLB</t>
  </si>
  <si>
    <t>UTQRGYVG</t>
  </si>
  <si>
    <t>肿瘤护理记录单</t>
  </si>
  <si>
    <t>828</t>
  </si>
  <si>
    <t>ZLHLJLD</t>
  </si>
  <si>
    <t>EURGYVU</t>
  </si>
  <si>
    <t>妇科患者护理记录单</t>
  </si>
  <si>
    <t>829</t>
  </si>
  <si>
    <t>FKHZHLJLD</t>
  </si>
  <si>
    <t>VTKFRGYVU</t>
  </si>
  <si>
    <t>神经外科护理记录单</t>
  </si>
  <si>
    <t>830</t>
  </si>
  <si>
    <t>SJWKHLJLD</t>
  </si>
  <si>
    <t>PXQTRGYVU</t>
  </si>
  <si>
    <t>儿科重症病房护理记录单</t>
  </si>
  <si>
    <t>831</t>
  </si>
  <si>
    <t>EKZZBFHLJLD</t>
  </si>
  <si>
    <t>QTTUUYRGYVU</t>
  </si>
  <si>
    <t>重症护理记录单RICU</t>
  </si>
  <si>
    <t>832</t>
  </si>
  <si>
    <t>ZZHLJLDRICU</t>
  </si>
  <si>
    <t>TURGYVURICU</t>
  </si>
  <si>
    <t>骨科肢体与组织移植（再）植（造）观察记录单</t>
  </si>
  <si>
    <t>833</t>
  </si>
  <si>
    <t>GKZTYZZYZZZZGCJLD</t>
  </si>
  <si>
    <t>MTEWGXXTSGSTCPYVU</t>
  </si>
  <si>
    <t>成人体温单</t>
  </si>
  <si>
    <t>901</t>
  </si>
  <si>
    <t>CRTWD</t>
  </si>
  <si>
    <t>DWWIU</t>
  </si>
  <si>
    <t>儿童体温单</t>
  </si>
  <si>
    <t>902</t>
  </si>
  <si>
    <t>ETTWD</t>
  </si>
  <si>
    <t>QUWIU</t>
  </si>
  <si>
    <t>长期医嘱单</t>
  </si>
  <si>
    <t>1001</t>
  </si>
  <si>
    <t>CQYZD</t>
  </si>
  <si>
    <t>TAAKU</t>
  </si>
  <si>
    <t>临时医嘱单</t>
  </si>
  <si>
    <t>1002</t>
  </si>
  <si>
    <t>LSYZD</t>
  </si>
  <si>
    <t>JJAKU</t>
  </si>
  <si>
    <t>1101</t>
  </si>
  <si>
    <t>1201</t>
  </si>
  <si>
    <t>SXZQTYS</t>
  </si>
  <si>
    <t>LTTNMUN</t>
  </si>
  <si>
    <t>1202</t>
  </si>
  <si>
    <t>BZ W TZS</t>
  </si>
  <si>
    <t>UTQCTN</t>
  </si>
  <si>
    <t>1203</t>
  </si>
  <si>
    <t>QTZQTYS</t>
  </si>
  <si>
    <t>AWTNMUN</t>
  </si>
  <si>
    <t>穿刺术知情同意书</t>
  </si>
  <si>
    <t>1204</t>
  </si>
  <si>
    <t>CCSZQTYS</t>
  </si>
  <si>
    <t>PGSTNMUN</t>
  </si>
  <si>
    <t>健康宣教</t>
  </si>
  <si>
    <t>1205</t>
  </si>
  <si>
    <t>JKXJ</t>
  </si>
  <si>
    <t>WYPF</t>
  </si>
  <si>
    <t>1206</t>
  </si>
  <si>
    <t>TSJCJZLZQTYS</t>
  </si>
  <si>
    <t>TGSSEIUTNMUN</t>
  </si>
  <si>
    <t>特殊药品及材料使用知情同意书</t>
  </si>
  <si>
    <t>1207</t>
  </si>
  <si>
    <t>TSYPJCLSYZQTYS</t>
  </si>
  <si>
    <t>TGAKESOWETNMUN</t>
  </si>
  <si>
    <t>1208</t>
  </si>
  <si>
    <t>MZZQTYS</t>
  </si>
  <si>
    <t>YSTNMUN</t>
  </si>
  <si>
    <t>1209</t>
  </si>
  <si>
    <t>SSZQTYS</t>
  </si>
  <si>
    <t>RSTNMUN</t>
  </si>
  <si>
    <t>授权委托书</t>
  </si>
  <si>
    <t>1210</t>
  </si>
  <si>
    <t>SQWTS</t>
  </si>
  <si>
    <t>RSTRN</t>
  </si>
  <si>
    <t>入院知情同意书</t>
  </si>
  <si>
    <t>1211</t>
  </si>
  <si>
    <t>RYZQTYS</t>
  </si>
  <si>
    <t>TBTNMUN</t>
  </si>
  <si>
    <t>ICU知情同意书</t>
  </si>
  <si>
    <t>1212</t>
  </si>
  <si>
    <t>ICUZQTYS</t>
  </si>
  <si>
    <t>ICUTNMUN</t>
  </si>
  <si>
    <t>门诊知情同意书</t>
  </si>
  <si>
    <t>1213</t>
  </si>
  <si>
    <t>UYTNMUN</t>
  </si>
  <si>
    <t>病历讨论</t>
  </si>
  <si>
    <t>1214</t>
  </si>
  <si>
    <t>BLTL</t>
  </si>
  <si>
    <t>UDYY</t>
  </si>
  <si>
    <t>新生儿知情同意书</t>
  </si>
  <si>
    <t>1215</t>
  </si>
  <si>
    <t>XSEZQTYS</t>
  </si>
  <si>
    <t>UTQTNMUN</t>
  </si>
  <si>
    <t>疾病证明</t>
  </si>
  <si>
    <t>1216</t>
  </si>
  <si>
    <t>JBZM</t>
  </si>
  <si>
    <t>UUYJ</t>
  </si>
  <si>
    <t>死亡知情同意书</t>
  </si>
  <si>
    <t>1217</t>
  </si>
  <si>
    <t>SWZQTYS</t>
  </si>
  <si>
    <t>GYTNMUN</t>
  </si>
  <si>
    <t>辅助检查报告单</t>
  </si>
  <si>
    <t>1301</t>
  </si>
  <si>
    <t>FZJCBGD</t>
  </si>
  <si>
    <t>LESSRTU</t>
  </si>
  <si>
    <t>医学影像检查资料</t>
  </si>
  <si>
    <t>1401</t>
  </si>
  <si>
    <t>YXYXJCZL</t>
  </si>
  <si>
    <t>AIJWSSUO</t>
  </si>
  <si>
    <t>病理资料</t>
  </si>
  <si>
    <t>1402</t>
  </si>
  <si>
    <t>BLZL</t>
  </si>
  <si>
    <t>UGUO</t>
  </si>
  <si>
    <t>1501</t>
  </si>
  <si>
    <t>1601</t>
  </si>
  <si>
    <t>GCP随访记录</t>
  </si>
  <si>
    <t>1602</t>
  </si>
  <si>
    <t>GCPSFJL</t>
  </si>
  <si>
    <t>GCPBYYV</t>
  </si>
  <si>
    <t>1701</t>
  </si>
  <si>
    <t>康复评估</t>
  </si>
  <si>
    <t>1702</t>
  </si>
  <si>
    <t>KFPG</t>
  </si>
  <si>
    <t>YTYW</t>
  </si>
  <si>
    <t>化疗评估</t>
  </si>
  <si>
    <t>1703</t>
  </si>
  <si>
    <t>WUYW</t>
  </si>
  <si>
    <t>放疗评估</t>
  </si>
  <si>
    <t>1704</t>
  </si>
  <si>
    <t>FLPG</t>
  </si>
  <si>
    <t>血透评估</t>
  </si>
  <si>
    <t>1705</t>
  </si>
  <si>
    <t>XTPG</t>
  </si>
  <si>
    <t>TTYW</t>
  </si>
  <si>
    <t>高压氧评估</t>
  </si>
  <si>
    <t>1706</t>
  </si>
  <si>
    <t>GYYPG</t>
  </si>
  <si>
    <t>YDRYW</t>
  </si>
  <si>
    <t>中医症候积分量表</t>
  </si>
  <si>
    <t>1707</t>
  </si>
  <si>
    <t>ZYZHJFLB</t>
  </si>
  <si>
    <t>KAUWTWJG</t>
  </si>
  <si>
    <t>1801</t>
  </si>
  <si>
    <t>康复记录</t>
  </si>
  <si>
    <t>1802</t>
  </si>
  <si>
    <t>KFJL</t>
  </si>
  <si>
    <t>YTYV</t>
  </si>
  <si>
    <t>化疗记录</t>
  </si>
  <si>
    <t>1803</t>
  </si>
  <si>
    <t>WUYV</t>
  </si>
  <si>
    <t>放疗记录</t>
  </si>
  <si>
    <t>1804</t>
  </si>
  <si>
    <t>FLJL</t>
  </si>
  <si>
    <t>YUYV</t>
  </si>
  <si>
    <t>血透记录</t>
  </si>
  <si>
    <t>1805</t>
  </si>
  <si>
    <t>XTJL</t>
  </si>
  <si>
    <t>TTYV</t>
  </si>
  <si>
    <t>高压氧记录</t>
  </si>
  <si>
    <t>1806</t>
  </si>
  <si>
    <t>GYYJL</t>
  </si>
  <si>
    <t>YDRYV</t>
  </si>
  <si>
    <t>治疗过程记录</t>
  </si>
  <si>
    <t>1807</t>
  </si>
  <si>
    <t>ZLGCJL</t>
  </si>
  <si>
    <t>IUFTYV</t>
  </si>
  <si>
    <t>中医护理计划</t>
  </si>
  <si>
    <t>2201</t>
  </si>
  <si>
    <t>ZYHLJH</t>
  </si>
  <si>
    <t>KARGYA</t>
  </si>
  <si>
    <t>2202</t>
  </si>
  <si>
    <t>HLJH</t>
  </si>
  <si>
    <t>RGYA</t>
  </si>
  <si>
    <t>出生医学证明</t>
  </si>
  <si>
    <t>2301</t>
  </si>
  <si>
    <t>CSYXZM</t>
  </si>
  <si>
    <t>BTAIYJ</t>
  </si>
  <si>
    <t>死亡医学证明</t>
  </si>
  <si>
    <t>2302</t>
  </si>
  <si>
    <t>SWYXZM</t>
  </si>
  <si>
    <t>GYAIYJ</t>
  </si>
  <si>
    <t>其他医学证明</t>
  </si>
  <si>
    <t>2303</t>
  </si>
  <si>
    <t>QTYXZM</t>
  </si>
  <si>
    <t>AWAIYJ</t>
  </si>
  <si>
    <t>入院评估记录</t>
  </si>
  <si>
    <t>2701</t>
  </si>
  <si>
    <t>RYPGJL</t>
  </si>
  <si>
    <t>TBYWYV</t>
  </si>
  <si>
    <t>专项评估记录</t>
  </si>
  <si>
    <t>2702</t>
  </si>
  <si>
    <t>ZXPGJL</t>
  </si>
  <si>
    <t>FAYWYV</t>
  </si>
  <si>
    <t>2703</t>
  </si>
  <si>
    <t>CYPGJZDJL</t>
  </si>
  <si>
    <t>BBYWERNYV</t>
  </si>
  <si>
    <t>压疮危险因子评估表</t>
  </si>
  <si>
    <t>2704</t>
  </si>
  <si>
    <t>YCWXYZPGB</t>
  </si>
  <si>
    <t>DUQBLBYWG</t>
  </si>
  <si>
    <t>跌倒危险因子评估表</t>
  </si>
  <si>
    <t>2705</t>
  </si>
  <si>
    <t>DDWXYZPGB</t>
  </si>
  <si>
    <t>KWQBLBYWG</t>
  </si>
  <si>
    <t>管道滑脱危险因子评估表</t>
  </si>
  <si>
    <t>2706</t>
  </si>
  <si>
    <t>GDHTWXYZPGB</t>
  </si>
  <si>
    <t>TUIEQBLBYWG</t>
  </si>
  <si>
    <t>疼痛评估表</t>
  </si>
  <si>
    <t>2707</t>
  </si>
  <si>
    <t>TTPGB</t>
  </si>
  <si>
    <t>UUYWG</t>
  </si>
  <si>
    <t>生活自理能力评估表</t>
  </si>
  <si>
    <t>2708</t>
  </si>
  <si>
    <t>SHZLNLPGB</t>
  </si>
  <si>
    <t>TITGCLYWG</t>
  </si>
  <si>
    <t>Braden压疮风险评估表</t>
  </si>
  <si>
    <t>2709</t>
  </si>
  <si>
    <t>BRADENYCFXPGB</t>
  </si>
  <si>
    <t>BRADENDUMBYWG</t>
  </si>
  <si>
    <t>护理评估纵表</t>
  </si>
  <si>
    <t>2711</t>
  </si>
  <si>
    <t>门诊评估记录</t>
  </si>
  <si>
    <t>2721</t>
  </si>
  <si>
    <t>MZPGJL</t>
  </si>
  <si>
    <t>UYYWYV</t>
  </si>
  <si>
    <t>营养评估表</t>
  </si>
  <si>
    <t>2722</t>
  </si>
  <si>
    <t>YYPGB</t>
  </si>
  <si>
    <t>AUYWG</t>
  </si>
  <si>
    <t>卒中评估记录</t>
  </si>
  <si>
    <t>2723</t>
  </si>
  <si>
    <t>CZPGJL</t>
  </si>
  <si>
    <t>YKYWYV</t>
  </si>
  <si>
    <t>危重患者评估表</t>
  </si>
  <si>
    <t>2724</t>
  </si>
  <si>
    <t>WZHZPGB</t>
  </si>
  <si>
    <t>QTKFYWG</t>
  </si>
  <si>
    <t>其他评估表</t>
  </si>
  <si>
    <t>2725</t>
  </si>
  <si>
    <t>QTPGB</t>
  </si>
  <si>
    <t>AWYWG</t>
  </si>
  <si>
    <t>镇静评分</t>
  </si>
  <si>
    <t>2726</t>
  </si>
  <si>
    <t>ZJPF</t>
  </si>
  <si>
    <t>QGYW</t>
  </si>
  <si>
    <t>PIO记录</t>
  </si>
  <si>
    <t>2727</t>
  </si>
  <si>
    <t>PIOJL</t>
  </si>
  <si>
    <t>PIOYV</t>
  </si>
  <si>
    <t>血栓评估</t>
  </si>
  <si>
    <t>2728</t>
  </si>
  <si>
    <t>XSPG</t>
  </si>
  <si>
    <t>TSYW</t>
  </si>
  <si>
    <t>2729</t>
  </si>
  <si>
    <t>新生儿评估</t>
  </si>
  <si>
    <t>2730</t>
  </si>
  <si>
    <t>XSEPG</t>
  </si>
  <si>
    <t>UTQYW</t>
  </si>
  <si>
    <t>输血相关评估</t>
  </si>
  <si>
    <t>2731</t>
  </si>
  <si>
    <t>SXXGPG</t>
  </si>
  <si>
    <t>LTSUYW</t>
  </si>
  <si>
    <t>住院评估记录</t>
  </si>
  <si>
    <t>2732</t>
  </si>
  <si>
    <t>ZYPGJL</t>
  </si>
  <si>
    <t>WBYWYV</t>
  </si>
  <si>
    <t>3001</t>
  </si>
  <si>
    <t>手术清点记录单</t>
  </si>
  <si>
    <t>3002</t>
  </si>
  <si>
    <t>SSQDJLD</t>
  </si>
  <si>
    <t>RSIHYVU</t>
  </si>
  <si>
    <t>手术/麻醉风险评估表</t>
  </si>
  <si>
    <t>3003</t>
  </si>
  <si>
    <t>SS/MZFXPGB</t>
  </si>
  <si>
    <t>RSYSMBYWG</t>
  </si>
  <si>
    <t>手术安全核查记录</t>
  </si>
  <si>
    <t>3004</t>
  </si>
  <si>
    <t>SSAQHCJL</t>
  </si>
  <si>
    <t>RSPWSSYV</t>
  </si>
  <si>
    <t>3005</t>
  </si>
  <si>
    <t>SSHLJL</t>
  </si>
  <si>
    <t>RSRGYV</t>
  </si>
  <si>
    <t>3006</t>
  </si>
  <si>
    <t>DCJL</t>
  </si>
  <si>
    <t>TUYV</t>
  </si>
  <si>
    <t>产后记录</t>
  </si>
  <si>
    <t>3007</t>
  </si>
  <si>
    <t>CHJL</t>
  </si>
  <si>
    <t>URYV</t>
  </si>
  <si>
    <t>3008</t>
  </si>
  <si>
    <t>ZRFWJL</t>
  </si>
  <si>
    <t>TQWVYV</t>
  </si>
  <si>
    <t>3009</t>
  </si>
  <si>
    <t>GZHCSYJL</t>
  </si>
  <si>
    <t>YWDSWEYV</t>
  </si>
  <si>
    <t>有创诊疗操作记录</t>
  </si>
  <si>
    <t>3010</t>
  </si>
  <si>
    <t>YCZLCZJL</t>
  </si>
  <si>
    <t>DWYURWYV</t>
  </si>
  <si>
    <t>3011</t>
  </si>
  <si>
    <t>重症特护单</t>
  </si>
  <si>
    <t>3012</t>
  </si>
  <si>
    <t>ZZTHD</t>
  </si>
  <si>
    <t>TUTRU</t>
  </si>
  <si>
    <t>护患沟通表</t>
  </si>
  <si>
    <t>3013</t>
  </si>
  <si>
    <t>HHGTB</t>
  </si>
  <si>
    <t>RKICG</t>
  </si>
  <si>
    <t>精神科评估与监测</t>
  </si>
  <si>
    <t>3014</t>
  </si>
  <si>
    <t>JSKPGYJC</t>
  </si>
  <si>
    <t>OPTYWGJI</t>
  </si>
  <si>
    <t>病区治疗记录</t>
  </si>
  <si>
    <t>3015</t>
  </si>
  <si>
    <t>BQZLJL</t>
  </si>
  <si>
    <t>UAIUYV</t>
  </si>
  <si>
    <t>康复科治疗与记录</t>
  </si>
  <si>
    <t>3016</t>
  </si>
  <si>
    <t>KFKZLYJL</t>
  </si>
  <si>
    <t>YTTIUGYV</t>
  </si>
  <si>
    <t>中医护理方案</t>
  </si>
  <si>
    <t>3017</t>
  </si>
  <si>
    <t>ZYHLFA</t>
  </si>
  <si>
    <t>KARGYP</t>
  </si>
  <si>
    <t>手术患者交接单</t>
  </si>
  <si>
    <t>3018</t>
  </si>
  <si>
    <t>SSHZJJD</t>
  </si>
  <si>
    <t>RSKFURU</t>
  </si>
  <si>
    <t>日间手术交接记录</t>
  </si>
  <si>
    <t>3019</t>
  </si>
  <si>
    <t>RJSSJJJL</t>
  </si>
  <si>
    <t>JURSURYV</t>
  </si>
  <si>
    <t>交接护理记录</t>
  </si>
  <si>
    <t>3020</t>
  </si>
  <si>
    <t>JJHLJL</t>
  </si>
  <si>
    <t>URRGYV</t>
  </si>
  <si>
    <t>健康宣教单</t>
  </si>
  <si>
    <t>3021</t>
  </si>
  <si>
    <t>JKXJD</t>
  </si>
  <si>
    <t>WYPFU</t>
  </si>
  <si>
    <t>营养宣教单</t>
  </si>
  <si>
    <t>3022</t>
  </si>
  <si>
    <t>YYXJD</t>
  </si>
  <si>
    <t>AUPFU</t>
  </si>
  <si>
    <t>血糖记录单</t>
  </si>
  <si>
    <t>3023</t>
  </si>
  <si>
    <t>XTJLD</t>
  </si>
  <si>
    <t>TOYVU</t>
  </si>
  <si>
    <t>护理交接单</t>
  </si>
  <si>
    <t>3024</t>
  </si>
  <si>
    <t>HLJJD</t>
  </si>
  <si>
    <t>RGURU</t>
  </si>
  <si>
    <t>上报表</t>
  </si>
  <si>
    <t>3025</t>
  </si>
  <si>
    <t>SBB</t>
  </si>
  <si>
    <t>HRG</t>
  </si>
  <si>
    <t>新生儿科表单</t>
  </si>
  <si>
    <t>3026</t>
  </si>
  <si>
    <t>XSEKBD</t>
  </si>
  <si>
    <t>UTQTGU</t>
  </si>
  <si>
    <t>护士交班本</t>
  </si>
  <si>
    <t>3201</t>
  </si>
  <si>
    <t>HSJB</t>
  </si>
  <si>
    <t>住院交班本</t>
  </si>
  <si>
    <t>3202</t>
  </si>
  <si>
    <t>ZYJB</t>
  </si>
  <si>
    <t>手术</t>
  </si>
  <si>
    <t>3501</t>
  </si>
  <si>
    <t>SS</t>
  </si>
  <si>
    <t>RS</t>
  </si>
  <si>
    <t>超声</t>
  </si>
  <si>
    <t>3502</t>
  </si>
  <si>
    <t>CS</t>
  </si>
  <si>
    <t>FF</t>
  </si>
  <si>
    <t>核磁</t>
  </si>
  <si>
    <t>3503</t>
  </si>
  <si>
    <t>HC</t>
  </si>
  <si>
    <t>SD</t>
  </si>
  <si>
    <t>病理</t>
  </si>
  <si>
    <t>3504</t>
  </si>
  <si>
    <t>BL</t>
  </si>
  <si>
    <t>UG</t>
  </si>
  <si>
    <t>心电</t>
  </si>
  <si>
    <t>3505</t>
  </si>
  <si>
    <t>XD</t>
  </si>
  <si>
    <t>NJ</t>
  </si>
  <si>
    <t>胃镜</t>
  </si>
  <si>
    <t>3506</t>
  </si>
  <si>
    <t>WJ</t>
  </si>
  <si>
    <t>LQ</t>
  </si>
  <si>
    <t>CT</t>
  </si>
  <si>
    <t>3507</t>
  </si>
  <si>
    <t>脑肌电</t>
  </si>
  <si>
    <t>3508</t>
  </si>
  <si>
    <t>NJD</t>
  </si>
  <si>
    <t>EEJ</t>
  </si>
  <si>
    <t>用血</t>
  </si>
  <si>
    <t>3509</t>
  </si>
  <si>
    <t>YX</t>
  </si>
  <si>
    <t>ET</t>
  </si>
  <si>
    <t>其它</t>
  </si>
  <si>
    <t>3510</t>
  </si>
  <si>
    <t>QT</t>
  </si>
  <si>
    <t>AP</t>
  </si>
  <si>
    <t>治疗</t>
  </si>
  <si>
    <t>3511</t>
  </si>
  <si>
    <t>ZL</t>
  </si>
  <si>
    <t>IU</t>
  </si>
  <si>
    <t>检验</t>
  </si>
  <si>
    <t>3512</t>
  </si>
  <si>
    <t>JY</t>
  </si>
  <si>
    <t>SC</t>
  </si>
  <si>
    <t>DR</t>
  </si>
  <si>
    <t>3513</t>
  </si>
  <si>
    <t>VTE评估量表</t>
  </si>
  <si>
    <t>3601</t>
  </si>
  <si>
    <t>VTEPGLB</t>
  </si>
  <si>
    <t>VTEYWJG</t>
  </si>
  <si>
    <t>输血文书</t>
  </si>
  <si>
    <t>3701</t>
  </si>
  <si>
    <t>SXWS</t>
  </si>
  <si>
    <t>LTYN</t>
  </si>
  <si>
    <t>3702</t>
  </si>
  <si>
    <t>讨论记录</t>
  </si>
  <si>
    <t>3703</t>
  </si>
  <si>
    <t>TLJL</t>
  </si>
  <si>
    <t>YYYV</t>
  </si>
  <si>
    <t>高危妊娠管理</t>
  </si>
  <si>
    <t>3704</t>
  </si>
  <si>
    <t>GWRCGL</t>
  </si>
  <si>
    <t>YQVVTG</t>
  </si>
  <si>
    <t>医保文书</t>
  </si>
  <si>
    <t>3705</t>
  </si>
  <si>
    <t>YBWS</t>
  </si>
  <si>
    <t>AWYN</t>
  </si>
  <si>
    <t>死亡讨论文书</t>
  </si>
  <si>
    <t>3706</t>
  </si>
  <si>
    <t>SWTLWS</t>
  </si>
  <si>
    <t>GYYYYN</t>
  </si>
  <si>
    <t>疑难病症讨论文书</t>
  </si>
  <si>
    <t>3707</t>
  </si>
  <si>
    <t>YNBZTLWS</t>
  </si>
  <si>
    <t>XCUUYYYN</t>
  </si>
  <si>
    <t>快速反应小组相关文书</t>
  </si>
  <si>
    <t>3708</t>
  </si>
  <si>
    <t>KSFYXZXGWS</t>
  </si>
  <si>
    <t>NGRYIXSUYN</t>
  </si>
  <si>
    <t>单病种</t>
  </si>
  <si>
    <t>3801</t>
  </si>
  <si>
    <t>DBZ</t>
  </si>
  <si>
    <t>UUT</t>
  </si>
  <si>
    <t>传染病</t>
  </si>
  <si>
    <t>3802</t>
  </si>
  <si>
    <t>CRB</t>
  </si>
  <si>
    <t>食源性</t>
  </si>
  <si>
    <t>3803</t>
  </si>
  <si>
    <t>SYX</t>
  </si>
  <si>
    <t>WIN</t>
  </si>
  <si>
    <t>慢性病</t>
  </si>
  <si>
    <t>3804</t>
  </si>
  <si>
    <t>MXB</t>
  </si>
  <si>
    <t>NNU</t>
  </si>
  <si>
    <t>死亡报卡</t>
  </si>
  <si>
    <t>3805</t>
  </si>
  <si>
    <t>SWBK</t>
  </si>
  <si>
    <t>GYRH</t>
  </si>
  <si>
    <t>农药中毒</t>
  </si>
  <si>
    <t>3806</t>
  </si>
  <si>
    <t>NYZD</t>
  </si>
  <si>
    <t>PAKG</t>
  </si>
  <si>
    <t>其他报卡</t>
  </si>
  <si>
    <t>3807</t>
  </si>
  <si>
    <t>QTBK</t>
  </si>
  <si>
    <t>AWRH</t>
  </si>
  <si>
    <t>差错事故、死亡登记</t>
  </si>
  <si>
    <t>3901</t>
  </si>
  <si>
    <t>CCSGSWDJ</t>
  </si>
  <si>
    <t>UQGDGYWY</t>
  </si>
  <si>
    <t>行证查床</t>
  </si>
  <si>
    <t>3902</t>
  </si>
  <si>
    <t>XZCC</t>
  </si>
  <si>
    <t>TYSY</t>
  </si>
  <si>
    <t>病史卡</t>
  </si>
  <si>
    <t>3903</t>
  </si>
  <si>
    <t>BSK</t>
  </si>
  <si>
    <t>UKH</t>
  </si>
  <si>
    <t>建床录</t>
  </si>
  <si>
    <t>3904</t>
  </si>
  <si>
    <t>JCL</t>
  </si>
  <si>
    <t>VYV</t>
  </si>
  <si>
    <t>撤床小结</t>
  </si>
  <si>
    <t>3905</t>
  </si>
  <si>
    <t>CCXJ</t>
  </si>
  <si>
    <t>RYIX</t>
  </si>
  <si>
    <t>查床记录</t>
  </si>
  <si>
    <t>3906</t>
  </si>
  <si>
    <t>CCJL</t>
  </si>
  <si>
    <t>SYYV</t>
  </si>
  <si>
    <t>撤床记录</t>
  </si>
  <si>
    <t>3907</t>
  </si>
  <si>
    <t>RYYV</t>
  </si>
  <si>
    <t>4001</t>
  </si>
  <si>
    <t>4002</t>
  </si>
  <si>
    <t>4003</t>
  </si>
  <si>
    <t>4004</t>
  </si>
  <si>
    <t>4005</t>
  </si>
  <si>
    <t>4006</t>
  </si>
  <si>
    <t>科室质控</t>
  </si>
  <si>
    <t>4201</t>
  </si>
  <si>
    <t>KSZK</t>
  </si>
  <si>
    <t>TPRR</t>
  </si>
  <si>
    <t>终末质控</t>
  </si>
  <si>
    <t>4202</t>
  </si>
  <si>
    <t>ZMZK</t>
  </si>
  <si>
    <t>XGRR</t>
  </si>
  <si>
    <t>医生文书</t>
  </si>
  <si>
    <t>4301</t>
  </si>
  <si>
    <t>YSWS</t>
  </si>
  <si>
    <t>ATYN</t>
  </si>
  <si>
    <t>护理文书</t>
  </si>
  <si>
    <t>4302</t>
  </si>
  <si>
    <t>HLWS</t>
  </si>
  <si>
    <t>RGYN</t>
  </si>
  <si>
    <t>4303</t>
  </si>
  <si>
    <t>4304</t>
  </si>
  <si>
    <t>JC</t>
  </si>
  <si>
    <t>4305</t>
  </si>
  <si>
    <t>其他记录</t>
  </si>
  <si>
    <t>4306</t>
  </si>
  <si>
    <t>AW</t>
  </si>
  <si>
    <t>医保重症审批</t>
  </si>
  <si>
    <t>4401</t>
  </si>
  <si>
    <t>YBZZSP</t>
  </si>
  <si>
    <t>AWTUPR</t>
  </si>
  <si>
    <t>外购药品申报</t>
  </si>
  <si>
    <t>4402</t>
  </si>
  <si>
    <t>WGYPSB</t>
  </si>
  <si>
    <t>QMAKJR</t>
  </si>
  <si>
    <t>住院清单</t>
  </si>
  <si>
    <t>4403</t>
  </si>
  <si>
    <t>ZYQD</t>
  </si>
  <si>
    <t>WBIU</t>
  </si>
  <si>
    <t>麻醉材料图片病历</t>
  </si>
  <si>
    <t>4601</t>
  </si>
  <si>
    <t>MZCLTPBL</t>
  </si>
  <si>
    <t>YSSOLTUD</t>
  </si>
  <si>
    <t>4602</t>
  </si>
  <si>
    <t>麻醉卡专用文书</t>
  </si>
  <si>
    <t>4701</t>
  </si>
  <si>
    <t>MZKZYWS</t>
  </si>
  <si>
    <t>YSHFEYN</t>
  </si>
  <si>
    <t>西医护理首页</t>
  </si>
  <si>
    <t>5401</t>
  </si>
  <si>
    <t>XYHLSY</t>
  </si>
  <si>
    <t>SARGUD</t>
  </si>
  <si>
    <t>中医护理首页</t>
  </si>
  <si>
    <t>5402</t>
  </si>
  <si>
    <t>ZYHLSY</t>
  </si>
  <si>
    <t>KARGUD</t>
  </si>
  <si>
    <t>5701</t>
  </si>
  <si>
    <t>5702</t>
  </si>
  <si>
    <t>5703</t>
  </si>
  <si>
    <t>5704</t>
  </si>
  <si>
    <t>KZRHZRFZR</t>
  </si>
  <si>
    <t>TYWAYWGYW</t>
  </si>
  <si>
    <t>5705</t>
  </si>
  <si>
    <t>5706</t>
  </si>
  <si>
    <t>5707</t>
  </si>
  <si>
    <t>5708</t>
  </si>
  <si>
    <t>5709</t>
  </si>
  <si>
    <t>5710</t>
  </si>
  <si>
    <t>5711</t>
  </si>
  <si>
    <t>5712</t>
  </si>
  <si>
    <t>5713</t>
  </si>
  <si>
    <t>危重病例讨论记录</t>
  </si>
  <si>
    <t>5714</t>
  </si>
  <si>
    <t>WZBLTLJL</t>
  </si>
  <si>
    <t>QTUWYYYV</t>
  </si>
  <si>
    <t>重症护理记录</t>
  </si>
  <si>
    <t>8221</t>
  </si>
  <si>
    <t>ZZHLJL</t>
  </si>
  <si>
    <t>TURGYV</t>
  </si>
  <si>
    <t>新冠肺炎</t>
  </si>
  <si>
    <t>31001</t>
  </si>
  <si>
    <t>XGFY</t>
  </si>
  <si>
    <t>UPEO</t>
  </si>
  <si>
    <t>手术风险评估</t>
  </si>
  <si>
    <t>300301</t>
  </si>
  <si>
    <t>SSFXPG</t>
  </si>
  <si>
    <t>RSMBYW</t>
  </si>
  <si>
    <t>麻醉风险评估</t>
  </si>
  <si>
    <t>300302</t>
  </si>
  <si>
    <t>MZFXPG</t>
  </si>
  <si>
    <t>YSMBYW</t>
  </si>
  <si>
    <t>370901</t>
  </si>
  <si>
    <t>370902</t>
  </si>
  <si>
    <t>370903</t>
  </si>
  <si>
    <t>其他病例讨论记录</t>
  </si>
  <si>
    <t>370904</t>
  </si>
  <si>
    <t>QTBLTLJL</t>
  </si>
  <si>
    <t>AWUWYYYV</t>
  </si>
  <si>
    <t>首页</t>
  </si>
  <si>
    <t>430101</t>
  </si>
  <si>
    <t>SY</t>
  </si>
  <si>
    <t>UD</t>
  </si>
  <si>
    <t>430102</t>
  </si>
  <si>
    <t>430103</t>
  </si>
  <si>
    <t>430104</t>
  </si>
  <si>
    <t>手术麻醉相关</t>
  </si>
  <si>
    <t>430106</t>
  </si>
  <si>
    <t>SSMZXG</t>
  </si>
  <si>
    <t>RSYSSU</t>
  </si>
  <si>
    <t>知情告知</t>
  </si>
  <si>
    <t>430107</t>
  </si>
  <si>
    <t>ZQGZ</t>
  </si>
  <si>
    <t>TNTT</t>
  </si>
  <si>
    <t>430108</t>
  </si>
  <si>
    <t>RWYV</t>
  </si>
  <si>
    <t>430109</t>
  </si>
  <si>
    <t>430201</t>
  </si>
  <si>
    <t>430202</t>
  </si>
  <si>
    <t>430203</t>
  </si>
  <si>
    <t>护理评估单</t>
  </si>
  <si>
    <t>430204</t>
  </si>
  <si>
    <t>HLPGD</t>
  </si>
  <si>
    <t>RGYWU</t>
  </si>
  <si>
    <t>430205</t>
  </si>
  <si>
    <t>430206</t>
  </si>
  <si>
    <t>护理会诊记录</t>
  </si>
  <si>
    <t>430207</t>
  </si>
  <si>
    <t>HLHZJL</t>
  </si>
  <si>
    <t>RGWYYV</t>
  </si>
  <si>
    <t>430208</t>
  </si>
  <si>
    <t>430301</t>
  </si>
  <si>
    <t>430302</t>
  </si>
  <si>
    <t>IUYW</t>
  </si>
  <si>
    <t>430401</t>
  </si>
  <si>
    <t>放射</t>
  </si>
  <si>
    <t>430402</t>
  </si>
  <si>
    <t>FS</t>
  </si>
  <si>
    <t>YT</t>
  </si>
  <si>
    <t>430403</t>
  </si>
  <si>
    <t>内镜</t>
  </si>
  <si>
    <t>430404</t>
  </si>
  <si>
    <t>MQ</t>
  </si>
  <si>
    <t>430405</t>
  </si>
  <si>
    <t>其他</t>
  </si>
  <si>
    <t>430406</t>
  </si>
  <si>
    <t>血液</t>
  </si>
  <si>
    <t>430501</t>
  </si>
  <si>
    <t>XY</t>
  </si>
  <si>
    <t>TI</t>
  </si>
  <si>
    <t>体液</t>
  </si>
  <si>
    <t>430502</t>
  </si>
  <si>
    <t>TY</t>
  </si>
  <si>
    <t>WI</t>
  </si>
  <si>
    <t>生化</t>
  </si>
  <si>
    <t>430503</t>
  </si>
  <si>
    <t>SH</t>
  </si>
  <si>
    <t>TW</t>
  </si>
  <si>
    <t>免疫</t>
  </si>
  <si>
    <t>430504</t>
  </si>
  <si>
    <t>WY</t>
  </si>
  <si>
    <t>QU</t>
  </si>
  <si>
    <t>微生物</t>
  </si>
  <si>
    <t>430505</t>
  </si>
  <si>
    <t>WSW</t>
  </si>
  <si>
    <t>TTT</t>
  </si>
  <si>
    <t>430506</t>
  </si>
  <si>
    <t>西药处方</t>
  </si>
  <si>
    <t>中药处方</t>
  </si>
  <si>
    <t>DE01.00.009.00</t>
  </si>
  <si>
    <t>28</t>
  </si>
  <si>
    <t>29</t>
  </si>
  <si>
    <t>7</t>
  </si>
  <si>
    <t>ZOE99.00.03.12859</t>
  </si>
  <si>
    <t>recorder_name</t>
  </si>
  <si>
    <t>recorderName</t>
  </si>
  <si>
    <t>记录人名称</t>
  </si>
  <si>
    <t>记录人</t>
  </si>
  <si>
    <t>ZOE99.00.03.6516</t>
  </si>
  <si>
    <t>ward_code</t>
  </si>
  <si>
    <t>wardCode</t>
  </si>
  <si>
    <t>病区代码</t>
  </si>
  <si>
    <t>ZOE99.01.00.239</t>
  </si>
  <si>
    <t>district_code</t>
  </si>
  <si>
    <t>districtCode</t>
  </si>
  <si>
    <t>院区代码</t>
  </si>
  <si>
    <t>病人id</t>
  </si>
  <si>
    <t>记录人员</t>
  </si>
  <si>
    <t>患者id</t>
  </si>
  <si>
    <t>GAD-7 焦虑自评量表</t>
  </si>
  <si>
    <t>PHQ-9 抑郁自评量表</t>
  </si>
  <si>
    <t>PHQ-15 躯体症状自评量表</t>
  </si>
  <si>
    <t>20</t>
  </si>
  <si>
    <t>21</t>
  </si>
  <si>
    <t>ZOE99.00.03.2452</t>
  </si>
  <si>
    <t>pk_id</t>
  </si>
  <si>
    <t>pkId</t>
  </si>
  <si>
    <t>主键ID</t>
  </si>
  <si>
    <t>数据元新英文名</t>
  </si>
  <si>
    <t>数据元新名称</t>
  </si>
  <si>
    <t>英文名是否变更</t>
  </si>
  <si>
    <t>中文名是否变更</t>
  </si>
  <si>
    <t>EMR4数据元编码</t>
  </si>
  <si>
    <t>操作人</t>
  </si>
  <si>
    <t>是否隐私信息</t>
  </si>
  <si>
    <t>onelink旧架构找不到字段</t>
  </si>
  <si>
    <t>onelink新架构找不到字段</t>
  </si>
  <si>
    <t>数据处理排序号</t>
  </si>
  <si>
    <t>is_allergy_history_flag</t>
  </si>
  <si>
    <t>是否过敏史标志</t>
  </si>
  <si>
    <t>是</t>
  </si>
  <si>
    <t>allergy_history_desc</t>
  </si>
  <si>
    <t>否</t>
  </si>
  <si>
    <t>就诊日期时间</t>
  </si>
  <si>
    <t>初诊标志代码</t>
  </si>
  <si>
    <t>present_disease</t>
  </si>
  <si>
    <t>past_history</t>
  </si>
  <si>
    <t>epidemiological_history</t>
  </si>
  <si>
    <t>physical_exam</t>
  </si>
  <si>
    <t>辅助检查项目</t>
  </si>
  <si>
    <t>pry_west_diag_code</t>
  </si>
  <si>
    <t>初步西医诊断代码</t>
  </si>
  <si>
    <t>pry_west_diag_name</t>
  </si>
  <si>
    <t>初步诊断西医疾病名称</t>
  </si>
  <si>
    <t>pry_tcm_diag_code</t>
  </si>
  <si>
    <t>pry_tcm_diag_name</t>
  </si>
  <si>
    <t>pry_tcm_syn_code</t>
  </si>
  <si>
    <t>pry_tcm_syn_name</t>
  </si>
  <si>
    <t>dialectical_according</t>
  </si>
  <si>
    <t>pres_item_class_code</t>
  </si>
  <si>
    <t>prescription_item_content</t>
  </si>
  <si>
    <t>prescription_use_memo</t>
  </si>
  <si>
    <t>医嘱备注信息</t>
  </si>
  <si>
    <t>order_cr_dept_name</t>
  </si>
  <si>
    <t>开始日期时间</t>
  </si>
  <si>
    <t>prescription_exec_date_time</t>
  </si>
  <si>
    <t>医嘱执行日期时间</t>
  </si>
  <si>
    <t>描述</t>
  </si>
  <si>
    <t>enter_obs_room_time</t>
  </si>
  <si>
    <t>收入观察室日期时间</t>
  </si>
  <si>
    <t>emer_obs_process_recode</t>
  </si>
  <si>
    <t>rescue_start_date_time</t>
  </si>
  <si>
    <t>抢救开始日期时间</t>
  </si>
  <si>
    <t>rescue_end_date_time</t>
  </si>
  <si>
    <t>抢救结束日期时间</t>
  </si>
  <si>
    <t>operation_name</t>
  </si>
  <si>
    <t>手术／操作名称</t>
  </si>
  <si>
    <t>operation_code</t>
  </si>
  <si>
    <t>手术／操作代码</t>
  </si>
  <si>
    <t>opn_target_papt_name</t>
  </si>
  <si>
    <t>intervention_material_name</t>
  </si>
  <si>
    <t>operation_method</t>
  </si>
  <si>
    <t>operation_times</t>
  </si>
  <si>
    <t>filling_record_time</t>
  </si>
  <si>
    <t>填报日期时间</t>
  </si>
  <si>
    <t>attention_desc</t>
  </si>
  <si>
    <t>west_med_diag_code</t>
  </si>
  <si>
    <t>西医疾病诊断代码</t>
  </si>
  <si>
    <t>is_clinic_operate_flag</t>
  </si>
  <si>
    <t>是否有创诊疗操作标志</t>
  </si>
  <si>
    <t>operation_time</t>
  </si>
  <si>
    <t>手术／操作日期时间</t>
  </si>
  <si>
    <t>药物名称</t>
  </si>
  <si>
    <t>drug_use_method</t>
  </si>
  <si>
    <t>药物用法</t>
  </si>
  <si>
    <t>tcm_use_class_code</t>
  </si>
  <si>
    <t>药物使用频次代码</t>
  </si>
  <si>
    <t>use_drug_dosage_unit</t>
  </si>
  <si>
    <t>药物使用剂量单位</t>
  </si>
  <si>
    <t>use_drug_once_dosage</t>
  </si>
  <si>
    <t>药物使用次剂量</t>
  </si>
  <si>
    <t>use_drug_tot_dosage</t>
  </si>
  <si>
    <t>药物使用总剂量</t>
  </si>
  <si>
    <t>药物使用途径代码</t>
  </si>
  <si>
    <t>treatment_method</t>
  </si>
  <si>
    <t>fu_cycle_opinion_code</t>
  </si>
  <si>
    <t>preop_west_diag_code</t>
  </si>
  <si>
    <t>po_west_diag_code</t>
  </si>
  <si>
    <t>opn_start_date_time</t>
  </si>
  <si>
    <t>手术开始日期时间</t>
  </si>
  <si>
    <t>结束日期时间</t>
  </si>
  <si>
    <t>operation_level_code</t>
  </si>
  <si>
    <t>operation_position_code</t>
  </si>
  <si>
    <t>operation_process_description</t>
  </si>
  <si>
    <t>is_operation_flag</t>
  </si>
  <si>
    <t>是否手术标志</t>
  </si>
  <si>
    <t>operation_incision_description</t>
  </si>
  <si>
    <t>is_drainage_flag</t>
  </si>
  <si>
    <t>是否引流标志</t>
  </si>
  <si>
    <t>operation_bleeding_qty</t>
  </si>
  <si>
    <t>infusion_quantity</t>
  </si>
  <si>
    <t>ransfusion_blood_quantity</t>
  </si>
  <si>
    <t>consumables_name</t>
  </si>
  <si>
    <t>drainage_consumables_quantity</t>
  </si>
  <si>
    <t>place_part</t>
  </si>
  <si>
    <t>is_blood_trans_reaction_flag</t>
  </si>
  <si>
    <t>是否输血反应标志</t>
  </si>
  <si>
    <t>name</t>
  </si>
  <si>
    <t>assistant1_name</t>
  </si>
  <si>
    <t>Ⅰ助姓名</t>
  </si>
  <si>
    <t>assistant2_name</t>
  </si>
  <si>
    <t>Ⅱ助姓名</t>
  </si>
  <si>
    <t>anesthesia_method_code</t>
  </si>
  <si>
    <t>abo_blood_code</t>
  </si>
  <si>
    <t>rh_blood_code</t>
  </si>
  <si>
    <t>preoperative_comorbidity</t>
  </si>
  <si>
    <t>briefly_disease_history</t>
  </si>
  <si>
    <t>usg_exam_result</t>
  </si>
  <si>
    <t>pfn_exam_result</t>
  </si>
  <si>
    <t>cbc_exam_res</t>
  </si>
  <si>
    <t>ru_microscopy_result</t>
  </si>
  <si>
    <t>coag_fn_test_result</t>
  </si>
  <si>
    <t>liver_fn_test_code</t>
  </si>
  <si>
    <t>abg_analysis_exam_res</t>
  </si>
  <si>
    <t>gen_cond_exam_result</t>
  </si>
  <si>
    <t>is_neury_state_norm_flag</t>
  </si>
  <si>
    <t>是否精神状态正常标志</t>
  </si>
  <si>
    <t>pulmonary_auscultation_result</t>
  </si>
  <si>
    <t>abdomen_exam_result</t>
  </si>
  <si>
    <t>prescription_name</t>
  </si>
  <si>
    <t>anesthesia_indications</t>
  </si>
  <si>
    <t>麻醉适应症</t>
  </si>
  <si>
    <t>trachea_intubate_class</t>
  </si>
  <si>
    <t>麻醉药物名称</t>
  </si>
  <si>
    <t>anesthesia_position</t>
  </si>
  <si>
    <t>breathing_type_code</t>
  </si>
  <si>
    <t>anesthesia_desc</t>
  </si>
  <si>
    <t>anes_mon_item_name</t>
  </si>
  <si>
    <t>rt_mon_item_res</t>
  </si>
  <si>
    <t>spcl_mon_item_name</t>
  </si>
  <si>
    <t>spcl_mon_item_res</t>
  </si>
  <si>
    <t>anes_comorbidity_flag_code</t>
  </si>
  <si>
    <t>clinic_process_desc</t>
  </si>
  <si>
    <t>temperature</t>
  </si>
  <si>
    <t>breathing_frequency</t>
  </si>
  <si>
    <t>anesthesia_effect</t>
  </si>
  <si>
    <t>anes_before_use_drug</t>
  </si>
  <si>
    <t>exit_oper_room_date_time</t>
  </si>
  <si>
    <t>出手术室日期时间</t>
  </si>
  <si>
    <t>transfusion_blood_time</t>
  </si>
  <si>
    <t>输血日期时间</t>
  </si>
  <si>
    <t>transfusion_blood_kind_code</t>
  </si>
  <si>
    <t>transfusion_blood_quantity</t>
  </si>
  <si>
    <t>transfusion_blood_unit</t>
  </si>
  <si>
    <t>infusion_item</t>
  </si>
  <si>
    <t>anesthesia_recovery_condition</t>
  </si>
  <si>
    <t>清醒日期时间</t>
  </si>
  <si>
    <t>rem_trachea_intubation_flag</t>
  </si>
  <si>
    <t>special_condition_record</t>
  </si>
  <si>
    <t>is_transfusion_blood_flag</t>
  </si>
  <si>
    <t>是否输血史标志</t>
  </si>
  <si>
    <t>transfusion_blood_prop_code</t>
  </si>
  <si>
    <t>apply_abo_blood_type_code</t>
  </si>
  <si>
    <t>apply_rh_blood_type_code</t>
  </si>
  <si>
    <t>transfusion_blood_indications</t>
  </si>
  <si>
    <t>transfusion_blood_recode</t>
  </si>
  <si>
    <t>blood_bag_no</t>
  </si>
  <si>
    <t>blood_trans_reaction_code</t>
  </si>
  <si>
    <t>transfusion_blood_times</t>
  </si>
  <si>
    <t>transfusion_blood_reason</t>
  </si>
  <si>
    <t>predelivery_date_time</t>
  </si>
  <si>
    <t>待产日期时间</t>
  </si>
  <si>
    <t>pregnancy_times</t>
  </si>
  <si>
    <t>last_menstruation_date</t>
  </si>
  <si>
    <t>pregnant_mode_code</t>
  </si>
  <si>
    <t>expected_date_childbirth</t>
  </si>
  <si>
    <t>is_prenatal_exam_flag</t>
  </si>
  <si>
    <t>是否产前检查标志</t>
  </si>
  <si>
    <t>prenatal_exam_ab_cond</t>
  </si>
  <si>
    <t>pregnant_before_weight</t>
  </si>
  <si>
    <t>孕前体重（kg）</t>
  </si>
  <si>
    <t>prenatal_weight</t>
  </si>
  <si>
    <t>surgical_history</t>
  </si>
  <si>
    <t>marriage_birth_history</t>
  </si>
  <si>
    <t>fundus_uteri_height</t>
  </si>
  <si>
    <t>abdominal_circumference</t>
  </si>
  <si>
    <t>fetus_destination_code</t>
  </si>
  <si>
    <t>fetus_heart_rate</t>
  </si>
  <si>
    <t>dystocia_condition_assessment</t>
  </si>
  <si>
    <t>transverse_outlet</t>
  </si>
  <si>
    <t>ischial_tuberosity_diameter</t>
  </si>
  <si>
    <t>uterine_contractions_condition</t>
  </si>
  <si>
    <t>cervix_condition</t>
  </si>
  <si>
    <t>cervical_ostium_condition</t>
  </si>
  <si>
    <t>is_fetal_membrane_code</t>
  </si>
  <si>
    <t>是否胎膜破裂代码</t>
  </si>
  <si>
    <t>rupture_mode_code</t>
  </si>
  <si>
    <t>amniotic_fluid_condition</t>
  </si>
  <si>
    <t>羊水情况</t>
  </si>
  <si>
    <t>is_bladder_filling_flag</t>
  </si>
  <si>
    <t>是否膀胱充盈标志</t>
  </si>
  <si>
    <t>is_intestines_flatulence_flag</t>
  </si>
  <si>
    <t>是否肠胀气标志</t>
  </si>
  <si>
    <t>delivery_mode_code</t>
  </si>
  <si>
    <t>birth_process_process</t>
  </si>
  <si>
    <t>labor_date_time</t>
  </si>
  <si>
    <t>临产日期时间</t>
  </si>
  <si>
    <t>fetal_membrane_rupture_date_time</t>
  </si>
  <si>
    <t>胎膜破裂日期时间</t>
  </si>
  <si>
    <t>forewaters_property</t>
  </si>
  <si>
    <t>uc_start_time</t>
  </si>
  <si>
    <t>宫缩开始日期时间</t>
  </si>
  <si>
    <t>first_birth_process_du_min</t>
  </si>
  <si>
    <t>第1产程时长（min）</t>
  </si>
  <si>
    <t>cervix_full_open_time</t>
  </si>
  <si>
    <t>宫口开全日期时间</t>
  </si>
  <si>
    <t>second_birth_process_du_min</t>
  </si>
  <si>
    <t>第2产程时长（min）</t>
  </si>
  <si>
    <t>胎儿娩出日期时间</t>
  </si>
  <si>
    <t>third_birth_process_du_min</t>
  </si>
  <si>
    <t>第3产程时长（min）</t>
  </si>
  <si>
    <t>placental_expulsion_time</t>
  </si>
  <si>
    <t>胎盘娩出日期时间</t>
  </si>
  <si>
    <t>tot_birth_process_du_min</t>
  </si>
  <si>
    <t>is_vaginal_midwifery_flag</t>
  </si>
  <si>
    <t>是否阴道助产标志</t>
  </si>
  <si>
    <t>placenta_expulsion_cond</t>
  </si>
  <si>
    <t>is_fetal_membrane_intact_flag</t>
  </si>
  <si>
    <t>是否胎膜完整情况标志</t>
  </si>
  <si>
    <t>amniotic_fluid_property</t>
  </si>
  <si>
    <t>amniotic_fluid_quantity</t>
  </si>
  <si>
    <t>umbilical_cord_length</t>
  </si>
  <si>
    <t>uc_ab_cond_desc</t>
  </si>
  <si>
    <t>is_puerpera_perineum_inci_flag</t>
  </si>
  <si>
    <t>是否产妇会阴切开标志</t>
  </si>
  <si>
    <t>puerpera_perineum_sut_times</t>
  </si>
  <si>
    <t>is_perineum_hematoma_flag</t>
  </si>
  <si>
    <t>是否会阴血肿标志</t>
  </si>
  <si>
    <t>vaginal_hematoma_size</t>
  </si>
  <si>
    <t>vaginal_hma_deal_desc</t>
  </si>
  <si>
    <t>is_vaginal_laceration_flag</t>
  </si>
  <si>
    <t>是否阴道裂伤标志</t>
  </si>
  <si>
    <t>is_vaginal_hematoma_flag</t>
  </si>
  <si>
    <t>是否阴道血肿标志</t>
  </si>
  <si>
    <t>is_cervix_laceration_flag</t>
  </si>
  <si>
    <t>是否宫颈裂伤标志</t>
  </si>
  <si>
    <t>cervix_suture_condition</t>
  </si>
  <si>
    <t>pp_uds_name</t>
  </si>
  <si>
    <t>deliv_special_cond_desc</t>
  </si>
  <si>
    <t>perineum_condition</t>
  </si>
  <si>
    <t>repair_operation_process</t>
  </si>
  <si>
    <t>is_uc_blood_retention_flag</t>
  </si>
  <si>
    <t>是否脐带血存留标志</t>
  </si>
  <si>
    <t>postpartum_42_day_exam_res</t>
  </si>
  <si>
    <t>postpartum_observe_date_time</t>
  </si>
  <si>
    <t>产后观察日期时间</t>
  </si>
  <si>
    <t>po_exam_time</t>
  </si>
  <si>
    <t>postpartum_bleeding_quantity</t>
  </si>
  <si>
    <t>postpartum_uc</t>
  </si>
  <si>
    <t>newborn_birth_height</t>
  </si>
  <si>
    <t>caput_succedaneum_size</t>
  </si>
  <si>
    <t>caput_succedaneum_part</t>
  </si>
  <si>
    <t>apgar_score_inr_time_code</t>
  </si>
  <si>
    <t>delivery_outcome_code</t>
  </si>
  <si>
    <t>newborn_ab_cond_code</t>
  </si>
  <si>
    <t>diagnosis_result_desc</t>
  </si>
  <si>
    <t>operation_indications</t>
  </si>
  <si>
    <t>vag_cb_uterus_cond</t>
  </si>
  <si>
    <t>placental_stained_yellow</t>
  </si>
  <si>
    <t>fetal_membrane_stained_yellow</t>
  </si>
  <si>
    <t>胎膜黄染</t>
  </si>
  <si>
    <t>is_abdomen_usg_exam_ab_flag</t>
  </si>
  <si>
    <t>是否腹部B超检查异常标志</t>
  </si>
  <si>
    <t>umbilical_cord_torsion_2</t>
  </si>
  <si>
    <t>anterior_suture_condition</t>
  </si>
  <si>
    <t>oxytocin_name</t>
  </si>
  <si>
    <t>operation_use_drug</t>
  </si>
  <si>
    <t>opn_ud_qty</t>
  </si>
  <si>
    <t>abdominal_exploration_uterus</t>
  </si>
  <si>
    <t>annex_abnormal_desc</t>
  </si>
  <si>
    <t>uce_ab_cond_desc</t>
  </si>
  <si>
    <t>uc_expl_fibroid_flag</t>
  </si>
  <si>
    <t>uce_condition</t>
  </si>
  <si>
    <t>opn_du_puerpera_cond</t>
  </si>
  <si>
    <t>transfusion_blood_component</t>
  </si>
  <si>
    <t>feed_oxygen_time</t>
  </si>
  <si>
    <t>other_condition</t>
  </si>
  <si>
    <t>其他情况</t>
  </si>
  <si>
    <t>operation_total_time</t>
  </si>
  <si>
    <t>operation_physician_name</t>
  </si>
  <si>
    <t>is_dof_artery_pulsation_flag</t>
  </si>
  <si>
    <t>是否足背动脉搏动标志</t>
  </si>
  <si>
    <t>diet_condition_code</t>
  </si>
  <si>
    <t>catheter_nursing_description</t>
  </si>
  <si>
    <t>position_nursing</t>
  </si>
  <si>
    <t>skin_exam_result</t>
  </si>
  <si>
    <t>diet_instr_class_code</t>
  </si>
  <si>
    <t>psychology_nursing_code</t>
  </si>
  <si>
    <t>briefly_condition</t>
  </si>
  <si>
    <t>nursing_operate_name</t>
  </si>
  <si>
    <t>nsg_opr_item_name</t>
  </si>
  <si>
    <t>nursing_operate_result</t>
  </si>
  <si>
    <t>is_send_opn_safety_checking_flag</t>
  </si>
  <si>
    <t>是否发出手术安全核对表标志</t>
  </si>
  <si>
    <t>is_take_back_opn_safety_checking_flag</t>
  </si>
  <si>
    <t>is_send_opn_risk_ass_flag</t>
  </si>
  <si>
    <t>是否发出手术风险评估表标志</t>
  </si>
  <si>
    <t>is_take_back_opn_risk_ass_flag</t>
  </si>
  <si>
    <t>是否收回手术风险评估表标志</t>
  </si>
  <si>
    <t>is_isolation_flag</t>
  </si>
  <si>
    <t>是否隔离标志</t>
  </si>
  <si>
    <t>020701</t>
  </si>
  <si>
    <t>020705</t>
  </si>
  <si>
    <t>ZOE99.00.999.324</t>
  </si>
  <si>
    <t>dict_value</t>
  </si>
  <si>
    <t>字典值</t>
  </si>
  <si>
    <t>ZOE99.00.999.3850</t>
  </si>
  <si>
    <t>catheter_id</t>
  </si>
  <si>
    <t>导管ID</t>
  </si>
  <si>
    <t>ventilator_guardian_item</t>
  </si>
  <si>
    <t>operation_end_time</t>
  </si>
  <si>
    <t>skin_exam_description</t>
  </si>
  <si>
    <t>enter_oper_room_date_time</t>
  </si>
  <si>
    <t>入手术室日期时间</t>
  </si>
  <si>
    <t>is_intraop_path_flag</t>
  </si>
  <si>
    <t>是否术中病理标志</t>
  </si>
  <si>
    <t>opn_use_goods_bane</t>
  </si>
  <si>
    <t>is_preoperative_check_flag</t>
  </si>
  <si>
    <t>是否术前清点标志</t>
  </si>
  <si>
    <t>pre_closure_check_flag</t>
  </si>
  <si>
    <t>post_closure_check_flag</t>
  </si>
  <si>
    <t>交接日期时间</t>
  </si>
  <si>
    <t>admission_date_time</t>
  </si>
  <si>
    <t>入院日期时间</t>
  </si>
  <si>
    <t>actual_inp_day_qty</t>
  </si>
  <si>
    <t>delivery_day_quantity</t>
  </si>
  <si>
    <t>is_use_ventilator_flag</t>
  </si>
  <si>
    <t>是否使用呼吸机标志</t>
  </si>
  <si>
    <t>020801</t>
  </si>
  <si>
    <t>spo2_quantity</t>
  </si>
  <si>
    <t>血糖记录</t>
  </si>
  <si>
    <t>bg_record</t>
  </si>
  <si>
    <t>020805</t>
  </si>
  <si>
    <t>020806</t>
  </si>
  <si>
    <t>74</t>
  </si>
  <si>
    <t xml:space="preserve">
ZOE99.00.03.12862</t>
  </si>
  <si>
    <t>is_vomit_flag</t>
  </si>
  <si>
    <t>是否呕吐标志</t>
  </si>
  <si>
    <t>is_dysuria_flag</t>
  </si>
  <si>
    <t>是否排尿困难标志</t>
  </si>
  <si>
    <t>020706</t>
  </si>
  <si>
    <t>75</t>
  </si>
  <si>
    <t>is_implantation_consum_flag</t>
  </si>
  <si>
    <t>是否植入性耗材标志</t>
  </si>
  <si>
    <t>consumables_unit</t>
  </si>
  <si>
    <t>hvc_qty</t>
  </si>
  <si>
    <t>occupation_class_code</t>
  </si>
  <si>
    <t>职业类别代码</t>
  </si>
  <si>
    <t>入病房方式</t>
  </si>
  <si>
    <t>admsn_west_diag_code</t>
  </si>
  <si>
    <t>psychology_state_code</t>
  </si>
  <si>
    <t>is_hlth_ass_ab_flag</t>
  </si>
  <si>
    <t>是否健康评估异常标志</t>
  </si>
  <si>
    <t>disease_history</t>
  </si>
  <si>
    <t>is_patient_infection_falg</t>
  </si>
  <si>
    <t>是否患者传染性标志</t>
  </si>
  <si>
    <t>infection_history</t>
  </si>
  <si>
    <t>vaccination_history</t>
  </si>
  <si>
    <t>transfusion_blood_desc</t>
  </si>
  <si>
    <t>family_history</t>
  </si>
  <si>
    <t>is_smoking_flag</t>
  </si>
  <si>
    <t>是否吸烟标志</t>
  </si>
  <si>
    <t>stop_smoking_durantion</t>
  </si>
  <si>
    <t>is_drinking_flag</t>
  </si>
  <si>
    <t>是否饮酒标志</t>
  </si>
  <si>
    <t>drinking_frequency_code</t>
  </si>
  <si>
    <t>daily_drinking_quantity</t>
  </si>
  <si>
    <t>assessment_time</t>
  </si>
  <si>
    <t>评估日期时间</t>
  </si>
  <si>
    <t>021502</t>
  </si>
  <si>
    <t>nursing_guidance</t>
  </si>
  <si>
    <t>73</t>
  </si>
  <si>
    <t>出院日期时间</t>
  </si>
  <si>
    <t>discharge_condition</t>
  </si>
  <si>
    <t>life_mode_instr</t>
  </si>
  <si>
    <t>subsequent_visit_guidance</t>
  </si>
  <si>
    <t>疼痛评估记录</t>
  </si>
  <si>
    <t>跌倒评估记录</t>
  </si>
  <si>
    <t>021611</t>
  </si>
  <si>
    <t>管道滑脱评估记录</t>
  </si>
  <si>
    <t>021620</t>
  </si>
  <si>
    <t>ADL</t>
  </si>
  <si>
    <t>021621</t>
  </si>
  <si>
    <t>INP_ASSESSMENT_ADL</t>
  </si>
  <si>
    <t>021622</t>
  </si>
  <si>
    <t>021623</t>
  </si>
  <si>
    <t>021624</t>
  </si>
  <si>
    <t>65</t>
  </si>
  <si>
    <t>021625</t>
  </si>
  <si>
    <t>tongkpng</t>
  </si>
  <si>
    <t>021626</t>
  </si>
  <si>
    <t>inp_assessment_yachuang</t>
  </si>
  <si>
    <t>67</t>
  </si>
  <si>
    <t>021627</t>
  </si>
  <si>
    <t>68</t>
  </si>
  <si>
    <t>021628</t>
  </si>
  <si>
    <t>021629</t>
  </si>
  <si>
    <t>69</t>
  </si>
  <si>
    <t>021630</t>
  </si>
  <si>
    <t>70</t>
  </si>
  <si>
    <t>prop_exec_opn_opr_date_time</t>
  </si>
  <si>
    <t>拟实施手术及操作日期时间</t>
  </si>
  <si>
    <t>operation_contraindications</t>
  </si>
  <si>
    <t>operation_mode</t>
  </si>
  <si>
    <t>preoperative_preparation</t>
  </si>
  <si>
    <t>opn_occur_acc_risk</t>
  </si>
  <si>
    <t>exam_complication_desc</t>
  </si>
  <si>
    <t>replace_method</t>
  </si>
  <si>
    <t>pat_fam_lr_opinion</t>
  </si>
  <si>
    <t>basic_disease</t>
  </si>
  <si>
    <t>basic_dis_anes_effect</t>
  </si>
  <si>
    <t>is_use_anes_pcea_flag</t>
  </si>
  <si>
    <t>是否使用麻醉镇痛泵标志</t>
  </si>
  <si>
    <t>is_anes_safety_ins_flag</t>
  </si>
  <si>
    <t>是否参加麻醉安全保险标志</t>
  </si>
  <si>
    <t>transfusion_blood_exam_rse</t>
  </si>
  <si>
    <t>transfusion_blood_mode</t>
  </si>
  <si>
    <t>draft_bt_date_time</t>
  </si>
  <si>
    <t>拟定输血日期时间</t>
  </si>
  <si>
    <t>transfusion_blood_risk_res</t>
  </si>
  <si>
    <t>special_exam_target</t>
  </si>
  <si>
    <t>cond_sum_main_rescue_meas</t>
  </si>
  <si>
    <t>cr_svr_notice_cont</t>
  </si>
  <si>
    <t>informed_consent_content</t>
  </si>
  <si>
    <t>inpatient_times</t>
  </si>
  <si>
    <t>新生儿入院体重（g）</t>
  </si>
  <si>
    <t>id_class_code</t>
  </si>
  <si>
    <t>patient_id_no</t>
  </si>
  <si>
    <t>outp_west_diag_name</t>
  </si>
  <si>
    <t>outp_west_diag_code</t>
  </si>
  <si>
    <t>dc_main_west_diag_name</t>
  </si>
  <si>
    <t>dc_main_west_diag_code</t>
  </si>
  <si>
    <t>admission_condition_code</t>
  </si>
  <si>
    <t>dc_oth_west_diag_name</t>
  </si>
  <si>
    <t>dc_oth_west_diag_code</t>
  </si>
  <si>
    <t>dc_diag_oth_diag_admsn_cond_code</t>
  </si>
  <si>
    <t>injury_toxicosis_ext_rsn</t>
  </si>
  <si>
    <t>toxicosis_west_diag_code</t>
  </si>
  <si>
    <t>pathological_diagnosis_code</t>
  </si>
  <si>
    <t>pathology_no</t>
  </si>
  <si>
    <t>is_death_pat_autopsy_flag</t>
  </si>
  <si>
    <t>是否死亡患者尸检标志</t>
  </si>
  <si>
    <t>operation_operate_date</t>
  </si>
  <si>
    <t>opn_inci_class_code</t>
  </si>
  <si>
    <t>inci_healing_grade_code</t>
  </si>
  <si>
    <t>is_dc_back_31_flag</t>
  </si>
  <si>
    <t>是否出院31天内再住院标志</t>
  </si>
  <si>
    <t>dc_back_31_target</t>
  </si>
  <si>
    <t>出院31天内再住院目的</t>
  </si>
  <si>
    <t>tbi_admsn_before_coma_d</t>
  </si>
  <si>
    <t>tbi_admsn_before_coma_h</t>
  </si>
  <si>
    <t>tbi_admsn_before_coma_min</t>
  </si>
  <si>
    <t>tbi_admsn_after_coma_d</t>
  </si>
  <si>
    <t>tbi_admsn_after_coma_h</t>
  </si>
  <si>
    <t>tbi_admsn_after_coma_min</t>
  </si>
  <si>
    <t>trtmt_no_opn_clin_cost</t>
  </si>
  <si>
    <t>treatment_class_code</t>
  </si>
  <si>
    <t>outp_tcm_diag_name</t>
  </si>
  <si>
    <t>outp_tcm_diag_code</t>
  </si>
  <si>
    <t>outp_tcm_syn_name</t>
  </si>
  <si>
    <t>outp_tcm_syn_code</t>
  </si>
  <si>
    <t>ex_clin_pthwy_code</t>
  </si>
  <si>
    <t>is_use_tcmp_flag</t>
  </si>
  <si>
    <t>是否使用医疗机构中药制剂标志</t>
  </si>
  <si>
    <t>is_use_tcm_clinic_equip_flag</t>
  </si>
  <si>
    <t>是否使用中医诊疗设备标志</t>
  </si>
  <si>
    <t>is_use_tcm_clinic_technology_flag</t>
  </si>
  <si>
    <t>是否使用中医诊疗技术标志</t>
  </si>
  <si>
    <t>is_dialectical_nursing_flag</t>
  </si>
  <si>
    <t>是否辨证施护标志</t>
  </si>
  <si>
    <t>dc_main_tcm_diag_name</t>
  </si>
  <si>
    <t>dc_main_tcm_diag_code</t>
  </si>
  <si>
    <t>dc_tcm_diag_main_symptom_admsn_cond_code</t>
  </si>
  <si>
    <t>dc_main_tcm_syn_name</t>
  </si>
  <si>
    <t>dc_main_tcm_syn_code</t>
  </si>
  <si>
    <t>dc_tcm_diag_main_disease_admsn_cond_code</t>
  </si>
  <si>
    <t>dc_wm_diag_other_diag_admsn_cond_code</t>
  </si>
  <si>
    <t>individual_history</t>
  </si>
  <si>
    <t>menstruation_history</t>
  </si>
  <si>
    <t>genitals_exam_result</t>
  </si>
  <si>
    <t>neury_sys_exam_res</t>
  </si>
  <si>
    <t>specialist_condition</t>
  </si>
  <si>
    <t>primary_diagnosis_date</t>
  </si>
  <si>
    <t>corr_west_diag_name</t>
  </si>
  <si>
    <t>corr_west_diag_code</t>
  </si>
  <si>
    <t>corr_tcm_diag_name</t>
  </si>
  <si>
    <t>corr_tcm_diag_code</t>
  </si>
  <si>
    <t>corr_tcm_syn_name</t>
  </si>
  <si>
    <t>corr_tcm_syn_code</t>
  </si>
  <si>
    <t>correct_diagnosis_date</t>
  </si>
  <si>
    <t>id_west_diag_name</t>
  </si>
  <si>
    <t>cfm_west_diag_code</t>
  </si>
  <si>
    <t>cfm_tcm_diag_name</t>
  </si>
  <si>
    <t>cfm_tcm_diag_code</t>
  </si>
  <si>
    <t>cfm_tcm_syn_name</t>
  </si>
  <si>
    <t>cfm_tcm_syn_code</t>
  </si>
  <si>
    <t>confirm_disease_date</t>
  </si>
  <si>
    <t>spl_west_diag_name</t>
  </si>
  <si>
    <t>spl_west_diag_code</t>
  </si>
  <si>
    <t>supplement_diagnosis_date</t>
  </si>
  <si>
    <t>admission_diagnosis_ranking</t>
  </si>
  <si>
    <t>admission_condition</t>
  </si>
  <si>
    <t>admsn_west_diag_name</t>
  </si>
  <si>
    <t>admsn_tcm_diag_name</t>
  </si>
  <si>
    <t>admsn_tcm_diag_code</t>
  </si>
  <si>
    <t>admsn_tcm_syn_name</t>
  </si>
  <si>
    <t>admsn_tcm_syn_code</t>
  </si>
  <si>
    <t>dc_west_diag_name</t>
  </si>
  <si>
    <t>dc_west_diag_code</t>
  </si>
  <si>
    <t>dc_tcm_diag_name</t>
  </si>
  <si>
    <t>dc_tcm_diag_code</t>
  </si>
  <si>
    <t>dc_tcm_syn_name</t>
  </si>
  <si>
    <t>dc_tcm_syn_code</t>
  </si>
  <si>
    <t>prescription_start_date</t>
  </si>
  <si>
    <t>死亡日期时间</t>
  </si>
  <si>
    <t>death_west_diag_name</t>
  </si>
  <si>
    <t>death_west_diag_code</t>
  </si>
  <si>
    <t>death_tcm_diag_name</t>
  </si>
  <si>
    <t>death_tcm_diag_code</t>
  </si>
  <si>
    <t>death_tcm_syn_name</t>
  </si>
  <si>
    <t>death_tcm_syn_code</t>
  </si>
  <si>
    <t>case_characteristic</t>
  </si>
  <si>
    <t>dif_west_diag_name</t>
  </si>
  <si>
    <t>dif_tcm_diag_name</t>
  </si>
  <si>
    <t>dif_tcm_syn_name</t>
  </si>
  <si>
    <t>clinic_plan</t>
  </si>
  <si>
    <t>inpatient_course</t>
  </si>
  <si>
    <t>med_his_record_time</t>
  </si>
  <si>
    <t>dialectical_treatment_description</t>
  </si>
  <si>
    <t>tcm_decoction_meth</t>
  </si>
  <si>
    <t>中药煎煮方法</t>
  </si>
  <si>
    <t>ward_rounds_date_time</t>
  </si>
  <si>
    <t>查房日期时间</t>
  </si>
  <si>
    <t>diff_mr_discuss_opinion</t>
  </si>
  <si>
    <t>present_condition</t>
  </si>
  <si>
    <t>present_west_diag_code</t>
  </si>
  <si>
    <t>present_tcm_diag_code</t>
  </si>
  <si>
    <t>present_tcm_syn_code</t>
  </si>
  <si>
    <t>transfer_purpose</t>
  </si>
  <si>
    <t>bf_sum_date_time</t>
  </si>
  <si>
    <t>小结日期时间</t>
  </si>
  <si>
    <t>rescription_name</t>
  </si>
  <si>
    <t>west_diag_name</t>
  </si>
  <si>
    <t>西医疾病诊断名称</t>
  </si>
  <si>
    <t>业务系统有个病历摘要</t>
  </si>
  <si>
    <t>tcm_disease_name</t>
  </si>
  <si>
    <t>tcm_disease_code</t>
  </si>
  <si>
    <t>tcm_syn_name</t>
  </si>
  <si>
    <t>tcm_syn_code</t>
  </si>
  <si>
    <t>clinic_process_name</t>
  </si>
  <si>
    <t>consultation_target</t>
  </si>
  <si>
    <t>cons_app_dr_name</t>
  </si>
  <si>
    <t>会诊申请医师签名</t>
  </si>
  <si>
    <t>cons_app_dept_name</t>
  </si>
  <si>
    <t>会诊申请科室</t>
  </si>
  <si>
    <t>会诊日期时间</t>
  </si>
  <si>
    <t>operation_complication_description</t>
  </si>
  <si>
    <t>operation_essential</t>
  </si>
  <si>
    <t>po_west_diag_name</t>
  </si>
  <si>
    <t>discharge_symptom_sign</t>
  </si>
  <si>
    <t>direct_death_west_diag_name</t>
  </si>
  <si>
    <t>direct_death_west_diag_code</t>
  </si>
  <si>
    <t>is_ic_corpse_anat_flag</t>
  </si>
  <si>
    <t>是否家属是否同意尸体解剖标志</t>
  </si>
  <si>
    <t>laboratory_result</t>
  </si>
  <si>
    <t>opn_opr_start_date_time</t>
  </si>
  <si>
    <t>手术及操作开始日期时间</t>
  </si>
  <si>
    <t>treatment_result_code</t>
  </si>
  <si>
    <t>referral_date</t>
  </si>
  <si>
    <t>referral_reason</t>
  </si>
  <si>
    <t>diagnosis_date</t>
  </si>
  <si>
    <t>main_treatment_measure</t>
  </si>
  <si>
    <t>health_status_assessment</t>
  </si>
  <si>
    <t>rehab_mea_instr_desc</t>
  </si>
  <si>
    <t>syp_start_date_time</t>
  </si>
  <si>
    <t>症状开始日期时间</t>
  </si>
  <si>
    <t>syp_stop_date_time</t>
  </si>
  <si>
    <t>症状停止日期时间</t>
  </si>
  <si>
    <t>is_special_exam_flag</t>
  </si>
  <si>
    <t>是否特殊检查标志</t>
  </si>
  <si>
    <t>anesthesia_class_code</t>
  </si>
  <si>
    <t>麻醉中西医标识代码</t>
  </si>
  <si>
    <t>specimen_class_code</t>
  </si>
  <si>
    <t>specimen_state_code</t>
  </si>
  <si>
    <t>标本采样日期时间</t>
  </si>
  <si>
    <t>接收标本日期时间</t>
  </si>
  <si>
    <t>exam_lab_class</t>
  </si>
  <si>
    <t>exam_lab_meas_unit</t>
  </si>
  <si>
    <t>exam_report_result_observe</t>
  </si>
  <si>
    <t>exam_report_result_prompt</t>
  </si>
  <si>
    <t>影像结论</t>
  </si>
  <si>
    <t>医学影像诊断与术后</t>
  </si>
  <si>
    <t>org_name</t>
  </si>
  <si>
    <t>lab_class</t>
  </si>
  <si>
    <t>彭俊艺</t>
  </si>
  <si>
    <t>norm_ref_val_ul</t>
  </si>
  <si>
    <t>norm_ref_val_ll</t>
  </si>
  <si>
    <t>health_record_no</t>
  </si>
  <si>
    <t>med_insurance_class_code</t>
  </si>
  <si>
    <t>医疗保险类别代码</t>
  </si>
  <si>
    <t>inpatient_no</t>
  </si>
  <si>
    <t>file_date</t>
  </si>
  <si>
    <t>org_code</t>
  </si>
  <si>
    <t>outpatient_no</t>
  </si>
  <si>
    <t>attack_time</t>
  </si>
  <si>
    <t>发病日期时间</t>
  </si>
  <si>
    <t>其他诊断西医疾病代码</t>
  </si>
  <si>
    <t>is_drug_adverse_flag</t>
  </si>
  <si>
    <t>是否药物不良反应标志</t>
  </si>
  <si>
    <t>pp_underlying_death_rsn_diag_code</t>
  </si>
  <si>
    <t>孕产妇根本死因ICD-10代码</t>
  </si>
  <si>
    <t>outpatient_cost</t>
  </si>
  <si>
    <t>inpatient_cost</t>
  </si>
  <si>
    <t>individual_cost</t>
  </si>
  <si>
    <t>prescription_class_code</t>
  </si>
  <si>
    <t>pres_plan_start_date_time</t>
  </si>
  <si>
    <t>医嘱计划开始日期时间</t>
  </si>
  <si>
    <t>prescription_checking_time</t>
  </si>
  <si>
    <t>医嘱核对日期时间</t>
  </si>
  <si>
    <t>pres_exec_state_code</t>
  </si>
  <si>
    <t>med_order_stop_time</t>
  </si>
  <si>
    <t>prescription_cancel_time</t>
  </si>
  <si>
    <t>医嘱取消日期时间</t>
  </si>
  <si>
    <t>drug_specifications</t>
  </si>
  <si>
    <t>药物规格</t>
  </si>
  <si>
    <t>prescription_memo_information</t>
  </si>
  <si>
    <t>处方备注信息</t>
  </si>
  <si>
    <t>tcm_pres_class_code</t>
  </si>
  <si>
    <t>pres_valid_day_qty</t>
  </si>
  <si>
    <t>tcm_slices_pres</t>
  </si>
  <si>
    <t>tcm_slices_dose</t>
  </si>
  <si>
    <t>diagnosis_id</t>
  </si>
  <si>
    <t>诊断id</t>
  </si>
  <si>
    <t>parent_diagnosis_id</t>
  </si>
  <si>
    <t>父级诊断ID</t>
  </si>
  <si>
    <t>diagnosis_type_code</t>
  </si>
  <si>
    <t>diagnosis_type_name</t>
  </si>
  <si>
    <t>diagnosis_class_code</t>
  </si>
  <si>
    <t>诊断类别代码</t>
  </si>
  <si>
    <t>diagnosis_class_name</t>
  </si>
  <si>
    <t>诊断类别名称</t>
  </si>
  <si>
    <t>diagnosis_seq_no</t>
  </si>
  <si>
    <t>diagnosis_code</t>
  </si>
  <si>
    <t>diagnosis_name</t>
  </si>
  <si>
    <t>diagnosis_auxiliary_code</t>
  </si>
  <si>
    <t>diagnosis_additional_code</t>
  </si>
  <si>
    <t>diagnosis_destination_code</t>
  </si>
  <si>
    <t>diagnosis_destination_name</t>
  </si>
  <si>
    <t>diagnosis_part_code</t>
  </si>
  <si>
    <t>diagnosis_part_name</t>
  </si>
  <si>
    <t>diagnosis_explanation</t>
  </si>
  <si>
    <t>diagnosis_doctor_code</t>
  </si>
  <si>
    <t>diagnosis_doctor_name</t>
  </si>
  <si>
    <t>诊断医生名称</t>
  </si>
  <si>
    <t>diagnosis_time</t>
  </si>
  <si>
    <t>condition_outcome_code</t>
  </si>
  <si>
    <t>condition_outcome_name</t>
  </si>
  <si>
    <t>admission_condition_name</t>
  </si>
  <si>
    <t>is_treatment</t>
  </si>
  <si>
    <t>是否治疗</t>
  </si>
  <si>
    <t>is_treatment_name</t>
  </si>
  <si>
    <t>是否治疗名称</t>
  </si>
  <si>
    <t>tnm_staging_t</t>
  </si>
  <si>
    <t>tnm_staging_n</t>
  </si>
  <si>
    <t>tnm_staging_m</t>
  </si>
  <si>
    <t>tnm_staging</t>
  </si>
  <si>
    <t>070147</t>
  </si>
  <si>
    <t>66</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</si>
</sst>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44">
    <font>
      <sz val="11"/>
      <color theme="1"/>
      <name val="宋体"/>
      <charset val="134"/>
      <scheme val="minor"/>
    </font>
    <font>
      <b/>
      <sz val="11"/>
      <name val="宋体"/>
      <charset val="134"/>
      <scheme val="minor"/>
    </font>
    <font>
      <sz val="11"/>
      <color theme="1"/>
      <name val="宋体"/>
      <charset val="134"/>
    </font>
    <font>
      <sz val="12"/>
      <color rgb="FFFF0000"/>
      <name val="宋体"/>
      <charset val="134"/>
      <scheme val="minor"/>
    </font>
    <font>
      <sz val="12"/>
      <color rgb="FFFF0000"/>
      <name val="宋体"/>
      <charset val="134"/>
    </font>
    <font>
      <b/>
      <sz val="11"/>
      <name val="宋体"/>
      <charset val="134"/>
    </font>
    <font>
      <sz val="11"/>
      <name val="Calibri"/>
      <charset val="134"/>
    </font>
    <font>
      <sz val="10"/>
      <color rgb="FF000000"/>
      <name val="宋体"/>
      <charset val="134"/>
    </font>
    <font>
      <sz val="11"/>
      <name val="宋体"/>
      <charset val="134"/>
      <scheme val="minor"/>
    </font>
    <font>
      <sz val="9"/>
      <name val="宋体"/>
      <charset val="134"/>
      <scheme val="minor"/>
    </font>
    <font>
      <sz val="10"/>
      <name val="宋体"/>
      <charset val="134"/>
    </font>
    <font>
      <sz val="9"/>
      <name val="宋体"/>
      <charset val="134"/>
    </font>
    <font>
      <sz val="11"/>
      <name val="宋体"/>
      <charset val="134"/>
    </font>
    <font>
      <sz val="10"/>
      <name val="等线"/>
      <charset val="134"/>
    </font>
    <font>
      <sz val="10"/>
      <name val="宋体"/>
      <charset val="134"/>
      <scheme val="minor"/>
    </font>
    <font>
      <sz val="10"/>
      <name val="SimSun"/>
      <charset val="134"/>
    </font>
    <font>
      <sz val="11"/>
      <name val="SimSun"/>
      <charset val="134"/>
    </font>
    <font>
      <sz val="9"/>
      <name val="SimSun"/>
      <charset val="134"/>
    </font>
    <font>
      <sz val="10"/>
      <color rgb="FFC00000"/>
      <name val="宋体"/>
      <charset val="134"/>
    </font>
    <font>
      <b/>
      <sz val="18"/>
      <name val="Microsoft YaHei"/>
      <charset val="134"/>
    </font>
    <font>
      <sz val="11"/>
      <color rgb="FF000000"/>
      <name val="宋体"/>
      <charset val="134"/>
    </font>
    <font>
      <b/>
      <sz val="10"/>
      <name val="宋体"/>
      <charset val="134"/>
      <scheme val="minor"/>
    </font>
    <font>
      <sz val="11"/>
      <color theme="1"/>
      <name val="SimSun"/>
      <charset val="134"/>
    </font>
    <font>
      <sz val="11"/>
      <color rgb="FF000000"/>
      <name val="SimSu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0000"/>
      <name val="SimSun"/>
      <charset val="134"/>
    </font>
  </fonts>
  <fills count="43">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5C400"/>
        <bgColor indexed="64"/>
      </patternFill>
    </fill>
    <fill>
      <patternFill patternType="solid">
        <fgColor rgb="FFFFE270"/>
        <bgColor indexed="64"/>
      </patternFill>
    </fill>
    <fill>
      <patternFill patternType="solid">
        <fgColor rgb="FFF88825"/>
        <bgColor indexed="64"/>
      </patternFill>
    </fill>
    <fill>
      <patternFill patternType="solid">
        <fgColor rgb="FFF3F5F7"/>
        <bgColor indexed="64"/>
      </patternFill>
    </fill>
    <fill>
      <patternFill patternType="solid">
        <fgColor rgb="FFFFC000"/>
        <bgColor indexed="64"/>
      </patternFill>
    </fill>
    <fill>
      <patternFill patternType="solid">
        <fgColor rgb="FF8CDDFA"/>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2" borderId="11"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2" applyNumberFormat="0" applyFill="0" applyAlignment="0" applyProtection="0">
      <alignment vertical="center"/>
    </xf>
    <xf numFmtId="0" fontId="30" fillId="0" borderId="12" applyNumberFormat="0" applyFill="0" applyAlignment="0" applyProtection="0">
      <alignment vertical="center"/>
    </xf>
    <xf numFmtId="0" fontId="31" fillId="0" borderId="13" applyNumberFormat="0" applyFill="0" applyAlignment="0" applyProtection="0">
      <alignment vertical="center"/>
    </xf>
    <xf numFmtId="0" fontId="31" fillId="0" borderId="0" applyNumberFormat="0" applyFill="0" applyBorder="0" applyAlignment="0" applyProtection="0">
      <alignment vertical="center"/>
    </xf>
    <xf numFmtId="0" fontId="32" fillId="13" borderId="14" applyNumberFormat="0" applyAlignment="0" applyProtection="0">
      <alignment vertical="center"/>
    </xf>
    <xf numFmtId="0" fontId="33" fillId="14" borderId="15" applyNumberFormat="0" applyAlignment="0" applyProtection="0">
      <alignment vertical="center"/>
    </xf>
    <xf numFmtId="0" fontId="34" fillId="14" borderId="14" applyNumberFormat="0" applyAlignment="0" applyProtection="0">
      <alignment vertical="center"/>
    </xf>
    <xf numFmtId="0" fontId="35" fillId="15" borderId="16" applyNumberFormat="0" applyAlignment="0" applyProtection="0">
      <alignment vertical="center"/>
    </xf>
    <xf numFmtId="0" fontId="36" fillId="0" borderId="17" applyNumberFormat="0" applyFill="0" applyAlignment="0" applyProtection="0">
      <alignment vertical="center"/>
    </xf>
    <xf numFmtId="0" fontId="37" fillId="0" borderId="18" applyNumberFormat="0" applyFill="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1" fillId="38" borderId="0" applyNumberFormat="0" applyBorder="0" applyAlignment="0" applyProtection="0">
      <alignment vertical="center"/>
    </xf>
    <xf numFmtId="0" fontId="41" fillId="39" borderId="0" applyNumberFormat="0" applyBorder="0" applyAlignment="0" applyProtection="0">
      <alignment vertical="center"/>
    </xf>
    <xf numFmtId="0" fontId="42" fillId="40" borderId="0" applyNumberFormat="0" applyBorder="0" applyAlignment="0" applyProtection="0">
      <alignment vertical="center"/>
    </xf>
    <xf numFmtId="0" fontId="42" fillId="41" borderId="0" applyNumberFormat="0" applyBorder="0" applyAlignment="0" applyProtection="0">
      <alignment vertical="center"/>
    </xf>
    <xf numFmtId="0" fontId="41" fillId="42" borderId="0" applyNumberFormat="0" applyBorder="0" applyAlignment="0" applyProtection="0">
      <alignment vertical="center"/>
    </xf>
  </cellStyleXfs>
  <cellXfs count="305">
    <xf numFmtId="0" fontId="0" fillId="0" borderId="0" xfId="0">
      <alignment vertical="center"/>
    </xf>
    <xf numFmtId="0" fontId="1" fillId="0" borderId="1" xfId="0" applyFont="1" applyFill="1" applyBorder="1">
      <alignment vertical="center"/>
    </xf>
    <xf numFmtId="0" fontId="0" fillId="0" borderId="1" xfId="0" applyBorder="1">
      <alignment vertical="center"/>
    </xf>
    <xf numFmtId="49" fontId="0" fillId="0" borderId="1" xfId="0" applyNumberFormat="1" applyBorder="1">
      <alignment vertical="center"/>
    </xf>
    <xf numFmtId="0" fontId="0" fillId="0" borderId="1" xfId="0" applyBorder="1" applyAlignment="1">
      <alignment horizontal="right" vertical="center"/>
    </xf>
    <xf numFmtId="0" fontId="2" fillId="0" borderId="1" xfId="0" applyFont="1" applyBorder="1">
      <alignment vertical="center"/>
    </xf>
    <xf numFmtId="0" fontId="3" fillId="0" borderId="2" xfId="0" applyFont="1" applyBorder="1" applyAlignment="1">
      <alignment horizontal="left" vertical="top" wrapText="1"/>
    </xf>
    <xf numFmtId="0" fontId="3" fillId="0" borderId="2" xfId="0" applyFont="1" applyFill="1" applyBorder="1" applyAlignment="1">
      <alignment horizontal="left" vertical="top" wrapText="1"/>
    </xf>
    <xf numFmtId="0" fontId="4" fillId="0" borderId="2" xfId="0" applyFont="1" applyBorder="1" applyAlignment="1">
      <alignment horizontal="left" vertical="top" wrapText="1"/>
    </xf>
    <xf numFmtId="0" fontId="1" fillId="0" borderId="3" xfId="0" applyFont="1" applyBorder="1">
      <alignment vertical="center"/>
    </xf>
    <xf numFmtId="49" fontId="1" fillId="0" borderId="3" xfId="0" applyNumberFormat="1" applyFont="1" applyBorder="1">
      <alignment vertical="center"/>
    </xf>
    <xf numFmtId="0" fontId="1" fillId="0" borderId="3" xfId="0" applyFont="1" applyBorder="1" applyAlignment="1">
      <alignment horizontal="right" vertical="center"/>
    </xf>
    <xf numFmtId="0" fontId="5" fillId="0" borderId="3" xfId="0" applyFont="1" applyBorder="1">
      <alignment vertical="center"/>
    </xf>
    <xf numFmtId="49" fontId="5" fillId="0" borderId="3" xfId="0" applyNumberFormat="1" applyFont="1" applyBorder="1">
      <alignment vertical="center"/>
    </xf>
    <xf numFmtId="0" fontId="5" fillId="0" borderId="4" xfId="0" applyFont="1" applyBorder="1">
      <alignment vertical="center"/>
    </xf>
    <xf numFmtId="0" fontId="5" fillId="0" borderId="1" xfId="0" applyFont="1" applyBorder="1">
      <alignment vertical="center"/>
    </xf>
    <xf numFmtId="0" fontId="0" fillId="0" borderId="3" xfId="0" applyBorder="1">
      <alignment vertical="center"/>
    </xf>
    <xf numFmtId="49" fontId="0" fillId="0" borderId="3" xfId="0" applyNumberFormat="1" applyBorder="1">
      <alignment vertical="center"/>
    </xf>
    <xf numFmtId="0" fontId="6" fillId="0" borderId="3" xfId="0" applyFont="1" applyBorder="1" applyAlignment="1"/>
    <xf numFmtId="49" fontId="7" fillId="0" borderId="3" xfId="0" applyNumberFormat="1" applyFont="1" applyBorder="1" applyAlignment="1">
      <alignment vertical="center" wrapText="1"/>
    </xf>
    <xf numFmtId="0" fontId="8" fillId="0" borderId="3" xfId="0" applyFont="1" applyBorder="1">
      <alignment vertical="center"/>
    </xf>
    <xf numFmtId="0" fontId="7" fillId="0" borderId="3" xfId="0" applyFont="1" applyBorder="1" applyAlignment="1">
      <alignment horizontal="right" vertical="center" wrapText="1"/>
    </xf>
    <xf numFmtId="0" fontId="7" fillId="0" borderId="3" xfId="0" applyFont="1" applyBorder="1" applyAlignment="1">
      <alignment horizontal="left" vertical="center" wrapText="1"/>
    </xf>
    <xf numFmtId="0" fontId="0" fillId="0" borderId="3" xfId="0" applyBorder="1" applyAlignment="1">
      <alignment horizontal="right" vertical="center"/>
    </xf>
    <xf numFmtId="0" fontId="2" fillId="0" borderId="3" xfId="0" applyFont="1" applyBorder="1">
      <alignment vertical="center"/>
    </xf>
    <xf numFmtId="176" fontId="9" fillId="0" borderId="3" xfId="0" applyNumberFormat="1" applyFont="1" applyBorder="1" applyAlignment="1">
      <alignment horizontal="left" vertical="center"/>
    </xf>
    <xf numFmtId="0" fontId="9" fillId="0" borderId="3" xfId="0" applyFont="1" applyBorder="1">
      <alignment vertical="center"/>
    </xf>
    <xf numFmtId="49" fontId="2" fillId="0" borderId="3" xfId="0" applyNumberFormat="1" applyFont="1" applyBorder="1">
      <alignment vertical="center"/>
    </xf>
    <xf numFmtId="0" fontId="2" fillId="0" borderId="4" xfId="0" applyFont="1" applyBorder="1">
      <alignment vertical="center"/>
    </xf>
    <xf numFmtId="0" fontId="10" fillId="0" borderId="3" xfId="0" applyFont="1" applyBorder="1" applyAlignment="1">
      <alignment vertical="center" wrapText="1"/>
    </xf>
    <xf numFmtId="0" fontId="7" fillId="0" borderId="3" xfId="0" applyFont="1" applyBorder="1" applyAlignment="1">
      <alignment vertical="center" wrapText="1"/>
    </xf>
    <xf numFmtId="0" fontId="0" fillId="2" borderId="3" xfId="0" applyFill="1" applyBorder="1">
      <alignment vertical="center"/>
    </xf>
    <xf numFmtId="49" fontId="0" fillId="2" borderId="3" xfId="0" applyNumberFormat="1" applyFill="1" applyBorder="1">
      <alignment vertical="center"/>
    </xf>
    <xf numFmtId="0" fontId="7" fillId="2" borderId="3" xfId="0" applyFont="1" applyFill="1" applyBorder="1" applyAlignment="1">
      <alignment vertical="center" wrapText="1"/>
    </xf>
    <xf numFmtId="49" fontId="7" fillId="2" borderId="3" xfId="0" applyNumberFormat="1" applyFont="1" applyFill="1" applyBorder="1" applyAlignment="1">
      <alignment vertical="center" wrapText="1"/>
    </xf>
    <xf numFmtId="0" fontId="8" fillId="2" borderId="3" xfId="0" applyFont="1" applyFill="1" applyBorder="1">
      <alignment vertical="center"/>
    </xf>
    <xf numFmtId="0" fontId="7" fillId="2" borderId="3" xfId="0" applyFont="1" applyFill="1" applyBorder="1" applyAlignment="1">
      <alignment horizontal="right" vertical="center" wrapText="1"/>
    </xf>
    <xf numFmtId="0" fontId="7" fillId="2" borderId="3" xfId="0" applyFont="1" applyFill="1" applyBorder="1" applyAlignment="1">
      <alignment horizontal="left" vertical="center" wrapText="1"/>
    </xf>
    <xf numFmtId="0" fontId="0" fillId="2" borderId="3" xfId="0" applyFill="1" applyBorder="1" applyAlignment="1">
      <alignment horizontal="right" vertical="center"/>
    </xf>
    <xf numFmtId="0" fontId="2" fillId="2" borderId="3" xfId="0" applyFont="1" applyFill="1" applyBorder="1">
      <alignment vertical="center"/>
    </xf>
    <xf numFmtId="176" fontId="11" fillId="2" borderId="3" xfId="0" applyNumberFormat="1" applyFont="1" applyFill="1" applyBorder="1" applyAlignment="1">
      <alignment horizontal="left" vertical="center"/>
    </xf>
    <xf numFmtId="0" fontId="11" fillId="2" borderId="3" xfId="0" applyFont="1" applyFill="1" applyBorder="1">
      <alignment vertical="center"/>
    </xf>
    <xf numFmtId="49" fontId="2" fillId="2" borderId="3" xfId="0" applyNumberFormat="1" applyFont="1" applyFill="1" applyBorder="1">
      <alignment vertical="center"/>
    </xf>
    <xf numFmtId="0" fontId="2" fillId="2" borderId="4" xfId="0" applyFont="1" applyFill="1" applyBorder="1">
      <alignment vertical="center"/>
    </xf>
    <xf numFmtId="0" fontId="2" fillId="2" borderId="1" xfId="0" applyFont="1" applyFill="1" applyBorder="1">
      <alignment vertical="center"/>
    </xf>
    <xf numFmtId="0" fontId="12" fillId="0" borderId="3" xfId="0" applyFont="1" applyBorder="1">
      <alignment vertical="center"/>
    </xf>
    <xf numFmtId="0" fontId="2" fillId="0" borderId="3" xfId="0" applyFont="1" applyBorder="1" applyAlignment="1">
      <alignment horizontal="right" vertical="center"/>
    </xf>
    <xf numFmtId="176" fontId="11" fillId="0" borderId="3" xfId="0" applyNumberFormat="1" applyFont="1" applyBorder="1" applyAlignment="1">
      <alignment horizontal="left" vertical="center"/>
    </xf>
    <xf numFmtId="0" fontId="11" fillId="0" borderId="3" xfId="0" applyFont="1" applyBorder="1">
      <alignment vertical="center"/>
    </xf>
    <xf numFmtId="49" fontId="13" fillId="0" borderId="3" xfId="0" applyNumberFormat="1" applyFont="1" applyBorder="1" applyAlignment="1">
      <alignment horizontal="left" vertical="center"/>
    </xf>
    <xf numFmtId="0" fontId="0" fillId="3" borderId="3" xfId="0" applyFill="1" applyBorder="1">
      <alignment vertical="center"/>
    </xf>
    <xf numFmtId="49" fontId="0" fillId="3" borderId="3" xfId="0" applyNumberFormat="1" applyFill="1" applyBorder="1">
      <alignment vertical="center"/>
    </xf>
    <xf numFmtId="0" fontId="7" fillId="3" borderId="3" xfId="0" applyFont="1" applyFill="1" applyBorder="1" applyAlignment="1">
      <alignment vertical="center" wrapText="1"/>
    </xf>
    <xf numFmtId="49" fontId="7" fillId="3" borderId="3" xfId="0" applyNumberFormat="1" applyFont="1" applyFill="1" applyBorder="1" applyAlignment="1">
      <alignment vertical="center" wrapText="1"/>
    </xf>
    <xf numFmtId="0" fontId="7" fillId="3" borderId="3" xfId="0" applyFont="1" applyFill="1" applyBorder="1" applyAlignment="1">
      <alignment horizontal="right" vertical="center" wrapText="1"/>
    </xf>
    <xf numFmtId="0" fontId="7" fillId="3" borderId="3" xfId="0" applyFont="1" applyFill="1" applyBorder="1" applyAlignment="1">
      <alignment horizontal="left" vertical="center" wrapText="1"/>
    </xf>
    <xf numFmtId="0" fontId="0" fillId="3" borderId="3" xfId="0" applyFill="1" applyBorder="1" applyAlignment="1">
      <alignment horizontal="right" vertical="center"/>
    </xf>
    <xf numFmtId="0" fontId="2" fillId="3" borderId="3" xfId="0" applyFont="1" applyFill="1" applyBorder="1">
      <alignment vertical="center"/>
    </xf>
    <xf numFmtId="176" fontId="11" fillId="3" borderId="3" xfId="0" applyNumberFormat="1" applyFont="1" applyFill="1" applyBorder="1" applyAlignment="1">
      <alignment horizontal="left" vertical="center"/>
    </xf>
    <xf numFmtId="0" fontId="11" fillId="3" borderId="3" xfId="0" applyFont="1" applyFill="1" applyBorder="1">
      <alignment vertical="center"/>
    </xf>
    <xf numFmtId="49" fontId="2" fillId="3" borderId="3" xfId="0" applyNumberFormat="1" applyFont="1" applyFill="1" applyBorder="1">
      <alignment vertical="center"/>
    </xf>
    <xf numFmtId="0" fontId="2" fillId="3" borderId="4" xfId="0" applyFont="1" applyFill="1" applyBorder="1">
      <alignment vertical="center"/>
    </xf>
    <xf numFmtId="0" fontId="2" fillId="3" borderId="1" xfId="0" applyFont="1" applyFill="1" applyBorder="1">
      <alignment vertical="center"/>
    </xf>
    <xf numFmtId="0" fontId="10" fillId="0" borderId="3" xfId="0" applyFont="1" applyBorder="1" applyAlignment="1">
      <alignment horizontal="left" vertical="center" wrapText="1"/>
    </xf>
    <xf numFmtId="0" fontId="14" fillId="0" borderId="3" xfId="0" applyFont="1" applyBorder="1" applyAlignment="1">
      <alignment vertical="center" wrapText="1"/>
    </xf>
    <xf numFmtId="49" fontId="14" fillId="0" borderId="3" xfId="0" applyNumberFormat="1" applyFont="1" applyBorder="1" applyAlignment="1">
      <alignment horizontal="left" vertical="center" wrapText="1"/>
    </xf>
    <xf numFmtId="0" fontId="0" fillId="4" borderId="3" xfId="0" applyFill="1" applyBorder="1">
      <alignment vertical="center"/>
    </xf>
    <xf numFmtId="49" fontId="0" fillId="4" borderId="3" xfId="0" applyNumberFormat="1" applyFill="1" applyBorder="1">
      <alignment vertical="center"/>
    </xf>
    <xf numFmtId="0" fontId="7" fillId="4" borderId="3" xfId="0" applyFont="1" applyFill="1" applyBorder="1" applyAlignment="1">
      <alignment vertical="center" wrapText="1"/>
    </xf>
    <xf numFmtId="49" fontId="7" fillId="4" borderId="3" xfId="0" applyNumberFormat="1" applyFont="1" applyFill="1" applyBorder="1" applyAlignment="1">
      <alignment vertical="center" wrapText="1"/>
    </xf>
    <xf numFmtId="0" fontId="8" fillId="4" borderId="3" xfId="0" applyFont="1" applyFill="1" applyBorder="1">
      <alignment vertical="center"/>
    </xf>
    <xf numFmtId="0" fontId="7" fillId="4" borderId="3" xfId="0" applyFont="1" applyFill="1" applyBorder="1" applyAlignment="1">
      <alignment horizontal="right" vertical="center" wrapText="1"/>
    </xf>
    <xf numFmtId="0" fontId="7" fillId="4" borderId="3" xfId="0" applyFont="1" applyFill="1" applyBorder="1" applyAlignment="1">
      <alignment horizontal="left" vertical="center" wrapText="1"/>
    </xf>
    <xf numFmtId="0" fontId="0" fillId="4" borderId="3" xfId="0" applyFill="1" applyBorder="1" applyAlignment="1">
      <alignment horizontal="right" vertical="center"/>
    </xf>
    <xf numFmtId="0" fontId="2" fillId="4" borderId="3" xfId="0" applyFont="1" applyFill="1" applyBorder="1">
      <alignment vertical="center"/>
    </xf>
    <xf numFmtId="176" fontId="9" fillId="4" borderId="3" xfId="0" applyNumberFormat="1" applyFont="1" applyFill="1" applyBorder="1" applyAlignment="1">
      <alignment horizontal="left" vertical="center"/>
    </xf>
    <xf numFmtId="0" fontId="9" fillId="4" borderId="3" xfId="0" applyFont="1" applyFill="1" applyBorder="1">
      <alignment vertical="center"/>
    </xf>
    <xf numFmtId="49" fontId="2" fillId="4" borderId="3" xfId="0" applyNumberFormat="1" applyFont="1" applyFill="1" applyBorder="1">
      <alignment vertical="center"/>
    </xf>
    <xf numFmtId="0" fontId="2" fillId="4" borderId="4" xfId="0" applyFont="1" applyFill="1" applyBorder="1">
      <alignment vertical="center"/>
    </xf>
    <xf numFmtId="0" fontId="2" fillId="4" borderId="1" xfId="0" applyFont="1" applyFill="1" applyBorder="1">
      <alignment vertical="center"/>
    </xf>
    <xf numFmtId="0" fontId="8" fillId="3" borderId="3" xfId="0" applyFont="1" applyFill="1" applyBorder="1">
      <alignment vertical="center"/>
    </xf>
    <xf numFmtId="176" fontId="9" fillId="3" borderId="3" xfId="0" applyNumberFormat="1" applyFont="1" applyFill="1" applyBorder="1" applyAlignment="1">
      <alignment horizontal="left" vertical="center"/>
    </xf>
    <xf numFmtId="0" fontId="9" fillId="3" borderId="3" xfId="0" applyFont="1" applyFill="1" applyBorder="1">
      <alignment vertical="center"/>
    </xf>
    <xf numFmtId="0" fontId="0" fillId="5" borderId="3" xfId="0" applyFill="1" applyBorder="1">
      <alignment vertical="center"/>
    </xf>
    <xf numFmtId="49" fontId="0" fillId="5" borderId="3" xfId="0" applyNumberFormat="1" applyFill="1" applyBorder="1">
      <alignment vertical="center"/>
    </xf>
    <xf numFmtId="0" fontId="7" fillId="5" borderId="3" xfId="0" applyFont="1" applyFill="1" applyBorder="1" applyAlignment="1">
      <alignment vertical="center" wrapText="1"/>
    </xf>
    <xf numFmtId="49" fontId="7" fillId="5" borderId="3" xfId="0" applyNumberFormat="1" applyFont="1" applyFill="1" applyBorder="1" applyAlignment="1">
      <alignment vertical="center" wrapText="1"/>
    </xf>
    <xf numFmtId="0" fontId="7" fillId="5" borderId="3" xfId="0" applyFont="1" applyFill="1" applyBorder="1" applyAlignment="1">
      <alignment horizontal="right" vertical="center" wrapText="1"/>
    </xf>
    <xf numFmtId="0" fontId="7" fillId="5" borderId="3" xfId="0" applyFont="1" applyFill="1" applyBorder="1" applyAlignment="1">
      <alignment horizontal="left" vertical="center" wrapText="1"/>
    </xf>
    <xf numFmtId="0" fontId="0" fillId="5" borderId="3" xfId="0" applyFill="1" applyBorder="1" applyAlignment="1">
      <alignment horizontal="right" vertical="center"/>
    </xf>
    <xf numFmtId="0" fontId="2" fillId="5" borderId="3" xfId="0" applyFont="1" applyFill="1" applyBorder="1">
      <alignment vertical="center"/>
    </xf>
    <xf numFmtId="176" fontId="11" fillId="5" borderId="3" xfId="0" applyNumberFormat="1" applyFont="1" applyFill="1" applyBorder="1" applyAlignment="1">
      <alignment horizontal="left" vertical="center"/>
    </xf>
    <xf numFmtId="0" fontId="11" fillId="5" borderId="3" xfId="0" applyFont="1" applyFill="1" applyBorder="1">
      <alignment vertical="center"/>
    </xf>
    <xf numFmtId="49" fontId="2" fillId="5" borderId="3" xfId="0" applyNumberFormat="1" applyFont="1" applyFill="1" applyBorder="1">
      <alignment vertical="center"/>
    </xf>
    <xf numFmtId="0" fontId="2" fillId="5" borderId="4" xfId="0" applyFont="1" applyFill="1" applyBorder="1">
      <alignment vertical="center"/>
    </xf>
    <xf numFmtId="0" fontId="2" fillId="5" borderId="1" xfId="0" applyFont="1" applyFill="1" applyBorder="1">
      <alignment vertical="center"/>
    </xf>
    <xf numFmtId="49" fontId="14" fillId="2" borderId="3" xfId="0" applyNumberFormat="1" applyFont="1" applyFill="1" applyBorder="1" applyAlignment="1">
      <alignment horizontal="left" vertical="center" wrapText="1"/>
    </xf>
    <xf numFmtId="0" fontId="14" fillId="3" borderId="3" xfId="0" applyFont="1" applyFill="1" applyBorder="1" applyAlignment="1">
      <alignment vertical="center" wrapText="1"/>
    </xf>
    <xf numFmtId="0" fontId="10" fillId="3" borderId="3" xfId="0" applyFont="1" applyFill="1" applyBorder="1" applyAlignment="1">
      <alignment vertical="center" wrapText="1"/>
    </xf>
    <xf numFmtId="49" fontId="8" fillId="3" borderId="3" xfId="0" applyNumberFormat="1" applyFont="1" applyFill="1" applyBorder="1" applyAlignment="1">
      <alignment horizontal="left" vertical="center"/>
    </xf>
    <xf numFmtId="49" fontId="15" fillId="3" borderId="3" xfId="0" applyNumberFormat="1" applyFont="1" applyFill="1" applyBorder="1" applyAlignment="1">
      <alignment horizontal="left" vertical="center" wrapText="1"/>
    </xf>
    <xf numFmtId="49" fontId="14" fillId="0" borderId="3" xfId="0" applyNumberFormat="1" applyFont="1" applyBorder="1" applyAlignment="1">
      <alignment horizontal="left" vertical="center"/>
    </xf>
    <xf numFmtId="0" fontId="15" fillId="3" borderId="3" xfId="0" applyFont="1" applyFill="1" applyBorder="1" applyAlignment="1">
      <alignment horizontal="right" vertical="center" wrapText="1"/>
    </xf>
    <xf numFmtId="49" fontId="15" fillId="3" borderId="3" xfId="0" applyNumberFormat="1" applyFont="1" applyFill="1" applyBorder="1" applyAlignment="1">
      <alignment vertical="center" wrapText="1"/>
    </xf>
    <xf numFmtId="49" fontId="14" fillId="3" borderId="3" xfId="0" applyNumberFormat="1" applyFont="1" applyFill="1" applyBorder="1" applyAlignment="1">
      <alignment vertical="center" wrapText="1"/>
    </xf>
    <xf numFmtId="0" fontId="8" fillId="3" borderId="3" xfId="0" applyFont="1" applyFill="1" applyBorder="1" applyAlignment="1">
      <alignment horizontal="right" vertical="center"/>
    </xf>
    <xf numFmtId="0" fontId="16" fillId="3" borderId="3" xfId="0" applyFont="1" applyFill="1" applyBorder="1">
      <alignment vertical="center"/>
    </xf>
    <xf numFmtId="0" fontId="17" fillId="3" borderId="3" xfId="0" applyFont="1" applyFill="1" applyBorder="1">
      <alignment vertical="center"/>
    </xf>
    <xf numFmtId="49" fontId="14" fillId="0" borderId="0" xfId="0" applyNumberFormat="1" applyFont="1">
      <alignment vertical="center"/>
    </xf>
    <xf numFmtId="49" fontId="15" fillId="0" borderId="3" xfId="0" applyNumberFormat="1" applyFont="1" applyBorder="1" applyAlignment="1">
      <alignment horizontal="left" vertical="center"/>
    </xf>
    <xf numFmtId="49" fontId="15" fillId="3" borderId="3" xfId="0" applyNumberFormat="1" applyFont="1" applyFill="1" applyBorder="1" applyAlignment="1">
      <alignment horizontal="right" vertical="center" wrapText="1"/>
    </xf>
    <xf numFmtId="49" fontId="8" fillId="3" borderId="3" xfId="0" applyNumberFormat="1" applyFont="1" applyFill="1" applyBorder="1" applyAlignment="1">
      <alignment horizontal="right" vertical="center"/>
    </xf>
    <xf numFmtId="49" fontId="16" fillId="3" borderId="3" xfId="0" applyNumberFormat="1" applyFont="1" applyFill="1" applyBorder="1" applyAlignment="1">
      <alignment horizontal="left" vertical="center"/>
    </xf>
    <xf numFmtId="0" fontId="0" fillId="6" borderId="3" xfId="0" applyFill="1" applyBorder="1">
      <alignment vertical="center"/>
    </xf>
    <xf numFmtId="49" fontId="0" fillId="6" borderId="3" xfId="0" applyNumberFormat="1" applyFill="1" applyBorder="1">
      <alignment vertical="center"/>
    </xf>
    <xf numFmtId="0" fontId="7" fillId="6" borderId="3" xfId="0" applyFont="1" applyFill="1" applyBorder="1" applyAlignment="1">
      <alignment vertical="center" wrapText="1"/>
    </xf>
    <xf numFmtId="49" fontId="7" fillId="6" borderId="3" xfId="0" applyNumberFormat="1" applyFont="1" applyFill="1" applyBorder="1" applyAlignment="1">
      <alignment vertical="center" wrapText="1"/>
    </xf>
    <xf numFmtId="0" fontId="8" fillId="6" borderId="3" xfId="0" applyFont="1" applyFill="1" applyBorder="1">
      <alignment vertical="center"/>
    </xf>
    <xf numFmtId="0" fontId="7" fillId="6" borderId="3" xfId="0" applyFont="1" applyFill="1" applyBorder="1" applyAlignment="1">
      <alignment horizontal="right" vertical="center" wrapText="1"/>
    </xf>
    <xf numFmtId="0" fontId="7" fillId="6" borderId="3" xfId="0" applyFont="1" applyFill="1" applyBorder="1" applyAlignment="1">
      <alignment horizontal="left" vertical="center" wrapText="1"/>
    </xf>
    <xf numFmtId="0" fontId="0" fillId="6" borderId="3" xfId="0" applyFill="1" applyBorder="1" applyAlignment="1">
      <alignment horizontal="right" vertical="center"/>
    </xf>
    <xf numFmtId="0" fontId="2" fillId="6" borderId="3" xfId="0" applyFont="1" applyFill="1" applyBorder="1">
      <alignment vertical="center"/>
    </xf>
    <xf numFmtId="176" fontId="9" fillId="6" borderId="3" xfId="0" applyNumberFormat="1" applyFont="1" applyFill="1" applyBorder="1" applyAlignment="1">
      <alignment horizontal="left" vertical="center"/>
    </xf>
    <xf numFmtId="0" fontId="9" fillId="6" borderId="3" xfId="0" applyFont="1" applyFill="1" applyBorder="1">
      <alignment vertical="center"/>
    </xf>
    <xf numFmtId="49" fontId="2" fillId="6" borderId="3" xfId="0" applyNumberFormat="1" applyFont="1" applyFill="1" applyBorder="1">
      <alignment vertical="center"/>
    </xf>
    <xf numFmtId="0" fontId="2" fillId="6" borderId="4" xfId="0" applyFont="1" applyFill="1" applyBorder="1">
      <alignment vertical="center"/>
    </xf>
    <xf numFmtId="0" fontId="2" fillId="6" borderId="1" xfId="0" applyFont="1" applyFill="1" applyBorder="1">
      <alignment vertical="center"/>
    </xf>
    <xf numFmtId="49" fontId="14" fillId="2" borderId="3" xfId="0" applyNumberFormat="1" applyFont="1" applyFill="1" applyBorder="1" applyAlignment="1">
      <alignment horizontal="left" vertical="center"/>
    </xf>
    <xf numFmtId="49" fontId="14" fillId="3" borderId="3" xfId="0" applyNumberFormat="1" applyFont="1" applyFill="1" applyBorder="1" applyAlignment="1">
      <alignment horizontal="left" vertical="center"/>
    </xf>
    <xf numFmtId="49" fontId="14" fillId="3" borderId="3" xfId="0" applyNumberFormat="1" applyFont="1" applyFill="1" applyBorder="1" applyAlignment="1">
      <alignment horizontal="left" vertical="center" wrapText="1"/>
    </xf>
    <xf numFmtId="0" fontId="14" fillId="3" borderId="3" xfId="0" applyFont="1" applyFill="1" applyBorder="1" applyAlignment="1">
      <alignment horizontal="right" vertical="center" wrapText="1"/>
    </xf>
    <xf numFmtId="49" fontId="15" fillId="3" borderId="3" xfId="0" applyNumberFormat="1" applyFont="1" applyFill="1" applyBorder="1" applyAlignment="1">
      <alignment horizontal="left" vertical="center"/>
    </xf>
    <xf numFmtId="0" fontId="14" fillId="0" borderId="0" xfId="0" applyFont="1">
      <alignment vertical="center"/>
    </xf>
    <xf numFmtId="176" fontId="9" fillId="3" borderId="3" xfId="0" applyNumberFormat="1" applyFont="1" applyFill="1" applyBorder="1" applyAlignment="1">
      <alignment horizontal="right" vertical="center"/>
    </xf>
    <xf numFmtId="0" fontId="10" fillId="5" borderId="3" xfId="0" applyFont="1" applyFill="1" applyBorder="1" applyAlignment="1">
      <alignment horizontal="left" vertical="center" wrapText="1"/>
    </xf>
    <xf numFmtId="49" fontId="15" fillId="5" borderId="3" xfId="0" applyNumberFormat="1" applyFont="1" applyFill="1" applyBorder="1" applyAlignment="1">
      <alignment vertical="center" wrapText="1"/>
    </xf>
    <xf numFmtId="49" fontId="8" fillId="5" borderId="3" xfId="0" applyNumberFormat="1" applyFont="1" applyFill="1" applyBorder="1" applyAlignment="1">
      <alignment horizontal="left" vertical="center"/>
    </xf>
    <xf numFmtId="49" fontId="14" fillId="5" borderId="3" xfId="0" applyNumberFormat="1" applyFont="1" applyFill="1" applyBorder="1" applyAlignment="1">
      <alignment vertical="center" wrapText="1"/>
    </xf>
    <xf numFmtId="0" fontId="8" fillId="5" borderId="3" xfId="0" applyFont="1" applyFill="1" applyBorder="1" applyAlignment="1">
      <alignment horizontal="right" vertical="center"/>
    </xf>
    <xf numFmtId="0" fontId="16" fillId="5" borderId="3" xfId="0" applyFont="1" applyFill="1" applyBorder="1">
      <alignment vertical="center"/>
    </xf>
    <xf numFmtId="0" fontId="17" fillId="5" borderId="3" xfId="0" applyFont="1" applyFill="1" applyBorder="1">
      <alignment vertical="center"/>
    </xf>
    <xf numFmtId="0" fontId="2" fillId="5" borderId="0" xfId="0" applyFont="1" applyFill="1">
      <alignment vertical="center"/>
    </xf>
    <xf numFmtId="49" fontId="15" fillId="5" borderId="5" xfId="0" applyNumberFormat="1" applyFont="1" applyFill="1" applyBorder="1" applyAlignment="1">
      <alignment horizontal="left" vertical="center" wrapText="1"/>
    </xf>
    <xf numFmtId="49" fontId="15" fillId="5" borderId="5" xfId="0" applyNumberFormat="1" applyFont="1" applyFill="1" applyBorder="1" applyAlignment="1">
      <alignment vertical="center" wrapText="1"/>
    </xf>
    <xf numFmtId="49" fontId="15" fillId="5" borderId="3" xfId="0" applyNumberFormat="1" applyFont="1" applyFill="1" applyBorder="1" applyAlignment="1">
      <alignment horizontal="left" vertical="center" wrapText="1"/>
    </xf>
    <xf numFmtId="49" fontId="15" fillId="5" borderId="3" xfId="0" applyNumberFormat="1" applyFont="1" applyFill="1" applyBorder="1" applyAlignment="1">
      <alignment horizontal="right" vertical="center" wrapText="1"/>
    </xf>
    <xf numFmtId="49" fontId="15" fillId="0" borderId="3" xfId="0" applyNumberFormat="1" applyFont="1" applyBorder="1" applyAlignment="1">
      <alignment horizontal="left" vertical="center" wrapText="1"/>
    </xf>
    <xf numFmtId="49" fontId="8" fillId="5" borderId="3" xfId="0" applyNumberFormat="1" applyFont="1" applyFill="1" applyBorder="1" applyAlignment="1">
      <alignment horizontal="right" vertical="center"/>
    </xf>
    <xf numFmtId="0" fontId="15" fillId="0" borderId="6" xfId="0" applyFont="1" applyBorder="1" applyAlignment="1">
      <alignment vertical="center" wrapText="1"/>
    </xf>
    <xf numFmtId="49" fontId="8" fillId="0" borderId="3" xfId="0" applyNumberFormat="1" applyFont="1" applyBorder="1" applyAlignment="1">
      <alignment horizontal="left" vertical="center"/>
    </xf>
    <xf numFmtId="0" fontId="15" fillId="0" borderId="3" xfId="0" applyFont="1" applyBorder="1" applyAlignment="1">
      <alignment vertical="center" wrapText="1"/>
    </xf>
    <xf numFmtId="49" fontId="15" fillId="0" borderId="3" xfId="0" applyNumberFormat="1" applyFont="1" applyBorder="1" applyAlignment="1">
      <alignment vertical="center" wrapText="1"/>
    </xf>
    <xf numFmtId="49" fontId="14" fillId="0" borderId="7" xfId="0" applyNumberFormat="1" applyFont="1" applyBorder="1" applyAlignment="1">
      <alignment vertical="center" wrapText="1"/>
    </xf>
    <xf numFmtId="0" fontId="16" fillId="0" borderId="7" xfId="0" applyFont="1" applyBorder="1">
      <alignment vertical="center"/>
    </xf>
    <xf numFmtId="0" fontId="17" fillId="0" borderId="7" xfId="0" applyFont="1" applyBorder="1">
      <alignment vertical="center"/>
    </xf>
    <xf numFmtId="49" fontId="8" fillId="0" borderId="8" xfId="0" applyNumberFormat="1" applyFont="1" applyBorder="1" applyAlignment="1">
      <alignment horizontal="left" vertical="center"/>
    </xf>
    <xf numFmtId="49" fontId="14" fillId="0" borderId="3" xfId="0" applyNumberFormat="1" applyFont="1" applyBorder="1">
      <alignment vertical="center"/>
    </xf>
    <xf numFmtId="0" fontId="14" fillId="0" borderId="3" xfId="0" applyFont="1" applyBorder="1" applyAlignment="1">
      <alignment horizontal="right" vertical="center"/>
    </xf>
    <xf numFmtId="49" fontId="14" fillId="0" borderId="6" xfId="0" applyNumberFormat="1" applyFont="1" applyBorder="1">
      <alignment vertical="center"/>
    </xf>
    <xf numFmtId="0" fontId="14" fillId="0" borderId="6" xfId="0" applyFont="1" applyBorder="1" applyAlignment="1">
      <alignment horizontal="right" vertical="center"/>
    </xf>
    <xf numFmtId="0" fontId="2" fillId="0" borderId="1" xfId="0" applyFont="1" applyBorder="1" applyAlignment="1">
      <alignment horizontal="right" vertical="center"/>
    </xf>
    <xf numFmtId="0" fontId="14" fillId="5" borderId="3" xfId="0" applyFont="1" applyFill="1" applyBorder="1" applyAlignment="1">
      <alignment vertical="center" wrapText="1"/>
    </xf>
    <xf numFmtId="0" fontId="10" fillId="5" borderId="3" xfId="0" applyFont="1" applyFill="1" applyBorder="1" applyAlignment="1">
      <alignment vertical="center" wrapText="1"/>
    </xf>
    <xf numFmtId="49" fontId="16" fillId="5" borderId="3" xfId="0" applyNumberFormat="1" applyFont="1" applyFill="1" applyBorder="1" applyAlignment="1">
      <alignment horizontal="right" vertical="center"/>
    </xf>
    <xf numFmtId="49" fontId="16" fillId="5" borderId="3" xfId="0" applyNumberFormat="1" applyFont="1" applyFill="1" applyBorder="1" applyAlignment="1">
      <alignment horizontal="left" vertical="center"/>
    </xf>
    <xf numFmtId="49" fontId="7" fillId="0" borderId="3" xfId="0" applyNumberFormat="1" applyFont="1" applyBorder="1" applyAlignment="1">
      <alignment horizontal="left" vertical="center" wrapText="1"/>
    </xf>
    <xf numFmtId="49" fontId="15" fillId="0" borderId="3" xfId="0" applyNumberFormat="1" applyFont="1" applyBorder="1" applyAlignment="1">
      <alignment horizontal="right" vertical="center" wrapText="1"/>
    </xf>
    <xf numFmtId="49" fontId="15" fillId="0" borderId="7" xfId="0" applyNumberFormat="1" applyFont="1" applyBorder="1" applyAlignment="1">
      <alignment horizontal="left" vertical="center" wrapText="1"/>
    </xf>
    <xf numFmtId="49" fontId="14" fillId="0" borderId="3" xfId="0" applyNumberFormat="1" applyFont="1" applyBorder="1" applyAlignment="1">
      <alignment vertical="center" wrapText="1"/>
    </xf>
    <xf numFmtId="49" fontId="8" fillId="0" borderId="3" xfId="0" applyNumberFormat="1" applyFont="1" applyBorder="1" applyAlignment="1">
      <alignment horizontal="right" vertical="center"/>
    </xf>
    <xf numFmtId="0" fontId="16" fillId="0" borderId="3" xfId="0" applyFont="1" applyBorder="1">
      <alignment vertical="center"/>
    </xf>
    <xf numFmtId="0" fontId="14" fillId="0" borderId="3" xfId="0" applyFont="1" applyBorder="1">
      <alignment vertical="center"/>
    </xf>
    <xf numFmtId="49" fontId="15" fillId="0" borderId="6" xfId="0" applyNumberFormat="1" applyFont="1" applyBorder="1" applyAlignment="1">
      <alignment horizontal="left" vertical="center" wrapText="1"/>
    </xf>
    <xf numFmtId="49" fontId="15" fillId="0" borderId="8" xfId="0" applyNumberFormat="1" applyFont="1" applyBorder="1" applyAlignment="1">
      <alignment horizontal="left" vertical="center" wrapText="1"/>
    </xf>
    <xf numFmtId="49" fontId="15" fillId="0" borderId="5" xfId="0" applyNumberFormat="1" applyFont="1" applyBorder="1" applyAlignment="1">
      <alignment horizontal="left" vertical="center" wrapText="1"/>
    </xf>
    <xf numFmtId="49" fontId="15" fillId="0" borderId="9" xfId="0" applyNumberFormat="1" applyFont="1" applyBorder="1" applyAlignment="1">
      <alignment horizontal="left" vertical="center" wrapText="1"/>
    </xf>
    <xf numFmtId="0" fontId="14" fillId="0" borderId="7" xfId="0" applyFont="1" applyBorder="1">
      <alignment vertical="center"/>
    </xf>
    <xf numFmtId="0" fontId="15" fillId="0" borderId="3" xfId="0" applyFont="1" applyBorder="1" applyAlignment="1">
      <alignment horizontal="right" vertical="center" wrapText="1"/>
    </xf>
    <xf numFmtId="0" fontId="8" fillId="0" borderId="3" xfId="0" applyFont="1" applyBorder="1" applyAlignment="1">
      <alignment horizontal="right" vertical="center"/>
    </xf>
    <xf numFmtId="0" fontId="8" fillId="0" borderId="3" xfId="0" applyFont="1" applyBorder="1" applyAlignment="1">
      <alignment vertical="center" wrapText="1"/>
    </xf>
    <xf numFmtId="0" fontId="17" fillId="0" borderId="3" xfId="0" applyFont="1" applyBorder="1">
      <alignment vertical="center"/>
    </xf>
    <xf numFmtId="49" fontId="15" fillId="0" borderId="8" xfId="0" applyNumberFormat="1" applyFont="1" applyBorder="1" applyAlignment="1">
      <alignment horizontal="right" vertical="center" wrapText="1"/>
    </xf>
    <xf numFmtId="0" fontId="8" fillId="0" borderId="3" xfId="0" applyFont="1" applyBorder="1" applyAlignment="1">
      <alignment horizontal="left" vertical="center"/>
    </xf>
    <xf numFmtId="49" fontId="16" fillId="0" borderId="3" xfId="0" applyNumberFormat="1" applyFont="1" applyBorder="1" applyAlignment="1">
      <alignment horizontal="left" vertical="center"/>
    </xf>
    <xf numFmtId="49" fontId="16" fillId="0" borderId="3" xfId="0" applyNumberFormat="1" applyFont="1" applyBorder="1" applyAlignment="1">
      <alignment horizontal="right" vertical="center"/>
    </xf>
    <xf numFmtId="49" fontId="15" fillId="0" borderId="9" xfId="0" applyNumberFormat="1" applyFont="1" applyBorder="1" applyAlignment="1">
      <alignment horizontal="right" vertical="center" wrapText="1"/>
    </xf>
    <xf numFmtId="49" fontId="15" fillId="0" borderId="10" xfId="0" applyNumberFormat="1" applyFont="1" applyBorder="1" applyAlignment="1">
      <alignment horizontal="left" vertical="center" wrapText="1"/>
    </xf>
    <xf numFmtId="0" fontId="8" fillId="0" borderId="8" xfId="0" applyFont="1" applyBorder="1" applyAlignment="1">
      <alignment vertical="center" wrapText="1"/>
    </xf>
    <xf numFmtId="49" fontId="14" fillId="0" borderId="3" xfId="0" applyNumberFormat="1" applyFont="1" applyBorder="1" applyAlignment="1">
      <alignment horizontal="right" vertical="center" wrapText="1"/>
    </xf>
    <xf numFmtId="49" fontId="8" fillId="0" borderId="3" xfId="0" applyNumberFormat="1" applyFont="1" applyBorder="1">
      <alignment vertical="center"/>
    </xf>
    <xf numFmtId="49" fontId="16" fillId="0" borderId="3" xfId="0" applyNumberFormat="1" applyFont="1" applyBorder="1">
      <alignment vertical="center"/>
    </xf>
    <xf numFmtId="0" fontId="18" fillId="2" borderId="3" xfId="0" applyFont="1" applyFill="1" applyBorder="1" applyAlignment="1">
      <alignment horizontal="left" vertical="center" wrapText="1"/>
    </xf>
    <xf numFmtId="0" fontId="0" fillId="7" borderId="3" xfId="0" applyFill="1" applyBorder="1">
      <alignment vertical="center"/>
    </xf>
    <xf numFmtId="49" fontId="0" fillId="7" borderId="3" xfId="0" applyNumberFormat="1" applyFill="1" applyBorder="1">
      <alignment vertical="center"/>
    </xf>
    <xf numFmtId="0" fontId="7" fillId="7" borderId="3" xfId="0" applyFont="1" applyFill="1" applyBorder="1" applyAlignment="1">
      <alignment vertical="center" wrapText="1"/>
    </xf>
    <xf numFmtId="49" fontId="7" fillId="7" borderId="3" xfId="0" applyNumberFormat="1" applyFont="1" applyFill="1" applyBorder="1" applyAlignment="1">
      <alignment vertical="center" wrapText="1"/>
    </xf>
    <xf numFmtId="0" fontId="7" fillId="7" borderId="3" xfId="0" applyFont="1" applyFill="1" applyBorder="1" applyAlignment="1">
      <alignment horizontal="right" vertical="center" wrapText="1"/>
    </xf>
    <xf numFmtId="0" fontId="7" fillId="7" borderId="3" xfId="0" applyFont="1" applyFill="1" applyBorder="1" applyAlignment="1">
      <alignment horizontal="left" vertical="center" wrapText="1"/>
    </xf>
    <xf numFmtId="0" fontId="0" fillId="7" borderId="3" xfId="0" applyFill="1" applyBorder="1" applyAlignment="1">
      <alignment horizontal="right" vertical="center"/>
    </xf>
    <xf numFmtId="0" fontId="2" fillId="7" borderId="3" xfId="0" applyFont="1" applyFill="1" applyBorder="1">
      <alignment vertical="center"/>
    </xf>
    <xf numFmtId="176" fontId="9" fillId="7" borderId="3" xfId="0" applyNumberFormat="1" applyFont="1" applyFill="1" applyBorder="1" applyAlignment="1">
      <alignment horizontal="left" vertical="center"/>
    </xf>
    <xf numFmtId="0" fontId="9" fillId="7" borderId="3" xfId="0" applyFont="1" applyFill="1" applyBorder="1">
      <alignment vertical="center"/>
    </xf>
    <xf numFmtId="0" fontId="11" fillId="7" borderId="3" xfId="0" applyFont="1" applyFill="1" applyBorder="1">
      <alignment vertical="center"/>
    </xf>
    <xf numFmtId="49" fontId="2" fillId="7" borderId="3" xfId="0" applyNumberFormat="1" applyFont="1" applyFill="1" applyBorder="1">
      <alignment vertical="center"/>
    </xf>
    <xf numFmtId="0" fontId="2" fillId="7" borderId="4" xfId="0" applyFont="1" applyFill="1" applyBorder="1">
      <alignment vertical="center"/>
    </xf>
    <xf numFmtId="0" fontId="2" fillId="7" borderId="1" xfId="0" applyFont="1" applyFill="1" applyBorder="1">
      <alignment vertical="center"/>
    </xf>
    <xf numFmtId="0" fontId="10" fillId="7" borderId="3" xfId="0" applyFont="1" applyFill="1" applyBorder="1" applyAlignment="1">
      <alignment vertical="center" wrapText="1"/>
    </xf>
    <xf numFmtId="176" fontId="9" fillId="2" borderId="3" xfId="0" applyNumberFormat="1" applyFont="1" applyFill="1" applyBorder="1" applyAlignment="1">
      <alignment horizontal="left" vertical="center"/>
    </xf>
    <xf numFmtId="0" fontId="9" fillId="2" borderId="3" xfId="0" applyFont="1" applyFill="1" applyBorder="1">
      <alignment vertical="center"/>
    </xf>
    <xf numFmtId="0" fontId="10" fillId="2" borderId="3" xfId="0" applyFont="1" applyFill="1" applyBorder="1" applyAlignment="1">
      <alignment vertical="center" wrapText="1"/>
    </xf>
    <xf numFmtId="0" fontId="0" fillId="8" borderId="3" xfId="0" applyFill="1" applyBorder="1">
      <alignment vertical="center"/>
    </xf>
    <xf numFmtId="49" fontId="0" fillId="8" borderId="3" xfId="0" applyNumberFormat="1" applyFill="1" applyBorder="1">
      <alignment vertical="center"/>
    </xf>
    <xf numFmtId="0" fontId="7" fillId="8" borderId="3" xfId="0" applyFont="1" applyFill="1" applyBorder="1" applyAlignment="1">
      <alignment vertical="center" wrapText="1"/>
    </xf>
    <xf numFmtId="49" fontId="7" fillId="8" borderId="3" xfId="0" applyNumberFormat="1" applyFont="1" applyFill="1" applyBorder="1" applyAlignment="1">
      <alignment vertical="center" wrapText="1"/>
    </xf>
    <xf numFmtId="0" fontId="7" fillId="8" borderId="3" xfId="0" applyFont="1" applyFill="1" applyBorder="1" applyAlignment="1">
      <alignment horizontal="right" vertical="center" wrapText="1"/>
    </xf>
    <xf numFmtId="0" fontId="7" fillId="8" borderId="3" xfId="0" applyFont="1" applyFill="1" applyBorder="1" applyAlignment="1">
      <alignment horizontal="left" vertical="center" wrapText="1"/>
    </xf>
    <xf numFmtId="0" fontId="0" fillId="8" borderId="3" xfId="0" applyFill="1" applyBorder="1" applyAlignment="1">
      <alignment horizontal="right" vertical="center"/>
    </xf>
    <xf numFmtId="0" fontId="2" fillId="8" borderId="3" xfId="0" applyFont="1" applyFill="1" applyBorder="1">
      <alignment vertical="center"/>
    </xf>
    <xf numFmtId="176" fontId="11" fillId="8" borderId="3" xfId="0" applyNumberFormat="1" applyFont="1" applyFill="1" applyBorder="1" applyAlignment="1">
      <alignment horizontal="left" vertical="center"/>
    </xf>
    <xf numFmtId="0" fontId="11" fillId="8" borderId="3" xfId="0" applyFont="1" applyFill="1" applyBorder="1">
      <alignment vertical="center"/>
    </xf>
    <xf numFmtId="49" fontId="2" fillId="8" borderId="3" xfId="0" applyNumberFormat="1" applyFont="1" applyFill="1" applyBorder="1">
      <alignment vertical="center"/>
    </xf>
    <xf numFmtId="0" fontId="2" fillId="8" borderId="4" xfId="0" applyFont="1" applyFill="1" applyBorder="1">
      <alignment vertical="center"/>
    </xf>
    <xf numFmtId="0" fontId="2" fillId="8" borderId="1" xfId="0" applyFont="1" applyFill="1" applyBorder="1">
      <alignment vertical="center"/>
    </xf>
    <xf numFmtId="0" fontId="2" fillId="5" borderId="3" xfId="0" applyFont="1" applyFill="1" applyBorder="1" applyAlignment="1">
      <alignment horizontal="right" vertical="center"/>
    </xf>
    <xf numFmtId="0" fontId="8" fillId="5" borderId="3" xfId="0" applyFont="1" applyFill="1" applyBorder="1">
      <alignment vertical="center"/>
    </xf>
    <xf numFmtId="0" fontId="14" fillId="2" borderId="3" xfId="0" applyFont="1" applyFill="1" applyBorder="1" applyAlignment="1">
      <alignment vertical="center" wrapText="1"/>
    </xf>
    <xf numFmtId="176" fontId="19" fillId="0" borderId="3" xfId="0" applyNumberFormat="1" applyFont="1" applyBorder="1" applyAlignment="1">
      <alignment horizontal="left" vertical="center"/>
    </xf>
    <xf numFmtId="0" fontId="19" fillId="0" borderId="3" xfId="0" applyFont="1" applyBorder="1" applyAlignment="1"/>
    <xf numFmtId="49" fontId="14" fillId="0" borderId="3" xfId="0" applyNumberFormat="1" applyFont="1" applyBorder="1" applyAlignment="1">
      <alignment horizontal="left"/>
    </xf>
    <xf numFmtId="0" fontId="2" fillId="2" borderId="3" xfId="0" applyFont="1" applyFill="1" applyBorder="1" applyAlignment="1">
      <alignment horizontal="right" vertical="center"/>
    </xf>
    <xf numFmtId="0" fontId="9" fillId="2" borderId="3" xfId="0" applyFont="1" applyFill="1" applyBorder="1" applyAlignment="1">
      <alignment horizontal="right" vertical="center"/>
    </xf>
    <xf numFmtId="0" fontId="7" fillId="0" borderId="7" xfId="0" applyFont="1" applyBorder="1" applyAlignment="1">
      <alignment horizontal="left" vertical="center" wrapText="1"/>
    </xf>
    <xf numFmtId="0" fontId="7" fillId="0" borderId="5" xfId="0" applyFont="1" applyBorder="1" applyAlignment="1">
      <alignment horizontal="left" vertical="center" wrapText="1"/>
    </xf>
    <xf numFmtId="49" fontId="8" fillId="5" borderId="3" xfId="0" applyNumberFormat="1" applyFont="1" applyFill="1" applyBorder="1">
      <alignment vertical="center"/>
    </xf>
    <xf numFmtId="49" fontId="14" fillId="5" borderId="3" xfId="0" applyNumberFormat="1" applyFont="1" applyFill="1" applyBorder="1" applyAlignment="1">
      <alignment horizontal="left" vertical="center" wrapText="1"/>
    </xf>
    <xf numFmtId="49" fontId="12" fillId="0" borderId="3" xfId="0" applyNumberFormat="1" applyFont="1" applyBorder="1">
      <alignment vertical="center"/>
    </xf>
    <xf numFmtId="49" fontId="7" fillId="9" borderId="3" xfId="0" applyNumberFormat="1" applyFont="1" applyFill="1" applyBorder="1" applyAlignment="1">
      <alignment vertical="center" wrapText="1"/>
    </xf>
    <xf numFmtId="0" fontId="7" fillId="9" borderId="3" xfId="0" applyFont="1" applyFill="1" applyBorder="1" applyAlignment="1">
      <alignment horizontal="right" vertical="center" wrapText="1"/>
    </xf>
    <xf numFmtId="49" fontId="14" fillId="9" borderId="3" xfId="0" applyNumberFormat="1" applyFont="1" applyFill="1" applyBorder="1" applyAlignment="1">
      <alignment horizontal="left" vertical="center" wrapText="1"/>
    </xf>
    <xf numFmtId="0" fontId="7" fillId="9" borderId="3" xfId="0" applyFont="1" applyFill="1" applyBorder="1" applyAlignment="1">
      <alignment horizontal="left" vertical="center" wrapText="1"/>
    </xf>
    <xf numFmtId="0" fontId="7" fillId="10" borderId="3" xfId="0" applyFont="1" applyFill="1" applyBorder="1" applyAlignment="1">
      <alignment horizontal="left" vertical="center" wrapText="1"/>
    </xf>
    <xf numFmtId="49" fontId="14" fillId="7" borderId="3" xfId="0" applyNumberFormat="1" applyFont="1" applyFill="1" applyBorder="1" applyAlignment="1">
      <alignment horizontal="left" vertical="center" wrapText="1"/>
    </xf>
    <xf numFmtId="49" fontId="14" fillId="10" borderId="3" xfId="0" applyNumberFormat="1" applyFont="1" applyFill="1" applyBorder="1" applyAlignment="1">
      <alignment horizontal="left" vertical="center" wrapText="1"/>
    </xf>
    <xf numFmtId="0" fontId="16" fillId="0" borderId="3" xfId="0" applyFont="1" applyBorder="1" applyAlignment="1">
      <alignment horizontal="right" vertical="center"/>
    </xf>
    <xf numFmtId="0" fontId="16" fillId="0" borderId="0" xfId="0" applyFont="1">
      <alignment vertical="center"/>
    </xf>
    <xf numFmtId="49" fontId="2" fillId="2" borderId="1" xfId="0" applyNumberFormat="1" applyFont="1" applyFill="1" applyBorder="1" applyAlignment="1">
      <alignment horizontal="right" vertical="center"/>
    </xf>
    <xf numFmtId="0" fontId="2" fillId="2" borderId="1" xfId="0" applyFont="1" applyFill="1" applyBorder="1" applyAlignment="1">
      <alignment horizontal="right" vertical="center"/>
    </xf>
    <xf numFmtId="0" fontId="20" fillId="2" borderId="1" xfId="0" applyFont="1" applyFill="1" applyBorder="1">
      <alignment vertical="center"/>
    </xf>
    <xf numFmtId="49" fontId="12" fillId="0" borderId="3" xfId="0" applyNumberFormat="1" applyFont="1" applyBorder="1" applyAlignment="1">
      <alignment horizontal="left" vertical="center"/>
    </xf>
    <xf numFmtId="49" fontId="10" fillId="0" borderId="3" xfId="0" applyNumberFormat="1" applyFont="1" applyBorder="1" applyAlignment="1">
      <alignment horizontal="right" vertical="center" wrapText="1"/>
    </xf>
    <xf numFmtId="0" fontId="12" fillId="0" borderId="3" xfId="0" applyFont="1" applyBorder="1" applyAlignment="1">
      <alignment horizontal="right" vertical="center"/>
    </xf>
    <xf numFmtId="0" fontId="12" fillId="0" borderId="5" xfId="0" applyFont="1" applyBorder="1">
      <alignment vertical="center"/>
    </xf>
    <xf numFmtId="49" fontId="12" fillId="0" borderId="3" xfId="0" applyNumberFormat="1" applyFont="1" applyBorder="1" applyAlignment="1">
      <alignment horizontal="right" vertical="center"/>
    </xf>
    <xf numFmtId="0" fontId="10" fillId="0" borderId="0" xfId="0" applyFont="1" applyAlignment="1">
      <alignment vertical="center" wrapText="1"/>
    </xf>
    <xf numFmtId="0" fontId="10" fillId="0" borderId="7" xfId="0" applyFont="1" applyBorder="1" applyAlignment="1">
      <alignment vertical="center" wrapText="1"/>
    </xf>
    <xf numFmtId="0" fontId="10" fillId="0" borderId="8" xfId="0" applyFont="1" applyBorder="1" applyAlignment="1">
      <alignment vertical="center" wrapText="1"/>
    </xf>
    <xf numFmtId="0" fontId="10" fillId="0" borderId="5" xfId="0" applyFont="1" applyBorder="1" applyAlignment="1">
      <alignment vertical="center" wrapText="1"/>
    </xf>
    <xf numFmtId="0" fontId="10" fillId="0" borderId="6" xfId="0" applyFont="1" applyBorder="1" applyAlignment="1">
      <alignment vertical="center" wrapText="1"/>
    </xf>
    <xf numFmtId="0" fontId="14" fillId="0" borderId="6" xfId="0" applyFont="1" applyBorder="1" applyAlignment="1">
      <alignment vertical="center" wrapText="1"/>
    </xf>
    <xf numFmtId="0" fontId="12" fillId="0" borderId="6" xfId="0" applyFont="1" applyBorder="1" applyAlignment="1">
      <alignment horizontal="right" vertical="center"/>
    </xf>
    <xf numFmtId="0" fontId="8" fillId="0" borderId="0" xfId="0" applyFont="1">
      <alignment vertical="center"/>
    </xf>
    <xf numFmtId="0" fontId="10" fillId="0" borderId="9" xfId="0" applyFont="1" applyBorder="1" applyAlignment="1">
      <alignment vertical="center" wrapText="1"/>
    </xf>
    <xf numFmtId="0" fontId="10" fillId="0" borderId="10" xfId="0" applyFont="1" applyBorder="1" applyAlignment="1">
      <alignment vertical="center" wrapText="1"/>
    </xf>
    <xf numFmtId="49" fontId="10" fillId="0" borderId="3" xfId="0" applyNumberFormat="1" applyFont="1" applyBorder="1" applyAlignment="1">
      <alignment horizontal="left" vertical="center"/>
    </xf>
    <xf numFmtId="0" fontId="12" fillId="0" borderId="0" xfId="0" applyFont="1">
      <alignment vertical="center"/>
    </xf>
    <xf numFmtId="0" fontId="10" fillId="0" borderId="3" xfId="0" applyFont="1" applyBorder="1" applyAlignment="1">
      <alignment horizontal="right" vertical="center" wrapText="1"/>
    </xf>
    <xf numFmtId="49" fontId="10" fillId="0" borderId="3" xfId="0" applyNumberFormat="1" applyFont="1" applyBorder="1" applyAlignment="1">
      <alignment horizontal="left" vertical="center" wrapText="1"/>
    </xf>
    <xf numFmtId="0" fontId="12" fillId="0" borderId="5" xfId="0" applyFont="1" applyBorder="1" applyAlignment="1">
      <alignment horizontal="right" vertical="center"/>
    </xf>
    <xf numFmtId="49" fontId="15" fillId="0" borderId="7" xfId="0" applyNumberFormat="1" applyFont="1" applyBorder="1" applyAlignment="1">
      <alignment vertical="center" wrapText="1"/>
    </xf>
    <xf numFmtId="49" fontId="16" fillId="0" borderId="5" xfId="0" applyNumberFormat="1" applyFont="1" applyBorder="1" applyAlignment="1">
      <alignment horizontal="right" vertical="center"/>
    </xf>
    <xf numFmtId="0" fontId="14" fillId="0" borderId="5" xfId="0" applyFont="1" applyBorder="1">
      <alignment vertical="center"/>
    </xf>
    <xf numFmtId="0" fontId="0" fillId="4" borderId="0" xfId="0" applyFill="1">
      <alignment vertical="center"/>
    </xf>
    <xf numFmtId="0" fontId="0" fillId="0" borderId="0" xfId="0" applyFill="1" applyAlignment="1">
      <alignment horizontal="left" vertical="center"/>
    </xf>
    <xf numFmtId="0" fontId="0" fillId="3" borderId="0" xfId="0" applyFill="1">
      <alignment vertical="center"/>
    </xf>
    <xf numFmtId="0" fontId="0" fillId="4" borderId="0" xfId="0" applyFill="1" applyAlignment="1">
      <alignment horizontal="left" vertical="center"/>
    </xf>
    <xf numFmtId="0" fontId="0" fillId="11" borderId="0" xfId="0" applyFill="1">
      <alignment vertical="center"/>
    </xf>
    <xf numFmtId="49" fontId="21" fillId="0" borderId="3" xfId="0" applyNumberFormat="1" applyFont="1" applyBorder="1" applyAlignment="1">
      <alignment horizontal="left" vertical="center"/>
    </xf>
    <xf numFmtId="0" fontId="21" fillId="0" borderId="3" xfId="0" applyFont="1" applyBorder="1">
      <alignment vertical="center"/>
    </xf>
    <xf numFmtId="0" fontId="21" fillId="0" borderId="0" xfId="0" applyFont="1">
      <alignment vertical="center"/>
    </xf>
    <xf numFmtId="0" fontId="14" fillId="0" borderId="3" xfId="0" applyFont="1" applyBorder="1" applyAlignment="1">
      <alignment horizontal="left" vertical="center"/>
    </xf>
    <xf numFmtId="176" fontId="14" fillId="0" borderId="3" xfId="0" applyNumberFormat="1" applyFont="1" applyBorder="1" applyAlignment="1">
      <alignment horizontal="left" vertical="center"/>
    </xf>
    <xf numFmtId="49" fontId="14" fillId="0" borderId="7" xfId="0" applyNumberFormat="1" applyFont="1" applyBorder="1" applyAlignment="1">
      <alignment horizontal="left" vertical="center"/>
    </xf>
    <xf numFmtId="0" fontId="8" fillId="0" borderId="7" xfId="0" applyFont="1" applyBorder="1">
      <alignment vertical="center"/>
    </xf>
    <xf numFmtId="0" fontId="14" fillId="0" borderId="0" xfId="0" applyFont="1" applyAlignment="1">
      <alignment vertical="center" wrapText="1"/>
    </xf>
    <xf numFmtId="49" fontId="14" fillId="0" borderId="0" xfId="0" applyNumberFormat="1" applyFont="1" applyAlignment="1">
      <alignment horizontal="left" vertical="center"/>
    </xf>
    <xf numFmtId="176" fontId="14" fillId="0" borderId="0" xfId="0" applyNumberFormat="1" applyFont="1" applyAlignment="1">
      <alignment horizontal="left" vertical="center"/>
    </xf>
    <xf numFmtId="176" fontId="8" fillId="0" borderId="0" xfId="0" applyNumberFormat="1" applyFont="1" applyAlignment="1">
      <alignment horizontal="left" vertical="center"/>
    </xf>
    <xf numFmtId="176" fontId="0" fillId="0" borderId="0" xfId="0" applyNumberFormat="1" applyAlignment="1">
      <alignment horizontal="left" vertical="center"/>
    </xf>
    <xf numFmtId="0" fontId="5" fillId="0" borderId="1" xfId="0" applyFont="1" applyFill="1" applyBorder="1">
      <alignment vertical="center"/>
    </xf>
    <xf numFmtId="49" fontId="22" fillId="2" borderId="3" xfId="0" applyNumberFormat="1" applyFont="1" applyFill="1" applyBorder="1" applyAlignment="1">
      <alignment horizontal="right" vertical="center"/>
    </xf>
    <xf numFmtId="0" fontId="22" fillId="2" borderId="3" xfId="0" applyFont="1" applyFill="1" applyBorder="1">
      <alignment vertical="center"/>
    </xf>
    <xf numFmtId="0" fontId="22" fillId="2" borderId="3" xfId="0" applyFont="1" applyFill="1" applyBorder="1" applyAlignment="1">
      <alignment horizontal="left" vertical="center"/>
    </xf>
    <xf numFmtId="0" fontId="23" fillId="2" borderId="3" xfId="0" applyFont="1" applyFill="1" applyBorder="1">
      <alignment vertical="center"/>
    </xf>
    <xf numFmtId="0" fontId="14" fillId="0" borderId="3" xfId="0" applyFont="1" applyBorder="1" applyAlignment="1">
      <alignment horizontal="center" vertical="center" wrapText="1"/>
    </xf>
    <xf numFmtId="0" fontId="16" fillId="0" borderId="3" xfId="0" applyFont="1" applyBorder="1" applyAlignment="1">
      <alignment horizontal="left" vertical="center"/>
    </xf>
    <xf numFmtId="0" fontId="16" fillId="0" borderId="8" xfId="0" applyFont="1" applyBorder="1">
      <alignment vertical="center"/>
    </xf>
    <xf numFmtId="0" fontId="16" fillId="0" borderId="3" xfId="0" applyFont="1" applyBorder="1" applyAlignment="1">
      <alignment horizontal="left" vertical="center" wrapText="1"/>
    </xf>
    <xf numFmtId="0" fontId="16" fillId="0" borderId="3" xfId="0" applyFont="1" applyBorder="1" applyAlignment="1">
      <alignment vertical="center" wrapText="1"/>
    </xf>
    <xf numFmtId="0" fontId="16" fillId="0" borderId="0" xfId="0" applyFont="1" applyAlignment="1">
      <alignment horizontal="left" vertical="center" wrapText="1"/>
    </xf>
    <xf numFmtId="0" fontId="16" fillId="0" borderId="0" xfId="0" applyFont="1" applyAlignment="1">
      <alignment vertical="center" wrapText="1"/>
    </xf>
    <xf numFmtId="49" fontId="16" fillId="0" borderId="8" xfId="0" applyNumberFormat="1" applyFont="1" applyBorder="1" applyAlignment="1">
      <alignment horizontal="left" vertical="center"/>
    </xf>
    <xf numFmtId="49" fontId="16" fillId="0" borderId="3" xfId="0" applyNumberFormat="1" applyFont="1" applyBorder="1" applyAlignment="1">
      <alignment vertical="center" wrapText="1"/>
    </xf>
    <xf numFmtId="0" fontId="16" fillId="0" borderId="5" xfId="0" applyFont="1" applyBorder="1" applyAlignment="1">
      <alignment horizontal="left" vertical="center" wrapText="1"/>
    </xf>
    <xf numFmtId="0" fontId="16" fillId="0" borderId="5" xfId="0" applyFont="1" applyBorder="1">
      <alignment vertical="center"/>
    </xf>
    <xf numFmtId="49" fontId="16" fillId="0" borderId="3" xfId="0" applyNumberFormat="1"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AI平台数据元"/>
  <dimension ref="A1:O1768"/>
  <sheetViews>
    <sheetView workbookViewId="0">
      <pane ySplit="2" topLeftCell="A3" activePane="bottomLeft" state="frozen"/>
      <selection/>
      <selection pane="bottomLeft" activeCell="B3" sqref="B3"/>
    </sheetView>
  </sheetViews>
  <sheetFormatPr defaultColWidth="14" defaultRowHeight="18" customHeight="1"/>
  <cols>
    <col min="1" max="1" width="11.5288461538462" style="289" customWidth="1"/>
    <col min="2" max="2" width="25.1538461538462" style="290" customWidth="1"/>
    <col min="3" max="3" width="10.9134615384615" style="291" customWidth="1"/>
    <col min="4" max="4" width="15.8173076923077" style="290" customWidth="1"/>
    <col min="5" max="5" width="11.1634615384615" style="290" customWidth="1"/>
    <col min="6" max="6" width="22.9326923076923" style="291" customWidth="1"/>
    <col min="7" max="7" width="39" style="290" customWidth="1"/>
    <col min="8" max="8" width="10.4230769230769" style="290" customWidth="1"/>
    <col min="9" max="9" width="24.0288461538462" style="292" customWidth="1"/>
    <col min="10" max="11" width="24.0288461538462" style="290" customWidth="1"/>
    <col min="12" max="12" width="19.5" style="291" customWidth="1"/>
    <col min="13" max="13" width="22.9326923076923" style="290" customWidth="1"/>
    <col min="14" max="14" width="18.7115384615385" customWidth="1"/>
    <col min="15" max="15" width="10.7115384615385" customWidth="1"/>
  </cols>
  <sheetData>
    <row r="1" s="288" customFormat="1" ht="15.75" customHeight="1" spans="1:15">
      <c r="A1" s="293" t="s">
        <v>0</v>
      </c>
      <c r="B1" s="16"/>
      <c r="C1" s="16"/>
      <c r="D1" s="16"/>
      <c r="E1" s="16"/>
      <c r="F1" s="16"/>
      <c r="G1" s="16"/>
      <c r="H1" s="16"/>
      <c r="I1" s="16"/>
      <c r="J1" s="16"/>
      <c r="K1" s="16"/>
      <c r="L1" s="16"/>
      <c r="M1" s="16"/>
      <c r="N1" s="20"/>
      <c r="O1" s="20"/>
    </row>
    <row r="2" s="288" customFormat="1" ht="15.75" customHeight="1" spans="1:15">
      <c r="A2" s="170" t="s">
        <v>1</v>
      </c>
      <c r="B2" s="170" t="s">
        <v>2</v>
      </c>
      <c r="C2" s="170" t="s">
        <v>3</v>
      </c>
      <c r="D2" s="170" t="s">
        <v>4</v>
      </c>
      <c r="E2" s="170" t="s">
        <v>5</v>
      </c>
      <c r="F2" s="170" t="s">
        <v>6</v>
      </c>
      <c r="G2" s="170" t="s">
        <v>7</v>
      </c>
      <c r="H2" s="170" t="s">
        <v>8</v>
      </c>
      <c r="I2" s="170" t="s">
        <v>9</v>
      </c>
      <c r="J2" s="170" t="s">
        <v>10</v>
      </c>
      <c r="K2" s="170" t="s">
        <v>11</v>
      </c>
      <c r="L2" s="170" t="s">
        <v>12</v>
      </c>
      <c r="M2" s="170" t="s">
        <v>13</v>
      </c>
      <c r="N2" s="170" t="s">
        <v>14</v>
      </c>
      <c r="O2" s="170" t="s">
        <v>15</v>
      </c>
    </row>
    <row r="3" ht="15.75" customHeight="1" spans="1:15">
      <c r="A3" s="294" t="str">
        <f>VLOOKUP(F3,数据集标准分类!A:G,7,0)</f>
        <v>01</v>
      </c>
      <c r="B3" s="170" t="str">
        <f>VLOOKUP(F3,数据集标准分类!A:F,6,0)</f>
        <v>患者信息</v>
      </c>
      <c r="C3" s="294" t="str">
        <f>VLOOKUP(F3,数据集标准分类!A:E,5,0)</f>
        <v>0101</v>
      </c>
      <c r="D3" s="170" t="str">
        <f>VLOOKUP(F3,数据集标准分类!A:D,4,0)</f>
        <v>患者基本信息</v>
      </c>
      <c r="E3" s="294" t="str">
        <f>VLOOKUP(F3,数据集标准分类!A:C,3,0)</f>
        <v>010101</v>
      </c>
      <c r="F3" s="170" t="s">
        <v>16</v>
      </c>
      <c r="G3" s="170" t="str">
        <f>VLOOKUP(F3,数据集标准分类!A:B,2,0)</f>
        <v>patient_basic_information</v>
      </c>
      <c r="H3" s="294">
        <f>VLOOKUP(F3,数据集标准分类!A:H,8,0)</f>
        <v>1</v>
      </c>
      <c r="I3" s="170" t="s">
        <v>17</v>
      </c>
      <c r="J3" s="170" t="s">
        <v>18</v>
      </c>
      <c r="K3" s="170" t="s">
        <v>19</v>
      </c>
      <c r="L3" s="170" t="s">
        <v>20</v>
      </c>
      <c r="M3" s="170" t="s">
        <v>21</v>
      </c>
      <c r="N3" s="294">
        <v>1</v>
      </c>
      <c r="O3" s="170"/>
    </row>
    <row r="4" ht="15.75" customHeight="1" spans="1:15">
      <c r="A4" s="183" t="str">
        <f>VLOOKUP(F4,数据集标准分类!A:G,7,0)</f>
        <v>01</v>
      </c>
      <c r="B4" s="183" t="str">
        <f>VLOOKUP(F4,数据集标准分类!A:F,6,0)</f>
        <v>患者信息</v>
      </c>
      <c r="C4" s="183" t="str">
        <f>VLOOKUP(F4,数据集标准分类!A:E,5,0)</f>
        <v>0101</v>
      </c>
      <c r="D4" s="183" t="str">
        <f>VLOOKUP(F4,数据集标准分类!A:D,4,0)</f>
        <v>患者基本信息</v>
      </c>
      <c r="E4" s="183" t="str">
        <f>VLOOKUP(F4,数据集标准分类!A:C,3,0)</f>
        <v>010101</v>
      </c>
      <c r="F4" s="170" t="s">
        <v>16</v>
      </c>
      <c r="G4" s="183" t="str">
        <f>VLOOKUP(F4,数据集标准分类!A:B,2,0)</f>
        <v>patient_basic_information</v>
      </c>
      <c r="H4" s="294">
        <f>VLOOKUP(F4,数据集标准分类!A:H,8,0)</f>
        <v>1</v>
      </c>
      <c r="I4" s="170" t="s">
        <v>22</v>
      </c>
      <c r="J4" s="170" t="s">
        <v>23</v>
      </c>
      <c r="K4" s="170" t="s">
        <v>24</v>
      </c>
      <c r="L4" s="170" t="s">
        <v>25</v>
      </c>
      <c r="M4" s="170" t="s">
        <v>26</v>
      </c>
      <c r="N4" s="294">
        <v>2</v>
      </c>
      <c r="O4" s="170"/>
    </row>
    <row r="5" ht="15.75" customHeight="1" spans="1:15">
      <c r="A5" s="183" t="str">
        <f>VLOOKUP(F5,数据集标准分类!A:G,7,0)</f>
        <v>01</v>
      </c>
      <c r="B5" s="183" t="str">
        <f>VLOOKUP(F5,数据集标准分类!A:F,6,0)</f>
        <v>患者信息</v>
      </c>
      <c r="C5" s="183" t="str">
        <f>VLOOKUP(F5,数据集标准分类!A:E,5,0)</f>
        <v>0101</v>
      </c>
      <c r="D5" s="183" t="str">
        <f>VLOOKUP(F5,数据集标准分类!A:D,4,0)</f>
        <v>患者基本信息</v>
      </c>
      <c r="E5" s="183" t="str">
        <f>VLOOKUP(F5,数据集标准分类!A:C,3,0)</f>
        <v>010101</v>
      </c>
      <c r="F5" s="170" t="s">
        <v>16</v>
      </c>
      <c r="G5" s="183" t="str">
        <f>VLOOKUP(F5,数据集标准分类!A:B,2,0)</f>
        <v>patient_basic_information</v>
      </c>
      <c r="H5" s="294">
        <f>VLOOKUP(F5,数据集标准分类!A:H,8,0)</f>
        <v>1</v>
      </c>
      <c r="I5" s="170" t="s">
        <v>27</v>
      </c>
      <c r="J5" s="170" t="s">
        <v>28</v>
      </c>
      <c r="K5" s="170" t="s">
        <v>29</v>
      </c>
      <c r="L5" s="170" t="s">
        <v>30</v>
      </c>
      <c r="M5" s="170" t="s">
        <v>31</v>
      </c>
      <c r="N5" s="294">
        <v>3</v>
      </c>
      <c r="O5" s="170"/>
    </row>
    <row r="6" ht="15.75" customHeight="1" spans="1:15">
      <c r="A6" s="183" t="str">
        <f>VLOOKUP(F6,数据集标准分类!A:G,7,0)</f>
        <v>01</v>
      </c>
      <c r="B6" s="183" t="str">
        <f>VLOOKUP(F6,数据集标准分类!A:F,6,0)</f>
        <v>患者信息</v>
      </c>
      <c r="C6" s="183" t="str">
        <f>VLOOKUP(F6,数据集标准分类!A:E,5,0)</f>
        <v>0101</v>
      </c>
      <c r="D6" s="183" t="str">
        <f>VLOOKUP(F6,数据集标准分类!A:D,4,0)</f>
        <v>患者基本信息</v>
      </c>
      <c r="E6" s="183" t="str">
        <f>VLOOKUP(F6,数据集标准分类!A:C,3,0)</f>
        <v>010101</v>
      </c>
      <c r="F6" s="170" t="s">
        <v>16</v>
      </c>
      <c r="G6" s="183" t="str">
        <f>VLOOKUP(F6,数据集标准分类!A:B,2,0)</f>
        <v>patient_basic_information</v>
      </c>
      <c r="H6" s="294">
        <f>VLOOKUP(F6,数据集标准分类!A:H,8,0)</f>
        <v>1</v>
      </c>
      <c r="I6" s="170" t="s">
        <v>32</v>
      </c>
      <c r="J6" s="170" t="s">
        <v>33</v>
      </c>
      <c r="K6" s="170" t="s">
        <v>33</v>
      </c>
      <c r="L6" s="170" t="s">
        <v>34</v>
      </c>
      <c r="M6" s="170" t="s">
        <v>35</v>
      </c>
      <c r="N6" s="294">
        <v>4</v>
      </c>
      <c r="O6" s="170"/>
    </row>
    <row r="7" ht="15.75" customHeight="1" spans="1:15">
      <c r="A7" s="183" t="str">
        <f>VLOOKUP(F7,数据集标准分类!A:G,7,0)</f>
        <v>01</v>
      </c>
      <c r="B7" s="183" t="str">
        <f>VLOOKUP(F7,数据集标准分类!A:F,6,0)</f>
        <v>患者信息</v>
      </c>
      <c r="C7" s="183" t="str">
        <f>VLOOKUP(F7,数据集标准分类!A:E,5,0)</f>
        <v>0101</v>
      </c>
      <c r="D7" s="183" t="str">
        <f>VLOOKUP(F7,数据集标准分类!A:D,4,0)</f>
        <v>患者基本信息</v>
      </c>
      <c r="E7" s="183" t="str">
        <f>VLOOKUP(F7,数据集标准分类!A:C,3,0)</f>
        <v>010101</v>
      </c>
      <c r="F7" s="170" t="s">
        <v>16</v>
      </c>
      <c r="G7" s="183" t="str">
        <f>VLOOKUP(F7,数据集标准分类!A:B,2,0)</f>
        <v>patient_basic_information</v>
      </c>
      <c r="H7" s="294">
        <f>VLOOKUP(F7,数据集标准分类!A:H,8,0)</f>
        <v>1</v>
      </c>
      <c r="I7" s="170" t="s">
        <v>36</v>
      </c>
      <c r="J7" s="170" t="s">
        <v>37</v>
      </c>
      <c r="K7" s="170" t="s">
        <v>38</v>
      </c>
      <c r="L7" s="170" t="s">
        <v>39</v>
      </c>
      <c r="M7" s="170" t="s">
        <v>40</v>
      </c>
      <c r="N7" s="294">
        <v>5</v>
      </c>
      <c r="O7" s="170"/>
    </row>
    <row r="8" ht="15.75" customHeight="1" spans="1:15">
      <c r="A8" s="183" t="str">
        <f>VLOOKUP(F8,数据集标准分类!A:G,7,0)</f>
        <v>01</v>
      </c>
      <c r="B8" s="183" t="str">
        <f>VLOOKUP(F8,数据集标准分类!A:F,6,0)</f>
        <v>患者信息</v>
      </c>
      <c r="C8" s="183" t="str">
        <f>VLOOKUP(F8,数据集标准分类!A:E,5,0)</f>
        <v>0101</v>
      </c>
      <c r="D8" s="183" t="str">
        <f>VLOOKUP(F8,数据集标准分类!A:D,4,0)</f>
        <v>患者基本信息</v>
      </c>
      <c r="E8" s="183" t="str">
        <f>VLOOKUP(F8,数据集标准分类!A:C,3,0)</f>
        <v>010101</v>
      </c>
      <c r="F8" s="170" t="s">
        <v>16</v>
      </c>
      <c r="G8" s="183" t="str">
        <f>VLOOKUP(F8,数据集标准分类!A:B,2,0)</f>
        <v>patient_basic_information</v>
      </c>
      <c r="H8" s="294">
        <f>VLOOKUP(F8,数据集标准分类!A:H,8,0)</f>
        <v>1</v>
      </c>
      <c r="I8" s="170" t="s">
        <v>41</v>
      </c>
      <c r="J8" s="170" t="s">
        <v>42</v>
      </c>
      <c r="K8" s="170" t="s">
        <v>43</v>
      </c>
      <c r="L8" s="170" t="s">
        <v>44</v>
      </c>
      <c r="M8" s="170" t="s">
        <v>45</v>
      </c>
      <c r="N8" s="294">
        <v>6</v>
      </c>
      <c r="O8" s="170"/>
    </row>
    <row r="9" ht="15.75" customHeight="1" spans="1:15">
      <c r="A9" s="183" t="str">
        <f>VLOOKUP(F9,数据集标准分类!A:G,7,0)</f>
        <v>01</v>
      </c>
      <c r="B9" s="183" t="str">
        <f>VLOOKUP(F9,数据集标准分类!A:F,6,0)</f>
        <v>患者信息</v>
      </c>
      <c r="C9" s="183" t="str">
        <f>VLOOKUP(F9,数据集标准分类!A:E,5,0)</f>
        <v>0101</v>
      </c>
      <c r="D9" s="183" t="str">
        <f>VLOOKUP(F9,数据集标准分类!A:D,4,0)</f>
        <v>患者基本信息</v>
      </c>
      <c r="E9" s="183" t="str">
        <f>VLOOKUP(F9,数据集标准分类!A:C,3,0)</f>
        <v>010101</v>
      </c>
      <c r="F9" s="170" t="s">
        <v>16</v>
      </c>
      <c r="G9" s="183" t="str">
        <f>VLOOKUP(F9,数据集标准分类!A:B,2,0)</f>
        <v>patient_basic_information</v>
      </c>
      <c r="H9" s="294">
        <f>VLOOKUP(F9,数据集标准分类!A:H,8,0)</f>
        <v>1</v>
      </c>
      <c r="I9" s="170" t="s">
        <v>46</v>
      </c>
      <c r="J9" s="170" t="s">
        <v>47</v>
      </c>
      <c r="K9" s="170" t="s">
        <v>48</v>
      </c>
      <c r="L9" s="170" t="s">
        <v>49</v>
      </c>
      <c r="M9" s="170" t="s">
        <v>50</v>
      </c>
      <c r="N9" s="294">
        <v>7</v>
      </c>
      <c r="O9" s="170"/>
    </row>
    <row r="10" ht="15.75" customHeight="1" spans="1:15">
      <c r="A10" s="183" t="str">
        <f>VLOOKUP(F10,数据集标准分类!A:G,7,0)</f>
        <v>01</v>
      </c>
      <c r="B10" s="183" t="str">
        <f>VLOOKUP(F10,数据集标准分类!A:F,6,0)</f>
        <v>患者信息</v>
      </c>
      <c r="C10" s="183" t="str">
        <f>VLOOKUP(F10,数据集标准分类!A:E,5,0)</f>
        <v>0101</v>
      </c>
      <c r="D10" s="183" t="str">
        <f>VLOOKUP(F10,数据集标准分类!A:D,4,0)</f>
        <v>患者基本信息</v>
      </c>
      <c r="E10" s="183" t="str">
        <f>VLOOKUP(F10,数据集标准分类!A:C,3,0)</f>
        <v>010101</v>
      </c>
      <c r="F10" s="170" t="s">
        <v>16</v>
      </c>
      <c r="G10" s="183" t="str">
        <f>VLOOKUP(F10,数据集标准分类!A:B,2,0)</f>
        <v>patient_basic_information</v>
      </c>
      <c r="H10" s="294">
        <f>VLOOKUP(F10,数据集标准分类!A:H,8,0)</f>
        <v>1</v>
      </c>
      <c r="I10" s="170" t="s">
        <v>51</v>
      </c>
      <c r="J10" s="170" t="s">
        <v>52</v>
      </c>
      <c r="K10" s="170" t="s">
        <v>53</v>
      </c>
      <c r="L10" s="170" t="s">
        <v>54</v>
      </c>
      <c r="M10" s="170" t="s">
        <v>55</v>
      </c>
      <c r="N10" s="294">
        <v>8</v>
      </c>
      <c r="O10" s="170"/>
    </row>
    <row r="11" ht="15.75" customHeight="1" spans="1:15">
      <c r="A11" s="183" t="str">
        <f>VLOOKUP(F11,数据集标准分类!A:G,7,0)</f>
        <v>01</v>
      </c>
      <c r="B11" s="183" t="str">
        <f>VLOOKUP(F11,数据集标准分类!A:F,6,0)</f>
        <v>患者信息</v>
      </c>
      <c r="C11" s="183" t="str">
        <f>VLOOKUP(F11,数据集标准分类!A:E,5,0)</f>
        <v>0101</v>
      </c>
      <c r="D11" s="183" t="str">
        <f>VLOOKUP(F11,数据集标准分类!A:D,4,0)</f>
        <v>患者基本信息</v>
      </c>
      <c r="E11" s="183" t="str">
        <f>VLOOKUP(F11,数据集标准分类!A:C,3,0)</f>
        <v>010101</v>
      </c>
      <c r="F11" s="170" t="s">
        <v>16</v>
      </c>
      <c r="G11" s="183" t="str">
        <f>VLOOKUP(F11,数据集标准分类!A:B,2,0)</f>
        <v>patient_basic_information</v>
      </c>
      <c r="H11" s="294">
        <f>VLOOKUP(F11,数据集标准分类!A:H,8,0)</f>
        <v>1</v>
      </c>
      <c r="I11" s="170" t="s">
        <v>56</v>
      </c>
      <c r="J11" s="170" t="s">
        <v>57</v>
      </c>
      <c r="K11" s="170" t="s">
        <v>58</v>
      </c>
      <c r="L11" s="170" t="s">
        <v>59</v>
      </c>
      <c r="M11" s="170" t="s">
        <v>60</v>
      </c>
      <c r="N11" s="294">
        <v>9</v>
      </c>
      <c r="O11" s="170"/>
    </row>
    <row r="12" ht="15.75" customHeight="1" spans="1:15">
      <c r="A12" s="183" t="str">
        <f>VLOOKUP(F12,数据集标准分类!A:G,7,0)</f>
        <v>01</v>
      </c>
      <c r="B12" s="183" t="str">
        <f>VLOOKUP(F12,数据集标准分类!A:F,6,0)</f>
        <v>患者信息</v>
      </c>
      <c r="C12" s="183" t="str">
        <f>VLOOKUP(F12,数据集标准分类!A:E,5,0)</f>
        <v>0101</v>
      </c>
      <c r="D12" s="183" t="str">
        <f>VLOOKUP(F12,数据集标准分类!A:D,4,0)</f>
        <v>患者基本信息</v>
      </c>
      <c r="E12" s="183" t="str">
        <f>VLOOKUP(F12,数据集标准分类!A:C,3,0)</f>
        <v>010101</v>
      </c>
      <c r="F12" s="170" t="s">
        <v>16</v>
      </c>
      <c r="G12" s="183" t="str">
        <f>VLOOKUP(F12,数据集标准分类!A:B,2,0)</f>
        <v>patient_basic_information</v>
      </c>
      <c r="H12" s="294">
        <f>VLOOKUP(F12,数据集标准分类!A:H,8,0)</f>
        <v>1</v>
      </c>
      <c r="I12" s="170" t="s">
        <v>61</v>
      </c>
      <c r="J12" s="170" t="s">
        <v>62</v>
      </c>
      <c r="K12" s="170" t="s">
        <v>63</v>
      </c>
      <c r="L12" s="170" t="s">
        <v>64</v>
      </c>
      <c r="M12" s="170" t="s">
        <v>65</v>
      </c>
      <c r="N12" s="294">
        <v>10</v>
      </c>
      <c r="O12" s="170"/>
    </row>
    <row r="13" ht="15.75" customHeight="1" spans="1:15">
      <c r="A13" s="183" t="str">
        <f>VLOOKUP(F13,数据集标准分类!A:G,7,0)</f>
        <v>01</v>
      </c>
      <c r="B13" s="183" t="str">
        <f>VLOOKUP(F13,数据集标准分类!A:F,6,0)</f>
        <v>患者信息</v>
      </c>
      <c r="C13" s="183" t="str">
        <f>VLOOKUP(F13,数据集标准分类!A:E,5,0)</f>
        <v>0101</v>
      </c>
      <c r="D13" s="183" t="str">
        <f>VLOOKUP(F13,数据集标准分类!A:D,4,0)</f>
        <v>患者基本信息</v>
      </c>
      <c r="E13" s="183" t="str">
        <f>VLOOKUP(F13,数据集标准分类!A:C,3,0)</f>
        <v>010101</v>
      </c>
      <c r="F13" s="170" t="s">
        <v>16</v>
      </c>
      <c r="G13" s="183" t="str">
        <f>VLOOKUP(F13,数据集标准分类!A:B,2,0)</f>
        <v>patient_basic_information</v>
      </c>
      <c r="H13" s="294">
        <f>VLOOKUP(F13,数据集标准分类!A:H,8,0)</f>
        <v>1</v>
      </c>
      <c r="I13" s="170" t="s">
        <v>66</v>
      </c>
      <c r="J13" s="170" t="s">
        <v>67</v>
      </c>
      <c r="K13" s="170" t="s">
        <v>68</v>
      </c>
      <c r="L13" s="170" t="s">
        <v>69</v>
      </c>
      <c r="M13" s="170" t="s">
        <v>70</v>
      </c>
      <c r="N13" s="294">
        <v>11</v>
      </c>
      <c r="O13" s="170"/>
    </row>
    <row r="14" ht="15.75" customHeight="1" spans="1:15">
      <c r="A14" s="183" t="str">
        <f>VLOOKUP(F14,数据集标准分类!A:G,7,0)</f>
        <v>01</v>
      </c>
      <c r="B14" s="183" t="str">
        <f>VLOOKUP(F14,数据集标准分类!A:F,6,0)</f>
        <v>患者信息</v>
      </c>
      <c r="C14" s="183" t="str">
        <f>VLOOKUP(F14,数据集标准分类!A:E,5,0)</f>
        <v>0101</v>
      </c>
      <c r="D14" s="183" t="str">
        <f>VLOOKUP(F14,数据集标准分类!A:D,4,0)</f>
        <v>患者基本信息</v>
      </c>
      <c r="E14" s="183" t="str">
        <f>VLOOKUP(F14,数据集标准分类!A:C,3,0)</f>
        <v>010101</v>
      </c>
      <c r="F14" s="170" t="s">
        <v>16</v>
      </c>
      <c r="G14" s="183" t="str">
        <f>VLOOKUP(F14,数据集标准分类!A:B,2,0)</f>
        <v>patient_basic_information</v>
      </c>
      <c r="H14" s="294">
        <f>VLOOKUP(F14,数据集标准分类!A:H,8,0)</f>
        <v>1</v>
      </c>
      <c r="I14" s="170" t="s">
        <v>71</v>
      </c>
      <c r="J14" s="170" t="s">
        <v>72</v>
      </c>
      <c r="K14" s="170" t="s">
        <v>73</v>
      </c>
      <c r="L14" s="170" t="s">
        <v>74</v>
      </c>
      <c r="M14" s="170" t="s">
        <v>75</v>
      </c>
      <c r="N14" s="294">
        <v>12</v>
      </c>
      <c r="O14" s="170"/>
    </row>
    <row r="15" ht="15.75" customHeight="1" spans="1:15">
      <c r="A15" s="183" t="str">
        <f>VLOOKUP(F15,数据集标准分类!A:G,7,0)</f>
        <v>01</v>
      </c>
      <c r="B15" s="183" t="str">
        <f>VLOOKUP(F15,数据集标准分类!A:F,6,0)</f>
        <v>患者信息</v>
      </c>
      <c r="C15" s="183" t="str">
        <f>VLOOKUP(F15,数据集标准分类!A:E,5,0)</f>
        <v>0101</v>
      </c>
      <c r="D15" s="183" t="str">
        <f>VLOOKUP(F15,数据集标准分类!A:D,4,0)</f>
        <v>患者基本信息</v>
      </c>
      <c r="E15" s="183" t="str">
        <f>VLOOKUP(F15,数据集标准分类!A:C,3,0)</f>
        <v>010102</v>
      </c>
      <c r="F15" s="170" t="s">
        <v>76</v>
      </c>
      <c r="G15" s="183" t="str">
        <f>VLOOKUP(F15,数据集标准分类!A:B,2,0)</f>
        <v>basic_health_information</v>
      </c>
      <c r="H15" s="294">
        <f>VLOOKUP(F15,数据集标准分类!A:H,8,0)</f>
        <v>2</v>
      </c>
      <c r="I15" s="170" t="s">
        <v>77</v>
      </c>
      <c r="J15" s="170" t="s">
        <v>78</v>
      </c>
      <c r="K15" s="170" t="s">
        <v>79</v>
      </c>
      <c r="L15" s="170" t="s">
        <v>80</v>
      </c>
      <c r="M15" s="170" t="s">
        <v>81</v>
      </c>
      <c r="N15" s="294">
        <v>1</v>
      </c>
      <c r="O15" s="170"/>
    </row>
    <row r="16" ht="15.75" customHeight="1" spans="1:15">
      <c r="A16" s="183" t="str">
        <f>VLOOKUP(F16,数据集标准分类!A:G,7,0)</f>
        <v>01</v>
      </c>
      <c r="B16" s="183" t="str">
        <f>VLOOKUP(F16,数据集标准分类!A:F,6,0)</f>
        <v>患者信息</v>
      </c>
      <c r="C16" s="183" t="str">
        <f>VLOOKUP(F16,数据集标准分类!A:E,5,0)</f>
        <v>0101</v>
      </c>
      <c r="D16" s="183" t="str">
        <f>VLOOKUP(F16,数据集标准分类!A:D,4,0)</f>
        <v>患者基本信息</v>
      </c>
      <c r="E16" s="183" t="str">
        <f>VLOOKUP(F16,数据集标准分类!A:C,3,0)</f>
        <v>010102</v>
      </c>
      <c r="F16" s="170" t="s">
        <v>76</v>
      </c>
      <c r="G16" s="183" t="str">
        <f>VLOOKUP(F16,数据集标准分类!A:B,2,0)</f>
        <v>basic_health_information</v>
      </c>
      <c r="H16" s="294">
        <f>VLOOKUP(F16,数据集标准分类!A:H,8,0)</f>
        <v>2</v>
      </c>
      <c r="I16" s="170" t="s">
        <v>82</v>
      </c>
      <c r="J16" s="170" t="s">
        <v>83</v>
      </c>
      <c r="K16" s="170" t="s">
        <v>84</v>
      </c>
      <c r="L16" s="170" t="s">
        <v>85</v>
      </c>
      <c r="M16" s="170" t="s">
        <v>86</v>
      </c>
      <c r="N16" s="294">
        <v>2</v>
      </c>
      <c r="O16" s="170"/>
    </row>
    <row r="17" ht="15.75" customHeight="1" spans="1:15">
      <c r="A17" s="183" t="str">
        <f>VLOOKUP(F17,数据集标准分类!A:G,7,0)</f>
        <v>01</v>
      </c>
      <c r="B17" s="183" t="str">
        <f>VLOOKUP(F17,数据集标准分类!A:F,6,0)</f>
        <v>患者信息</v>
      </c>
      <c r="C17" s="183" t="str">
        <f>VLOOKUP(F17,数据集标准分类!A:E,5,0)</f>
        <v>0101</v>
      </c>
      <c r="D17" s="183" t="str">
        <f>VLOOKUP(F17,数据集标准分类!A:D,4,0)</f>
        <v>患者基本信息</v>
      </c>
      <c r="E17" s="183" t="str">
        <f>VLOOKUP(F17,数据集标准分类!A:C,3,0)</f>
        <v>010102</v>
      </c>
      <c r="F17" s="170" t="s">
        <v>76</v>
      </c>
      <c r="G17" s="183" t="str">
        <f>VLOOKUP(F17,数据集标准分类!A:B,2,0)</f>
        <v>basic_health_information</v>
      </c>
      <c r="H17" s="294">
        <f>VLOOKUP(F17,数据集标准分类!A:H,8,0)</f>
        <v>2</v>
      </c>
      <c r="I17" s="170" t="s">
        <v>87</v>
      </c>
      <c r="J17" s="170" t="s">
        <v>88</v>
      </c>
      <c r="K17" s="170" t="s">
        <v>89</v>
      </c>
      <c r="L17" s="170" t="s">
        <v>90</v>
      </c>
      <c r="M17" s="170" t="s">
        <v>91</v>
      </c>
      <c r="N17" s="294">
        <v>3</v>
      </c>
      <c r="O17" s="170"/>
    </row>
    <row r="18" ht="15.75" customHeight="1" spans="1:15">
      <c r="A18" s="183" t="str">
        <f>VLOOKUP(F18,数据集标准分类!A:G,7,0)</f>
        <v>01</v>
      </c>
      <c r="B18" s="183" t="str">
        <f>VLOOKUP(F18,数据集标准分类!A:F,6,0)</f>
        <v>患者信息</v>
      </c>
      <c r="C18" s="183" t="str">
        <f>VLOOKUP(F18,数据集标准分类!A:E,5,0)</f>
        <v>0101</v>
      </c>
      <c r="D18" s="183" t="str">
        <f>VLOOKUP(F18,数据集标准分类!A:D,4,0)</f>
        <v>患者基本信息</v>
      </c>
      <c r="E18" s="183" t="str">
        <f>VLOOKUP(F18,数据集标准分类!A:C,3,0)</f>
        <v>010102</v>
      </c>
      <c r="F18" s="170" t="s">
        <v>76</v>
      </c>
      <c r="G18" s="183" t="str">
        <f>VLOOKUP(F18,数据集标准分类!A:B,2,0)</f>
        <v>basic_health_information</v>
      </c>
      <c r="H18" s="294">
        <f>VLOOKUP(F18,数据集标准分类!A:H,8,0)</f>
        <v>2</v>
      </c>
      <c r="I18" s="170" t="s">
        <v>92</v>
      </c>
      <c r="J18" s="170" t="s">
        <v>93</v>
      </c>
      <c r="K18" s="170" t="s">
        <v>94</v>
      </c>
      <c r="L18" s="170" t="s">
        <v>95</v>
      </c>
      <c r="M18" s="170" t="s">
        <v>96</v>
      </c>
      <c r="N18" s="294">
        <v>4</v>
      </c>
      <c r="O18" s="170"/>
    </row>
    <row r="19" ht="15.75" customHeight="1" spans="1:15">
      <c r="A19" s="183" t="str">
        <f>VLOOKUP(F19,数据集标准分类!A:G,7,0)</f>
        <v>01</v>
      </c>
      <c r="B19" s="183" t="str">
        <f>VLOOKUP(F19,数据集标准分类!A:F,6,0)</f>
        <v>患者信息</v>
      </c>
      <c r="C19" s="183" t="str">
        <f>VLOOKUP(F19,数据集标准分类!A:E,5,0)</f>
        <v>0101</v>
      </c>
      <c r="D19" s="183" t="str">
        <f>VLOOKUP(F19,数据集标准分类!A:D,4,0)</f>
        <v>患者基本信息</v>
      </c>
      <c r="E19" s="183" t="str">
        <f>VLOOKUP(F19,数据集标准分类!A:C,3,0)</f>
        <v>010102</v>
      </c>
      <c r="F19" s="170" t="s">
        <v>76</v>
      </c>
      <c r="G19" s="183" t="str">
        <f>VLOOKUP(F19,数据集标准分类!A:B,2,0)</f>
        <v>basic_health_information</v>
      </c>
      <c r="H19" s="294">
        <f>VLOOKUP(F19,数据集标准分类!A:H,8,0)</f>
        <v>2</v>
      </c>
      <c r="I19" s="170" t="s">
        <v>97</v>
      </c>
      <c r="J19" s="170" t="s">
        <v>98</v>
      </c>
      <c r="K19" s="170" t="s">
        <v>99</v>
      </c>
      <c r="L19" s="170" t="s">
        <v>100</v>
      </c>
      <c r="M19" s="170" t="s">
        <v>101</v>
      </c>
      <c r="N19" s="294">
        <v>5</v>
      </c>
      <c r="O19" s="170"/>
    </row>
    <row r="20" ht="15.75" customHeight="1" spans="1:15">
      <c r="A20" s="183" t="str">
        <f>VLOOKUP(F20,数据集标准分类!A:G,7,0)</f>
        <v>01</v>
      </c>
      <c r="B20" s="183" t="str">
        <f>VLOOKUP(F20,数据集标准分类!A:F,6,0)</f>
        <v>患者信息</v>
      </c>
      <c r="C20" s="183" t="str">
        <f>VLOOKUP(F20,数据集标准分类!A:E,5,0)</f>
        <v>0101</v>
      </c>
      <c r="D20" s="183" t="str">
        <f>VLOOKUP(F20,数据集标准分类!A:D,4,0)</f>
        <v>患者基本信息</v>
      </c>
      <c r="E20" s="183" t="str">
        <f>VLOOKUP(F20,数据集标准分类!A:C,3,0)</f>
        <v>010102</v>
      </c>
      <c r="F20" s="170" t="s">
        <v>76</v>
      </c>
      <c r="G20" s="183" t="str">
        <f>VLOOKUP(F20,数据集标准分类!A:B,2,0)</f>
        <v>basic_health_information</v>
      </c>
      <c r="H20" s="294">
        <f>VLOOKUP(F20,数据集标准分类!A:H,8,0)</f>
        <v>2</v>
      </c>
      <c r="I20" s="170" t="s">
        <v>102</v>
      </c>
      <c r="J20" s="170" t="s">
        <v>103</v>
      </c>
      <c r="K20" s="170" t="s">
        <v>104</v>
      </c>
      <c r="L20" s="170" t="s">
        <v>105</v>
      </c>
      <c r="M20" s="170" t="s">
        <v>106</v>
      </c>
      <c r="N20" s="294">
        <v>6</v>
      </c>
      <c r="O20" s="170"/>
    </row>
    <row r="21" ht="15.75" customHeight="1" spans="1:15">
      <c r="A21" s="183" t="str">
        <f>VLOOKUP(F21,数据集标准分类!A:G,7,0)</f>
        <v>01</v>
      </c>
      <c r="B21" s="183" t="str">
        <f>VLOOKUP(F21,数据集标准分类!A:F,6,0)</f>
        <v>患者信息</v>
      </c>
      <c r="C21" s="183" t="str">
        <f>VLOOKUP(F21,数据集标准分类!A:E,5,0)</f>
        <v>0101</v>
      </c>
      <c r="D21" s="183" t="str">
        <f>VLOOKUP(F21,数据集标准分类!A:D,4,0)</f>
        <v>患者基本信息</v>
      </c>
      <c r="E21" s="183" t="str">
        <f>VLOOKUP(F21,数据集标准分类!A:C,3,0)</f>
        <v>010102</v>
      </c>
      <c r="F21" s="170" t="s">
        <v>76</v>
      </c>
      <c r="G21" s="183" t="str">
        <f>VLOOKUP(F21,数据集标准分类!A:B,2,0)</f>
        <v>basic_health_information</v>
      </c>
      <c r="H21" s="294">
        <f>VLOOKUP(F21,数据集标准分类!A:H,8,0)</f>
        <v>2</v>
      </c>
      <c r="I21" s="170" t="s">
        <v>107</v>
      </c>
      <c r="J21" s="170" t="s">
        <v>108</v>
      </c>
      <c r="K21" s="170" t="s">
        <v>109</v>
      </c>
      <c r="L21" s="170" t="s">
        <v>110</v>
      </c>
      <c r="M21" s="170" t="s">
        <v>111</v>
      </c>
      <c r="N21" s="294">
        <v>7</v>
      </c>
      <c r="O21" s="170"/>
    </row>
    <row r="22" ht="15.75" customHeight="1" spans="1:15">
      <c r="A22" s="183" t="str">
        <f>VLOOKUP(F22,数据集标准分类!A:G,7,0)</f>
        <v>01</v>
      </c>
      <c r="B22" s="183" t="str">
        <f>VLOOKUP(F22,数据集标准分类!A:F,6,0)</f>
        <v>患者信息</v>
      </c>
      <c r="C22" s="183" t="str">
        <f>VLOOKUP(F22,数据集标准分类!A:E,5,0)</f>
        <v>0101</v>
      </c>
      <c r="D22" s="183" t="str">
        <f>VLOOKUP(F22,数据集标准分类!A:D,4,0)</f>
        <v>患者基本信息</v>
      </c>
      <c r="E22" s="183" t="str">
        <f>VLOOKUP(F22,数据集标准分类!A:C,3,0)</f>
        <v>010102</v>
      </c>
      <c r="F22" s="170" t="s">
        <v>76</v>
      </c>
      <c r="G22" s="183" t="str">
        <f>VLOOKUP(F22,数据集标准分类!A:B,2,0)</f>
        <v>basic_health_information</v>
      </c>
      <c r="H22" s="294">
        <f>VLOOKUP(F22,数据集标准分类!A:H,8,0)</f>
        <v>2</v>
      </c>
      <c r="I22" s="170" t="s">
        <v>112</v>
      </c>
      <c r="J22" s="170" t="s">
        <v>113</v>
      </c>
      <c r="K22" s="170" t="s">
        <v>114</v>
      </c>
      <c r="L22" s="170" t="s">
        <v>115</v>
      </c>
      <c r="M22" s="170" t="s">
        <v>116</v>
      </c>
      <c r="N22" s="294">
        <v>8</v>
      </c>
      <c r="O22" s="170"/>
    </row>
    <row r="23" ht="15.75" customHeight="1" spans="1:15">
      <c r="A23" s="183" t="str">
        <f>VLOOKUP(F23,数据集标准分类!A:G,7,0)</f>
        <v>01</v>
      </c>
      <c r="B23" s="183" t="str">
        <f>VLOOKUP(F23,数据集标准分类!A:F,6,0)</f>
        <v>患者信息</v>
      </c>
      <c r="C23" s="183" t="str">
        <f>VLOOKUP(F23,数据集标准分类!A:E,5,0)</f>
        <v>0101</v>
      </c>
      <c r="D23" s="183" t="str">
        <f>VLOOKUP(F23,数据集标准分类!A:D,4,0)</f>
        <v>患者基本信息</v>
      </c>
      <c r="E23" s="183" t="str">
        <f>VLOOKUP(F23,数据集标准分类!A:C,3,0)</f>
        <v>010102</v>
      </c>
      <c r="F23" s="170" t="s">
        <v>76</v>
      </c>
      <c r="G23" s="183" t="str">
        <f>VLOOKUP(F23,数据集标准分类!A:B,2,0)</f>
        <v>basic_health_information</v>
      </c>
      <c r="H23" s="294">
        <f>VLOOKUP(F23,数据集标准分类!A:H,8,0)</f>
        <v>2</v>
      </c>
      <c r="I23" s="170" t="s">
        <v>117</v>
      </c>
      <c r="J23" s="170" t="s">
        <v>118</v>
      </c>
      <c r="K23" s="170" t="s">
        <v>119</v>
      </c>
      <c r="L23" s="170" t="s">
        <v>120</v>
      </c>
      <c r="M23" s="170" t="s">
        <v>121</v>
      </c>
      <c r="N23" s="294">
        <v>9</v>
      </c>
      <c r="O23" s="170"/>
    </row>
    <row r="24" ht="15.75" customHeight="1" spans="1:15">
      <c r="A24" s="183" t="str">
        <f>VLOOKUP(F24,数据集标准分类!A:G,7,0)</f>
        <v>01</v>
      </c>
      <c r="B24" s="183" t="str">
        <f>VLOOKUP(F24,数据集标准分类!A:F,6,0)</f>
        <v>患者信息</v>
      </c>
      <c r="C24" s="183" t="str">
        <f>VLOOKUP(F24,数据集标准分类!A:E,5,0)</f>
        <v>0101</v>
      </c>
      <c r="D24" s="183" t="str">
        <f>VLOOKUP(F24,数据集标准分类!A:D,4,0)</f>
        <v>患者基本信息</v>
      </c>
      <c r="E24" s="183" t="str">
        <f>VLOOKUP(F24,数据集标准分类!A:C,3,0)</f>
        <v>010102</v>
      </c>
      <c r="F24" s="170" t="s">
        <v>76</v>
      </c>
      <c r="G24" s="183" t="str">
        <f>VLOOKUP(F24,数据集标准分类!A:B,2,0)</f>
        <v>basic_health_information</v>
      </c>
      <c r="H24" s="294">
        <f>VLOOKUP(F24,数据集标准分类!A:H,8,0)</f>
        <v>2</v>
      </c>
      <c r="I24" s="170" t="s">
        <v>122</v>
      </c>
      <c r="J24" s="170" t="s">
        <v>123</v>
      </c>
      <c r="K24" s="170" t="s">
        <v>123</v>
      </c>
      <c r="L24" s="170" t="s">
        <v>124</v>
      </c>
      <c r="M24" s="170" t="s">
        <v>125</v>
      </c>
      <c r="N24" s="294">
        <v>10</v>
      </c>
      <c r="O24" s="170"/>
    </row>
    <row r="25" ht="15.75" customHeight="1" spans="1:15">
      <c r="A25" s="183" t="str">
        <f>VLOOKUP(F25,数据集标准分类!A:G,7,0)</f>
        <v>01</v>
      </c>
      <c r="B25" s="183" t="str">
        <f>VLOOKUP(F25,数据集标准分类!A:F,6,0)</f>
        <v>患者信息</v>
      </c>
      <c r="C25" s="183" t="str">
        <f>VLOOKUP(F25,数据集标准分类!A:E,5,0)</f>
        <v>0101</v>
      </c>
      <c r="D25" s="183" t="str">
        <f>VLOOKUP(F25,数据集标准分类!A:D,4,0)</f>
        <v>患者基本信息</v>
      </c>
      <c r="E25" s="183" t="str">
        <f>VLOOKUP(F25,数据集标准分类!A:C,3,0)</f>
        <v>010102</v>
      </c>
      <c r="F25" s="170" t="s">
        <v>76</v>
      </c>
      <c r="G25" s="183" t="str">
        <f>VLOOKUP(F25,数据集标准分类!A:B,2,0)</f>
        <v>basic_health_information</v>
      </c>
      <c r="H25" s="294">
        <f>VLOOKUP(F25,数据集标准分类!A:H,8,0)</f>
        <v>2</v>
      </c>
      <c r="I25" s="170" t="s">
        <v>126</v>
      </c>
      <c r="J25" s="170" t="s">
        <v>127</v>
      </c>
      <c r="K25" s="170" t="s">
        <v>128</v>
      </c>
      <c r="L25" s="170" t="s">
        <v>129</v>
      </c>
      <c r="M25" s="170" t="s">
        <v>130</v>
      </c>
      <c r="N25" s="294">
        <v>11</v>
      </c>
      <c r="O25" s="170"/>
    </row>
    <row r="26" ht="15.75" customHeight="1" spans="1:15">
      <c r="A26" s="183" t="str">
        <f>VLOOKUP(F26,数据集标准分类!A:G,7,0)</f>
        <v>01</v>
      </c>
      <c r="B26" s="183" t="str">
        <f>VLOOKUP(F26,数据集标准分类!A:F,6,0)</f>
        <v>患者信息</v>
      </c>
      <c r="C26" s="183" t="str">
        <f>VLOOKUP(F26,数据集标准分类!A:E,5,0)</f>
        <v>0101</v>
      </c>
      <c r="D26" s="183" t="str">
        <f>VLOOKUP(F26,数据集标准分类!A:D,4,0)</f>
        <v>患者基本信息</v>
      </c>
      <c r="E26" s="183" t="str">
        <f>VLOOKUP(F26,数据集标准分类!A:C,3,0)</f>
        <v>010103</v>
      </c>
      <c r="F26" s="170" t="s">
        <v>131</v>
      </c>
      <c r="G26" s="183" t="str">
        <f>VLOOKUP(F26,数据集标准分类!A:B,2,0)</f>
        <v>health_event_abstract</v>
      </c>
      <c r="H26" s="294">
        <f>VLOOKUP(F26,数据集标准分类!A:H,8,0)</f>
        <v>3</v>
      </c>
      <c r="I26" s="170" t="s">
        <v>132</v>
      </c>
      <c r="J26" s="170" t="s">
        <v>133</v>
      </c>
      <c r="K26" s="170" t="s">
        <v>134</v>
      </c>
      <c r="L26" s="170" t="s">
        <v>135</v>
      </c>
      <c r="M26" s="170" t="s">
        <v>136</v>
      </c>
      <c r="N26" s="294">
        <v>1</v>
      </c>
      <c r="O26" s="170"/>
    </row>
    <row r="27" ht="15.75" customHeight="1" spans="1:15">
      <c r="A27" s="183" t="str">
        <f>VLOOKUP(F27,数据集标准分类!A:G,7,0)</f>
        <v>01</v>
      </c>
      <c r="B27" s="183" t="str">
        <f>VLOOKUP(F27,数据集标准分类!A:F,6,0)</f>
        <v>患者信息</v>
      </c>
      <c r="C27" s="183" t="str">
        <f>VLOOKUP(F27,数据集标准分类!A:E,5,0)</f>
        <v>0101</v>
      </c>
      <c r="D27" s="183" t="str">
        <f>VLOOKUP(F27,数据集标准分类!A:D,4,0)</f>
        <v>患者基本信息</v>
      </c>
      <c r="E27" s="183" t="str">
        <f>VLOOKUP(F27,数据集标准分类!A:C,3,0)</f>
        <v>010103</v>
      </c>
      <c r="F27" s="170" t="s">
        <v>131</v>
      </c>
      <c r="G27" s="183" t="str">
        <f>VLOOKUP(F27,数据集标准分类!A:B,2,0)</f>
        <v>health_event_abstract</v>
      </c>
      <c r="H27" s="294">
        <f>VLOOKUP(F27,数据集标准分类!A:H,8,0)</f>
        <v>3</v>
      </c>
      <c r="I27" s="170" t="s">
        <v>137</v>
      </c>
      <c r="J27" s="170" t="s">
        <v>138</v>
      </c>
      <c r="K27" s="170" t="s">
        <v>139</v>
      </c>
      <c r="L27" s="170" t="s">
        <v>140</v>
      </c>
      <c r="M27" s="170" t="s">
        <v>141</v>
      </c>
      <c r="N27" s="294">
        <v>2</v>
      </c>
      <c r="O27" s="170"/>
    </row>
    <row r="28" ht="15.75" customHeight="1" spans="1:15">
      <c r="A28" s="183" t="str">
        <f>VLOOKUP(F28,数据集标准分类!A:G,7,0)</f>
        <v>01</v>
      </c>
      <c r="B28" s="183" t="str">
        <f>VLOOKUP(F28,数据集标准分类!A:F,6,0)</f>
        <v>患者信息</v>
      </c>
      <c r="C28" s="183" t="str">
        <f>VLOOKUP(F28,数据集标准分类!A:E,5,0)</f>
        <v>0101</v>
      </c>
      <c r="D28" s="183" t="str">
        <f>VLOOKUP(F28,数据集标准分类!A:D,4,0)</f>
        <v>患者基本信息</v>
      </c>
      <c r="E28" s="183" t="str">
        <f>VLOOKUP(F28,数据集标准分类!A:C,3,0)</f>
        <v>010103</v>
      </c>
      <c r="F28" s="170" t="s">
        <v>131</v>
      </c>
      <c r="G28" s="183" t="str">
        <f>VLOOKUP(F28,数据集标准分类!A:B,2,0)</f>
        <v>health_event_abstract</v>
      </c>
      <c r="H28" s="294">
        <f>VLOOKUP(F28,数据集标准分类!A:H,8,0)</f>
        <v>3</v>
      </c>
      <c r="I28" s="170" t="s">
        <v>142</v>
      </c>
      <c r="J28" s="170" t="s">
        <v>143</v>
      </c>
      <c r="K28" s="170" t="s">
        <v>144</v>
      </c>
      <c r="L28" s="170" t="s">
        <v>145</v>
      </c>
      <c r="M28" s="170" t="s">
        <v>146</v>
      </c>
      <c r="N28" s="294">
        <v>3</v>
      </c>
      <c r="O28" s="170"/>
    </row>
    <row r="29" ht="15.75" customHeight="1" spans="1:15">
      <c r="A29" s="183" t="str">
        <f>VLOOKUP(F29,数据集标准分类!A:G,7,0)</f>
        <v>01</v>
      </c>
      <c r="B29" s="183" t="str">
        <f>VLOOKUP(F29,数据集标准分类!A:F,6,0)</f>
        <v>患者信息</v>
      </c>
      <c r="C29" s="183" t="str">
        <f>VLOOKUP(F29,数据集标准分类!A:E,5,0)</f>
        <v>0101</v>
      </c>
      <c r="D29" s="183" t="str">
        <f>VLOOKUP(F29,数据集标准分类!A:D,4,0)</f>
        <v>患者基本信息</v>
      </c>
      <c r="E29" s="183" t="str">
        <f>VLOOKUP(F29,数据集标准分类!A:C,3,0)</f>
        <v>010103</v>
      </c>
      <c r="F29" s="170" t="s">
        <v>131</v>
      </c>
      <c r="G29" s="183" t="str">
        <f>VLOOKUP(F29,数据集标准分类!A:B,2,0)</f>
        <v>health_event_abstract</v>
      </c>
      <c r="H29" s="294">
        <f>VLOOKUP(F29,数据集标准分类!A:H,8,0)</f>
        <v>3</v>
      </c>
      <c r="I29" s="170" t="s">
        <v>147</v>
      </c>
      <c r="J29" s="170" t="s">
        <v>148</v>
      </c>
      <c r="K29" s="170" t="s">
        <v>149</v>
      </c>
      <c r="L29" s="170" t="s">
        <v>150</v>
      </c>
      <c r="M29" s="170" t="s">
        <v>151</v>
      </c>
      <c r="N29" s="294">
        <v>4</v>
      </c>
      <c r="O29" s="170"/>
    </row>
    <row r="30" ht="15.75" customHeight="1" spans="1:15">
      <c r="A30" s="183" t="str">
        <f>VLOOKUP(F30,数据集标准分类!A:G,7,0)</f>
        <v>01</v>
      </c>
      <c r="B30" s="183" t="str">
        <f>VLOOKUP(F30,数据集标准分类!A:F,6,0)</f>
        <v>患者信息</v>
      </c>
      <c r="C30" s="183" t="str">
        <f>VLOOKUP(F30,数据集标准分类!A:E,5,0)</f>
        <v>0101</v>
      </c>
      <c r="D30" s="183" t="str">
        <f>VLOOKUP(F30,数据集标准分类!A:D,4,0)</f>
        <v>患者基本信息</v>
      </c>
      <c r="E30" s="183" t="str">
        <f>VLOOKUP(F30,数据集标准分类!A:C,3,0)</f>
        <v>010103</v>
      </c>
      <c r="F30" s="170" t="s">
        <v>131</v>
      </c>
      <c r="G30" s="183" t="str">
        <f>VLOOKUP(F30,数据集标准分类!A:B,2,0)</f>
        <v>health_event_abstract</v>
      </c>
      <c r="H30" s="294">
        <f>VLOOKUP(F30,数据集标准分类!A:H,8,0)</f>
        <v>3</v>
      </c>
      <c r="I30" s="170" t="s">
        <v>152</v>
      </c>
      <c r="J30" s="170" t="s">
        <v>153</v>
      </c>
      <c r="K30" s="170" t="s">
        <v>154</v>
      </c>
      <c r="L30" s="170" t="s">
        <v>155</v>
      </c>
      <c r="M30" s="170" t="s">
        <v>156</v>
      </c>
      <c r="N30" s="294">
        <v>5</v>
      </c>
      <c r="O30" s="170"/>
    </row>
    <row r="31" ht="15.75" customHeight="1" spans="1:15">
      <c r="A31" s="183" t="str">
        <f>VLOOKUP(F31,数据集标准分类!A:G,7,0)</f>
        <v>01</v>
      </c>
      <c r="B31" s="183" t="str">
        <f>VLOOKUP(F31,数据集标准分类!A:F,6,0)</f>
        <v>患者信息</v>
      </c>
      <c r="C31" s="183" t="str">
        <f>VLOOKUP(F31,数据集标准分类!A:E,5,0)</f>
        <v>0101</v>
      </c>
      <c r="D31" s="183" t="str">
        <f>VLOOKUP(F31,数据集标准分类!A:D,4,0)</f>
        <v>患者基本信息</v>
      </c>
      <c r="E31" s="183" t="str">
        <f>VLOOKUP(F31,数据集标准分类!A:C,3,0)</f>
        <v>010103</v>
      </c>
      <c r="F31" s="170" t="s">
        <v>131</v>
      </c>
      <c r="G31" s="183" t="str">
        <f>VLOOKUP(F31,数据集标准分类!A:B,2,0)</f>
        <v>health_event_abstract</v>
      </c>
      <c r="H31" s="294">
        <f>VLOOKUP(F31,数据集标准分类!A:H,8,0)</f>
        <v>3</v>
      </c>
      <c r="I31" s="170" t="s">
        <v>157</v>
      </c>
      <c r="J31" s="170" t="s">
        <v>158</v>
      </c>
      <c r="K31" s="170" t="s">
        <v>159</v>
      </c>
      <c r="L31" s="170" t="s">
        <v>160</v>
      </c>
      <c r="M31" s="170" t="s">
        <v>161</v>
      </c>
      <c r="N31" s="294">
        <v>6</v>
      </c>
      <c r="O31" s="170"/>
    </row>
    <row r="32" ht="15.75" customHeight="1" spans="1:15">
      <c r="A32" s="183" t="str">
        <f>VLOOKUP(F32,数据集标准分类!A:G,7,0)</f>
        <v>01</v>
      </c>
      <c r="B32" s="183" t="str">
        <f>VLOOKUP(F32,数据集标准分类!A:F,6,0)</f>
        <v>患者信息</v>
      </c>
      <c r="C32" s="183" t="str">
        <f>VLOOKUP(F32,数据集标准分类!A:E,5,0)</f>
        <v>0101</v>
      </c>
      <c r="D32" s="183" t="str">
        <f>VLOOKUP(F32,数据集标准分类!A:D,4,0)</f>
        <v>患者基本信息</v>
      </c>
      <c r="E32" s="183" t="str">
        <f>VLOOKUP(F32,数据集标准分类!A:C,3,0)</f>
        <v>010103</v>
      </c>
      <c r="F32" s="170" t="s">
        <v>131</v>
      </c>
      <c r="G32" s="183" t="str">
        <f>VLOOKUP(F32,数据集标准分类!A:B,2,0)</f>
        <v>health_event_abstract</v>
      </c>
      <c r="H32" s="294">
        <f>VLOOKUP(F32,数据集标准分类!A:H,8,0)</f>
        <v>3</v>
      </c>
      <c r="I32" s="170" t="s">
        <v>162</v>
      </c>
      <c r="J32" s="170" t="s">
        <v>163</v>
      </c>
      <c r="K32" s="170" t="s">
        <v>164</v>
      </c>
      <c r="L32" s="170" t="s">
        <v>165</v>
      </c>
      <c r="M32" s="170" t="s">
        <v>166</v>
      </c>
      <c r="N32" s="294">
        <v>7</v>
      </c>
      <c r="O32" s="170"/>
    </row>
    <row r="33" ht="15.75" customHeight="1" spans="1:15">
      <c r="A33" s="183" t="str">
        <f>VLOOKUP(F33,数据集标准分类!A:G,7,0)</f>
        <v>01</v>
      </c>
      <c r="B33" s="183" t="str">
        <f>VLOOKUP(F33,数据集标准分类!A:F,6,0)</f>
        <v>患者信息</v>
      </c>
      <c r="C33" s="183" t="str">
        <f>VLOOKUP(F33,数据集标准分类!A:E,5,0)</f>
        <v>0101</v>
      </c>
      <c r="D33" s="183" t="str">
        <f>VLOOKUP(F33,数据集标准分类!A:D,4,0)</f>
        <v>患者基本信息</v>
      </c>
      <c r="E33" s="183" t="str">
        <f>VLOOKUP(F33,数据集标准分类!A:C,3,0)</f>
        <v>010103</v>
      </c>
      <c r="F33" s="170" t="s">
        <v>131</v>
      </c>
      <c r="G33" s="183" t="str">
        <f>VLOOKUP(F33,数据集标准分类!A:B,2,0)</f>
        <v>health_event_abstract</v>
      </c>
      <c r="H33" s="294">
        <f>VLOOKUP(F33,数据集标准分类!A:H,8,0)</f>
        <v>3</v>
      </c>
      <c r="I33" s="170" t="s">
        <v>167</v>
      </c>
      <c r="J33" s="170" t="s">
        <v>168</v>
      </c>
      <c r="K33" s="170" t="s">
        <v>169</v>
      </c>
      <c r="L33" s="170" t="s">
        <v>170</v>
      </c>
      <c r="M33" s="170" t="s">
        <v>171</v>
      </c>
      <c r="N33" s="294">
        <v>8</v>
      </c>
      <c r="O33" s="170"/>
    </row>
    <row r="34" ht="15.75" customHeight="1" spans="1:15">
      <c r="A34" s="183" t="str">
        <f>VLOOKUP(F34,数据集标准分类!A:G,7,0)</f>
        <v>01</v>
      </c>
      <c r="B34" s="183" t="str">
        <f>VLOOKUP(F34,数据集标准分类!A:F,6,0)</f>
        <v>患者信息</v>
      </c>
      <c r="C34" s="183" t="str">
        <f>VLOOKUP(F34,数据集标准分类!A:E,5,0)</f>
        <v>0101</v>
      </c>
      <c r="D34" s="183" t="str">
        <f>VLOOKUP(F34,数据集标准分类!A:D,4,0)</f>
        <v>患者基本信息</v>
      </c>
      <c r="E34" s="183" t="str">
        <f>VLOOKUP(F34,数据集标准分类!A:C,3,0)</f>
        <v>010103</v>
      </c>
      <c r="F34" s="170" t="s">
        <v>131</v>
      </c>
      <c r="G34" s="183" t="str">
        <f>VLOOKUP(F34,数据集标准分类!A:B,2,0)</f>
        <v>health_event_abstract</v>
      </c>
      <c r="H34" s="294">
        <f>VLOOKUP(F34,数据集标准分类!A:H,8,0)</f>
        <v>3</v>
      </c>
      <c r="I34" s="170" t="s">
        <v>172</v>
      </c>
      <c r="J34" s="170" t="s">
        <v>173</v>
      </c>
      <c r="K34" s="170" t="s">
        <v>174</v>
      </c>
      <c r="L34" s="170" t="s">
        <v>175</v>
      </c>
      <c r="M34" s="170" t="s">
        <v>176</v>
      </c>
      <c r="N34" s="294">
        <v>9</v>
      </c>
      <c r="O34" s="170"/>
    </row>
    <row r="35" ht="15.75" customHeight="1" spans="1:15">
      <c r="A35" s="183" t="str">
        <f>VLOOKUP(F35,数据集标准分类!A:G,7,0)</f>
        <v>01</v>
      </c>
      <c r="B35" s="183" t="str">
        <f>VLOOKUP(F35,数据集标准分类!A:F,6,0)</f>
        <v>患者信息</v>
      </c>
      <c r="C35" s="183" t="str">
        <f>VLOOKUP(F35,数据集标准分类!A:E,5,0)</f>
        <v>0101</v>
      </c>
      <c r="D35" s="183" t="str">
        <f>VLOOKUP(F35,数据集标准分类!A:D,4,0)</f>
        <v>患者基本信息</v>
      </c>
      <c r="E35" s="183" t="str">
        <f>VLOOKUP(F35,数据集标准分类!A:C,3,0)</f>
        <v>010103</v>
      </c>
      <c r="F35" s="170" t="s">
        <v>131</v>
      </c>
      <c r="G35" s="183" t="str">
        <f>VLOOKUP(F35,数据集标准分类!A:B,2,0)</f>
        <v>health_event_abstract</v>
      </c>
      <c r="H35" s="294">
        <f>VLOOKUP(F35,数据集标准分类!A:H,8,0)</f>
        <v>3</v>
      </c>
      <c r="I35" s="170" t="s">
        <v>177</v>
      </c>
      <c r="J35" s="170" t="s">
        <v>178</v>
      </c>
      <c r="K35" s="170" t="s">
        <v>179</v>
      </c>
      <c r="L35" s="170" t="s">
        <v>180</v>
      </c>
      <c r="M35" s="170" t="s">
        <v>181</v>
      </c>
      <c r="N35" s="294">
        <v>10</v>
      </c>
      <c r="O35" s="170"/>
    </row>
    <row r="36" ht="15.75" customHeight="1" spans="1:15">
      <c r="A36" s="183" t="str">
        <f>VLOOKUP(F36,数据集标准分类!A:G,7,0)</f>
        <v>01</v>
      </c>
      <c r="B36" s="183" t="str">
        <f>VLOOKUP(F36,数据集标准分类!A:F,6,0)</f>
        <v>患者信息</v>
      </c>
      <c r="C36" s="183" t="str">
        <f>VLOOKUP(F36,数据集标准分类!A:E,5,0)</f>
        <v>0101</v>
      </c>
      <c r="D36" s="183" t="str">
        <f>VLOOKUP(F36,数据集标准分类!A:D,4,0)</f>
        <v>患者基本信息</v>
      </c>
      <c r="E36" s="183" t="str">
        <f>VLOOKUP(F36,数据集标准分类!A:C,3,0)</f>
        <v>010103</v>
      </c>
      <c r="F36" s="170" t="s">
        <v>131</v>
      </c>
      <c r="G36" s="183" t="str">
        <f>VLOOKUP(F36,数据集标准分类!A:B,2,0)</f>
        <v>health_event_abstract</v>
      </c>
      <c r="H36" s="294">
        <f>VLOOKUP(F36,数据集标准分类!A:H,8,0)</f>
        <v>3</v>
      </c>
      <c r="I36" s="170" t="s">
        <v>182</v>
      </c>
      <c r="J36" s="170" t="s">
        <v>183</v>
      </c>
      <c r="K36" s="170" t="s">
        <v>184</v>
      </c>
      <c r="L36" s="170" t="s">
        <v>185</v>
      </c>
      <c r="M36" s="170" t="s">
        <v>186</v>
      </c>
      <c r="N36" s="294">
        <v>11</v>
      </c>
      <c r="O36" s="170"/>
    </row>
    <row r="37" ht="15.75" customHeight="1" spans="1:15">
      <c r="A37" s="183" t="str">
        <f>VLOOKUP(F37,数据集标准分类!A:G,7,0)</f>
        <v>01</v>
      </c>
      <c r="B37" s="183" t="str">
        <f>VLOOKUP(F37,数据集标准分类!A:F,6,0)</f>
        <v>患者信息</v>
      </c>
      <c r="C37" s="183" t="str">
        <f>VLOOKUP(F37,数据集标准分类!A:E,5,0)</f>
        <v>0101</v>
      </c>
      <c r="D37" s="183" t="str">
        <f>VLOOKUP(F37,数据集标准分类!A:D,4,0)</f>
        <v>患者基本信息</v>
      </c>
      <c r="E37" s="183" t="str">
        <f>VLOOKUP(F37,数据集标准分类!A:C,3,0)</f>
        <v>010103</v>
      </c>
      <c r="F37" s="170" t="s">
        <v>131</v>
      </c>
      <c r="G37" s="183" t="str">
        <f>VLOOKUP(F37,数据集标准分类!A:B,2,0)</f>
        <v>health_event_abstract</v>
      </c>
      <c r="H37" s="294">
        <f>VLOOKUP(F37,数据集标准分类!A:H,8,0)</f>
        <v>3</v>
      </c>
      <c r="I37" s="170" t="s">
        <v>187</v>
      </c>
      <c r="J37" s="170" t="s">
        <v>188</v>
      </c>
      <c r="K37" s="170" t="s">
        <v>189</v>
      </c>
      <c r="L37" s="170" t="s">
        <v>190</v>
      </c>
      <c r="M37" s="170" t="s">
        <v>191</v>
      </c>
      <c r="N37" s="294">
        <v>12</v>
      </c>
      <c r="O37" s="170"/>
    </row>
    <row r="38" ht="15.75" customHeight="1" spans="1:15">
      <c r="A38" s="183" t="str">
        <f>VLOOKUP(F38,数据集标准分类!A:G,7,0)</f>
        <v>01</v>
      </c>
      <c r="B38" s="183" t="str">
        <f>VLOOKUP(F38,数据集标准分类!A:F,6,0)</f>
        <v>患者信息</v>
      </c>
      <c r="C38" s="183" t="str">
        <f>VLOOKUP(F38,数据集标准分类!A:E,5,0)</f>
        <v>0101</v>
      </c>
      <c r="D38" s="183" t="str">
        <f>VLOOKUP(F38,数据集标准分类!A:D,4,0)</f>
        <v>患者基本信息</v>
      </c>
      <c r="E38" s="183" t="str">
        <f>VLOOKUP(F38,数据集标准分类!A:C,3,0)</f>
        <v>010103</v>
      </c>
      <c r="F38" s="170" t="s">
        <v>131</v>
      </c>
      <c r="G38" s="183" t="str">
        <f>VLOOKUP(F38,数据集标准分类!A:B,2,0)</f>
        <v>health_event_abstract</v>
      </c>
      <c r="H38" s="294">
        <f>VLOOKUP(F38,数据集标准分类!A:H,8,0)</f>
        <v>3</v>
      </c>
      <c r="I38" s="170" t="s">
        <v>192</v>
      </c>
      <c r="J38" s="170" t="s">
        <v>193</v>
      </c>
      <c r="K38" s="170" t="s">
        <v>194</v>
      </c>
      <c r="L38" s="170" t="s">
        <v>195</v>
      </c>
      <c r="M38" s="170" t="s">
        <v>196</v>
      </c>
      <c r="N38" s="294">
        <v>13</v>
      </c>
      <c r="O38" s="170"/>
    </row>
    <row r="39" ht="15.75" customHeight="1" spans="1:15">
      <c r="A39" s="183" t="str">
        <f>VLOOKUP(F39,数据集标准分类!A:G,7,0)</f>
        <v>01</v>
      </c>
      <c r="B39" s="183" t="str">
        <f>VLOOKUP(F39,数据集标准分类!A:F,6,0)</f>
        <v>患者信息</v>
      </c>
      <c r="C39" s="183" t="str">
        <f>VLOOKUP(F39,数据集标准分类!A:E,5,0)</f>
        <v>0101</v>
      </c>
      <c r="D39" s="183" t="str">
        <f>VLOOKUP(F39,数据集标准分类!A:D,4,0)</f>
        <v>患者基本信息</v>
      </c>
      <c r="E39" s="183" t="str">
        <f>VLOOKUP(F39,数据集标准分类!A:C,3,0)</f>
        <v>010103</v>
      </c>
      <c r="F39" s="170" t="s">
        <v>131</v>
      </c>
      <c r="G39" s="183" t="str">
        <f>VLOOKUP(F39,数据集标准分类!A:B,2,0)</f>
        <v>health_event_abstract</v>
      </c>
      <c r="H39" s="294">
        <f>VLOOKUP(F39,数据集标准分类!A:H,8,0)</f>
        <v>3</v>
      </c>
      <c r="I39" s="170" t="s">
        <v>197</v>
      </c>
      <c r="J39" s="170" t="s">
        <v>198</v>
      </c>
      <c r="K39" s="170"/>
      <c r="L39" s="170" t="s">
        <v>199</v>
      </c>
      <c r="M39" s="170" t="s">
        <v>200</v>
      </c>
      <c r="N39" s="294">
        <v>14</v>
      </c>
      <c r="O39" s="170"/>
    </row>
    <row r="40" ht="15.75" customHeight="1" spans="1:15">
      <c r="A40" s="183" t="str">
        <f>VLOOKUP(F40,数据集标准分类!A:G,7,0)</f>
        <v>01</v>
      </c>
      <c r="B40" s="183" t="str">
        <f>VLOOKUP(F40,数据集标准分类!A:F,6,0)</f>
        <v>患者信息</v>
      </c>
      <c r="C40" s="183" t="str">
        <f>VLOOKUP(F40,数据集标准分类!A:E,5,0)</f>
        <v>0101</v>
      </c>
      <c r="D40" s="183" t="str">
        <f>VLOOKUP(F40,数据集标准分类!A:D,4,0)</f>
        <v>患者基本信息</v>
      </c>
      <c r="E40" s="183" t="str">
        <f>VLOOKUP(F40,数据集标准分类!A:C,3,0)</f>
        <v>010103</v>
      </c>
      <c r="F40" s="170" t="s">
        <v>131</v>
      </c>
      <c r="G40" s="183" t="str">
        <f>VLOOKUP(F40,数据集标准分类!A:B,2,0)</f>
        <v>health_event_abstract</v>
      </c>
      <c r="H40" s="294">
        <f>VLOOKUP(F40,数据集标准分类!A:H,8,0)</f>
        <v>3</v>
      </c>
      <c r="I40" s="170" t="s">
        <v>201</v>
      </c>
      <c r="J40" s="170" t="s">
        <v>202</v>
      </c>
      <c r="K40" s="170" t="s">
        <v>203</v>
      </c>
      <c r="L40" s="170" t="s">
        <v>204</v>
      </c>
      <c r="M40" s="170" t="s">
        <v>205</v>
      </c>
      <c r="N40" s="294">
        <v>15</v>
      </c>
      <c r="O40" s="170"/>
    </row>
    <row r="41" ht="15.75" customHeight="1" spans="1:15">
      <c r="A41" s="183" t="str">
        <f>VLOOKUP(F41,数据集标准分类!A:G,7,0)</f>
        <v>01</v>
      </c>
      <c r="B41" s="183" t="str">
        <f>VLOOKUP(F41,数据集标准分类!A:F,6,0)</f>
        <v>患者信息</v>
      </c>
      <c r="C41" s="183" t="str">
        <f>VLOOKUP(F41,数据集标准分类!A:E,5,0)</f>
        <v>0101</v>
      </c>
      <c r="D41" s="183" t="str">
        <f>VLOOKUP(F41,数据集标准分类!A:D,4,0)</f>
        <v>患者基本信息</v>
      </c>
      <c r="E41" s="183" t="str">
        <f>VLOOKUP(F41,数据集标准分类!A:C,3,0)</f>
        <v>010103</v>
      </c>
      <c r="F41" s="170" t="s">
        <v>131</v>
      </c>
      <c r="G41" s="183" t="str">
        <f>VLOOKUP(F41,数据集标准分类!A:B,2,0)</f>
        <v>health_event_abstract</v>
      </c>
      <c r="H41" s="294">
        <f>VLOOKUP(F41,数据集标准分类!A:H,8,0)</f>
        <v>3</v>
      </c>
      <c r="I41" s="170" t="s">
        <v>206</v>
      </c>
      <c r="J41" s="170" t="s">
        <v>207</v>
      </c>
      <c r="K41" s="170" t="s">
        <v>208</v>
      </c>
      <c r="L41" s="170" t="s">
        <v>209</v>
      </c>
      <c r="M41" s="170" t="s">
        <v>210</v>
      </c>
      <c r="N41" s="294">
        <v>16</v>
      </c>
      <c r="O41" s="170"/>
    </row>
    <row r="42" ht="15.75" customHeight="1" spans="1:15">
      <c r="A42" s="183" t="str">
        <f>VLOOKUP(F42,数据集标准分类!A:G,7,0)</f>
        <v>01</v>
      </c>
      <c r="B42" s="183" t="str">
        <f>VLOOKUP(F42,数据集标准分类!A:F,6,0)</f>
        <v>患者信息</v>
      </c>
      <c r="C42" s="183" t="str">
        <f>VLOOKUP(F42,数据集标准分类!A:E,5,0)</f>
        <v>0101</v>
      </c>
      <c r="D42" s="183" t="str">
        <f>VLOOKUP(F42,数据集标准分类!A:D,4,0)</f>
        <v>患者基本信息</v>
      </c>
      <c r="E42" s="183" t="str">
        <f>VLOOKUP(F42,数据集标准分类!A:C,3,0)</f>
        <v>010103</v>
      </c>
      <c r="F42" s="170" t="s">
        <v>131</v>
      </c>
      <c r="G42" s="183" t="str">
        <f>VLOOKUP(F42,数据集标准分类!A:B,2,0)</f>
        <v>health_event_abstract</v>
      </c>
      <c r="H42" s="294">
        <f>VLOOKUP(F42,数据集标准分类!A:H,8,0)</f>
        <v>3</v>
      </c>
      <c r="I42" s="170" t="s">
        <v>211</v>
      </c>
      <c r="J42" s="170" t="s">
        <v>212</v>
      </c>
      <c r="K42" s="170" t="s">
        <v>213</v>
      </c>
      <c r="L42" s="170" t="s">
        <v>214</v>
      </c>
      <c r="M42" s="170" t="s">
        <v>215</v>
      </c>
      <c r="N42" s="294">
        <v>17</v>
      </c>
      <c r="O42" s="170"/>
    </row>
    <row r="43" ht="15.75" customHeight="1" spans="1:15">
      <c r="A43" s="183" t="str">
        <f>VLOOKUP(F43,数据集标准分类!A:G,7,0)</f>
        <v>01</v>
      </c>
      <c r="B43" s="183" t="str">
        <f>VLOOKUP(F43,数据集标准分类!A:F,6,0)</f>
        <v>患者信息</v>
      </c>
      <c r="C43" s="183" t="str">
        <f>VLOOKUP(F43,数据集标准分类!A:E,5,0)</f>
        <v>0101</v>
      </c>
      <c r="D43" s="183" t="str">
        <f>VLOOKUP(F43,数据集标准分类!A:D,4,0)</f>
        <v>患者基本信息</v>
      </c>
      <c r="E43" s="183" t="str">
        <f>VLOOKUP(F43,数据集标准分类!A:C,3,0)</f>
        <v>010103</v>
      </c>
      <c r="F43" s="170" t="s">
        <v>131</v>
      </c>
      <c r="G43" s="183" t="str">
        <f>VLOOKUP(F43,数据集标准分类!A:B,2,0)</f>
        <v>health_event_abstract</v>
      </c>
      <c r="H43" s="294">
        <f>VLOOKUP(F43,数据集标准分类!A:H,8,0)</f>
        <v>3</v>
      </c>
      <c r="I43" s="170" t="s">
        <v>216</v>
      </c>
      <c r="J43" s="170" t="s">
        <v>217</v>
      </c>
      <c r="K43" s="170" t="s">
        <v>218</v>
      </c>
      <c r="L43" s="170" t="s">
        <v>219</v>
      </c>
      <c r="M43" s="170" t="s">
        <v>220</v>
      </c>
      <c r="N43" s="294">
        <v>18</v>
      </c>
      <c r="O43" s="170"/>
    </row>
    <row r="44" ht="15.75" customHeight="1" spans="1:15">
      <c r="A44" s="183" t="str">
        <f>VLOOKUP(F44,数据集标准分类!A:G,7,0)</f>
        <v>01</v>
      </c>
      <c r="B44" s="183" t="str">
        <f>VLOOKUP(F44,数据集标准分类!A:F,6,0)</f>
        <v>患者信息</v>
      </c>
      <c r="C44" s="183" t="str">
        <f>VLOOKUP(F44,数据集标准分类!A:E,5,0)</f>
        <v>0101</v>
      </c>
      <c r="D44" s="183" t="str">
        <f>VLOOKUP(F44,数据集标准分类!A:D,4,0)</f>
        <v>患者基本信息</v>
      </c>
      <c r="E44" s="183" t="str">
        <f>VLOOKUP(F44,数据集标准分类!A:C,3,0)</f>
        <v>010103</v>
      </c>
      <c r="F44" s="170" t="s">
        <v>131</v>
      </c>
      <c r="G44" s="183" t="str">
        <f>VLOOKUP(F44,数据集标准分类!A:B,2,0)</f>
        <v>health_event_abstract</v>
      </c>
      <c r="H44" s="294">
        <f>VLOOKUP(F44,数据集标准分类!A:H,8,0)</f>
        <v>3</v>
      </c>
      <c r="I44" s="170" t="s">
        <v>221</v>
      </c>
      <c r="J44" s="170" t="s">
        <v>222</v>
      </c>
      <c r="K44" s="170" t="s">
        <v>223</v>
      </c>
      <c r="L44" s="170" t="s">
        <v>224</v>
      </c>
      <c r="M44" s="170" t="s">
        <v>225</v>
      </c>
      <c r="N44" s="294">
        <v>19</v>
      </c>
      <c r="O44" s="170"/>
    </row>
    <row r="45" ht="15.75" customHeight="1" spans="1:15">
      <c r="A45" s="183" t="str">
        <f>VLOOKUP(F45,数据集标准分类!A:G,7,0)</f>
        <v>01</v>
      </c>
      <c r="B45" s="183" t="str">
        <f>VLOOKUP(F45,数据集标准分类!A:F,6,0)</f>
        <v>患者信息</v>
      </c>
      <c r="C45" s="183" t="str">
        <f>VLOOKUP(F45,数据集标准分类!A:E,5,0)</f>
        <v>0101</v>
      </c>
      <c r="D45" s="183" t="str">
        <f>VLOOKUP(F45,数据集标准分类!A:D,4,0)</f>
        <v>患者基本信息</v>
      </c>
      <c r="E45" s="183" t="s">
        <v>226</v>
      </c>
      <c r="F45" s="170" t="s">
        <v>131</v>
      </c>
      <c r="G45" s="183" t="str">
        <f>VLOOKUP(F45,数据集标准分类!A:B,2,0)</f>
        <v>health_event_abstract</v>
      </c>
      <c r="H45" s="294">
        <f>VLOOKUP(F45,数据集标准分类!A:H,8,0)</f>
        <v>3</v>
      </c>
      <c r="I45" s="170" t="s">
        <v>227</v>
      </c>
      <c r="J45" s="170" t="s">
        <v>228</v>
      </c>
      <c r="K45" s="170" t="s">
        <v>229</v>
      </c>
      <c r="L45" s="170" t="s">
        <v>230</v>
      </c>
      <c r="M45" s="170" t="s">
        <v>231</v>
      </c>
      <c r="N45" s="294">
        <v>20</v>
      </c>
      <c r="O45" s="170"/>
    </row>
    <row r="46" ht="15.75" customHeight="1" spans="1:15">
      <c r="A46" s="183" t="str">
        <f>VLOOKUP(F46,数据集标准分类!A:G,7,0)</f>
        <v>01</v>
      </c>
      <c r="B46" s="183" t="str">
        <f>VLOOKUP(F46,数据集标准分类!A:F,6,0)</f>
        <v>患者信息</v>
      </c>
      <c r="C46" s="183" t="str">
        <f>VLOOKUP(F46,数据集标准分类!A:E,5,0)</f>
        <v>0101</v>
      </c>
      <c r="D46" s="183" t="str">
        <f>VLOOKUP(F46,数据集标准分类!A:D,4,0)</f>
        <v>患者基本信息</v>
      </c>
      <c r="E46" s="183" t="s">
        <v>226</v>
      </c>
      <c r="F46" s="170" t="s">
        <v>131</v>
      </c>
      <c r="G46" s="183" t="str">
        <f>VLOOKUP(F46,数据集标准分类!A:B,2,0)</f>
        <v>health_event_abstract</v>
      </c>
      <c r="H46" s="294">
        <f>VLOOKUP(F46,数据集标准分类!A:H,8,0)</f>
        <v>3</v>
      </c>
      <c r="I46" s="170" t="s">
        <v>232</v>
      </c>
      <c r="J46" s="170" t="s">
        <v>233</v>
      </c>
      <c r="K46" s="170" t="s">
        <v>234</v>
      </c>
      <c r="L46" s="170" t="s">
        <v>235</v>
      </c>
      <c r="M46" s="170" t="s">
        <v>236</v>
      </c>
      <c r="N46" s="294">
        <v>21</v>
      </c>
      <c r="O46" s="170"/>
    </row>
    <row r="47" ht="15.75" customHeight="1" spans="1:15">
      <c r="A47" s="183" t="str">
        <f>VLOOKUP(F47,数据集标准分类!A:G,7,0)</f>
        <v>02</v>
      </c>
      <c r="B47" s="183" t="str">
        <f>VLOOKUP(F47,数据集标准分类!A:F,6,0)</f>
        <v>电子病历</v>
      </c>
      <c r="C47" s="183" t="str">
        <f>VLOOKUP(F47,数据集标准分类!A:E,5,0)</f>
        <v>0201</v>
      </c>
      <c r="D47" s="183" t="str">
        <f>VLOOKUP(F47,数据集标准分类!A:D,4,0)</f>
        <v>病案首页</v>
      </c>
      <c r="E47" s="183" t="s">
        <v>237</v>
      </c>
      <c r="F47" s="170" t="s">
        <v>238</v>
      </c>
      <c r="G47" s="183" t="s">
        <v>239</v>
      </c>
      <c r="H47" s="294">
        <f>VLOOKUP(F47,数据集标准分类!A:H,8,0)</f>
        <v>4</v>
      </c>
      <c r="I47" s="170" t="s">
        <v>240</v>
      </c>
      <c r="J47" s="170" t="s">
        <v>241</v>
      </c>
      <c r="K47" s="170" t="s">
        <v>242</v>
      </c>
      <c r="L47" s="170" t="s">
        <v>243</v>
      </c>
      <c r="M47" s="170" t="s">
        <v>244</v>
      </c>
      <c r="N47" s="294">
        <v>1</v>
      </c>
      <c r="O47" s="170"/>
    </row>
    <row r="48" ht="15.75" customHeight="1" spans="1:15">
      <c r="A48" s="183" t="str">
        <f>VLOOKUP(F48,数据集标准分类!A:G,7,0)</f>
        <v>02</v>
      </c>
      <c r="B48" s="183" t="str">
        <f>VLOOKUP(F48,数据集标准分类!A:F,6,0)</f>
        <v>电子病历</v>
      </c>
      <c r="C48" s="183" t="str">
        <f>VLOOKUP(F48,数据集标准分类!A:E,5,0)</f>
        <v>0201</v>
      </c>
      <c r="D48" s="183" t="str">
        <f>VLOOKUP(F48,数据集标准分类!A:D,4,0)</f>
        <v>病案首页</v>
      </c>
      <c r="E48" s="183" t="str">
        <f>VLOOKUP(F48,数据集标准分类!A:C,3,0)</f>
        <v>020101</v>
      </c>
      <c r="F48" s="170" t="s">
        <v>238</v>
      </c>
      <c r="G48" s="183" t="s">
        <v>239</v>
      </c>
      <c r="H48" s="294">
        <f>VLOOKUP(F48,数据集标准分类!A:H,8,0)</f>
        <v>4</v>
      </c>
      <c r="I48" s="170" t="s">
        <v>245</v>
      </c>
      <c r="J48" s="170" t="s">
        <v>246</v>
      </c>
      <c r="K48" s="170" t="s">
        <v>247</v>
      </c>
      <c r="L48" s="170" t="s">
        <v>248</v>
      </c>
      <c r="M48" s="170" t="s">
        <v>249</v>
      </c>
      <c r="N48" s="294">
        <v>2</v>
      </c>
      <c r="O48" s="170"/>
    </row>
    <row r="49" ht="15.75" customHeight="1" spans="1:15">
      <c r="A49" s="183" t="str">
        <f>VLOOKUP(F49,数据集标准分类!A:G,7,0)</f>
        <v>02</v>
      </c>
      <c r="B49" s="183" t="str">
        <f>VLOOKUP(F49,数据集标准分类!A:F,6,0)</f>
        <v>电子病历</v>
      </c>
      <c r="C49" s="183" t="str">
        <f>VLOOKUP(F49,数据集标准分类!A:E,5,0)</f>
        <v>0201</v>
      </c>
      <c r="D49" s="183" t="str">
        <f>VLOOKUP(F49,数据集标准分类!A:D,4,0)</f>
        <v>病案首页</v>
      </c>
      <c r="E49" s="183" t="str">
        <f>VLOOKUP(F49,数据集标准分类!A:C,3,0)</f>
        <v>020101</v>
      </c>
      <c r="F49" s="170" t="s">
        <v>238</v>
      </c>
      <c r="G49" s="183" t="str">
        <f>VLOOKUP(F49,数据集标准分类!A:B,2,0)</f>
        <v>inpatient_case_homepage</v>
      </c>
      <c r="H49" s="294">
        <f>VLOOKUP(F49,数据集标准分类!A:H,8,0)</f>
        <v>4</v>
      </c>
      <c r="I49" s="170" t="s">
        <v>250</v>
      </c>
      <c r="J49" s="170" t="s">
        <v>251</v>
      </c>
      <c r="K49" s="170" t="s">
        <v>252</v>
      </c>
      <c r="L49" s="170" t="s">
        <v>253</v>
      </c>
      <c r="M49" s="170"/>
      <c r="N49" s="294">
        <v>3</v>
      </c>
      <c r="O49" s="170"/>
    </row>
    <row r="50" ht="15.75" customHeight="1" spans="1:15">
      <c r="A50" s="183" t="str">
        <f>VLOOKUP(F50,数据集标准分类!A:G,7,0)</f>
        <v>02</v>
      </c>
      <c r="B50" s="183" t="str">
        <f>VLOOKUP(F50,数据集标准分类!A:F,6,0)</f>
        <v>电子病历</v>
      </c>
      <c r="C50" s="183" t="str">
        <f>VLOOKUP(F50,数据集标准分类!A:E,5,0)</f>
        <v>0201</v>
      </c>
      <c r="D50" s="183" t="str">
        <f>VLOOKUP(F50,数据集标准分类!A:D,4,0)</f>
        <v>病案首页</v>
      </c>
      <c r="E50" s="183" t="str">
        <f>VLOOKUP(F50,数据集标准分类!A:C,3,0)</f>
        <v>020101</v>
      </c>
      <c r="F50" s="170" t="s">
        <v>238</v>
      </c>
      <c r="G50" s="183" t="str">
        <f>VLOOKUP(F50,数据集标准分类!A:B,2,0)</f>
        <v>inpatient_case_homepage</v>
      </c>
      <c r="H50" s="294">
        <f>VLOOKUP(F50,数据集标准分类!A:H,8,0)</f>
        <v>4</v>
      </c>
      <c r="I50" s="170" t="s">
        <v>27</v>
      </c>
      <c r="J50" s="170" t="s">
        <v>28</v>
      </c>
      <c r="K50" s="170" t="s">
        <v>29</v>
      </c>
      <c r="L50" s="170" t="s">
        <v>30</v>
      </c>
      <c r="M50" s="170"/>
      <c r="N50" s="294">
        <v>4</v>
      </c>
      <c r="O50" s="170"/>
    </row>
    <row r="51" ht="15.75" customHeight="1" spans="1:15">
      <c r="A51" s="183" t="str">
        <f>VLOOKUP(F51,数据集标准分类!A:G,7,0)</f>
        <v>02</v>
      </c>
      <c r="B51" s="183" t="str">
        <f>VLOOKUP(F51,数据集标准分类!A:F,6,0)</f>
        <v>电子病历</v>
      </c>
      <c r="C51" s="183" t="str">
        <f>VLOOKUP(F51,数据集标准分类!A:E,5,0)</f>
        <v>0201</v>
      </c>
      <c r="D51" s="183" t="str">
        <f>VLOOKUP(F51,数据集标准分类!A:D,4,0)</f>
        <v>病案首页</v>
      </c>
      <c r="E51" s="183" t="str">
        <f>VLOOKUP(F51,数据集标准分类!A:C,3,0)</f>
        <v>020101</v>
      </c>
      <c r="F51" s="170" t="s">
        <v>238</v>
      </c>
      <c r="G51" s="183" t="str">
        <f>VLOOKUP(F51,数据集标准分类!A:B,2,0)</f>
        <v>inpatient_case_homepage</v>
      </c>
      <c r="H51" s="294">
        <f>VLOOKUP(F51,数据集标准分类!A:H,8,0)</f>
        <v>4</v>
      </c>
      <c r="I51" s="170" t="s">
        <v>254</v>
      </c>
      <c r="J51" s="170" t="s">
        <v>255</v>
      </c>
      <c r="K51" s="170" t="s">
        <v>255</v>
      </c>
      <c r="L51" s="170" t="s">
        <v>256</v>
      </c>
      <c r="M51" s="170"/>
      <c r="N51" s="294">
        <v>5</v>
      </c>
      <c r="O51" s="170"/>
    </row>
    <row r="52" ht="15.75" customHeight="1" spans="1:15">
      <c r="A52" s="183" t="str">
        <f>VLOOKUP(F52,数据集标准分类!A:G,7,0)</f>
        <v>02</v>
      </c>
      <c r="B52" s="183" t="str">
        <f>VLOOKUP(F52,数据集标准分类!A:F,6,0)</f>
        <v>电子病历</v>
      </c>
      <c r="C52" s="183" t="str">
        <f>VLOOKUP(F52,数据集标准分类!A:E,5,0)</f>
        <v>0201</v>
      </c>
      <c r="D52" s="183" t="str">
        <f>VLOOKUP(F52,数据集标准分类!A:D,4,0)</f>
        <v>病案首页</v>
      </c>
      <c r="E52" s="183" t="str">
        <f>VLOOKUP(F52,数据集标准分类!A:C,3,0)</f>
        <v>020101</v>
      </c>
      <c r="F52" s="170" t="s">
        <v>238</v>
      </c>
      <c r="G52" s="183" t="str">
        <f>VLOOKUP(F52,数据集标准分类!A:B,2,0)</f>
        <v>inpatient_case_homepage</v>
      </c>
      <c r="H52" s="294">
        <f>VLOOKUP(F52,数据集标准分类!A:H,8,0)</f>
        <v>4</v>
      </c>
      <c r="I52" s="170" t="s">
        <v>257</v>
      </c>
      <c r="J52" s="170" t="s">
        <v>258</v>
      </c>
      <c r="K52" s="170" t="s">
        <v>259</v>
      </c>
      <c r="L52" s="170" t="s">
        <v>260</v>
      </c>
      <c r="M52" s="170"/>
      <c r="N52" s="294">
        <v>6</v>
      </c>
      <c r="O52" s="170"/>
    </row>
    <row r="53" ht="15.75" customHeight="1" spans="1:15">
      <c r="A53" s="183" t="str">
        <f>VLOOKUP(F53,数据集标准分类!A:G,7,0)</f>
        <v>02</v>
      </c>
      <c r="B53" s="183" t="str">
        <f>VLOOKUP(F53,数据集标准分类!A:F,6,0)</f>
        <v>电子病历</v>
      </c>
      <c r="C53" s="183" t="str">
        <f>VLOOKUP(F53,数据集标准分类!A:E,5,0)</f>
        <v>0201</v>
      </c>
      <c r="D53" s="183" t="str">
        <f>VLOOKUP(F53,数据集标准分类!A:D,4,0)</f>
        <v>病案首页</v>
      </c>
      <c r="E53" s="183" t="str">
        <f>VLOOKUP(F53,数据集标准分类!A:C,3,0)</f>
        <v>020101</v>
      </c>
      <c r="F53" s="170" t="s">
        <v>238</v>
      </c>
      <c r="G53" s="183" t="str">
        <f>VLOOKUP(F53,数据集标准分类!A:B,2,0)</f>
        <v>inpatient_case_homepage</v>
      </c>
      <c r="H53" s="294">
        <f>VLOOKUP(F53,数据集标准分类!A:H,8,0)</f>
        <v>4</v>
      </c>
      <c r="I53" s="170" t="s">
        <v>261</v>
      </c>
      <c r="J53" s="170" t="s">
        <v>262</v>
      </c>
      <c r="K53" s="170" t="s">
        <v>262</v>
      </c>
      <c r="L53" s="170" t="s">
        <v>263</v>
      </c>
      <c r="M53" s="170"/>
      <c r="N53" s="294">
        <v>7</v>
      </c>
      <c r="O53" s="170"/>
    </row>
    <row r="54" ht="15.75" customHeight="1" spans="1:15">
      <c r="A54" s="183" t="str">
        <f>VLOOKUP(F54,数据集标准分类!A:G,7,0)</f>
        <v>02</v>
      </c>
      <c r="B54" s="183" t="str">
        <f>VLOOKUP(F54,数据集标准分类!A:F,6,0)</f>
        <v>电子病历</v>
      </c>
      <c r="C54" s="183" t="str">
        <f>VLOOKUP(F54,数据集标准分类!A:E,5,0)</f>
        <v>0201</v>
      </c>
      <c r="D54" s="183" t="str">
        <f>VLOOKUP(F54,数据集标准分类!A:D,4,0)</f>
        <v>病案首页</v>
      </c>
      <c r="E54" s="183" t="str">
        <f>VLOOKUP(F54,数据集标准分类!A:C,3,0)</f>
        <v>020101</v>
      </c>
      <c r="F54" s="170" t="s">
        <v>238</v>
      </c>
      <c r="G54" s="183" t="str">
        <f>VLOOKUP(F54,数据集标准分类!A:B,2,0)</f>
        <v>inpatient_case_homepage</v>
      </c>
      <c r="H54" s="294">
        <f>VLOOKUP(F54,数据集标准分类!A:H,8,0)</f>
        <v>4</v>
      </c>
      <c r="I54" s="170" t="s">
        <v>264</v>
      </c>
      <c r="J54" s="170" t="s">
        <v>265</v>
      </c>
      <c r="K54" s="170" t="s">
        <v>266</v>
      </c>
      <c r="L54" s="170" t="s">
        <v>267</v>
      </c>
      <c r="M54" s="170"/>
      <c r="N54" s="294">
        <v>8</v>
      </c>
      <c r="O54" s="170"/>
    </row>
    <row r="55" ht="15.75" customHeight="1" spans="1:15">
      <c r="A55" s="183" t="str">
        <f>VLOOKUP(F55,数据集标准分类!A:G,7,0)</f>
        <v>02</v>
      </c>
      <c r="B55" s="183" t="str">
        <f>VLOOKUP(F55,数据集标准分类!A:F,6,0)</f>
        <v>电子病历</v>
      </c>
      <c r="C55" s="183" t="str">
        <f>VLOOKUP(F55,数据集标准分类!A:E,5,0)</f>
        <v>0201</v>
      </c>
      <c r="D55" s="183" t="str">
        <f>VLOOKUP(F55,数据集标准分类!A:D,4,0)</f>
        <v>病案首页</v>
      </c>
      <c r="E55" s="183" t="str">
        <f>VLOOKUP(F55,数据集标准分类!A:C,3,0)</f>
        <v>020101</v>
      </c>
      <c r="F55" s="170" t="s">
        <v>238</v>
      </c>
      <c r="G55" s="183" t="str">
        <f>VLOOKUP(F55,数据集标准分类!A:B,2,0)</f>
        <v>inpatient_case_homepage</v>
      </c>
      <c r="H55" s="294">
        <f>VLOOKUP(F55,数据集标准分类!A:H,8,0)</f>
        <v>4</v>
      </c>
      <c r="I55" s="170" t="s">
        <v>268</v>
      </c>
      <c r="J55" s="170" t="s">
        <v>269</v>
      </c>
      <c r="K55" s="170" t="s">
        <v>269</v>
      </c>
      <c r="L55" s="170" t="s">
        <v>270</v>
      </c>
      <c r="M55" s="170"/>
      <c r="N55" s="294">
        <v>9</v>
      </c>
      <c r="O55" s="170"/>
    </row>
    <row r="56" ht="15.75" customHeight="1" spans="1:15">
      <c r="A56" s="183" t="str">
        <f>VLOOKUP(F56,数据集标准分类!A:G,7,0)</f>
        <v>02</v>
      </c>
      <c r="B56" s="183" t="str">
        <f>VLOOKUP(F56,数据集标准分类!A:F,6,0)</f>
        <v>电子病历</v>
      </c>
      <c r="C56" s="183" t="str">
        <f>VLOOKUP(F56,数据集标准分类!A:E,5,0)</f>
        <v>0201</v>
      </c>
      <c r="D56" s="183" t="str">
        <f>VLOOKUP(F56,数据集标准分类!A:D,4,0)</f>
        <v>病案首页</v>
      </c>
      <c r="E56" s="183" t="str">
        <f>VLOOKUP(F56,数据集标准分类!A:C,3,0)</f>
        <v>020101</v>
      </c>
      <c r="F56" s="170" t="s">
        <v>238</v>
      </c>
      <c r="G56" s="183" t="str">
        <f>VLOOKUP(F56,数据集标准分类!A:B,2,0)</f>
        <v>inpatient_case_homepage</v>
      </c>
      <c r="H56" s="294">
        <f>VLOOKUP(F56,数据集标准分类!A:H,8,0)</f>
        <v>4</v>
      </c>
      <c r="I56" s="170" t="s">
        <v>271</v>
      </c>
      <c r="J56" s="170" t="s">
        <v>272</v>
      </c>
      <c r="K56" s="170" t="s">
        <v>272</v>
      </c>
      <c r="L56" s="170" t="s">
        <v>273</v>
      </c>
      <c r="M56" s="170"/>
      <c r="N56" s="294">
        <v>10</v>
      </c>
      <c r="O56" s="170"/>
    </row>
    <row r="57" ht="15.75" customHeight="1" spans="1:15">
      <c r="A57" s="183" t="str">
        <f>VLOOKUP(F57,数据集标准分类!A:G,7,0)</f>
        <v>02</v>
      </c>
      <c r="B57" s="183" t="str">
        <f>VLOOKUP(F57,数据集标准分类!A:F,6,0)</f>
        <v>电子病历</v>
      </c>
      <c r="C57" s="183" t="str">
        <f>VLOOKUP(F57,数据集标准分类!A:E,5,0)</f>
        <v>0201</v>
      </c>
      <c r="D57" s="183" t="str">
        <f>VLOOKUP(F57,数据集标准分类!A:D,4,0)</f>
        <v>病案首页</v>
      </c>
      <c r="E57" s="183" t="str">
        <f>VLOOKUP(F57,数据集标准分类!A:C,3,0)</f>
        <v>020101</v>
      </c>
      <c r="F57" s="170" t="s">
        <v>238</v>
      </c>
      <c r="G57" s="183" t="str">
        <f>VLOOKUP(F57,数据集标准分类!A:B,2,0)</f>
        <v>inpatient_case_homepage</v>
      </c>
      <c r="H57" s="294">
        <f>VLOOKUP(F57,数据集标准分类!A:H,8,0)</f>
        <v>4</v>
      </c>
      <c r="I57" s="170" t="s">
        <v>274</v>
      </c>
      <c r="J57" s="170" t="s">
        <v>275</v>
      </c>
      <c r="K57" s="170" t="s">
        <v>276</v>
      </c>
      <c r="L57" s="170" t="s">
        <v>277</v>
      </c>
      <c r="M57" s="170"/>
      <c r="N57" s="294">
        <v>11</v>
      </c>
      <c r="O57" s="170"/>
    </row>
    <row r="58" ht="15.75" customHeight="1" spans="1:15">
      <c r="A58" s="183" t="str">
        <f>VLOOKUP(F58,数据集标准分类!A:G,7,0)</f>
        <v>02</v>
      </c>
      <c r="B58" s="183" t="str">
        <f>VLOOKUP(F58,数据集标准分类!A:F,6,0)</f>
        <v>电子病历</v>
      </c>
      <c r="C58" s="183" t="str">
        <f>VLOOKUP(F58,数据集标准分类!A:E,5,0)</f>
        <v>0201</v>
      </c>
      <c r="D58" s="183" t="str">
        <f>VLOOKUP(F58,数据集标准分类!A:D,4,0)</f>
        <v>病案首页</v>
      </c>
      <c r="E58" s="183" t="str">
        <f>VLOOKUP(F58,数据集标准分类!A:C,3,0)</f>
        <v>020101</v>
      </c>
      <c r="F58" s="170" t="s">
        <v>238</v>
      </c>
      <c r="G58" s="183" t="str">
        <f>VLOOKUP(F58,数据集标准分类!A:B,2,0)</f>
        <v>inpatient_case_homepage</v>
      </c>
      <c r="H58" s="294">
        <f>VLOOKUP(F58,数据集标准分类!A:H,8,0)</f>
        <v>4</v>
      </c>
      <c r="I58" s="170" t="s">
        <v>278</v>
      </c>
      <c r="J58" s="170" t="s">
        <v>279</v>
      </c>
      <c r="K58" s="170" t="s">
        <v>280</v>
      </c>
      <c r="L58" s="170" t="s">
        <v>281</v>
      </c>
      <c r="M58" s="170"/>
      <c r="N58" s="294">
        <v>12</v>
      </c>
      <c r="O58" s="170"/>
    </row>
    <row r="59" ht="15.75" customHeight="1" spans="1:15">
      <c r="A59" s="183" t="str">
        <f>VLOOKUP(F59,数据集标准分类!A:G,7,0)</f>
        <v>02</v>
      </c>
      <c r="B59" s="183" t="str">
        <f>VLOOKUP(F59,数据集标准分类!A:F,6,0)</f>
        <v>电子病历</v>
      </c>
      <c r="C59" s="183" t="str">
        <f>VLOOKUP(F59,数据集标准分类!A:E,5,0)</f>
        <v>0201</v>
      </c>
      <c r="D59" s="183" t="str">
        <f>VLOOKUP(F59,数据集标准分类!A:D,4,0)</f>
        <v>病案首页</v>
      </c>
      <c r="E59" s="183" t="str">
        <f>VLOOKUP(F59,数据集标准分类!A:C,3,0)</f>
        <v>020101</v>
      </c>
      <c r="F59" s="170" t="s">
        <v>238</v>
      </c>
      <c r="G59" s="183" t="str">
        <f>VLOOKUP(F59,数据集标准分类!A:B,2,0)</f>
        <v>inpatient_case_homepage</v>
      </c>
      <c r="H59" s="294">
        <f>VLOOKUP(F59,数据集标准分类!A:H,8,0)</f>
        <v>4</v>
      </c>
      <c r="I59" s="170" t="s">
        <v>282</v>
      </c>
      <c r="J59" s="170" t="s">
        <v>283</v>
      </c>
      <c r="K59" s="170" t="s">
        <v>284</v>
      </c>
      <c r="L59" s="170" t="s">
        <v>285</v>
      </c>
      <c r="M59" s="170"/>
      <c r="N59" s="294">
        <v>13</v>
      </c>
      <c r="O59" s="170"/>
    </row>
    <row r="60" ht="15.75" customHeight="1" spans="1:15">
      <c r="A60" s="183" t="str">
        <f>VLOOKUP(F60,数据集标准分类!A:G,7,0)</f>
        <v>02</v>
      </c>
      <c r="B60" s="183" t="str">
        <f>VLOOKUP(F60,数据集标准分类!A:F,6,0)</f>
        <v>电子病历</v>
      </c>
      <c r="C60" s="183" t="str">
        <f>VLOOKUP(F60,数据集标准分类!A:E,5,0)</f>
        <v>0201</v>
      </c>
      <c r="D60" s="183" t="str">
        <f>VLOOKUP(F60,数据集标准分类!A:D,4,0)</f>
        <v>病案首页</v>
      </c>
      <c r="E60" s="183" t="str">
        <f>VLOOKUP(F60,数据集标准分类!A:C,3,0)</f>
        <v>020101</v>
      </c>
      <c r="F60" s="170" t="s">
        <v>238</v>
      </c>
      <c r="G60" s="183" t="str">
        <f>VLOOKUP(F60,数据集标准分类!A:B,2,0)</f>
        <v>inpatient_case_homepage</v>
      </c>
      <c r="H60" s="294">
        <f>VLOOKUP(F60,数据集标准分类!A:H,8,0)</f>
        <v>4</v>
      </c>
      <c r="I60" s="170" t="s">
        <v>286</v>
      </c>
      <c r="J60" s="170" t="s">
        <v>287</v>
      </c>
      <c r="K60" s="170" t="s">
        <v>288</v>
      </c>
      <c r="L60" s="170" t="s">
        <v>289</v>
      </c>
      <c r="M60" s="170"/>
      <c r="N60" s="294">
        <v>14</v>
      </c>
      <c r="O60" s="170"/>
    </row>
    <row r="61" ht="15.75" customHeight="1" spans="1:15">
      <c r="A61" s="183" t="str">
        <f>VLOOKUP(F61,数据集标准分类!A:G,7,0)</f>
        <v>02</v>
      </c>
      <c r="B61" s="183" t="str">
        <f>VLOOKUP(F61,数据集标准分类!A:F,6,0)</f>
        <v>电子病历</v>
      </c>
      <c r="C61" s="183" t="str">
        <f>VLOOKUP(F61,数据集标准分类!A:E,5,0)</f>
        <v>0201</v>
      </c>
      <c r="D61" s="183" t="str">
        <f>VLOOKUP(F61,数据集标准分类!A:D,4,0)</f>
        <v>病案首页</v>
      </c>
      <c r="E61" s="183" t="str">
        <f>VLOOKUP(F61,数据集标准分类!A:C,3,0)</f>
        <v>020101</v>
      </c>
      <c r="F61" s="170" t="s">
        <v>238</v>
      </c>
      <c r="G61" s="183" t="str">
        <f>VLOOKUP(F61,数据集标准分类!A:B,2,0)</f>
        <v>inpatient_case_homepage</v>
      </c>
      <c r="H61" s="294">
        <f>VLOOKUP(F61,数据集标准分类!A:H,8,0)</f>
        <v>4</v>
      </c>
      <c r="I61" s="170" t="s">
        <v>61</v>
      </c>
      <c r="J61" s="170" t="s">
        <v>62</v>
      </c>
      <c r="K61" s="170" t="s">
        <v>63</v>
      </c>
      <c r="L61" s="170" t="s">
        <v>64</v>
      </c>
      <c r="M61" s="170"/>
      <c r="N61" s="294">
        <v>15</v>
      </c>
      <c r="O61" s="170"/>
    </row>
    <row r="62" ht="15.75" customHeight="1" spans="1:15">
      <c r="A62" s="183" t="str">
        <f>VLOOKUP(F62,数据集标准分类!A:G,7,0)</f>
        <v>02</v>
      </c>
      <c r="B62" s="183" t="str">
        <f>VLOOKUP(F62,数据集标准分类!A:F,6,0)</f>
        <v>电子病历</v>
      </c>
      <c r="C62" s="183" t="str">
        <f>VLOOKUP(F62,数据集标准分类!A:E,5,0)</f>
        <v>0201</v>
      </c>
      <c r="D62" s="183" t="str">
        <f>VLOOKUP(F62,数据集标准分类!A:D,4,0)</f>
        <v>病案首页</v>
      </c>
      <c r="E62" s="183" t="str">
        <f>VLOOKUP(F62,数据集标准分类!A:C,3,0)</f>
        <v>020101</v>
      </c>
      <c r="F62" s="170" t="s">
        <v>238</v>
      </c>
      <c r="G62" s="183" t="str">
        <f>VLOOKUP(F62,数据集标准分类!A:B,2,0)</f>
        <v>inpatient_case_homepage</v>
      </c>
      <c r="H62" s="294">
        <f>VLOOKUP(F62,数据集标准分类!A:H,8,0)</f>
        <v>4</v>
      </c>
      <c r="I62" s="170" t="s">
        <v>290</v>
      </c>
      <c r="J62" s="170" t="s">
        <v>291</v>
      </c>
      <c r="K62" s="170" t="s">
        <v>292</v>
      </c>
      <c r="L62" s="170" t="s">
        <v>293</v>
      </c>
      <c r="M62" s="170"/>
      <c r="N62" s="294">
        <v>16</v>
      </c>
      <c r="O62" s="170"/>
    </row>
    <row r="63" ht="15.75" customHeight="1" spans="1:15">
      <c r="A63" s="183" t="str">
        <f>VLOOKUP(F63,数据集标准分类!A:G,7,0)</f>
        <v>02</v>
      </c>
      <c r="B63" s="183" t="str">
        <f>VLOOKUP(F63,数据集标准分类!A:F,6,0)</f>
        <v>电子病历</v>
      </c>
      <c r="C63" s="183" t="str">
        <f>VLOOKUP(F63,数据集标准分类!A:E,5,0)</f>
        <v>0201</v>
      </c>
      <c r="D63" s="183" t="str">
        <f>VLOOKUP(F63,数据集标准分类!A:D,4,0)</f>
        <v>病案首页</v>
      </c>
      <c r="E63" s="183" t="str">
        <f>VLOOKUP(F63,数据集标准分类!A:C,3,0)</f>
        <v>020101</v>
      </c>
      <c r="F63" s="170" t="s">
        <v>238</v>
      </c>
      <c r="G63" s="183" t="str">
        <f>VLOOKUP(F63,数据集标准分类!A:B,2,0)</f>
        <v>inpatient_case_homepage</v>
      </c>
      <c r="H63" s="294">
        <f>VLOOKUP(F63,数据集标准分类!A:H,8,0)</f>
        <v>4</v>
      </c>
      <c r="I63" s="170" t="s">
        <v>294</v>
      </c>
      <c r="J63" s="170" t="s">
        <v>295</v>
      </c>
      <c r="K63" s="170" t="s">
        <v>296</v>
      </c>
      <c r="L63" s="170" t="s">
        <v>297</v>
      </c>
      <c r="M63" s="170"/>
      <c r="N63" s="294">
        <v>17</v>
      </c>
      <c r="O63" s="170"/>
    </row>
    <row r="64" ht="15.75" customHeight="1" spans="1:15">
      <c r="A64" s="183" t="str">
        <f>VLOOKUP(F64,数据集标准分类!A:G,7,0)</f>
        <v>02</v>
      </c>
      <c r="B64" s="183" t="str">
        <f>VLOOKUP(F64,数据集标准分类!A:F,6,0)</f>
        <v>电子病历</v>
      </c>
      <c r="C64" s="183" t="str">
        <f>VLOOKUP(F64,数据集标准分类!A:E,5,0)</f>
        <v>0201</v>
      </c>
      <c r="D64" s="183" t="str">
        <f>VLOOKUP(F64,数据集标准分类!A:D,4,0)</f>
        <v>病案首页</v>
      </c>
      <c r="E64" s="183" t="str">
        <f>VLOOKUP(F64,数据集标准分类!A:C,3,0)</f>
        <v>020101</v>
      </c>
      <c r="F64" s="170" t="s">
        <v>238</v>
      </c>
      <c r="G64" s="183" t="str">
        <f>VLOOKUP(F64,数据集标准分类!A:B,2,0)</f>
        <v>inpatient_case_homepage</v>
      </c>
      <c r="H64" s="294">
        <f>VLOOKUP(F64,数据集标准分类!A:H,8,0)</f>
        <v>4</v>
      </c>
      <c r="I64" s="170" t="s">
        <v>298</v>
      </c>
      <c r="J64" s="170" t="s">
        <v>299</v>
      </c>
      <c r="K64" s="170" t="s">
        <v>300</v>
      </c>
      <c r="L64" s="170" t="s">
        <v>301</v>
      </c>
      <c r="M64" s="170"/>
      <c r="N64" s="294">
        <v>18</v>
      </c>
      <c r="O64" s="170"/>
    </row>
    <row r="65" ht="15.75" customHeight="1" spans="1:15">
      <c r="A65" s="183" t="str">
        <f>VLOOKUP(F65,数据集标准分类!A:G,7,0)</f>
        <v>02</v>
      </c>
      <c r="B65" s="183" t="str">
        <f>VLOOKUP(F65,数据集标准分类!A:F,6,0)</f>
        <v>电子病历</v>
      </c>
      <c r="C65" s="183" t="str">
        <f>VLOOKUP(F65,数据集标准分类!A:E,5,0)</f>
        <v>0201</v>
      </c>
      <c r="D65" s="183" t="str">
        <f>VLOOKUP(F65,数据集标准分类!A:D,4,0)</f>
        <v>病案首页</v>
      </c>
      <c r="E65" s="183" t="str">
        <f>VLOOKUP(F65,数据集标准分类!A:C,3,0)</f>
        <v>020101</v>
      </c>
      <c r="F65" s="170" t="s">
        <v>238</v>
      </c>
      <c r="G65" s="183" t="str">
        <f>VLOOKUP(F65,数据集标准分类!A:B,2,0)</f>
        <v>inpatient_case_homepage</v>
      </c>
      <c r="H65" s="294">
        <f>VLOOKUP(F65,数据集标准分类!A:H,8,0)</f>
        <v>4</v>
      </c>
      <c r="I65" s="170" t="s">
        <v>302</v>
      </c>
      <c r="J65" s="170" t="s">
        <v>303</v>
      </c>
      <c r="K65" s="170" t="s">
        <v>304</v>
      </c>
      <c r="L65" s="170" t="s">
        <v>305</v>
      </c>
      <c r="M65" s="170"/>
      <c r="N65" s="294">
        <v>19</v>
      </c>
      <c r="O65" s="170"/>
    </row>
    <row r="66" ht="15.75" customHeight="1" spans="1:15">
      <c r="A66" s="183" t="str">
        <f>VLOOKUP(F66,数据集标准分类!A:G,7,0)</f>
        <v>02</v>
      </c>
      <c r="B66" s="183" t="str">
        <f>VLOOKUP(F66,数据集标准分类!A:F,6,0)</f>
        <v>电子病历</v>
      </c>
      <c r="C66" s="183" t="str">
        <f>VLOOKUP(F66,数据集标准分类!A:E,5,0)</f>
        <v>0201</v>
      </c>
      <c r="D66" s="183" t="str">
        <f>VLOOKUP(F66,数据集标准分类!A:D,4,0)</f>
        <v>病案首页</v>
      </c>
      <c r="E66" s="183" t="str">
        <f>VLOOKUP(F66,数据集标准分类!A:C,3,0)</f>
        <v>020101</v>
      </c>
      <c r="F66" s="170" t="s">
        <v>238</v>
      </c>
      <c r="G66" s="183" t="str">
        <f>VLOOKUP(F66,数据集标准分类!A:B,2,0)</f>
        <v>inpatient_case_homepage</v>
      </c>
      <c r="H66" s="294">
        <f>VLOOKUP(F66,数据集标准分类!A:H,8,0)</f>
        <v>4</v>
      </c>
      <c r="I66" s="170" t="s">
        <v>306</v>
      </c>
      <c r="J66" s="170" t="s">
        <v>307</v>
      </c>
      <c r="K66" s="170" t="s">
        <v>308</v>
      </c>
      <c r="L66" s="170" t="s">
        <v>309</v>
      </c>
      <c r="M66" s="170"/>
      <c r="N66" s="294">
        <v>20</v>
      </c>
      <c r="O66" s="170"/>
    </row>
    <row r="67" ht="15.75" customHeight="1" spans="1:15">
      <c r="A67" s="183" t="str">
        <f>VLOOKUP(F67,数据集标准分类!A:G,7,0)</f>
        <v>02</v>
      </c>
      <c r="B67" s="183" t="str">
        <f>VLOOKUP(F67,数据集标准分类!A:F,6,0)</f>
        <v>电子病历</v>
      </c>
      <c r="C67" s="183" t="str">
        <f>VLOOKUP(F67,数据集标准分类!A:E,5,0)</f>
        <v>0201</v>
      </c>
      <c r="D67" s="183" t="str">
        <f>VLOOKUP(F67,数据集标准分类!A:D,4,0)</f>
        <v>病案首页</v>
      </c>
      <c r="E67" s="183" t="str">
        <f>VLOOKUP(F67,数据集标准分类!A:C,3,0)</f>
        <v>020101</v>
      </c>
      <c r="F67" s="170" t="s">
        <v>238</v>
      </c>
      <c r="G67" s="183" t="str">
        <f>VLOOKUP(F67,数据集标准分类!A:B,2,0)</f>
        <v>inpatient_case_homepage</v>
      </c>
      <c r="H67" s="294">
        <f>VLOOKUP(F67,数据集标准分类!A:H,8,0)</f>
        <v>4</v>
      </c>
      <c r="I67" s="170" t="s">
        <v>77</v>
      </c>
      <c r="J67" s="170" t="s">
        <v>78</v>
      </c>
      <c r="K67" s="170" t="s">
        <v>79</v>
      </c>
      <c r="L67" s="170" t="s">
        <v>80</v>
      </c>
      <c r="M67" s="170" t="s">
        <v>310</v>
      </c>
      <c r="N67" s="294">
        <v>21</v>
      </c>
      <c r="O67" s="170"/>
    </row>
    <row r="68" ht="15.75" customHeight="1" spans="1:15">
      <c r="A68" s="183" t="str">
        <f>VLOOKUP(F68,数据集标准分类!A:G,7,0)</f>
        <v>02</v>
      </c>
      <c r="B68" s="183" t="str">
        <f>VLOOKUP(F68,数据集标准分类!A:F,6,0)</f>
        <v>电子病历</v>
      </c>
      <c r="C68" s="183" t="str">
        <f>VLOOKUP(F68,数据集标准分类!A:E,5,0)</f>
        <v>0201</v>
      </c>
      <c r="D68" s="183" t="str">
        <f>VLOOKUP(F68,数据集标准分类!A:D,4,0)</f>
        <v>病案首页</v>
      </c>
      <c r="E68" s="183" t="str">
        <f>VLOOKUP(F68,数据集标准分类!A:C,3,0)</f>
        <v>020101</v>
      </c>
      <c r="F68" s="170" t="s">
        <v>238</v>
      </c>
      <c r="G68" s="183" t="str">
        <f>VLOOKUP(F68,数据集标准分类!A:B,2,0)</f>
        <v>inpatient_case_homepage</v>
      </c>
      <c r="H68" s="294">
        <f>VLOOKUP(F68,数据集标准分类!A:H,8,0)</f>
        <v>4</v>
      </c>
      <c r="I68" s="170" t="s">
        <v>82</v>
      </c>
      <c r="J68" s="170" t="s">
        <v>83</v>
      </c>
      <c r="K68" s="170" t="s">
        <v>84</v>
      </c>
      <c r="L68" s="170" t="s">
        <v>85</v>
      </c>
      <c r="M68" s="170" t="s">
        <v>311</v>
      </c>
      <c r="N68" s="294">
        <v>22</v>
      </c>
      <c r="O68" s="170"/>
    </row>
    <row r="69" ht="15.75" customHeight="1" spans="1:15">
      <c r="A69" s="183" t="str">
        <f>VLOOKUP(F69,数据集标准分类!A:G,7,0)</f>
        <v>02</v>
      </c>
      <c r="B69" s="183" t="str">
        <f>VLOOKUP(F69,数据集标准分类!A:F,6,0)</f>
        <v>电子病历</v>
      </c>
      <c r="C69" s="183" t="str">
        <f>VLOOKUP(F69,数据集标准分类!A:E,5,0)</f>
        <v>0201</v>
      </c>
      <c r="D69" s="183" t="str">
        <f>VLOOKUP(F69,数据集标准分类!A:D,4,0)</f>
        <v>病案首页</v>
      </c>
      <c r="E69" s="183" t="str">
        <f>VLOOKUP(F69,数据集标准分类!A:C,3,0)</f>
        <v>020101</v>
      </c>
      <c r="F69" s="170" t="s">
        <v>238</v>
      </c>
      <c r="G69" s="183" t="str">
        <f>VLOOKUP(F69,数据集标准分类!A:B,2,0)</f>
        <v>inpatient_case_homepage</v>
      </c>
      <c r="H69" s="294">
        <f>VLOOKUP(F69,数据集标准分类!A:H,8,0)</f>
        <v>4</v>
      </c>
      <c r="I69" s="170" t="s">
        <v>312</v>
      </c>
      <c r="J69" s="170" t="s">
        <v>313</v>
      </c>
      <c r="K69" s="170" t="s">
        <v>314</v>
      </c>
      <c r="L69" s="170" t="s">
        <v>315</v>
      </c>
      <c r="M69" s="170"/>
      <c r="N69" s="294">
        <v>23</v>
      </c>
      <c r="O69" s="170"/>
    </row>
    <row r="70" ht="15.75" customHeight="1" spans="1:15">
      <c r="A70" s="183" t="str">
        <f>VLOOKUP(F70,数据集标准分类!A:G,7,0)</f>
        <v>02</v>
      </c>
      <c r="B70" s="183" t="str">
        <f>VLOOKUP(F70,数据集标准分类!A:F,6,0)</f>
        <v>电子病历</v>
      </c>
      <c r="C70" s="183" t="str">
        <f>VLOOKUP(F70,数据集标准分类!A:E,5,0)</f>
        <v>0201</v>
      </c>
      <c r="D70" s="183" t="str">
        <f>VLOOKUP(F70,数据集标准分类!A:D,4,0)</f>
        <v>病案首页</v>
      </c>
      <c r="E70" s="183" t="str">
        <f>VLOOKUP(F70,数据集标准分类!A:C,3,0)</f>
        <v>020101</v>
      </c>
      <c r="F70" s="170" t="s">
        <v>238</v>
      </c>
      <c r="G70" s="183" t="str">
        <f>VLOOKUP(F70,数据集标准分类!A:B,2,0)</f>
        <v>inpatient_case_homepage</v>
      </c>
      <c r="H70" s="294">
        <f>VLOOKUP(F70,数据集标准分类!A:H,8,0)</f>
        <v>4</v>
      </c>
      <c r="I70" s="170" t="s">
        <v>316</v>
      </c>
      <c r="J70" s="170" t="s">
        <v>317</v>
      </c>
      <c r="K70" s="170" t="s">
        <v>318</v>
      </c>
      <c r="L70" s="170" t="s">
        <v>319</v>
      </c>
      <c r="M70" s="170" t="s">
        <v>320</v>
      </c>
      <c r="N70" s="294">
        <v>24</v>
      </c>
      <c r="O70" s="170"/>
    </row>
    <row r="71" ht="15.75" customHeight="1" spans="1:15">
      <c r="A71" s="183" t="str">
        <f>VLOOKUP(F71,数据集标准分类!A:G,7,0)</f>
        <v>02</v>
      </c>
      <c r="B71" s="183" t="str">
        <f>VLOOKUP(F71,数据集标准分类!A:F,6,0)</f>
        <v>电子病历</v>
      </c>
      <c r="C71" s="183" t="str">
        <f>VLOOKUP(F71,数据集标准分类!A:E,5,0)</f>
        <v>0201</v>
      </c>
      <c r="D71" s="183" t="str">
        <f>VLOOKUP(F71,数据集标准分类!A:D,4,0)</f>
        <v>病案首页</v>
      </c>
      <c r="E71" s="183" t="str">
        <f>VLOOKUP(F71,数据集标准分类!A:C,3,0)</f>
        <v>020101</v>
      </c>
      <c r="F71" s="170" t="s">
        <v>238</v>
      </c>
      <c r="G71" s="183" t="str">
        <f>VLOOKUP(F71,数据集标准分类!A:B,2,0)</f>
        <v>inpatient_case_homepage</v>
      </c>
      <c r="H71" s="294">
        <f>VLOOKUP(F71,数据集标准分类!A:H,8,0)</f>
        <v>4</v>
      </c>
      <c r="I71" s="170" t="s">
        <v>321</v>
      </c>
      <c r="J71" s="170" t="s">
        <v>322</v>
      </c>
      <c r="K71" s="170" t="s">
        <v>323</v>
      </c>
      <c r="L71" s="170" t="s">
        <v>324</v>
      </c>
      <c r="M71" s="170" t="s">
        <v>325</v>
      </c>
      <c r="N71" s="294">
        <v>25</v>
      </c>
      <c r="O71" s="170"/>
    </row>
    <row r="72" ht="15.75" customHeight="1" spans="1:15">
      <c r="A72" s="183" t="str">
        <f>VLOOKUP(F72,数据集标准分类!A:G,7,0)</f>
        <v>02</v>
      </c>
      <c r="B72" s="183" t="str">
        <f>VLOOKUP(F72,数据集标准分类!A:F,6,0)</f>
        <v>电子病历</v>
      </c>
      <c r="C72" s="183" t="str">
        <f>VLOOKUP(F72,数据集标准分类!A:E,5,0)</f>
        <v>0201</v>
      </c>
      <c r="D72" s="183" t="str">
        <f>VLOOKUP(F72,数据集标准分类!A:D,4,0)</f>
        <v>病案首页</v>
      </c>
      <c r="E72" s="183" t="str">
        <f>VLOOKUP(F72,数据集标准分类!A:C,3,0)</f>
        <v>020101</v>
      </c>
      <c r="F72" s="170" t="s">
        <v>238</v>
      </c>
      <c r="G72" s="183" t="str">
        <f>VLOOKUP(F72,数据集标准分类!A:B,2,0)</f>
        <v>inpatient_case_homepage</v>
      </c>
      <c r="H72" s="294">
        <f>VLOOKUP(F72,数据集标准分类!A:H,8,0)</f>
        <v>4</v>
      </c>
      <c r="I72" s="170" t="s">
        <v>32</v>
      </c>
      <c r="J72" s="170" t="s">
        <v>33</v>
      </c>
      <c r="K72" s="170" t="s">
        <v>33</v>
      </c>
      <c r="L72" s="170" t="s">
        <v>34</v>
      </c>
      <c r="M72" s="170"/>
      <c r="N72" s="294">
        <v>26</v>
      </c>
      <c r="O72" s="170"/>
    </row>
    <row r="73" ht="15.75" customHeight="1" spans="1:15">
      <c r="A73" s="183" t="str">
        <f>VLOOKUP(F73,数据集标准分类!A:G,7,0)</f>
        <v>02</v>
      </c>
      <c r="B73" s="183" t="str">
        <f>VLOOKUP(F73,数据集标准分类!A:F,6,0)</f>
        <v>电子病历</v>
      </c>
      <c r="C73" s="183" t="str">
        <f>VLOOKUP(F73,数据集标准分类!A:E,5,0)</f>
        <v>0201</v>
      </c>
      <c r="D73" s="183" t="str">
        <f>VLOOKUP(F73,数据集标准分类!A:D,4,0)</f>
        <v>病案首页</v>
      </c>
      <c r="E73" s="183" t="str">
        <f>VLOOKUP(F73,数据集标准分类!A:C,3,0)</f>
        <v>020101</v>
      </c>
      <c r="F73" s="170" t="s">
        <v>238</v>
      </c>
      <c r="G73" s="183" t="str">
        <f>VLOOKUP(F73,数据集标准分类!A:B,2,0)</f>
        <v>inpatient_case_homepage</v>
      </c>
      <c r="H73" s="294">
        <f>VLOOKUP(F73,数据集标准分类!A:H,8,0)</f>
        <v>4</v>
      </c>
      <c r="I73" s="170" t="s">
        <v>326</v>
      </c>
      <c r="J73" s="170" t="s">
        <v>327</v>
      </c>
      <c r="K73" s="170" t="s">
        <v>328</v>
      </c>
      <c r="L73" s="170" t="s">
        <v>329</v>
      </c>
      <c r="M73" s="170"/>
      <c r="N73" s="294">
        <v>27</v>
      </c>
      <c r="O73" s="170"/>
    </row>
    <row r="74" ht="15.75" customHeight="1" spans="1:15">
      <c r="A74" s="183" t="str">
        <f>VLOOKUP(F74,数据集标准分类!A:G,7,0)</f>
        <v>02</v>
      </c>
      <c r="B74" s="183" t="str">
        <f>VLOOKUP(F74,数据集标准分类!A:F,6,0)</f>
        <v>电子病历</v>
      </c>
      <c r="C74" s="183" t="str">
        <f>VLOOKUP(F74,数据集标准分类!A:E,5,0)</f>
        <v>0201</v>
      </c>
      <c r="D74" s="183" t="str">
        <f>VLOOKUP(F74,数据集标准分类!A:D,4,0)</f>
        <v>病案首页</v>
      </c>
      <c r="E74" s="183" t="str">
        <f>VLOOKUP(F74,数据集标准分类!A:C,3,0)</f>
        <v>020101</v>
      </c>
      <c r="F74" s="170" t="s">
        <v>238</v>
      </c>
      <c r="G74" s="183" t="str">
        <f>VLOOKUP(F74,数据集标准分类!A:B,2,0)</f>
        <v>inpatient_case_homepage</v>
      </c>
      <c r="H74" s="294">
        <f>VLOOKUP(F74,数据集标准分类!A:H,8,0)</f>
        <v>4</v>
      </c>
      <c r="I74" s="170" t="s">
        <v>330</v>
      </c>
      <c r="J74" s="170" t="s">
        <v>331</v>
      </c>
      <c r="K74" s="170" t="s">
        <v>332</v>
      </c>
      <c r="L74" s="170" t="s">
        <v>333</v>
      </c>
      <c r="M74" s="170" t="s">
        <v>334</v>
      </c>
      <c r="N74" s="294">
        <v>28</v>
      </c>
      <c r="O74" s="170"/>
    </row>
    <row r="75" ht="15.75" customHeight="1" spans="1:15">
      <c r="A75" s="183" t="str">
        <f>VLOOKUP(F75,数据集标准分类!A:G,7,0)</f>
        <v>02</v>
      </c>
      <c r="B75" s="183" t="str">
        <f>VLOOKUP(F75,数据集标准分类!A:F,6,0)</f>
        <v>电子病历</v>
      </c>
      <c r="C75" s="183" t="str">
        <f>VLOOKUP(F75,数据集标准分类!A:E,5,0)</f>
        <v>0201</v>
      </c>
      <c r="D75" s="183" t="str">
        <f>VLOOKUP(F75,数据集标准分类!A:D,4,0)</f>
        <v>病案首页</v>
      </c>
      <c r="E75" s="183" t="str">
        <f>VLOOKUP(F75,数据集标准分类!A:C,3,0)</f>
        <v>020101</v>
      </c>
      <c r="F75" s="170" t="s">
        <v>238</v>
      </c>
      <c r="G75" s="183" t="str">
        <f>VLOOKUP(F75,数据集标准分类!A:B,2,0)</f>
        <v>inpatient_case_homepage</v>
      </c>
      <c r="H75" s="294">
        <f>VLOOKUP(F75,数据集标准分类!A:H,8,0)</f>
        <v>4</v>
      </c>
      <c r="I75" s="170" t="s">
        <v>335</v>
      </c>
      <c r="J75" s="170" t="s">
        <v>336</v>
      </c>
      <c r="K75" s="170" t="s">
        <v>337</v>
      </c>
      <c r="L75" s="170" t="s">
        <v>338</v>
      </c>
      <c r="M75" s="170" t="s">
        <v>339</v>
      </c>
      <c r="N75" s="294">
        <v>29</v>
      </c>
      <c r="O75" s="170"/>
    </row>
    <row r="76" ht="15.75" customHeight="1" spans="1:15">
      <c r="A76" s="183" t="str">
        <f>VLOOKUP(F76,数据集标准分类!A:G,7,0)</f>
        <v>02</v>
      </c>
      <c r="B76" s="183" t="str">
        <f>VLOOKUP(F76,数据集标准分类!A:F,6,0)</f>
        <v>电子病历</v>
      </c>
      <c r="C76" s="183" t="str">
        <f>VLOOKUP(F76,数据集标准分类!A:E,5,0)</f>
        <v>0201</v>
      </c>
      <c r="D76" s="183" t="str">
        <f>VLOOKUP(F76,数据集标准分类!A:D,4,0)</f>
        <v>病案首页</v>
      </c>
      <c r="E76" s="183" t="str">
        <f>VLOOKUP(F76,数据集标准分类!A:C,3,0)</f>
        <v>020101</v>
      </c>
      <c r="F76" s="170" t="s">
        <v>238</v>
      </c>
      <c r="G76" s="183" t="str">
        <f>VLOOKUP(F76,数据集标准分类!A:B,2,0)</f>
        <v>inpatient_case_homepage</v>
      </c>
      <c r="H76" s="294">
        <f>VLOOKUP(F76,数据集标准分类!A:H,8,0)</f>
        <v>4</v>
      </c>
      <c r="I76" s="170" t="s">
        <v>340</v>
      </c>
      <c r="J76" s="170" t="s">
        <v>341</v>
      </c>
      <c r="K76" s="170" t="s">
        <v>342</v>
      </c>
      <c r="L76" s="170" t="s">
        <v>343</v>
      </c>
      <c r="M76" s="170" t="s">
        <v>344</v>
      </c>
      <c r="N76" s="294">
        <v>30</v>
      </c>
      <c r="O76" s="170"/>
    </row>
    <row r="77" ht="15.75" customHeight="1" spans="1:15">
      <c r="A77" s="183" t="str">
        <f>VLOOKUP(F77,数据集标准分类!A:G,7,0)</f>
        <v>02</v>
      </c>
      <c r="B77" s="183" t="str">
        <f>VLOOKUP(F77,数据集标准分类!A:F,6,0)</f>
        <v>电子病历</v>
      </c>
      <c r="C77" s="183" t="str">
        <f>VLOOKUP(F77,数据集标准分类!A:E,5,0)</f>
        <v>0201</v>
      </c>
      <c r="D77" s="183" t="str">
        <f>VLOOKUP(F77,数据集标准分类!A:D,4,0)</f>
        <v>病案首页</v>
      </c>
      <c r="E77" s="183" t="str">
        <f>VLOOKUP(F77,数据集标准分类!A:C,3,0)</f>
        <v>020101</v>
      </c>
      <c r="F77" s="170" t="s">
        <v>238</v>
      </c>
      <c r="G77" s="183" t="str">
        <f>VLOOKUP(F77,数据集标准分类!A:B,2,0)</f>
        <v>inpatient_case_homepage</v>
      </c>
      <c r="H77" s="294">
        <f>VLOOKUP(F77,数据集标准分类!A:H,8,0)</f>
        <v>4</v>
      </c>
      <c r="I77" s="170" t="s">
        <v>152</v>
      </c>
      <c r="J77" s="170" t="s">
        <v>153</v>
      </c>
      <c r="K77" s="170" t="s">
        <v>154</v>
      </c>
      <c r="L77" s="170" t="s">
        <v>155</v>
      </c>
      <c r="M77" s="170" t="s">
        <v>156</v>
      </c>
      <c r="N77" s="294">
        <v>31</v>
      </c>
      <c r="O77" s="170"/>
    </row>
    <row r="78" ht="15.75" customHeight="1" spans="1:15">
      <c r="A78" s="183" t="str">
        <f>VLOOKUP(F78,数据集标准分类!A:G,7,0)</f>
        <v>02</v>
      </c>
      <c r="B78" s="183" t="str">
        <f>VLOOKUP(F78,数据集标准分类!A:F,6,0)</f>
        <v>电子病历</v>
      </c>
      <c r="C78" s="183" t="str">
        <f>VLOOKUP(F78,数据集标准分类!A:E,5,0)</f>
        <v>0201</v>
      </c>
      <c r="D78" s="183" t="str">
        <f>VLOOKUP(F78,数据集标准分类!A:D,4,0)</f>
        <v>病案首页</v>
      </c>
      <c r="E78" s="183" t="str">
        <f>VLOOKUP(F78,数据集标准分类!A:C,3,0)</f>
        <v>020101</v>
      </c>
      <c r="F78" s="170" t="s">
        <v>238</v>
      </c>
      <c r="G78" s="183" t="str">
        <f>VLOOKUP(F78,数据集标准分类!A:B,2,0)</f>
        <v>inpatient_case_homepage</v>
      </c>
      <c r="H78" s="294">
        <f>VLOOKUP(F78,数据集标准分类!A:H,8,0)</f>
        <v>4</v>
      </c>
      <c r="I78" s="170" t="s">
        <v>157</v>
      </c>
      <c r="J78" s="170" t="s">
        <v>158</v>
      </c>
      <c r="K78" s="170" t="s">
        <v>159</v>
      </c>
      <c r="L78" s="170" t="s">
        <v>160</v>
      </c>
      <c r="M78" s="170" t="s">
        <v>161</v>
      </c>
      <c r="N78" s="294">
        <v>32</v>
      </c>
      <c r="O78" s="170"/>
    </row>
    <row r="79" ht="15.75" customHeight="1" spans="1:15">
      <c r="A79" s="183" t="str">
        <f>VLOOKUP(F79,数据集标准分类!A:G,7,0)</f>
        <v>02</v>
      </c>
      <c r="B79" s="183" t="str">
        <f>VLOOKUP(F79,数据集标准分类!A:F,6,0)</f>
        <v>电子病历</v>
      </c>
      <c r="C79" s="183" t="str">
        <f>VLOOKUP(F79,数据集标准分类!A:E,5,0)</f>
        <v>0201</v>
      </c>
      <c r="D79" s="183" t="str">
        <f>VLOOKUP(F79,数据集标准分类!A:D,4,0)</f>
        <v>病案首页</v>
      </c>
      <c r="E79" s="183" t="str">
        <f>VLOOKUP(F79,数据集标准分类!A:C,3,0)</f>
        <v>020101</v>
      </c>
      <c r="F79" s="170" t="s">
        <v>238</v>
      </c>
      <c r="G79" s="183" t="str">
        <f>VLOOKUP(F79,数据集标准分类!A:B,2,0)</f>
        <v>inpatient_case_homepage</v>
      </c>
      <c r="H79" s="294">
        <f>VLOOKUP(F79,数据集标准分类!A:H,8,0)</f>
        <v>4</v>
      </c>
      <c r="I79" s="170" t="s">
        <v>345</v>
      </c>
      <c r="J79" s="170" t="s">
        <v>346</v>
      </c>
      <c r="K79" s="170" t="s">
        <v>347</v>
      </c>
      <c r="L79" s="170" t="s">
        <v>348</v>
      </c>
      <c r="M79" s="170" t="s">
        <v>349</v>
      </c>
      <c r="N79" s="294">
        <v>33</v>
      </c>
      <c r="O79" s="170"/>
    </row>
    <row r="80" ht="15.75" customHeight="1" spans="1:15">
      <c r="A80" s="183" t="str">
        <f>VLOOKUP(F80,数据集标准分类!A:G,7,0)</f>
        <v>02</v>
      </c>
      <c r="B80" s="183" t="str">
        <f>VLOOKUP(F80,数据集标准分类!A:F,6,0)</f>
        <v>电子病历</v>
      </c>
      <c r="C80" s="183" t="str">
        <f>VLOOKUP(F80,数据集标准分类!A:E,5,0)</f>
        <v>0201</v>
      </c>
      <c r="D80" s="183" t="str">
        <f>VLOOKUP(F80,数据集标准分类!A:D,4,0)</f>
        <v>病案首页</v>
      </c>
      <c r="E80" s="183" t="str">
        <f>VLOOKUP(F80,数据集标准分类!A:C,3,0)</f>
        <v>020101</v>
      </c>
      <c r="F80" s="170" t="s">
        <v>238</v>
      </c>
      <c r="G80" s="183" t="str">
        <f>VLOOKUP(F80,数据集标准分类!A:B,2,0)</f>
        <v>inpatient_case_homepage</v>
      </c>
      <c r="H80" s="294">
        <f>VLOOKUP(F80,数据集标准分类!A:H,8,0)</f>
        <v>4</v>
      </c>
      <c r="I80" s="170" t="s">
        <v>350</v>
      </c>
      <c r="J80" s="170" t="s">
        <v>351</v>
      </c>
      <c r="K80" s="170" t="s">
        <v>352</v>
      </c>
      <c r="L80" s="170" t="s">
        <v>353</v>
      </c>
      <c r="M80" s="170" t="s">
        <v>354</v>
      </c>
      <c r="N80" s="294">
        <v>34</v>
      </c>
      <c r="O80" s="170"/>
    </row>
    <row r="81" ht="15.75" customHeight="1" spans="1:15">
      <c r="A81" s="183" t="str">
        <f>VLOOKUP(F81,数据集标准分类!A:G,7,0)</f>
        <v>02</v>
      </c>
      <c r="B81" s="183" t="str">
        <f>VLOOKUP(F81,数据集标准分类!A:F,6,0)</f>
        <v>电子病历</v>
      </c>
      <c r="C81" s="183" t="str">
        <f>VLOOKUP(F81,数据集标准分类!A:E,5,0)</f>
        <v>0201</v>
      </c>
      <c r="D81" s="183" t="str">
        <f>VLOOKUP(F81,数据集标准分类!A:D,4,0)</f>
        <v>病案首页</v>
      </c>
      <c r="E81" s="183" t="str">
        <f>VLOOKUP(F81,数据集标准分类!A:C,3,0)</f>
        <v>020101</v>
      </c>
      <c r="F81" s="170" t="s">
        <v>238</v>
      </c>
      <c r="G81" s="183" t="str">
        <f>VLOOKUP(F81,数据集标准分类!A:B,2,0)</f>
        <v>inpatient_case_homepage</v>
      </c>
      <c r="H81" s="294">
        <f>VLOOKUP(F81,数据集标准分类!A:H,8,0)</f>
        <v>4</v>
      </c>
      <c r="I81" s="170" t="s">
        <v>355</v>
      </c>
      <c r="J81" s="170" t="s">
        <v>356</v>
      </c>
      <c r="K81" s="170" t="s">
        <v>357</v>
      </c>
      <c r="L81" s="170" t="s">
        <v>358</v>
      </c>
      <c r="M81" s="170" t="s">
        <v>359</v>
      </c>
      <c r="N81" s="294">
        <v>35</v>
      </c>
      <c r="O81" s="170"/>
    </row>
    <row r="82" ht="15.75" customHeight="1" spans="1:15">
      <c r="A82" s="183" t="str">
        <f>VLOOKUP(F82,数据集标准分类!A:G,7,0)</f>
        <v>02</v>
      </c>
      <c r="B82" s="183" t="str">
        <f>VLOOKUP(F82,数据集标准分类!A:F,6,0)</f>
        <v>电子病历</v>
      </c>
      <c r="C82" s="183" t="str">
        <f>VLOOKUP(F82,数据集标准分类!A:E,5,0)</f>
        <v>0201</v>
      </c>
      <c r="D82" s="183" t="str">
        <f>VLOOKUP(F82,数据集标准分类!A:D,4,0)</f>
        <v>病案首页</v>
      </c>
      <c r="E82" s="183" t="str">
        <f>VLOOKUP(F82,数据集标准分类!A:C,3,0)</f>
        <v>020101</v>
      </c>
      <c r="F82" s="170" t="s">
        <v>238</v>
      </c>
      <c r="G82" s="183" t="str">
        <f>VLOOKUP(F82,数据集标准分类!A:B,2,0)</f>
        <v>inpatient_case_homepage</v>
      </c>
      <c r="H82" s="294">
        <f>VLOOKUP(F82,数据集标准分类!A:H,8,0)</f>
        <v>4</v>
      </c>
      <c r="I82" s="170" t="s">
        <v>360</v>
      </c>
      <c r="J82" s="170" t="s">
        <v>361</v>
      </c>
      <c r="K82" s="170" t="s">
        <v>362</v>
      </c>
      <c r="L82" s="170" t="s">
        <v>363</v>
      </c>
      <c r="M82" s="170"/>
      <c r="N82" s="294">
        <v>36</v>
      </c>
      <c r="O82" s="170"/>
    </row>
    <row r="83" ht="15.75" customHeight="1" spans="1:15">
      <c r="A83" s="183" t="str">
        <f>VLOOKUP(F83,数据集标准分类!A:G,7,0)</f>
        <v>02</v>
      </c>
      <c r="B83" s="183" t="str">
        <f>VLOOKUP(F83,数据集标准分类!A:F,6,0)</f>
        <v>电子病历</v>
      </c>
      <c r="C83" s="183" t="str">
        <f>VLOOKUP(F83,数据集标准分类!A:E,5,0)</f>
        <v>0201</v>
      </c>
      <c r="D83" s="183" t="str">
        <f>VLOOKUP(F83,数据集标准分类!A:D,4,0)</f>
        <v>病案首页</v>
      </c>
      <c r="E83" s="183" t="str">
        <f>VLOOKUP(F83,数据集标准分类!A:C,3,0)</f>
        <v>020101</v>
      </c>
      <c r="F83" s="170" t="s">
        <v>238</v>
      </c>
      <c r="G83" s="183" t="str">
        <f>VLOOKUP(F83,数据集标准分类!A:B,2,0)</f>
        <v>inpatient_case_homepage</v>
      </c>
      <c r="H83" s="294">
        <f>VLOOKUP(F83,数据集标准分类!A:H,8,0)</f>
        <v>4</v>
      </c>
      <c r="I83" s="170" t="s">
        <v>364</v>
      </c>
      <c r="J83" s="170" t="s">
        <v>365</v>
      </c>
      <c r="K83" s="170" t="s">
        <v>366</v>
      </c>
      <c r="L83" s="170" t="s">
        <v>367</v>
      </c>
      <c r="M83" s="170" t="s">
        <v>368</v>
      </c>
      <c r="N83" s="294">
        <v>37</v>
      </c>
      <c r="O83" s="170"/>
    </row>
    <row r="84" ht="15.75" customHeight="1" spans="1:15">
      <c r="A84" s="183" t="str">
        <f>VLOOKUP(F84,数据集标准分类!A:G,7,0)</f>
        <v>02</v>
      </c>
      <c r="B84" s="183" t="str">
        <f>VLOOKUP(F84,数据集标准分类!A:F,6,0)</f>
        <v>电子病历</v>
      </c>
      <c r="C84" s="183" t="str">
        <f>VLOOKUP(F84,数据集标准分类!A:E,5,0)</f>
        <v>0201</v>
      </c>
      <c r="D84" s="183" t="str">
        <f>VLOOKUP(F84,数据集标准分类!A:D,4,0)</f>
        <v>病案首页</v>
      </c>
      <c r="E84" s="183" t="str">
        <f>VLOOKUP(F84,数据集标准分类!A:C,3,0)</f>
        <v>020101</v>
      </c>
      <c r="F84" s="170" t="s">
        <v>238</v>
      </c>
      <c r="G84" s="183" t="str">
        <f>VLOOKUP(F84,数据集标准分类!A:B,2,0)</f>
        <v>inpatient_case_homepage</v>
      </c>
      <c r="H84" s="294">
        <f>VLOOKUP(F84,数据集标准分类!A:H,8,0)</f>
        <v>4</v>
      </c>
      <c r="I84" s="170" t="s">
        <v>369</v>
      </c>
      <c r="J84" s="170" t="s">
        <v>370</v>
      </c>
      <c r="K84" s="170" t="s">
        <v>371</v>
      </c>
      <c r="L84" s="170" t="s">
        <v>372</v>
      </c>
      <c r="M84" s="170"/>
      <c r="N84" s="294">
        <v>38</v>
      </c>
      <c r="O84" s="170"/>
    </row>
    <row r="85" ht="15.75" customHeight="1" spans="1:15">
      <c r="A85" s="183" t="str">
        <f>VLOOKUP(F85,数据集标准分类!A:G,7,0)</f>
        <v>02</v>
      </c>
      <c r="B85" s="183" t="str">
        <f>VLOOKUP(F85,数据集标准分类!A:F,6,0)</f>
        <v>电子病历</v>
      </c>
      <c r="C85" s="183" t="str">
        <f>VLOOKUP(F85,数据集标准分类!A:E,5,0)</f>
        <v>0201</v>
      </c>
      <c r="D85" s="183" t="str">
        <f>VLOOKUP(F85,数据集标准分类!A:D,4,0)</f>
        <v>病案首页</v>
      </c>
      <c r="E85" s="183" t="str">
        <f>VLOOKUP(F85,数据集标准分类!A:C,3,0)</f>
        <v>020101</v>
      </c>
      <c r="F85" s="170" t="s">
        <v>238</v>
      </c>
      <c r="G85" s="183" t="str">
        <f>VLOOKUP(F85,数据集标准分类!A:B,2,0)</f>
        <v>inpatient_case_homepage</v>
      </c>
      <c r="H85" s="294">
        <f>VLOOKUP(F85,数据集标准分类!A:H,8,0)</f>
        <v>4</v>
      </c>
      <c r="I85" s="170" t="s">
        <v>373</v>
      </c>
      <c r="J85" s="170" t="s">
        <v>374</v>
      </c>
      <c r="K85" s="170" t="s">
        <v>375</v>
      </c>
      <c r="L85" s="170" t="s">
        <v>376</v>
      </c>
      <c r="M85" s="170"/>
      <c r="N85" s="294">
        <v>39</v>
      </c>
      <c r="O85" s="170"/>
    </row>
    <row r="86" ht="15.75" customHeight="1" spans="1:15">
      <c r="A86" s="183" t="str">
        <f>VLOOKUP(F86,数据集标准分类!A:G,7,0)</f>
        <v>02</v>
      </c>
      <c r="B86" s="183" t="str">
        <f>VLOOKUP(F86,数据集标准分类!A:F,6,0)</f>
        <v>电子病历</v>
      </c>
      <c r="C86" s="183" t="str">
        <f>VLOOKUP(F86,数据集标准分类!A:E,5,0)</f>
        <v>0201</v>
      </c>
      <c r="D86" s="183" t="str">
        <f>VLOOKUP(F86,数据集标准分类!A:D,4,0)</f>
        <v>病案首页</v>
      </c>
      <c r="E86" s="183" t="str">
        <f>VLOOKUP(F86,数据集标准分类!A:C,3,0)</f>
        <v>020101</v>
      </c>
      <c r="F86" s="170" t="s">
        <v>238</v>
      </c>
      <c r="G86" s="183" t="str">
        <f>VLOOKUP(F86,数据集标准分类!A:B,2,0)</f>
        <v>inpatient_case_homepage</v>
      </c>
      <c r="H86" s="294">
        <f>VLOOKUP(F86,数据集标准分类!A:H,8,0)</f>
        <v>4</v>
      </c>
      <c r="I86" s="170" t="s">
        <v>377</v>
      </c>
      <c r="J86" s="170" t="s">
        <v>378</v>
      </c>
      <c r="K86" s="170" t="s">
        <v>379</v>
      </c>
      <c r="L86" s="170" t="s">
        <v>380</v>
      </c>
      <c r="M86" s="170"/>
      <c r="N86" s="294">
        <v>40</v>
      </c>
      <c r="O86" s="170"/>
    </row>
    <row r="87" ht="15.75" customHeight="1" spans="1:15">
      <c r="A87" s="183" t="str">
        <f>VLOOKUP(F87,数据集标准分类!A:G,7,0)</f>
        <v>02</v>
      </c>
      <c r="B87" s="183" t="str">
        <f>VLOOKUP(F87,数据集标准分类!A:F,6,0)</f>
        <v>电子病历</v>
      </c>
      <c r="C87" s="183" t="str">
        <f>VLOOKUP(F87,数据集标准分类!A:E,5,0)</f>
        <v>0201</v>
      </c>
      <c r="D87" s="183" t="str">
        <f>VLOOKUP(F87,数据集标准分类!A:D,4,0)</f>
        <v>病案首页</v>
      </c>
      <c r="E87" s="183" t="str">
        <f>VLOOKUP(F87,数据集标准分类!A:C,3,0)</f>
        <v>020101</v>
      </c>
      <c r="F87" s="170" t="s">
        <v>238</v>
      </c>
      <c r="G87" s="183" t="str">
        <f>VLOOKUP(F87,数据集标准分类!A:B,2,0)</f>
        <v>inpatient_case_homepage</v>
      </c>
      <c r="H87" s="294">
        <f>VLOOKUP(F87,数据集标准分类!A:H,8,0)</f>
        <v>4</v>
      </c>
      <c r="I87" s="170" t="s">
        <v>381</v>
      </c>
      <c r="J87" s="170" t="s">
        <v>382</v>
      </c>
      <c r="K87" s="170" t="s">
        <v>383</v>
      </c>
      <c r="L87" s="170" t="s">
        <v>384</v>
      </c>
      <c r="M87" s="170"/>
      <c r="N87" s="294">
        <v>41</v>
      </c>
      <c r="O87" s="170"/>
    </row>
    <row r="88" ht="15.75" customHeight="1" spans="1:15">
      <c r="A88" s="183" t="str">
        <f>VLOOKUP(F88,数据集标准分类!A:G,7,0)</f>
        <v>02</v>
      </c>
      <c r="B88" s="183" t="str">
        <f>VLOOKUP(F88,数据集标准分类!A:F,6,0)</f>
        <v>电子病历</v>
      </c>
      <c r="C88" s="183" t="str">
        <f>VLOOKUP(F88,数据集标准分类!A:E,5,0)</f>
        <v>0201</v>
      </c>
      <c r="D88" s="183" t="str">
        <f>VLOOKUP(F88,数据集标准分类!A:D,4,0)</f>
        <v>病案首页</v>
      </c>
      <c r="E88" s="183" t="str">
        <f>VLOOKUP(F88,数据集标准分类!A:C,3,0)</f>
        <v>020101</v>
      </c>
      <c r="F88" s="170" t="s">
        <v>238</v>
      </c>
      <c r="G88" s="183" t="str">
        <f>VLOOKUP(F88,数据集标准分类!A:B,2,0)</f>
        <v>inpatient_case_homepage</v>
      </c>
      <c r="H88" s="294">
        <f>VLOOKUP(F88,数据集标准分类!A:H,8,0)</f>
        <v>4</v>
      </c>
      <c r="I88" s="170" t="s">
        <v>192</v>
      </c>
      <c r="J88" s="170" t="s">
        <v>193</v>
      </c>
      <c r="K88" s="170" t="s">
        <v>194</v>
      </c>
      <c r="L88" s="170" t="s">
        <v>195</v>
      </c>
      <c r="M88" s="170" t="s">
        <v>385</v>
      </c>
      <c r="N88" s="294">
        <v>42</v>
      </c>
      <c r="O88" s="170"/>
    </row>
    <row r="89" ht="15.75" customHeight="1" spans="1:15">
      <c r="A89" s="183" t="str">
        <f>VLOOKUP(F89,数据集标准分类!A:G,7,0)</f>
        <v>02</v>
      </c>
      <c r="B89" s="183" t="str">
        <f>VLOOKUP(F89,数据集标准分类!A:F,6,0)</f>
        <v>电子病历</v>
      </c>
      <c r="C89" s="183" t="str">
        <f>VLOOKUP(F89,数据集标准分类!A:E,5,0)</f>
        <v>0201</v>
      </c>
      <c r="D89" s="183" t="str">
        <f>VLOOKUP(F89,数据集标准分类!A:D,4,0)</f>
        <v>病案首页</v>
      </c>
      <c r="E89" s="183" t="str">
        <f>VLOOKUP(F89,数据集标准分类!A:C,3,0)</f>
        <v>020101</v>
      </c>
      <c r="F89" s="170" t="s">
        <v>238</v>
      </c>
      <c r="G89" s="183" t="str">
        <f>VLOOKUP(F89,数据集标准分类!A:B,2,0)</f>
        <v>inpatient_case_homepage</v>
      </c>
      <c r="H89" s="294">
        <f>VLOOKUP(F89,数据集标准分类!A:H,8,0)</f>
        <v>4</v>
      </c>
      <c r="I89" s="170" t="s">
        <v>386</v>
      </c>
      <c r="J89" s="170" t="s">
        <v>387</v>
      </c>
      <c r="K89" s="170" t="s">
        <v>388</v>
      </c>
      <c r="L89" s="170" t="s">
        <v>389</v>
      </c>
      <c r="M89" s="170" t="s">
        <v>390</v>
      </c>
      <c r="N89" s="294">
        <v>43</v>
      </c>
      <c r="O89" s="170"/>
    </row>
    <row r="90" ht="15.75" customHeight="1" spans="1:15">
      <c r="A90" s="183" t="str">
        <f>VLOOKUP(F90,数据集标准分类!A:G,7,0)</f>
        <v>02</v>
      </c>
      <c r="B90" s="183" t="str">
        <f>VLOOKUP(F90,数据集标准分类!A:F,6,0)</f>
        <v>电子病历</v>
      </c>
      <c r="C90" s="183" t="str">
        <f>VLOOKUP(F90,数据集标准分类!A:E,5,0)</f>
        <v>0201</v>
      </c>
      <c r="D90" s="183" t="str">
        <f>VLOOKUP(F90,数据集标准分类!A:D,4,0)</f>
        <v>病案首页</v>
      </c>
      <c r="E90" s="183" t="str">
        <f>VLOOKUP(F90,数据集标准分类!A:C,3,0)</f>
        <v>020101</v>
      </c>
      <c r="F90" s="170" t="s">
        <v>238</v>
      </c>
      <c r="G90" s="183" t="str">
        <f>VLOOKUP(F90,数据集标准分类!A:B,2,0)</f>
        <v>inpatient_case_homepage</v>
      </c>
      <c r="H90" s="294">
        <f>VLOOKUP(F90,数据集标准分类!A:H,8,0)</f>
        <v>4</v>
      </c>
      <c r="I90" s="170" t="s">
        <v>391</v>
      </c>
      <c r="J90" s="170" t="s">
        <v>392</v>
      </c>
      <c r="K90" s="170" t="s">
        <v>393</v>
      </c>
      <c r="L90" s="170" t="s">
        <v>394</v>
      </c>
      <c r="M90" s="170" t="s">
        <v>395</v>
      </c>
      <c r="N90" s="294">
        <v>44</v>
      </c>
      <c r="O90" s="170"/>
    </row>
    <row r="91" ht="15.75" customHeight="1" spans="1:15">
      <c r="A91" s="183" t="str">
        <f>VLOOKUP(F91,数据集标准分类!A:G,7,0)</f>
        <v>02</v>
      </c>
      <c r="B91" s="183" t="str">
        <f>VLOOKUP(F91,数据集标准分类!A:F,6,0)</f>
        <v>电子病历</v>
      </c>
      <c r="C91" s="183" t="str">
        <f>VLOOKUP(F91,数据集标准分类!A:E,5,0)</f>
        <v>0201</v>
      </c>
      <c r="D91" s="183" t="str">
        <f>VLOOKUP(F91,数据集标准分类!A:D,4,0)</f>
        <v>病案首页</v>
      </c>
      <c r="E91" s="183" t="str">
        <f>VLOOKUP(F91,数据集标准分类!A:C,3,0)</f>
        <v>020101</v>
      </c>
      <c r="F91" s="170" t="s">
        <v>238</v>
      </c>
      <c r="G91" s="183" t="str">
        <f>VLOOKUP(F91,数据集标准分类!A:B,2,0)</f>
        <v>inpatient_case_homepage</v>
      </c>
      <c r="H91" s="294">
        <f>VLOOKUP(F91,数据集标准分类!A:H,8,0)</f>
        <v>4</v>
      </c>
      <c r="I91" s="170" t="s">
        <v>396</v>
      </c>
      <c r="J91" s="170" t="s">
        <v>397</v>
      </c>
      <c r="K91" s="170" t="s">
        <v>398</v>
      </c>
      <c r="L91" s="170" t="s">
        <v>399</v>
      </c>
      <c r="M91" s="170" t="s">
        <v>400</v>
      </c>
      <c r="N91" s="294">
        <v>45</v>
      </c>
      <c r="O91" s="170"/>
    </row>
    <row r="92" ht="15.75" customHeight="1" spans="1:15">
      <c r="A92" s="183" t="str">
        <f>VLOOKUP(F92,数据集标准分类!A:G,7,0)</f>
        <v>02</v>
      </c>
      <c r="B92" s="183" t="str">
        <f>VLOOKUP(F92,数据集标准分类!A:F,6,0)</f>
        <v>电子病历</v>
      </c>
      <c r="C92" s="183" t="str">
        <f>VLOOKUP(F92,数据集标准分类!A:E,5,0)</f>
        <v>0201</v>
      </c>
      <c r="D92" s="183" t="str">
        <f>VLOOKUP(F92,数据集标准分类!A:D,4,0)</f>
        <v>病案首页</v>
      </c>
      <c r="E92" s="183" t="str">
        <f>VLOOKUP(F92,数据集标准分类!A:C,3,0)</f>
        <v>020101</v>
      </c>
      <c r="F92" s="170" t="s">
        <v>238</v>
      </c>
      <c r="G92" s="183" t="str">
        <f>VLOOKUP(F92,数据集标准分类!A:B,2,0)</f>
        <v>inpatient_case_homepage</v>
      </c>
      <c r="H92" s="294">
        <f>VLOOKUP(F92,数据集标准分类!A:H,8,0)</f>
        <v>4</v>
      </c>
      <c r="I92" s="170" t="s">
        <v>401</v>
      </c>
      <c r="J92" s="170" t="s">
        <v>402</v>
      </c>
      <c r="K92" s="170" t="s">
        <v>403</v>
      </c>
      <c r="L92" s="170" t="s">
        <v>404</v>
      </c>
      <c r="M92" s="170" t="s">
        <v>405</v>
      </c>
      <c r="N92" s="294">
        <v>46</v>
      </c>
      <c r="O92" s="170"/>
    </row>
    <row r="93" ht="15.75" customHeight="1" spans="1:15">
      <c r="A93" s="183" t="str">
        <f>VLOOKUP(F93,数据集标准分类!A:G,7,0)</f>
        <v>02</v>
      </c>
      <c r="B93" s="183" t="str">
        <f>VLOOKUP(F93,数据集标准分类!A:F,6,0)</f>
        <v>电子病历</v>
      </c>
      <c r="C93" s="183" t="str">
        <f>VLOOKUP(F93,数据集标准分类!A:E,5,0)</f>
        <v>0201</v>
      </c>
      <c r="D93" s="183" t="str">
        <f>VLOOKUP(F93,数据集标准分类!A:D,4,0)</f>
        <v>病案首页</v>
      </c>
      <c r="E93" s="183" t="str">
        <f>VLOOKUP(F93,数据集标准分类!A:C,3,0)</f>
        <v>020101</v>
      </c>
      <c r="F93" s="170" t="s">
        <v>238</v>
      </c>
      <c r="G93" s="183" t="str">
        <f>VLOOKUP(F93,数据集标准分类!A:B,2,0)</f>
        <v>inpatient_case_homepage</v>
      </c>
      <c r="H93" s="294">
        <f>VLOOKUP(F93,数据集标准分类!A:H,8,0)</f>
        <v>4</v>
      </c>
      <c r="I93" s="170" t="s">
        <v>406</v>
      </c>
      <c r="J93" s="170" t="s">
        <v>407</v>
      </c>
      <c r="K93" s="170" t="s">
        <v>408</v>
      </c>
      <c r="L93" s="170" t="s">
        <v>409</v>
      </c>
      <c r="M93" s="170" t="s">
        <v>410</v>
      </c>
      <c r="N93" s="294">
        <v>47</v>
      </c>
      <c r="O93" s="170"/>
    </row>
    <row r="94" ht="15.75" customHeight="1" spans="1:15">
      <c r="A94" s="183" t="str">
        <f>VLOOKUP(F94,数据集标准分类!A:G,7,0)</f>
        <v>02</v>
      </c>
      <c r="B94" s="183" t="str">
        <f>VLOOKUP(F94,数据集标准分类!A:F,6,0)</f>
        <v>电子病历</v>
      </c>
      <c r="C94" s="183" t="str">
        <f>VLOOKUP(F94,数据集标准分类!A:E,5,0)</f>
        <v>0201</v>
      </c>
      <c r="D94" s="183" t="str">
        <f>VLOOKUP(F94,数据集标准分类!A:D,4,0)</f>
        <v>病案首页</v>
      </c>
      <c r="E94" s="183" t="str">
        <f>VLOOKUP(F94,数据集标准分类!A:C,3,0)</f>
        <v>020101</v>
      </c>
      <c r="F94" s="170" t="s">
        <v>238</v>
      </c>
      <c r="G94" s="183" t="str">
        <f>VLOOKUP(F94,数据集标准分类!A:B,2,0)</f>
        <v>inpatient_case_homepage</v>
      </c>
      <c r="H94" s="294">
        <f>VLOOKUP(F94,数据集标准分类!A:H,8,0)</f>
        <v>4</v>
      </c>
      <c r="I94" s="170" t="s">
        <v>411</v>
      </c>
      <c r="J94" s="170" t="s">
        <v>412</v>
      </c>
      <c r="K94" s="170" t="s">
        <v>413</v>
      </c>
      <c r="L94" s="170" t="s">
        <v>414</v>
      </c>
      <c r="M94" s="170" t="s">
        <v>415</v>
      </c>
      <c r="N94" s="294">
        <v>48</v>
      </c>
      <c r="O94" s="170"/>
    </row>
    <row r="95" ht="15.75" customHeight="1" spans="1:15">
      <c r="A95" s="183" t="str">
        <f>VLOOKUP(F95,数据集标准分类!A:G,7,0)</f>
        <v>02</v>
      </c>
      <c r="B95" s="183" t="str">
        <f>VLOOKUP(F95,数据集标准分类!A:F,6,0)</f>
        <v>电子病历</v>
      </c>
      <c r="C95" s="183" t="str">
        <f>VLOOKUP(F95,数据集标准分类!A:E,5,0)</f>
        <v>0201</v>
      </c>
      <c r="D95" s="183" t="str">
        <f>VLOOKUP(F95,数据集标准分类!A:D,4,0)</f>
        <v>病案首页</v>
      </c>
      <c r="E95" s="183" t="str">
        <f>VLOOKUP(F95,数据集标准分类!A:C,3,0)</f>
        <v>020101</v>
      </c>
      <c r="F95" s="170" t="s">
        <v>238</v>
      </c>
      <c r="G95" s="183" t="str">
        <f>VLOOKUP(F95,数据集标准分类!A:B,2,0)</f>
        <v>inpatient_case_homepage</v>
      </c>
      <c r="H95" s="294">
        <f>VLOOKUP(F95,数据集标准分类!A:H,8,0)</f>
        <v>4</v>
      </c>
      <c r="I95" s="170" t="s">
        <v>416</v>
      </c>
      <c r="J95" s="170" t="s">
        <v>417</v>
      </c>
      <c r="K95" s="170" t="s">
        <v>418</v>
      </c>
      <c r="L95" s="170" t="s">
        <v>419</v>
      </c>
      <c r="M95" s="170" t="s">
        <v>420</v>
      </c>
      <c r="N95" s="294">
        <v>49</v>
      </c>
      <c r="O95" s="170"/>
    </row>
    <row r="96" ht="15.75" customHeight="1" spans="1:15">
      <c r="A96" s="183" t="str">
        <f>VLOOKUP(F96,数据集标准分类!A:G,7,0)</f>
        <v>02</v>
      </c>
      <c r="B96" s="183" t="str">
        <f>VLOOKUP(F96,数据集标准分类!A:F,6,0)</f>
        <v>电子病历</v>
      </c>
      <c r="C96" s="183" t="str">
        <f>VLOOKUP(F96,数据集标准分类!A:E,5,0)</f>
        <v>0201</v>
      </c>
      <c r="D96" s="183" t="str">
        <f>VLOOKUP(F96,数据集标准分类!A:D,4,0)</f>
        <v>病案首页</v>
      </c>
      <c r="E96" s="183" t="str">
        <f>VLOOKUP(F96,数据集标准分类!A:C,3,0)</f>
        <v>020101</v>
      </c>
      <c r="F96" s="170" t="s">
        <v>238</v>
      </c>
      <c r="G96" s="183" t="str">
        <f>VLOOKUP(F96,数据集标准分类!A:B,2,0)</f>
        <v>inpatient_case_homepage</v>
      </c>
      <c r="H96" s="294">
        <f>VLOOKUP(F96,数据集标准分类!A:H,8,0)</f>
        <v>4</v>
      </c>
      <c r="I96" s="170" t="s">
        <v>421</v>
      </c>
      <c r="J96" s="170" t="s">
        <v>422</v>
      </c>
      <c r="K96" s="153" t="s">
        <v>423</v>
      </c>
      <c r="L96" s="153" t="s">
        <v>424</v>
      </c>
      <c r="M96" s="153" t="s">
        <v>425</v>
      </c>
      <c r="N96" s="294">
        <v>50</v>
      </c>
      <c r="O96" s="170"/>
    </row>
    <row r="97" ht="15.75" customHeight="1" spans="1:15">
      <c r="A97" s="183" t="str">
        <f>VLOOKUP(F97,数据集标准分类!A:G,7,0)</f>
        <v>02</v>
      </c>
      <c r="B97" s="183" t="str">
        <f>VLOOKUP(F97,数据集标准分类!A:F,6,0)</f>
        <v>电子病历</v>
      </c>
      <c r="C97" s="183" t="str">
        <f>VLOOKUP(F97,数据集标准分类!A:E,5,0)</f>
        <v>0201</v>
      </c>
      <c r="D97" s="183" t="str">
        <f>VLOOKUP(F97,数据集标准分类!A:D,4,0)</f>
        <v>病案首页</v>
      </c>
      <c r="E97" s="183" t="str">
        <f>VLOOKUP(F97,数据集标准分类!A:C,3,0)</f>
        <v>020101</v>
      </c>
      <c r="F97" s="170" t="s">
        <v>238</v>
      </c>
      <c r="G97" s="183" t="str">
        <f>VLOOKUP(F97,数据集标准分类!A:B,2,0)</f>
        <v>inpatient_case_homepage</v>
      </c>
      <c r="H97" s="294">
        <f>VLOOKUP(F97,数据集标准分类!A:H,8,0)</f>
        <v>4</v>
      </c>
      <c r="I97" s="170" t="s">
        <v>426</v>
      </c>
      <c r="J97" s="295" t="s">
        <v>427</v>
      </c>
      <c r="K97" s="170" t="s">
        <v>428</v>
      </c>
      <c r="L97" s="170" t="s">
        <v>429</v>
      </c>
      <c r="M97" s="170" t="s">
        <v>430</v>
      </c>
      <c r="N97" s="294">
        <v>51</v>
      </c>
      <c r="O97" s="170"/>
    </row>
    <row r="98" ht="15.75" customHeight="1" spans="1:15">
      <c r="A98" s="183" t="str">
        <f>VLOOKUP(F98,数据集标准分类!A:G,7,0)</f>
        <v>02</v>
      </c>
      <c r="B98" s="183" t="str">
        <f>VLOOKUP(F98,数据集标准分类!A:F,6,0)</f>
        <v>电子病历</v>
      </c>
      <c r="C98" s="183" t="str">
        <f>VLOOKUP(F98,数据集标准分类!A:E,5,0)</f>
        <v>0201</v>
      </c>
      <c r="D98" s="183" t="str">
        <f>VLOOKUP(F98,数据集标准分类!A:D,4,0)</f>
        <v>病案首页</v>
      </c>
      <c r="E98" s="183" t="str">
        <f>VLOOKUP(F98,数据集标准分类!A:C,3,0)</f>
        <v>020101</v>
      </c>
      <c r="F98" s="170" t="s">
        <v>238</v>
      </c>
      <c r="G98" s="183" t="str">
        <f>VLOOKUP(F98,数据集标准分类!A:B,2,0)</f>
        <v>inpatient_case_homepage</v>
      </c>
      <c r="H98" s="294">
        <f>VLOOKUP(F98,数据集标准分类!A:H,8,0)</f>
        <v>4</v>
      </c>
      <c r="I98" s="170" t="s">
        <v>431</v>
      </c>
      <c r="J98" s="170" t="s">
        <v>432</v>
      </c>
      <c r="K98" s="170" t="s">
        <v>433</v>
      </c>
      <c r="L98" s="170" t="s">
        <v>434</v>
      </c>
      <c r="M98" s="170" t="s">
        <v>435</v>
      </c>
      <c r="N98" s="294">
        <v>52</v>
      </c>
      <c r="O98" s="170"/>
    </row>
    <row r="99" ht="15.75" customHeight="1" spans="1:15">
      <c r="A99" s="183" t="str">
        <f>VLOOKUP(F99,数据集标准分类!A:G,7,0)</f>
        <v>02</v>
      </c>
      <c r="B99" s="183" t="str">
        <f>VLOOKUP(F99,数据集标准分类!A:F,6,0)</f>
        <v>电子病历</v>
      </c>
      <c r="C99" s="183" t="str">
        <f>VLOOKUP(F99,数据集标准分类!A:E,5,0)</f>
        <v>0201</v>
      </c>
      <c r="D99" s="183" t="str">
        <f>VLOOKUP(F99,数据集标准分类!A:D,4,0)</f>
        <v>病案首页</v>
      </c>
      <c r="E99" s="183" t="str">
        <f>VLOOKUP(F99,数据集标准分类!A:C,3,0)</f>
        <v>020101</v>
      </c>
      <c r="F99" s="170" t="s">
        <v>238</v>
      </c>
      <c r="G99" s="183" t="str">
        <f>VLOOKUP(F99,数据集标准分类!A:B,2,0)</f>
        <v>inpatient_case_homepage</v>
      </c>
      <c r="H99" s="294">
        <f>VLOOKUP(F99,数据集标准分类!A:H,8,0)</f>
        <v>4</v>
      </c>
      <c r="I99" s="170" t="s">
        <v>436</v>
      </c>
      <c r="J99" s="170" t="s">
        <v>437</v>
      </c>
      <c r="K99" s="170" t="s">
        <v>438</v>
      </c>
      <c r="L99" s="170" t="s">
        <v>439</v>
      </c>
      <c r="M99" s="170" t="s">
        <v>440</v>
      </c>
      <c r="N99" s="294">
        <v>53</v>
      </c>
      <c r="O99" s="170"/>
    </row>
    <row r="100" ht="15.75" customHeight="1" spans="1:15">
      <c r="A100" s="183" t="str">
        <f>VLOOKUP(F100,数据集标准分类!A:G,7,0)</f>
        <v>02</v>
      </c>
      <c r="B100" s="183" t="str">
        <f>VLOOKUP(F100,数据集标准分类!A:F,6,0)</f>
        <v>电子病历</v>
      </c>
      <c r="C100" s="183" t="str">
        <f>VLOOKUP(F100,数据集标准分类!A:E,5,0)</f>
        <v>0201</v>
      </c>
      <c r="D100" s="183" t="str">
        <f>VLOOKUP(F100,数据集标准分类!A:D,4,0)</f>
        <v>病案首页</v>
      </c>
      <c r="E100" s="183" t="str">
        <f>VLOOKUP(F100,数据集标准分类!A:C,3,0)</f>
        <v>020101</v>
      </c>
      <c r="F100" s="170" t="s">
        <v>238</v>
      </c>
      <c r="G100" s="183" t="str">
        <f>VLOOKUP(F100,数据集标准分类!A:B,2,0)</f>
        <v>inpatient_case_homepage</v>
      </c>
      <c r="H100" s="294">
        <f>VLOOKUP(F100,数据集标准分类!A:H,8,0)</f>
        <v>4</v>
      </c>
      <c r="I100" s="170" t="s">
        <v>441</v>
      </c>
      <c r="J100" s="170" t="s">
        <v>442</v>
      </c>
      <c r="K100" s="170" t="s">
        <v>443</v>
      </c>
      <c r="L100" s="170" t="s">
        <v>444</v>
      </c>
      <c r="M100" s="170" t="s">
        <v>445</v>
      </c>
      <c r="N100" s="294">
        <v>54</v>
      </c>
      <c r="O100" s="170"/>
    </row>
    <row r="101" ht="15.75" customHeight="1" spans="1:15">
      <c r="A101" s="183" t="str">
        <f>VLOOKUP(F101,数据集标准分类!A:G,7,0)</f>
        <v>02</v>
      </c>
      <c r="B101" s="183" t="str">
        <f>VLOOKUP(F101,数据集标准分类!A:F,6,0)</f>
        <v>电子病历</v>
      </c>
      <c r="C101" s="183" t="str">
        <f>VLOOKUP(F101,数据集标准分类!A:E,5,0)</f>
        <v>0201</v>
      </c>
      <c r="D101" s="183" t="str">
        <f>VLOOKUP(F101,数据集标准分类!A:D,4,0)</f>
        <v>病案首页</v>
      </c>
      <c r="E101" s="183" t="str">
        <f>VLOOKUP(F101,数据集标准分类!A:C,3,0)</f>
        <v>020101</v>
      </c>
      <c r="F101" s="170" t="s">
        <v>238</v>
      </c>
      <c r="G101" s="183" t="str">
        <f>VLOOKUP(F101,数据集标准分类!A:B,2,0)</f>
        <v>inpatient_case_homepage</v>
      </c>
      <c r="H101" s="294">
        <f>VLOOKUP(F101,数据集标准分类!A:H,8,0)</f>
        <v>4</v>
      </c>
      <c r="I101" s="170" t="s">
        <v>446</v>
      </c>
      <c r="J101" s="170" t="s">
        <v>447</v>
      </c>
      <c r="K101" s="170" t="s">
        <v>448</v>
      </c>
      <c r="L101" s="170" t="s">
        <v>449</v>
      </c>
      <c r="M101" s="170" t="s">
        <v>450</v>
      </c>
      <c r="N101" s="294">
        <v>55</v>
      </c>
      <c r="O101" s="170"/>
    </row>
    <row r="102" ht="15.75" customHeight="1" spans="1:15">
      <c r="A102" s="183" t="str">
        <f>VLOOKUP(F102,数据集标准分类!A:G,7,0)</f>
        <v>02</v>
      </c>
      <c r="B102" s="183" t="str">
        <f>VLOOKUP(F102,数据集标准分类!A:F,6,0)</f>
        <v>电子病历</v>
      </c>
      <c r="C102" s="183" t="str">
        <f>VLOOKUP(F102,数据集标准分类!A:E,5,0)</f>
        <v>0201</v>
      </c>
      <c r="D102" s="183" t="str">
        <f>VLOOKUP(F102,数据集标准分类!A:D,4,0)</f>
        <v>病案首页</v>
      </c>
      <c r="E102" s="183" t="str">
        <f>VLOOKUP(F102,数据集标准分类!A:C,3,0)</f>
        <v>020101</v>
      </c>
      <c r="F102" s="170" t="s">
        <v>238</v>
      </c>
      <c r="G102" s="183" t="str">
        <f>VLOOKUP(F102,数据集标准分类!A:B,2,0)</f>
        <v>inpatient_case_homepage</v>
      </c>
      <c r="H102" s="294">
        <f>VLOOKUP(F102,数据集标准分类!A:H,8,0)</f>
        <v>4</v>
      </c>
      <c r="I102" s="170" t="s">
        <v>451</v>
      </c>
      <c r="J102" s="170" t="s">
        <v>452</v>
      </c>
      <c r="K102" s="170" t="s">
        <v>453</v>
      </c>
      <c r="L102" s="170" t="s">
        <v>454</v>
      </c>
      <c r="M102" s="170" t="s">
        <v>455</v>
      </c>
      <c r="N102" s="294">
        <v>56</v>
      </c>
      <c r="O102" s="170"/>
    </row>
    <row r="103" ht="15.75" customHeight="1" spans="1:15">
      <c r="A103" s="183" t="str">
        <f>VLOOKUP(F103,数据集标准分类!A:G,7,0)</f>
        <v>02</v>
      </c>
      <c r="B103" s="183" t="str">
        <f>VLOOKUP(F103,数据集标准分类!A:F,6,0)</f>
        <v>电子病历</v>
      </c>
      <c r="C103" s="183" t="str">
        <f>VLOOKUP(F103,数据集标准分类!A:E,5,0)</f>
        <v>0201</v>
      </c>
      <c r="D103" s="183" t="str">
        <f>VLOOKUP(F103,数据集标准分类!A:D,4,0)</f>
        <v>病案首页</v>
      </c>
      <c r="E103" s="183" t="str">
        <f>VLOOKUP(F103,数据集标准分类!A:C,3,0)</f>
        <v>020101</v>
      </c>
      <c r="F103" s="170" t="s">
        <v>238</v>
      </c>
      <c r="G103" s="183" t="str">
        <f>VLOOKUP(F103,数据集标准分类!A:B,2,0)</f>
        <v>inpatient_case_homepage</v>
      </c>
      <c r="H103" s="294">
        <f>VLOOKUP(F103,数据集标准分类!A:H,8,0)</f>
        <v>4</v>
      </c>
      <c r="I103" s="170" t="s">
        <v>456</v>
      </c>
      <c r="J103" s="170" t="s">
        <v>457</v>
      </c>
      <c r="K103" s="170" t="s">
        <v>458</v>
      </c>
      <c r="L103" s="170" t="s">
        <v>459</v>
      </c>
      <c r="M103" s="170" t="s">
        <v>460</v>
      </c>
      <c r="N103" s="294">
        <v>57</v>
      </c>
      <c r="O103" s="170"/>
    </row>
    <row r="104" ht="15.75" customHeight="1" spans="1:15">
      <c r="A104" s="183" t="str">
        <f>VLOOKUP(F104,数据集标准分类!A:G,7,0)</f>
        <v>02</v>
      </c>
      <c r="B104" s="183" t="str">
        <f>VLOOKUP(F104,数据集标准分类!A:F,6,0)</f>
        <v>电子病历</v>
      </c>
      <c r="C104" s="183" t="str">
        <f>VLOOKUP(F104,数据集标准分类!A:E,5,0)</f>
        <v>0201</v>
      </c>
      <c r="D104" s="183" t="str">
        <f>VLOOKUP(F104,数据集标准分类!A:D,4,0)</f>
        <v>病案首页</v>
      </c>
      <c r="E104" s="183" t="str">
        <f>VLOOKUP(F104,数据集标准分类!A:C,3,0)</f>
        <v>020101</v>
      </c>
      <c r="F104" s="170" t="s">
        <v>238</v>
      </c>
      <c r="G104" s="183" t="str">
        <f>VLOOKUP(F104,数据集标准分类!A:B,2,0)</f>
        <v>inpatient_case_homepage</v>
      </c>
      <c r="H104" s="294">
        <f>VLOOKUP(F104,数据集标准分类!A:H,8,0)</f>
        <v>4</v>
      </c>
      <c r="I104" s="170" t="s">
        <v>187</v>
      </c>
      <c r="J104" s="170" t="s">
        <v>188</v>
      </c>
      <c r="K104" s="170" t="s">
        <v>189</v>
      </c>
      <c r="L104" s="170" t="s">
        <v>190</v>
      </c>
      <c r="M104" s="170" t="s">
        <v>461</v>
      </c>
      <c r="N104" s="294">
        <v>58</v>
      </c>
      <c r="O104" s="170"/>
    </row>
    <row r="105" ht="15.75" customHeight="1" spans="1:15">
      <c r="A105" s="183" t="str">
        <f>VLOOKUP(F105,数据集标准分类!A:G,7,0)</f>
        <v>02</v>
      </c>
      <c r="B105" s="183" t="str">
        <f>VLOOKUP(F105,数据集标准分类!A:F,6,0)</f>
        <v>电子病历</v>
      </c>
      <c r="C105" s="183" t="str">
        <f>VLOOKUP(F105,数据集标准分类!A:E,5,0)</f>
        <v>0201</v>
      </c>
      <c r="D105" s="183" t="str">
        <f>VLOOKUP(F105,数据集标准分类!A:D,4,0)</f>
        <v>病案首页</v>
      </c>
      <c r="E105" s="183" t="str">
        <f>VLOOKUP(F105,数据集标准分类!A:C,3,0)</f>
        <v>020101</v>
      </c>
      <c r="F105" s="170" t="s">
        <v>238</v>
      </c>
      <c r="G105" s="183" t="str">
        <f>VLOOKUP(F105,数据集标准分类!A:B,2,0)</f>
        <v>inpatient_case_homepage</v>
      </c>
      <c r="H105" s="294">
        <f>VLOOKUP(F105,数据集标准分类!A:H,8,0)</f>
        <v>4</v>
      </c>
      <c r="I105" s="170" t="s">
        <v>462</v>
      </c>
      <c r="J105" s="170" t="s">
        <v>463</v>
      </c>
      <c r="K105" s="170" t="s">
        <v>464</v>
      </c>
      <c r="L105" s="170" t="s">
        <v>465</v>
      </c>
      <c r="M105" s="170" t="s">
        <v>466</v>
      </c>
      <c r="N105" s="294">
        <v>59</v>
      </c>
      <c r="O105" s="170"/>
    </row>
    <row r="106" ht="15.75" customHeight="1" spans="1:15">
      <c r="A106" s="183" t="str">
        <f>VLOOKUP(F106,数据集标准分类!A:G,7,0)</f>
        <v>02</v>
      </c>
      <c r="B106" s="183" t="str">
        <f>VLOOKUP(F106,数据集标准分类!A:F,6,0)</f>
        <v>电子病历</v>
      </c>
      <c r="C106" s="183" t="str">
        <f>VLOOKUP(F106,数据集标准分类!A:E,5,0)</f>
        <v>0201</v>
      </c>
      <c r="D106" s="183" t="str">
        <f>VLOOKUP(F106,数据集标准分类!A:D,4,0)</f>
        <v>病案首页</v>
      </c>
      <c r="E106" s="183" t="str">
        <f>VLOOKUP(F106,数据集标准分类!A:C,3,0)</f>
        <v>020101</v>
      </c>
      <c r="F106" s="170" t="s">
        <v>238</v>
      </c>
      <c r="G106" s="183" t="str">
        <f>VLOOKUP(F106,数据集标准分类!A:B,2,0)</f>
        <v>inpatient_case_homepage</v>
      </c>
      <c r="H106" s="294">
        <f>VLOOKUP(F106,数据集标准分类!A:H,8,0)</f>
        <v>4</v>
      </c>
      <c r="I106" s="170" t="s">
        <v>467</v>
      </c>
      <c r="J106" s="170" t="s">
        <v>468</v>
      </c>
      <c r="K106" s="170" t="s">
        <v>469</v>
      </c>
      <c r="L106" s="170" t="s">
        <v>470</v>
      </c>
      <c r="M106" s="170" t="s">
        <v>471</v>
      </c>
      <c r="N106" s="294">
        <v>60</v>
      </c>
      <c r="O106" s="170"/>
    </row>
    <row r="107" ht="15.75" customHeight="1" spans="1:15">
      <c r="A107" s="183" t="str">
        <f>VLOOKUP(F107,数据集标准分类!A:G,7,0)</f>
        <v>02</v>
      </c>
      <c r="B107" s="183" t="str">
        <f>VLOOKUP(F107,数据集标准分类!A:F,6,0)</f>
        <v>电子病历</v>
      </c>
      <c r="C107" s="183" t="str">
        <f>VLOOKUP(F107,数据集标准分类!A:E,5,0)</f>
        <v>0201</v>
      </c>
      <c r="D107" s="183" t="str">
        <f>VLOOKUP(F107,数据集标准分类!A:D,4,0)</f>
        <v>病案首页</v>
      </c>
      <c r="E107" s="183" t="str">
        <f>VLOOKUP(F107,数据集标准分类!A:C,3,0)</f>
        <v>020101</v>
      </c>
      <c r="F107" s="170" t="s">
        <v>238</v>
      </c>
      <c r="G107" s="183" t="str">
        <f>VLOOKUP(F107,数据集标准分类!A:B,2,0)</f>
        <v>inpatient_case_homepage</v>
      </c>
      <c r="H107" s="294">
        <f>VLOOKUP(F107,数据集标准分类!A:H,8,0)</f>
        <v>4</v>
      </c>
      <c r="I107" s="170" t="s">
        <v>472</v>
      </c>
      <c r="J107" s="170" t="s">
        <v>473</v>
      </c>
      <c r="K107" s="170" t="s">
        <v>474</v>
      </c>
      <c r="L107" s="170" t="s">
        <v>475</v>
      </c>
      <c r="M107" s="170" t="s">
        <v>476</v>
      </c>
      <c r="N107" s="294">
        <v>61</v>
      </c>
      <c r="O107" s="170"/>
    </row>
    <row r="108" ht="15.75" customHeight="1" spans="1:15">
      <c r="A108" s="183" t="str">
        <f>VLOOKUP(F108,数据集标准分类!A:G,7,0)</f>
        <v>02</v>
      </c>
      <c r="B108" s="183" t="str">
        <f>VLOOKUP(F108,数据集标准分类!A:F,6,0)</f>
        <v>电子病历</v>
      </c>
      <c r="C108" s="183" t="str">
        <f>VLOOKUP(F108,数据集标准分类!A:E,5,0)</f>
        <v>0201</v>
      </c>
      <c r="D108" s="183" t="str">
        <f>VLOOKUP(F108,数据集标准分类!A:D,4,0)</f>
        <v>病案首页</v>
      </c>
      <c r="E108" s="183" t="str">
        <f>VLOOKUP(F108,数据集标准分类!A:C,3,0)</f>
        <v>020101</v>
      </c>
      <c r="F108" s="170" t="s">
        <v>238</v>
      </c>
      <c r="G108" s="183" t="str">
        <f>VLOOKUP(F108,数据集标准分类!A:B,2,0)</f>
        <v>inpatient_case_homepage</v>
      </c>
      <c r="H108" s="294">
        <f>VLOOKUP(F108,数据集标准分类!A:H,8,0)</f>
        <v>4</v>
      </c>
      <c r="I108" s="170" t="s">
        <v>477</v>
      </c>
      <c r="J108" s="170" t="s">
        <v>478</v>
      </c>
      <c r="K108" s="170" t="s">
        <v>479</v>
      </c>
      <c r="L108" s="170" t="s">
        <v>480</v>
      </c>
      <c r="M108" s="170" t="s">
        <v>481</v>
      </c>
      <c r="N108" s="294">
        <v>62</v>
      </c>
      <c r="O108" s="170"/>
    </row>
    <row r="109" ht="15.75" customHeight="1" spans="1:15">
      <c r="A109" s="183" t="str">
        <f>VLOOKUP(F109,数据集标准分类!A:G,7,0)</f>
        <v>02</v>
      </c>
      <c r="B109" s="183" t="str">
        <f>VLOOKUP(F109,数据集标准分类!A:F,6,0)</f>
        <v>电子病历</v>
      </c>
      <c r="C109" s="183" t="str">
        <f>VLOOKUP(F109,数据集标准分类!A:E,5,0)</f>
        <v>0201</v>
      </c>
      <c r="D109" s="183" t="str">
        <f>VLOOKUP(F109,数据集标准分类!A:D,4,0)</f>
        <v>病案首页</v>
      </c>
      <c r="E109" s="183" t="str">
        <f>VLOOKUP(F109,数据集标准分类!A:C,3,0)</f>
        <v>020101</v>
      </c>
      <c r="F109" s="170" t="s">
        <v>238</v>
      </c>
      <c r="G109" s="183" t="str">
        <f>VLOOKUP(F109,数据集标准分类!A:B,2,0)</f>
        <v>inpatient_case_homepage</v>
      </c>
      <c r="H109" s="294">
        <f>VLOOKUP(F109,数据集标准分类!A:H,8,0)</f>
        <v>4</v>
      </c>
      <c r="I109" s="170" t="s">
        <v>482</v>
      </c>
      <c r="J109" s="170" t="s">
        <v>483</v>
      </c>
      <c r="K109" s="170" t="s">
        <v>484</v>
      </c>
      <c r="L109" s="170" t="s">
        <v>485</v>
      </c>
      <c r="M109" s="170" t="s">
        <v>486</v>
      </c>
      <c r="N109" s="294">
        <v>63</v>
      </c>
      <c r="O109" s="170"/>
    </row>
    <row r="110" ht="15.75" customHeight="1" spans="1:15">
      <c r="A110" s="183" t="str">
        <f>VLOOKUP(F110,数据集标准分类!A:G,7,0)</f>
        <v>02</v>
      </c>
      <c r="B110" s="183" t="str">
        <f>VLOOKUP(F110,数据集标准分类!A:F,6,0)</f>
        <v>电子病历</v>
      </c>
      <c r="C110" s="183" t="str">
        <f>VLOOKUP(F110,数据集标准分类!A:E,5,0)</f>
        <v>0201</v>
      </c>
      <c r="D110" s="183" t="str">
        <f>VLOOKUP(F110,数据集标准分类!A:D,4,0)</f>
        <v>病案首页</v>
      </c>
      <c r="E110" s="183" t="str">
        <f>VLOOKUP(F110,数据集标准分类!A:C,3,0)</f>
        <v>020101</v>
      </c>
      <c r="F110" s="170" t="s">
        <v>238</v>
      </c>
      <c r="G110" s="183" t="str">
        <f>VLOOKUP(F110,数据集标准分类!A:B,2,0)</f>
        <v>inpatient_case_homepage</v>
      </c>
      <c r="H110" s="294">
        <f>VLOOKUP(F110,数据集标准分类!A:H,8,0)</f>
        <v>4</v>
      </c>
      <c r="I110" s="170" t="s">
        <v>487</v>
      </c>
      <c r="J110" s="170" t="s">
        <v>488</v>
      </c>
      <c r="K110" s="170" t="s">
        <v>489</v>
      </c>
      <c r="L110" s="170" t="s">
        <v>490</v>
      </c>
      <c r="M110" s="170"/>
      <c r="N110" s="294">
        <v>64</v>
      </c>
      <c r="O110" s="170"/>
    </row>
    <row r="111" ht="15.75" customHeight="1" spans="1:15">
      <c r="A111" s="183" t="str">
        <f>VLOOKUP(F111,数据集标准分类!A:G,7,0)</f>
        <v>02</v>
      </c>
      <c r="B111" s="183" t="str">
        <f>VLOOKUP(F111,数据集标准分类!A:F,6,0)</f>
        <v>电子病历</v>
      </c>
      <c r="C111" s="183" t="str">
        <f>VLOOKUP(F111,数据集标准分类!A:E,5,0)</f>
        <v>0201</v>
      </c>
      <c r="D111" s="183" t="str">
        <f>VLOOKUP(F111,数据集标准分类!A:D,4,0)</f>
        <v>病案首页</v>
      </c>
      <c r="E111" s="183" t="str">
        <f>VLOOKUP(F111,数据集标准分类!A:C,3,0)</f>
        <v>020101</v>
      </c>
      <c r="F111" s="170" t="s">
        <v>238</v>
      </c>
      <c r="G111" s="183" t="str">
        <f>VLOOKUP(F111,数据集标准分类!A:B,2,0)</f>
        <v>inpatient_case_homepage</v>
      </c>
      <c r="H111" s="294">
        <f>VLOOKUP(F111,数据集标准分类!A:H,8,0)</f>
        <v>4</v>
      </c>
      <c r="I111" s="170" t="s">
        <v>491</v>
      </c>
      <c r="J111" s="170" t="s">
        <v>492</v>
      </c>
      <c r="K111" s="170" t="s">
        <v>493</v>
      </c>
      <c r="L111" s="170" t="s">
        <v>494</v>
      </c>
      <c r="M111" s="170"/>
      <c r="N111" s="294">
        <v>65</v>
      </c>
      <c r="O111" s="170"/>
    </row>
    <row r="112" ht="15.75" customHeight="1" spans="1:15">
      <c r="A112" s="183" t="str">
        <f>VLOOKUP(F112,数据集标准分类!A:G,7,0)</f>
        <v>02</v>
      </c>
      <c r="B112" s="183" t="str">
        <f>VLOOKUP(F112,数据集标准分类!A:F,6,0)</f>
        <v>电子病历</v>
      </c>
      <c r="C112" s="183" t="str">
        <f>VLOOKUP(F112,数据集标准分类!A:E,5,0)</f>
        <v>0201</v>
      </c>
      <c r="D112" s="183" t="str">
        <f>VLOOKUP(F112,数据集标准分类!A:D,4,0)</f>
        <v>病案首页</v>
      </c>
      <c r="E112" s="183" t="str">
        <f>VLOOKUP(F112,数据集标准分类!A:C,3,0)</f>
        <v>020101</v>
      </c>
      <c r="F112" s="170" t="s">
        <v>238</v>
      </c>
      <c r="G112" s="183" t="str">
        <f>VLOOKUP(F112,数据集标准分类!A:B,2,0)</f>
        <v>inpatient_case_homepage</v>
      </c>
      <c r="H112" s="294">
        <f>VLOOKUP(F112,数据集标准分类!A:H,8,0)</f>
        <v>4</v>
      </c>
      <c r="I112" s="170" t="s">
        <v>495</v>
      </c>
      <c r="J112" s="170" t="s">
        <v>496</v>
      </c>
      <c r="K112" s="170" t="s">
        <v>497</v>
      </c>
      <c r="L112" s="170" t="s">
        <v>498</v>
      </c>
      <c r="M112" s="170"/>
      <c r="N112" s="294">
        <v>66</v>
      </c>
      <c r="O112" s="170"/>
    </row>
    <row r="113" ht="15.75" customHeight="1" spans="1:15">
      <c r="A113" s="183" t="str">
        <f>VLOOKUP(F113,数据集标准分类!A:G,7,0)</f>
        <v>02</v>
      </c>
      <c r="B113" s="183" t="str">
        <f>VLOOKUP(F113,数据集标准分类!A:F,6,0)</f>
        <v>电子病历</v>
      </c>
      <c r="C113" s="183" t="str">
        <f>VLOOKUP(F113,数据集标准分类!A:E,5,0)</f>
        <v>0201</v>
      </c>
      <c r="D113" s="183" t="str">
        <f>VLOOKUP(F113,数据集标准分类!A:D,4,0)</f>
        <v>病案首页</v>
      </c>
      <c r="E113" s="183" t="str">
        <f>VLOOKUP(F113,数据集标准分类!A:C,3,0)</f>
        <v>020101</v>
      </c>
      <c r="F113" s="170" t="s">
        <v>238</v>
      </c>
      <c r="G113" s="183" t="str">
        <f>VLOOKUP(F113,数据集标准分类!A:B,2,0)</f>
        <v>inpatient_case_homepage</v>
      </c>
      <c r="H113" s="294">
        <f>VLOOKUP(F113,数据集标准分类!A:H,8,0)</f>
        <v>4</v>
      </c>
      <c r="I113" s="170" t="s">
        <v>499</v>
      </c>
      <c r="J113" s="170" t="s">
        <v>500</v>
      </c>
      <c r="K113" s="170" t="s">
        <v>501</v>
      </c>
      <c r="L113" s="170" t="s">
        <v>502</v>
      </c>
      <c r="M113" s="170"/>
      <c r="N113" s="294">
        <v>67</v>
      </c>
      <c r="O113" s="170"/>
    </row>
    <row r="114" ht="15.75" customHeight="1" spans="1:15">
      <c r="A114" s="183" t="str">
        <f>VLOOKUP(F114,数据集标准分类!A:G,7,0)</f>
        <v>02</v>
      </c>
      <c r="B114" s="183" t="str">
        <f>VLOOKUP(F114,数据集标准分类!A:F,6,0)</f>
        <v>电子病历</v>
      </c>
      <c r="C114" s="183" t="str">
        <f>VLOOKUP(F114,数据集标准分类!A:E,5,0)</f>
        <v>0201</v>
      </c>
      <c r="D114" s="183" t="str">
        <f>VLOOKUP(F114,数据集标准分类!A:D,4,0)</f>
        <v>病案首页</v>
      </c>
      <c r="E114" s="183" t="str">
        <f>VLOOKUP(F114,数据集标准分类!A:C,3,0)</f>
        <v>020101</v>
      </c>
      <c r="F114" s="170" t="s">
        <v>238</v>
      </c>
      <c r="G114" s="183" t="str">
        <f>VLOOKUP(F114,数据集标准分类!A:B,2,0)</f>
        <v>inpatient_case_homepage</v>
      </c>
      <c r="H114" s="294">
        <f>VLOOKUP(F114,数据集标准分类!A:H,8,0)</f>
        <v>4</v>
      </c>
      <c r="I114" s="170" t="s">
        <v>503</v>
      </c>
      <c r="J114" s="170" t="s">
        <v>504</v>
      </c>
      <c r="K114" s="170" t="s">
        <v>505</v>
      </c>
      <c r="L114" s="170" t="s">
        <v>506</v>
      </c>
      <c r="M114" s="170" t="s">
        <v>507</v>
      </c>
      <c r="N114" s="294">
        <v>68</v>
      </c>
      <c r="O114" s="170"/>
    </row>
    <row r="115" ht="15.75" customHeight="1" spans="1:15">
      <c r="A115" s="183" t="str">
        <f>VLOOKUP(F115,数据集标准分类!A:G,7,0)</f>
        <v>02</v>
      </c>
      <c r="B115" s="183" t="str">
        <f>VLOOKUP(F115,数据集标准分类!A:F,6,0)</f>
        <v>电子病历</v>
      </c>
      <c r="C115" s="183" t="str">
        <f>VLOOKUP(F115,数据集标准分类!A:E,5,0)</f>
        <v>0201</v>
      </c>
      <c r="D115" s="183" t="str">
        <f>VLOOKUP(F115,数据集标准分类!A:D,4,0)</f>
        <v>病案首页</v>
      </c>
      <c r="E115" s="183" t="str">
        <f>VLOOKUP(F115,数据集标准分类!A:C,3,0)</f>
        <v>020101</v>
      </c>
      <c r="F115" s="170" t="s">
        <v>238</v>
      </c>
      <c r="G115" s="183" t="str">
        <f>VLOOKUP(F115,数据集标准分类!A:B,2,0)</f>
        <v>inpatient_case_homepage</v>
      </c>
      <c r="H115" s="294">
        <f>VLOOKUP(F115,数据集标准分类!A:H,8,0)</f>
        <v>4</v>
      </c>
      <c r="I115" s="170" t="s">
        <v>508</v>
      </c>
      <c r="J115" s="170" t="s">
        <v>509</v>
      </c>
      <c r="K115" s="170" t="s">
        <v>510</v>
      </c>
      <c r="L115" s="170" t="s">
        <v>511</v>
      </c>
      <c r="M115" s="170" t="s">
        <v>512</v>
      </c>
      <c r="N115" s="294">
        <v>69</v>
      </c>
      <c r="O115" s="170"/>
    </row>
    <row r="116" ht="15.75" customHeight="1" spans="1:15">
      <c r="A116" s="183" t="str">
        <f>VLOOKUP(F116,数据集标准分类!A:G,7,0)</f>
        <v>02</v>
      </c>
      <c r="B116" s="183" t="str">
        <f>VLOOKUP(F116,数据集标准分类!A:F,6,0)</f>
        <v>电子病历</v>
      </c>
      <c r="C116" s="183" t="str">
        <f>VLOOKUP(F116,数据集标准分类!A:E,5,0)</f>
        <v>0201</v>
      </c>
      <c r="D116" s="183" t="str">
        <f>VLOOKUP(F116,数据集标准分类!A:D,4,0)</f>
        <v>病案首页</v>
      </c>
      <c r="E116" s="183" t="str">
        <f>VLOOKUP(F116,数据集标准分类!A:C,3,0)</f>
        <v>020101</v>
      </c>
      <c r="F116" s="170" t="s">
        <v>238</v>
      </c>
      <c r="G116" s="183" t="str">
        <f>VLOOKUP(F116,数据集标准分类!A:B,2,0)</f>
        <v>inpatient_case_homepage</v>
      </c>
      <c r="H116" s="294">
        <f>VLOOKUP(F116,数据集标准分类!A:H,8,0)</f>
        <v>4</v>
      </c>
      <c r="I116" s="170" t="s">
        <v>513</v>
      </c>
      <c r="J116" s="170" t="s">
        <v>514</v>
      </c>
      <c r="K116" s="170" t="s">
        <v>515</v>
      </c>
      <c r="L116" s="170" t="s">
        <v>516</v>
      </c>
      <c r="M116" s="170" t="s">
        <v>517</v>
      </c>
      <c r="N116" s="294">
        <v>70</v>
      </c>
      <c r="O116" s="170"/>
    </row>
    <row r="117" ht="15.75" customHeight="1" spans="1:15">
      <c r="A117" s="183" t="str">
        <f>VLOOKUP(F117,数据集标准分类!A:G,7,0)</f>
        <v>02</v>
      </c>
      <c r="B117" s="183" t="str">
        <f>VLOOKUP(F117,数据集标准分类!A:F,6,0)</f>
        <v>电子病历</v>
      </c>
      <c r="C117" s="183" t="str">
        <f>VLOOKUP(F117,数据集标准分类!A:E,5,0)</f>
        <v>0201</v>
      </c>
      <c r="D117" s="183" t="str">
        <f>VLOOKUP(F117,数据集标准分类!A:D,4,0)</f>
        <v>病案首页</v>
      </c>
      <c r="E117" s="183" t="str">
        <f>VLOOKUP(F117,数据集标准分类!A:C,3,0)</f>
        <v>020101</v>
      </c>
      <c r="F117" s="170" t="s">
        <v>238</v>
      </c>
      <c r="G117" s="183" t="str">
        <f>VLOOKUP(F117,数据集标准分类!A:B,2,0)</f>
        <v>inpatient_case_homepage</v>
      </c>
      <c r="H117" s="294">
        <f>VLOOKUP(F117,数据集标准分类!A:H,8,0)</f>
        <v>4</v>
      </c>
      <c r="I117" s="170" t="s">
        <v>518</v>
      </c>
      <c r="J117" s="170" t="s">
        <v>519</v>
      </c>
      <c r="K117" s="170" t="s">
        <v>520</v>
      </c>
      <c r="L117" s="170" t="s">
        <v>521</v>
      </c>
      <c r="M117" s="170" t="s">
        <v>522</v>
      </c>
      <c r="N117" s="294">
        <v>71</v>
      </c>
      <c r="O117" s="170"/>
    </row>
    <row r="118" ht="15.75" customHeight="1" spans="1:15">
      <c r="A118" s="183" t="str">
        <f>VLOOKUP(F118,数据集标准分类!A:G,7,0)</f>
        <v>02</v>
      </c>
      <c r="B118" s="183" t="str">
        <f>VLOOKUP(F118,数据集标准分类!A:F,6,0)</f>
        <v>电子病历</v>
      </c>
      <c r="C118" s="183" t="str">
        <f>VLOOKUP(F118,数据集标准分类!A:E,5,0)</f>
        <v>0201</v>
      </c>
      <c r="D118" s="183" t="str">
        <f>VLOOKUP(F118,数据集标准分类!A:D,4,0)</f>
        <v>病案首页</v>
      </c>
      <c r="E118" s="183" t="str">
        <f>VLOOKUP(F118,数据集标准分类!A:C,3,0)</f>
        <v>020101</v>
      </c>
      <c r="F118" s="170" t="s">
        <v>238</v>
      </c>
      <c r="G118" s="183" t="str">
        <f>VLOOKUP(F118,数据集标准分类!A:B,2,0)</f>
        <v>inpatient_case_homepage</v>
      </c>
      <c r="H118" s="294">
        <f>VLOOKUP(F118,数据集标准分类!A:H,8,0)</f>
        <v>4</v>
      </c>
      <c r="I118" s="170" t="s">
        <v>523</v>
      </c>
      <c r="J118" s="170" t="s">
        <v>524</v>
      </c>
      <c r="K118" s="170" t="s">
        <v>525</v>
      </c>
      <c r="L118" s="170" t="s">
        <v>526</v>
      </c>
      <c r="M118" s="170" t="s">
        <v>527</v>
      </c>
      <c r="N118" s="294">
        <v>72</v>
      </c>
      <c r="O118" s="170"/>
    </row>
    <row r="119" ht="15.75" customHeight="1" spans="1:15">
      <c r="A119" s="183" t="str">
        <f>VLOOKUP(F119,数据集标准分类!A:G,7,0)</f>
        <v>02</v>
      </c>
      <c r="B119" s="183" t="str">
        <f>VLOOKUP(F119,数据集标准分类!A:F,6,0)</f>
        <v>电子病历</v>
      </c>
      <c r="C119" s="183" t="str">
        <f>VLOOKUP(F119,数据集标准分类!A:E,5,0)</f>
        <v>0201</v>
      </c>
      <c r="D119" s="183" t="str">
        <f>VLOOKUP(F119,数据集标准分类!A:D,4,0)</f>
        <v>病案首页</v>
      </c>
      <c r="E119" s="183" t="str">
        <f>VLOOKUP(F119,数据集标准分类!A:C,3,0)</f>
        <v>020101</v>
      </c>
      <c r="F119" s="170" t="s">
        <v>238</v>
      </c>
      <c r="G119" s="183" t="str">
        <f>VLOOKUP(F119,数据集标准分类!A:B,2,0)</f>
        <v>inpatient_case_homepage</v>
      </c>
      <c r="H119" s="294">
        <f>VLOOKUP(F119,数据集标准分类!A:H,8,0)</f>
        <v>4</v>
      </c>
      <c r="I119" s="170" t="s">
        <v>528</v>
      </c>
      <c r="J119" s="170" t="s">
        <v>529</v>
      </c>
      <c r="K119" s="170" t="s">
        <v>530</v>
      </c>
      <c r="L119" s="170" t="s">
        <v>531</v>
      </c>
      <c r="M119" s="170" t="s">
        <v>532</v>
      </c>
      <c r="N119" s="294">
        <v>73</v>
      </c>
      <c r="O119" s="170"/>
    </row>
    <row r="120" ht="15.75" customHeight="1" spans="1:15">
      <c r="A120" s="183" t="str">
        <f>VLOOKUP(F120,数据集标准分类!A:G,7,0)</f>
        <v>02</v>
      </c>
      <c r="B120" s="183" t="str">
        <f>VLOOKUP(F120,数据集标准分类!A:F,6,0)</f>
        <v>电子病历</v>
      </c>
      <c r="C120" s="183" t="str">
        <f>VLOOKUP(F120,数据集标准分类!A:E,5,0)</f>
        <v>0201</v>
      </c>
      <c r="D120" s="183" t="str">
        <f>VLOOKUP(F120,数据集标准分类!A:D,4,0)</f>
        <v>病案首页</v>
      </c>
      <c r="E120" s="183" t="str">
        <f>VLOOKUP(F120,数据集标准分类!A:C,3,0)</f>
        <v>020101</v>
      </c>
      <c r="F120" s="170" t="s">
        <v>238</v>
      </c>
      <c r="G120" s="183" t="str">
        <f>VLOOKUP(F120,数据集标准分类!A:B,2,0)</f>
        <v>inpatient_case_homepage</v>
      </c>
      <c r="H120" s="294">
        <f>VLOOKUP(F120,数据集标准分类!A:H,8,0)</f>
        <v>4</v>
      </c>
      <c r="I120" s="170" t="s">
        <v>533</v>
      </c>
      <c r="J120" s="170" t="s">
        <v>534</v>
      </c>
      <c r="K120" s="170" t="s">
        <v>535</v>
      </c>
      <c r="L120" s="170" t="s">
        <v>536</v>
      </c>
      <c r="M120" s="170" t="s">
        <v>537</v>
      </c>
      <c r="N120" s="294">
        <v>74</v>
      </c>
      <c r="O120" s="170"/>
    </row>
    <row r="121" ht="15.75" customHeight="1" spans="1:15">
      <c r="A121" s="183" t="str">
        <f>VLOOKUP(F121,数据集标准分类!A:G,7,0)</f>
        <v>02</v>
      </c>
      <c r="B121" s="183" t="str">
        <f>VLOOKUP(F121,数据集标准分类!A:F,6,0)</f>
        <v>电子病历</v>
      </c>
      <c r="C121" s="183" t="str">
        <f>VLOOKUP(F121,数据集标准分类!A:E,5,0)</f>
        <v>0201</v>
      </c>
      <c r="D121" s="183" t="str">
        <f>VLOOKUP(F121,数据集标准分类!A:D,4,0)</f>
        <v>病案首页</v>
      </c>
      <c r="E121" s="183" t="str">
        <f>VLOOKUP(F121,数据集标准分类!A:C,3,0)</f>
        <v>020101</v>
      </c>
      <c r="F121" s="170" t="s">
        <v>238</v>
      </c>
      <c r="G121" s="183" t="str">
        <f>VLOOKUP(F121,数据集标准分类!A:B,2,0)</f>
        <v>inpatient_case_homepage</v>
      </c>
      <c r="H121" s="294">
        <f>VLOOKUP(F121,数据集标准分类!A:H,8,0)</f>
        <v>4</v>
      </c>
      <c r="I121" s="170" t="s">
        <v>538</v>
      </c>
      <c r="J121" s="170" t="s">
        <v>539</v>
      </c>
      <c r="K121" s="170" t="s">
        <v>540</v>
      </c>
      <c r="L121" s="170" t="s">
        <v>541</v>
      </c>
      <c r="M121" s="170" t="s">
        <v>542</v>
      </c>
      <c r="N121" s="294">
        <v>75</v>
      </c>
      <c r="O121" s="170"/>
    </row>
    <row r="122" ht="15.75" customHeight="1" spans="1:15">
      <c r="A122" s="183" t="str">
        <f>VLOOKUP(F122,数据集标准分类!A:G,7,0)</f>
        <v>02</v>
      </c>
      <c r="B122" s="183" t="str">
        <f>VLOOKUP(F122,数据集标准分类!A:F,6,0)</f>
        <v>电子病历</v>
      </c>
      <c r="C122" s="183" t="str">
        <f>VLOOKUP(F122,数据集标准分类!A:E,5,0)</f>
        <v>0201</v>
      </c>
      <c r="D122" s="183" t="str">
        <f>VLOOKUP(F122,数据集标准分类!A:D,4,0)</f>
        <v>病案首页</v>
      </c>
      <c r="E122" s="183" t="str">
        <f>VLOOKUP(F122,数据集标准分类!A:C,3,0)</f>
        <v>020101</v>
      </c>
      <c r="F122" s="170" t="s">
        <v>238</v>
      </c>
      <c r="G122" s="183" t="str">
        <f>VLOOKUP(F122,数据集标准分类!A:B,2,0)</f>
        <v>inpatient_case_homepage</v>
      </c>
      <c r="H122" s="294">
        <f>VLOOKUP(F122,数据集标准分类!A:H,8,0)</f>
        <v>4</v>
      </c>
      <c r="I122" s="170" t="s">
        <v>543</v>
      </c>
      <c r="J122" s="170" t="s">
        <v>544</v>
      </c>
      <c r="K122" s="170" t="s">
        <v>545</v>
      </c>
      <c r="L122" s="170" t="s">
        <v>546</v>
      </c>
      <c r="M122" s="170" t="s">
        <v>547</v>
      </c>
      <c r="N122" s="294">
        <v>76</v>
      </c>
      <c r="O122" s="170"/>
    </row>
    <row r="123" ht="15.75" customHeight="1" spans="1:15">
      <c r="A123" s="183" t="str">
        <f>VLOOKUP(F123,数据集标准分类!A:G,7,0)</f>
        <v>02</v>
      </c>
      <c r="B123" s="183" t="str">
        <f>VLOOKUP(F123,数据集标准分类!A:F,6,0)</f>
        <v>电子病历</v>
      </c>
      <c r="C123" s="183" t="str">
        <f>VLOOKUP(F123,数据集标准分类!A:E,5,0)</f>
        <v>0201</v>
      </c>
      <c r="D123" s="183" t="str">
        <f>VLOOKUP(F123,数据集标准分类!A:D,4,0)</f>
        <v>病案首页</v>
      </c>
      <c r="E123" s="183" t="str">
        <f>VLOOKUP(F123,数据集标准分类!A:C,3,0)</f>
        <v>020101</v>
      </c>
      <c r="F123" s="170" t="s">
        <v>238</v>
      </c>
      <c r="G123" s="183" t="str">
        <f>VLOOKUP(F123,数据集标准分类!A:B,2,0)</f>
        <v>inpatient_case_homepage</v>
      </c>
      <c r="H123" s="294">
        <f>VLOOKUP(F123,数据集标准分类!A:H,8,0)</f>
        <v>4</v>
      </c>
      <c r="I123" s="170" t="s">
        <v>548</v>
      </c>
      <c r="J123" s="170" t="s">
        <v>549</v>
      </c>
      <c r="K123" s="170" t="s">
        <v>550</v>
      </c>
      <c r="L123" s="170" t="s">
        <v>551</v>
      </c>
      <c r="M123" s="170" t="s">
        <v>552</v>
      </c>
      <c r="N123" s="294">
        <v>77</v>
      </c>
      <c r="O123" s="170"/>
    </row>
    <row r="124" ht="15.75" customHeight="1" spans="1:15">
      <c r="A124" s="183" t="str">
        <f>VLOOKUP(F124,数据集标准分类!A:G,7,0)</f>
        <v>02</v>
      </c>
      <c r="B124" s="183" t="str">
        <f>VLOOKUP(F124,数据集标准分类!A:F,6,0)</f>
        <v>电子病历</v>
      </c>
      <c r="C124" s="183" t="str">
        <f>VLOOKUP(F124,数据集标准分类!A:E,5,0)</f>
        <v>0201</v>
      </c>
      <c r="D124" s="183" t="str">
        <f>VLOOKUP(F124,数据集标准分类!A:D,4,0)</f>
        <v>病案首页</v>
      </c>
      <c r="E124" s="183" t="str">
        <f>VLOOKUP(F124,数据集标准分类!A:C,3,0)</f>
        <v>020101</v>
      </c>
      <c r="F124" s="170" t="s">
        <v>238</v>
      </c>
      <c r="G124" s="183" t="str">
        <f>VLOOKUP(F124,数据集标准分类!A:B,2,0)</f>
        <v>inpatient_case_homepage</v>
      </c>
      <c r="H124" s="294">
        <f>VLOOKUP(F124,数据集标准分类!A:H,8,0)</f>
        <v>4</v>
      </c>
      <c r="I124" s="170" t="s">
        <v>553</v>
      </c>
      <c r="J124" s="170" t="s">
        <v>554</v>
      </c>
      <c r="K124" s="170" t="s">
        <v>555</v>
      </c>
      <c r="L124" s="170" t="s">
        <v>556</v>
      </c>
      <c r="M124" s="170" t="s">
        <v>557</v>
      </c>
      <c r="N124" s="294">
        <v>78</v>
      </c>
      <c r="O124" s="170"/>
    </row>
    <row r="125" ht="15.75" customHeight="1" spans="1:15">
      <c r="A125" s="183" t="str">
        <f>VLOOKUP(F125,数据集标准分类!A:G,7,0)</f>
        <v>02</v>
      </c>
      <c r="B125" s="183" t="str">
        <f>VLOOKUP(F125,数据集标准分类!A:F,6,0)</f>
        <v>电子病历</v>
      </c>
      <c r="C125" s="183" t="str">
        <f>VLOOKUP(F125,数据集标准分类!A:E,5,0)</f>
        <v>0201</v>
      </c>
      <c r="D125" s="183" t="str">
        <f>VLOOKUP(F125,数据集标准分类!A:D,4,0)</f>
        <v>病案首页</v>
      </c>
      <c r="E125" s="183" t="str">
        <f>VLOOKUP(F125,数据集标准分类!A:C,3,0)</f>
        <v>020101</v>
      </c>
      <c r="F125" s="170" t="s">
        <v>238</v>
      </c>
      <c r="G125" s="183" t="str">
        <f>VLOOKUP(F125,数据集标准分类!A:B,2,0)</f>
        <v>inpatient_case_homepage</v>
      </c>
      <c r="H125" s="294">
        <f>VLOOKUP(F125,数据集标准分类!A:H,8,0)</f>
        <v>4</v>
      </c>
      <c r="I125" s="170" t="s">
        <v>558</v>
      </c>
      <c r="J125" s="170" t="s">
        <v>559</v>
      </c>
      <c r="K125" s="170" t="s">
        <v>560</v>
      </c>
      <c r="L125" s="170" t="s">
        <v>561</v>
      </c>
      <c r="M125" s="170" t="s">
        <v>562</v>
      </c>
      <c r="N125" s="294">
        <v>79</v>
      </c>
      <c r="O125" s="170"/>
    </row>
    <row r="126" ht="15.75" customHeight="1" spans="1:15">
      <c r="A126" s="183" t="str">
        <f>VLOOKUP(F126,数据集标准分类!A:G,7,0)</f>
        <v>02</v>
      </c>
      <c r="B126" s="183" t="str">
        <f>VLOOKUP(F126,数据集标准分类!A:F,6,0)</f>
        <v>电子病历</v>
      </c>
      <c r="C126" s="183" t="str">
        <f>VLOOKUP(F126,数据集标准分类!A:E,5,0)</f>
        <v>0201</v>
      </c>
      <c r="D126" s="183" t="str">
        <f>VLOOKUP(F126,数据集标准分类!A:D,4,0)</f>
        <v>病案首页</v>
      </c>
      <c r="E126" s="183" t="str">
        <f>VLOOKUP(F126,数据集标准分类!A:C,3,0)</f>
        <v>020102</v>
      </c>
      <c r="F126" s="170" t="s">
        <v>563</v>
      </c>
      <c r="G126" s="183" t="str">
        <f>VLOOKUP(F126,数据集标准分类!A:B,2,0)</f>
        <v>tcm_inp_case_homepage</v>
      </c>
      <c r="H126" s="294">
        <f>VLOOKUP(F126,数据集标准分类!A:H,8,0)</f>
        <v>5</v>
      </c>
      <c r="I126" s="170" t="s">
        <v>321</v>
      </c>
      <c r="J126" s="170" t="s">
        <v>322</v>
      </c>
      <c r="K126" s="170" t="s">
        <v>323</v>
      </c>
      <c r="L126" s="170" t="s">
        <v>324</v>
      </c>
      <c r="M126" s="170" t="s">
        <v>325</v>
      </c>
      <c r="N126" s="294">
        <v>1</v>
      </c>
      <c r="O126" s="170"/>
    </row>
    <row r="127" ht="15.75" customHeight="1" spans="1:15">
      <c r="A127" s="183" t="str">
        <f>VLOOKUP(F127,数据集标准分类!A:G,7,0)</f>
        <v>02</v>
      </c>
      <c r="B127" s="183" t="str">
        <f>VLOOKUP(F127,数据集标准分类!A:F,6,0)</f>
        <v>电子病历</v>
      </c>
      <c r="C127" s="183" t="str">
        <f>VLOOKUP(F127,数据集标准分类!A:E,5,0)</f>
        <v>0201</v>
      </c>
      <c r="D127" s="183" t="str">
        <f>VLOOKUP(F127,数据集标准分类!A:D,4,0)</f>
        <v>病案首页</v>
      </c>
      <c r="E127" s="183" t="str">
        <f>VLOOKUP(F127,数据集标准分类!A:C,3,0)</f>
        <v>020102</v>
      </c>
      <c r="F127" s="170" t="s">
        <v>563</v>
      </c>
      <c r="G127" s="183" t="str">
        <f>VLOOKUP(F127,数据集标准分类!A:B,2,0)</f>
        <v>tcm_inp_case_homepage</v>
      </c>
      <c r="H127" s="294">
        <f>VLOOKUP(F127,数据集标准分类!A:H,8,0)</f>
        <v>5</v>
      </c>
      <c r="I127" s="170" t="s">
        <v>330</v>
      </c>
      <c r="J127" s="170" t="s">
        <v>331</v>
      </c>
      <c r="K127" s="170" t="s">
        <v>332</v>
      </c>
      <c r="L127" s="170" t="s">
        <v>333</v>
      </c>
      <c r="M127" s="170" t="s">
        <v>334</v>
      </c>
      <c r="N127" s="294">
        <v>2</v>
      </c>
      <c r="O127" s="170"/>
    </row>
    <row r="128" ht="15.75" customHeight="1" spans="1:15">
      <c r="A128" s="183" t="str">
        <f>VLOOKUP(F128,数据集标准分类!A:G,7,0)</f>
        <v>02</v>
      </c>
      <c r="B128" s="183" t="str">
        <f>VLOOKUP(F128,数据集标准分类!A:F,6,0)</f>
        <v>电子病历</v>
      </c>
      <c r="C128" s="183" t="str">
        <f>VLOOKUP(F128,数据集标准分类!A:E,5,0)</f>
        <v>0201</v>
      </c>
      <c r="D128" s="183" t="str">
        <f>VLOOKUP(F128,数据集标准分类!A:D,4,0)</f>
        <v>病案首页</v>
      </c>
      <c r="E128" s="183" t="str">
        <f>VLOOKUP(F128,数据集标准分类!A:C,3,0)</f>
        <v>020102</v>
      </c>
      <c r="F128" s="170" t="s">
        <v>563</v>
      </c>
      <c r="G128" s="183" t="str">
        <f>VLOOKUP(F128,数据集标准分类!A:B,2,0)</f>
        <v>tcm_inp_case_homepage</v>
      </c>
      <c r="H128" s="294">
        <f>VLOOKUP(F128,数据集标准分类!A:H,8,0)</f>
        <v>5</v>
      </c>
      <c r="I128" s="170" t="s">
        <v>335</v>
      </c>
      <c r="J128" s="170" t="s">
        <v>336</v>
      </c>
      <c r="K128" s="170" t="s">
        <v>337</v>
      </c>
      <c r="L128" s="170" t="s">
        <v>338</v>
      </c>
      <c r="M128" s="170" t="s">
        <v>339</v>
      </c>
      <c r="N128" s="294">
        <v>3</v>
      </c>
      <c r="O128" s="170"/>
    </row>
    <row r="129" ht="15.75" customHeight="1" spans="1:15">
      <c r="A129" s="183" t="str">
        <f>VLOOKUP(F129,数据集标准分类!A:G,7,0)</f>
        <v>02</v>
      </c>
      <c r="B129" s="183" t="str">
        <f>VLOOKUP(F129,数据集标准分类!A:F,6,0)</f>
        <v>电子病历</v>
      </c>
      <c r="C129" s="183" t="str">
        <f>VLOOKUP(F129,数据集标准分类!A:E,5,0)</f>
        <v>0201</v>
      </c>
      <c r="D129" s="183" t="str">
        <f>VLOOKUP(F129,数据集标准分类!A:D,4,0)</f>
        <v>病案首页</v>
      </c>
      <c r="E129" s="183" t="str">
        <f>VLOOKUP(F129,数据集标准分类!A:C,3,0)</f>
        <v>020102</v>
      </c>
      <c r="F129" s="170" t="s">
        <v>563</v>
      </c>
      <c r="G129" s="183" t="str">
        <f>VLOOKUP(F129,数据集标准分类!A:B,2,0)</f>
        <v>tcm_inp_case_homepage</v>
      </c>
      <c r="H129" s="294">
        <f>VLOOKUP(F129,数据集标准分类!A:H,8,0)</f>
        <v>5</v>
      </c>
      <c r="I129" s="170" t="s">
        <v>316</v>
      </c>
      <c r="J129" s="170" t="s">
        <v>317</v>
      </c>
      <c r="K129" s="170" t="s">
        <v>318</v>
      </c>
      <c r="L129" s="170" t="s">
        <v>319</v>
      </c>
      <c r="M129" s="170" t="s">
        <v>320</v>
      </c>
      <c r="N129" s="294">
        <v>4</v>
      </c>
      <c r="O129" s="170"/>
    </row>
    <row r="130" ht="15.75" customHeight="1" spans="1:15">
      <c r="A130" s="183" t="str">
        <f>VLOOKUP(F130,数据集标准分类!A:G,7,0)</f>
        <v>02</v>
      </c>
      <c r="B130" s="183" t="str">
        <f>VLOOKUP(F130,数据集标准分类!A:F,6,0)</f>
        <v>电子病历</v>
      </c>
      <c r="C130" s="183" t="str">
        <f>VLOOKUP(F130,数据集标准分类!A:E,5,0)</f>
        <v>0201</v>
      </c>
      <c r="D130" s="183" t="str">
        <f>VLOOKUP(F130,数据集标准分类!A:D,4,0)</f>
        <v>病案首页</v>
      </c>
      <c r="E130" s="183" t="str">
        <f>VLOOKUP(F130,数据集标准分类!A:C,3,0)</f>
        <v>020102</v>
      </c>
      <c r="F130" s="170" t="s">
        <v>563</v>
      </c>
      <c r="G130" s="183" t="str">
        <f>VLOOKUP(F130,数据集标准分类!A:B,2,0)</f>
        <v>tcm_inp_case_homepage</v>
      </c>
      <c r="H130" s="294">
        <f>VLOOKUP(F130,数据集标准分类!A:H,8,0)</f>
        <v>5</v>
      </c>
      <c r="I130" s="170" t="s">
        <v>240</v>
      </c>
      <c r="J130" s="170" t="s">
        <v>241</v>
      </c>
      <c r="K130" s="170" t="s">
        <v>242</v>
      </c>
      <c r="L130" s="170" t="s">
        <v>243</v>
      </c>
      <c r="M130" s="170" t="s">
        <v>244</v>
      </c>
      <c r="N130" s="294">
        <v>5</v>
      </c>
      <c r="O130" s="170"/>
    </row>
    <row r="131" ht="15.75" customHeight="1" spans="1:15">
      <c r="A131" s="183" t="str">
        <f>VLOOKUP(F131,数据集标准分类!A:G,7,0)</f>
        <v>02</v>
      </c>
      <c r="B131" s="183" t="str">
        <f>VLOOKUP(F131,数据集标准分类!A:F,6,0)</f>
        <v>电子病历</v>
      </c>
      <c r="C131" s="183" t="str">
        <f>VLOOKUP(F131,数据集标准分类!A:E,5,0)</f>
        <v>0201</v>
      </c>
      <c r="D131" s="183" t="str">
        <f>VLOOKUP(F131,数据集标准分类!A:D,4,0)</f>
        <v>病案首页</v>
      </c>
      <c r="E131" s="183" t="str">
        <f>VLOOKUP(F131,数据集标准分类!A:C,3,0)</f>
        <v>020102</v>
      </c>
      <c r="F131" s="170" t="s">
        <v>563</v>
      </c>
      <c r="G131" s="183" t="str">
        <f>VLOOKUP(F131,数据集标准分类!A:B,2,0)</f>
        <v>tcm_inp_case_homepage</v>
      </c>
      <c r="H131" s="294">
        <f>VLOOKUP(F131,数据集标准分类!A:H,8,0)</f>
        <v>5</v>
      </c>
      <c r="I131" s="170" t="s">
        <v>340</v>
      </c>
      <c r="J131" s="170" t="s">
        <v>341</v>
      </c>
      <c r="K131" s="170" t="s">
        <v>342</v>
      </c>
      <c r="L131" s="170" t="s">
        <v>343</v>
      </c>
      <c r="M131" s="170" t="s">
        <v>344</v>
      </c>
      <c r="N131" s="294">
        <v>6</v>
      </c>
      <c r="O131" s="170"/>
    </row>
    <row r="132" ht="15.75" customHeight="1" spans="1:15">
      <c r="A132" s="183" t="str">
        <f>VLOOKUP(F132,数据集标准分类!A:G,7,0)</f>
        <v>02</v>
      </c>
      <c r="B132" s="183" t="str">
        <f>VLOOKUP(F132,数据集标准分类!A:F,6,0)</f>
        <v>电子病历</v>
      </c>
      <c r="C132" s="183" t="str">
        <f>VLOOKUP(F132,数据集标准分类!A:E,5,0)</f>
        <v>0201</v>
      </c>
      <c r="D132" s="183" t="str">
        <f>VLOOKUP(F132,数据集标准分类!A:D,4,0)</f>
        <v>病案首页</v>
      </c>
      <c r="E132" s="183" t="str">
        <f>VLOOKUP(F132,数据集标准分类!A:C,3,0)</f>
        <v>020102</v>
      </c>
      <c r="F132" s="170" t="s">
        <v>563</v>
      </c>
      <c r="G132" s="183" t="str">
        <f>VLOOKUP(F132,数据集标准分类!A:B,2,0)</f>
        <v>tcm_inp_case_homepage</v>
      </c>
      <c r="H132" s="294">
        <f>VLOOKUP(F132,数据集标准分类!A:H,8,0)</f>
        <v>5</v>
      </c>
      <c r="I132" s="170" t="s">
        <v>564</v>
      </c>
      <c r="J132" s="170" t="s">
        <v>565</v>
      </c>
      <c r="K132" s="170" t="s">
        <v>566</v>
      </c>
      <c r="L132" s="170" t="s">
        <v>567</v>
      </c>
      <c r="M132" s="170" t="s">
        <v>568</v>
      </c>
      <c r="N132" s="294">
        <v>7</v>
      </c>
      <c r="O132" s="170"/>
    </row>
    <row r="133" ht="15.75" customHeight="1" spans="1:15">
      <c r="A133" s="183" t="str">
        <f>VLOOKUP(F133,数据集标准分类!A:G,7,0)</f>
        <v>02</v>
      </c>
      <c r="B133" s="183" t="str">
        <f>VLOOKUP(F133,数据集标准分类!A:F,6,0)</f>
        <v>电子病历</v>
      </c>
      <c r="C133" s="183" t="str">
        <f>VLOOKUP(F133,数据集标准分类!A:E,5,0)</f>
        <v>0201</v>
      </c>
      <c r="D133" s="183" t="str">
        <f>VLOOKUP(F133,数据集标准分类!A:D,4,0)</f>
        <v>病案首页</v>
      </c>
      <c r="E133" s="183" t="str">
        <f>VLOOKUP(F133,数据集标准分类!A:C,3,0)</f>
        <v>020102</v>
      </c>
      <c r="F133" s="170" t="s">
        <v>563</v>
      </c>
      <c r="G133" s="183" t="str">
        <f>VLOOKUP(F133,数据集标准分类!A:B,2,0)</f>
        <v>tcm_inp_case_homepage</v>
      </c>
      <c r="H133" s="294">
        <f>VLOOKUP(F133,数据集标准分类!A:H,8,0)</f>
        <v>5</v>
      </c>
      <c r="I133" s="170" t="s">
        <v>152</v>
      </c>
      <c r="J133" s="170" t="s">
        <v>153</v>
      </c>
      <c r="K133" s="170" t="s">
        <v>154</v>
      </c>
      <c r="L133" s="170" t="s">
        <v>155</v>
      </c>
      <c r="M133" s="170" t="s">
        <v>156</v>
      </c>
      <c r="N133" s="294">
        <v>8</v>
      </c>
      <c r="O133" s="170"/>
    </row>
    <row r="134" ht="15.75" customHeight="1" spans="1:15">
      <c r="A134" s="183" t="str">
        <f>VLOOKUP(F134,数据集标准分类!A:G,7,0)</f>
        <v>02</v>
      </c>
      <c r="B134" s="183" t="str">
        <f>VLOOKUP(F134,数据集标准分类!A:F,6,0)</f>
        <v>电子病历</v>
      </c>
      <c r="C134" s="183" t="str">
        <f>VLOOKUP(F134,数据集标准分类!A:E,5,0)</f>
        <v>0201</v>
      </c>
      <c r="D134" s="183" t="str">
        <f>VLOOKUP(F134,数据集标准分类!A:D,4,0)</f>
        <v>病案首页</v>
      </c>
      <c r="E134" s="183" t="str">
        <f>VLOOKUP(F134,数据集标准分类!A:C,3,0)</f>
        <v>020102</v>
      </c>
      <c r="F134" s="170" t="s">
        <v>563</v>
      </c>
      <c r="G134" s="183" t="str">
        <f>VLOOKUP(F134,数据集标准分类!A:B,2,0)</f>
        <v>tcm_inp_case_homepage</v>
      </c>
      <c r="H134" s="294">
        <f>VLOOKUP(F134,数据集标准分类!A:H,8,0)</f>
        <v>5</v>
      </c>
      <c r="I134" s="170" t="s">
        <v>157</v>
      </c>
      <c r="J134" s="170" t="s">
        <v>158</v>
      </c>
      <c r="K134" s="170" t="s">
        <v>159</v>
      </c>
      <c r="L134" s="170" t="s">
        <v>160</v>
      </c>
      <c r="M134" s="170" t="s">
        <v>161</v>
      </c>
      <c r="N134" s="294">
        <v>9</v>
      </c>
      <c r="O134" s="170"/>
    </row>
    <row r="135" ht="15.75" customHeight="1" spans="1:15">
      <c r="A135" s="183" t="str">
        <f>VLOOKUP(F135,数据集标准分类!A:G,7,0)</f>
        <v>02</v>
      </c>
      <c r="B135" s="183" t="str">
        <f>VLOOKUP(F135,数据集标准分类!A:F,6,0)</f>
        <v>电子病历</v>
      </c>
      <c r="C135" s="183" t="str">
        <f>VLOOKUP(F135,数据集标准分类!A:E,5,0)</f>
        <v>0201</v>
      </c>
      <c r="D135" s="183" t="str">
        <f>VLOOKUP(F135,数据集标准分类!A:D,4,0)</f>
        <v>病案首页</v>
      </c>
      <c r="E135" s="183" t="str">
        <f>VLOOKUP(F135,数据集标准分类!A:C,3,0)</f>
        <v>020102</v>
      </c>
      <c r="F135" s="170" t="s">
        <v>563</v>
      </c>
      <c r="G135" s="183" t="str">
        <f>VLOOKUP(F135,数据集标准分类!A:B,2,0)</f>
        <v>tcm_inp_case_homepage</v>
      </c>
      <c r="H135" s="294">
        <f>VLOOKUP(F135,数据集标准分类!A:H,8,0)</f>
        <v>5</v>
      </c>
      <c r="I135" s="170" t="s">
        <v>569</v>
      </c>
      <c r="J135" s="170" t="s">
        <v>570</v>
      </c>
      <c r="K135" s="170" t="s">
        <v>571</v>
      </c>
      <c r="L135" s="170" t="s">
        <v>572</v>
      </c>
      <c r="M135" s="170" t="s">
        <v>573</v>
      </c>
      <c r="N135" s="294">
        <v>10</v>
      </c>
      <c r="O135" s="170"/>
    </row>
    <row r="136" ht="15.75" customHeight="1" spans="1:15">
      <c r="A136" s="183" t="str">
        <f>VLOOKUP(F136,数据集标准分类!A:G,7,0)</f>
        <v>02</v>
      </c>
      <c r="B136" s="183" t="str">
        <f>VLOOKUP(F136,数据集标准分类!A:F,6,0)</f>
        <v>电子病历</v>
      </c>
      <c r="C136" s="183" t="str">
        <f>VLOOKUP(F136,数据集标准分类!A:E,5,0)</f>
        <v>0201</v>
      </c>
      <c r="D136" s="183" t="str">
        <f>VLOOKUP(F136,数据集标准分类!A:D,4,0)</f>
        <v>病案首页</v>
      </c>
      <c r="E136" s="183" t="str">
        <f>VLOOKUP(F136,数据集标准分类!A:C,3,0)</f>
        <v>020102</v>
      </c>
      <c r="F136" s="170" t="s">
        <v>563</v>
      </c>
      <c r="G136" s="183" t="str">
        <f>VLOOKUP(F136,数据集标准分类!A:B,2,0)</f>
        <v>tcm_inp_case_homepage</v>
      </c>
      <c r="H136" s="294">
        <f>VLOOKUP(F136,数据集标准分类!A:H,8,0)</f>
        <v>5</v>
      </c>
      <c r="I136" s="170" t="s">
        <v>574</v>
      </c>
      <c r="J136" s="170" t="s">
        <v>575</v>
      </c>
      <c r="K136" s="170" t="s">
        <v>576</v>
      </c>
      <c r="L136" s="170" t="s">
        <v>577</v>
      </c>
      <c r="M136" s="170" t="s">
        <v>578</v>
      </c>
      <c r="N136" s="294">
        <v>11</v>
      </c>
      <c r="O136" s="170"/>
    </row>
    <row r="137" ht="15.75" customHeight="1" spans="1:15">
      <c r="A137" s="183" t="str">
        <f>VLOOKUP(F137,数据集标准分类!A:G,7,0)</f>
        <v>02</v>
      </c>
      <c r="B137" s="183" t="str">
        <f>VLOOKUP(F137,数据集标准分类!A:F,6,0)</f>
        <v>电子病历</v>
      </c>
      <c r="C137" s="183" t="str">
        <f>VLOOKUP(F137,数据集标准分类!A:E,5,0)</f>
        <v>0201</v>
      </c>
      <c r="D137" s="183" t="str">
        <f>VLOOKUP(F137,数据集标准分类!A:D,4,0)</f>
        <v>病案首页</v>
      </c>
      <c r="E137" s="183" t="str">
        <f>VLOOKUP(F137,数据集标准分类!A:C,3,0)</f>
        <v>020102</v>
      </c>
      <c r="F137" s="170" t="s">
        <v>563</v>
      </c>
      <c r="G137" s="183" t="str">
        <f>VLOOKUP(F137,数据集标准分类!A:B,2,0)</f>
        <v>tcm_inp_case_homepage</v>
      </c>
      <c r="H137" s="294">
        <f>VLOOKUP(F137,数据集标准分类!A:H,8,0)</f>
        <v>5</v>
      </c>
      <c r="I137" s="170" t="s">
        <v>579</v>
      </c>
      <c r="J137" s="170" t="s">
        <v>580</v>
      </c>
      <c r="K137" s="170" t="s">
        <v>581</v>
      </c>
      <c r="L137" s="170" t="s">
        <v>582</v>
      </c>
      <c r="M137" s="170" t="s">
        <v>583</v>
      </c>
      <c r="N137" s="294">
        <v>12</v>
      </c>
      <c r="O137" s="170"/>
    </row>
    <row r="138" ht="15.75" customHeight="1" spans="1:15">
      <c r="A138" s="183" t="str">
        <f>VLOOKUP(F138,数据集标准分类!A:G,7,0)</f>
        <v>02</v>
      </c>
      <c r="B138" s="183" t="str">
        <f>VLOOKUP(F138,数据集标准分类!A:F,6,0)</f>
        <v>电子病历</v>
      </c>
      <c r="C138" s="183" t="str">
        <f>VLOOKUP(F138,数据集标准分类!A:E,5,0)</f>
        <v>0201</v>
      </c>
      <c r="D138" s="183" t="str">
        <f>VLOOKUP(F138,数据集标准分类!A:D,4,0)</f>
        <v>病案首页</v>
      </c>
      <c r="E138" s="183" t="str">
        <f>VLOOKUP(F138,数据集标准分类!A:C,3,0)</f>
        <v>020102</v>
      </c>
      <c r="F138" s="170" t="s">
        <v>563</v>
      </c>
      <c r="G138" s="183" t="str">
        <f>VLOOKUP(F138,数据集标准分类!A:B,2,0)</f>
        <v>tcm_inp_case_homepage</v>
      </c>
      <c r="H138" s="294">
        <f>VLOOKUP(F138,数据集标准分类!A:H,8,0)</f>
        <v>5</v>
      </c>
      <c r="I138" s="170" t="s">
        <v>584</v>
      </c>
      <c r="J138" s="170" t="s">
        <v>585</v>
      </c>
      <c r="K138" s="170" t="s">
        <v>586</v>
      </c>
      <c r="L138" s="170" t="s">
        <v>587</v>
      </c>
      <c r="M138" s="170" t="s">
        <v>588</v>
      </c>
      <c r="N138" s="294">
        <v>13</v>
      </c>
      <c r="O138" s="170"/>
    </row>
    <row r="139" ht="15.75" customHeight="1" spans="1:15">
      <c r="A139" s="183" t="str">
        <f>VLOOKUP(F139,数据集标准分类!A:G,7,0)</f>
        <v>02</v>
      </c>
      <c r="B139" s="183" t="str">
        <f>VLOOKUP(F139,数据集标准分类!A:F,6,0)</f>
        <v>电子病历</v>
      </c>
      <c r="C139" s="183" t="str">
        <f>VLOOKUP(F139,数据集标准分类!A:E,5,0)</f>
        <v>0201</v>
      </c>
      <c r="D139" s="183" t="str">
        <f>VLOOKUP(F139,数据集标准分类!A:D,4,0)</f>
        <v>病案首页</v>
      </c>
      <c r="E139" s="183" t="str">
        <f>VLOOKUP(F139,数据集标准分类!A:C,3,0)</f>
        <v>020102</v>
      </c>
      <c r="F139" s="170" t="s">
        <v>563</v>
      </c>
      <c r="G139" s="183" t="str">
        <f>VLOOKUP(F139,数据集标准分类!A:B,2,0)</f>
        <v>tcm_inp_case_homepage</v>
      </c>
      <c r="H139" s="294">
        <f>VLOOKUP(F139,数据集标准分类!A:H,8,0)</f>
        <v>5</v>
      </c>
      <c r="I139" s="170" t="s">
        <v>589</v>
      </c>
      <c r="J139" s="170" t="s">
        <v>590</v>
      </c>
      <c r="K139" s="170" t="s">
        <v>591</v>
      </c>
      <c r="L139" s="170" t="s">
        <v>592</v>
      </c>
      <c r="M139" s="170" t="s">
        <v>593</v>
      </c>
      <c r="N139" s="294">
        <v>14</v>
      </c>
      <c r="O139" s="170"/>
    </row>
    <row r="140" ht="15.75" customHeight="1" spans="1:15">
      <c r="A140" s="183" t="str">
        <f>VLOOKUP(F140,数据集标准分类!A:G,7,0)</f>
        <v>02</v>
      </c>
      <c r="B140" s="183" t="str">
        <f>VLOOKUP(F140,数据集标准分类!A:F,6,0)</f>
        <v>电子病历</v>
      </c>
      <c r="C140" s="183" t="str">
        <f>VLOOKUP(F140,数据集标准分类!A:E,5,0)</f>
        <v>0201</v>
      </c>
      <c r="D140" s="183" t="str">
        <f>VLOOKUP(F140,数据集标准分类!A:D,4,0)</f>
        <v>病案首页</v>
      </c>
      <c r="E140" s="183" t="str">
        <f>VLOOKUP(F140,数据集标准分类!A:C,3,0)</f>
        <v>020102</v>
      </c>
      <c r="F140" s="170" t="s">
        <v>563</v>
      </c>
      <c r="G140" s="183" t="str">
        <f>VLOOKUP(F140,数据集标准分类!A:B,2,0)</f>
        <v>tcm_inp_case_homepage</v>
      </c>
      <c r="H140" s="294">
        <f>VLOOKUP(F140,数据集标准分类!A:H,8,0)</f>
        <v>5</v>
      </c>
      <c r="I140" s="170" t="s">
        <v>594</v>
      </c>
      <c r="J140" s="170" t="s">
        <v>595</v>
      </c>
      <c r="K140" s="170" t="s">
        <v>596</v>
      </c>
      <c r="L140" s="170" t="s">
        <v>597</v>
      </c>
      <c r="M140" s="170" t="s">
        <v>598</v>
      </c>
      <c r="N140" s="294">
        <v>15</v>
      </c>
      <c r="O140" s="170"/>
    </row>
    <row r="141" ht="15.75" customHeight="1" spans="1:15">
      <c r="A141" s="183" t="str">
        <f>VLOOKUP(F141,数据集标准分类!A:G,7,0)</f>
        <v>02</v>
      </c>
      <c r="B141" s="183" t="str">
        <f>VLOOKUP(F141,数据集标准分类!A:F,6,0)</f>
        <v>电子病历</v>
      </c>
      <c r="C141" s="183" t="str">
        <f>VLOOKUP(F141,数据集标准分类!A:E,5,0)</f>
        <v>0201</v>
      </c>
      <c r="D141" s="183" t="str">
        <f>VLOOKUP(F141,数据集标准分类!A:D,4,0)</f>
        <v>病案首页</v>
      </c>
      <c r="E141" s="183" t="str">
        <f>VLOOKUP(F141,数据集标准分类!A:C,3,0)</f>
        <v>020102</v>
      </c>
      <c r="F141" s="170" t="s">
        <v>563</v>
      </c>
      <c r="G141" s="183" t="str">
        <f>VLOOKUP(F141,数据集标准分类!A:B,2,0)</f>
        <v>tcm_inp_case_homepage</v>
      </c>
      <c r="H141" s="294">
        <f>VLOOKUP(F141,数据集标准分类!A:H,8,0)</f>
        <v>5</v>
      </c>
      <c r="I141" s="170" t="s">
        <v>431</v>
      </c>
      <c r="J141" s="170" t="s">
        <v>432</v>
      </c>
      <c r="K141" s="170" t="s">
        <v>433</v>
      </c>
      <c r="L141" s="170" t="s">
        <v>434</v>
      </c>
      <c r="M141" s="170" t="s">
        <v>599</v>
      </c>
      <c r="N141" s="294">
        <v>16</v>
      </c>
      <c r="O141" s="170"/>
    </row>
    <row r="142" ht="15.75" customHeight="1" spans="1:15">
      <c r="A142" s="183" t="str">
        <f>VLOOKUP(F142,数据集标准分类!A:G,7,0)</f>
        <v>02</v>
      </c>
      <c r="B142" s="183" t="str">
        <f>VLOOKUP(F142,数据集标准分类!A:F,6,0)</f>
        <v>电子病历</v>
      </c>
      <c r="C142" s="183" t="str">
        <f>VLOOKUP(F142,数据集标准分类!A:E,5,0)</f>
        <v>0201</v>
      </c>
      <c r="D142" s="183" t="str">
        <f>VLOOKUP(F142,数据集标准分类!A:D,4,0)</f>
        <v>病案首页</v>
      </c>
      <c r="E142" s="183" t="str">
        <f>VLOOKUP(F142,数据集标准分类!A:C,3,0)</f>
        <v>020102</v>
      </c>
      <c r="F142" s="170" t="s">
        <v>563</v>
      </c>
      <c r="G142" s="183" t="str">
        <f>VLOOKUP(F142,数据集标准分类!A:B,2,0)</f>
        <v>tcm_inp_case_homepage</v>
      </c>
      <c r="H142" s="294">
        <f>VLOOKUP(F142,数据集标准分类!A:H,8,0)</f>
        <v>5</v>
      </c>
      <c r="I142" s="170" t="s">
        <v>436</v>
      </c>
      <c r="J142" s="170" t="s">
        <v>437</v>
      </c>
      <c r="K142" s="170" t="s">
        <v>438</v>
      </c>
      <c r="L142" s="170" t="s">
        <v>439</v>
      </c>
      <c r="M142" s="170" t="s">
        <v>600</v>
      </c>
      <c r="N142" s="294">
        <v>17</v>
      </c>
      <c r="O142" s="170"/>
    </row>
    <row r="143" ht="15.75" customHeight="1" spans="1:15">
      <c r="A143" s="183" t="str">
        <f>VLOOKUP(F143,数据集标准分类!A:G,7,0)</f>
        <v>02</v>
      </c>
      <c r="B143" s="183" t="str">
        <f>VLOOKUP(F143,数据集标准分类!A:F,6,0)</f>
        <v>电子病历</v>
      </c>
      <c r="C143" s="183" t="str">
        <f>VLOOKUP(F143,数据集标准分类!A:E,5,0)</f>
        <v>0201</v>
      </c>
      <c r="D143" s="183" t="str">
        <f>VLOOKUP(F143,数据集标准分类!A:D,4,0)</f>
        <v>病案首页</v>
      </c>
      <c r="E143" s="183" t="str">
        <f>VLOOKUP(F143,数据集标准分类!A:C,3,0)</f>
        <v>020102</v>
      </c>
      <c r="F143" s="170" t="s">
        <v>563</v>
      </c>
      <c r="G143" s="183" t="str">
        <f>VLOOKUP(F143,数据集标准分类!A:B,2,0)</f>
        <v>tcm_inp_case_homepage</v>
      </c>
      <c r="H143" s="294">
        <f>VLOOKUP(F143,数据集标准分类!A:H,8,0)</f>
        <v>5</v>
      </c>
      <c r="I143" s="170" t="s">
        <v>369</v>
      </c>
      <c r="J143" s="170" t="s">
        <v>370</v>
      </c>
      <c r="K143" s="170" t="s">
        <v>371</v>
      </c>
      <c r="L143" s="170" t="s">
        <v>601</v>
      </c>
      <c r="M143" s="170" t="s">
        <v>602</v>
      </c>
      <c r="N143" s="294">
        <v>18</v>
      </c>
      <c r="O143" s="170"/>
    </row>
    <row r="144" ht="15.75" customHeight="1" spans="1:15">
      <c r="A144" s="183" t="str">
        <f>VLOOKUP(F144,数据集标准分类!A:G,7,0)</f>
        <v>02</v>
      </c>
      <c r="B144" s="183" t="str">
        <f>VLOOKUP(F144,数据集标准分类!A:F,6,0)</f>
        <v>电子病历</v>
      </c>
      <c r="C144" s="183" t="str">
        <f>VLOOKUP(F144,数据集标准分类!A:E,5,0)</f>
        <v>0201</v>
      </c>
      <c r="D144" s="183" t="str">
        <f>VLOOKUP(F144,数据集标准分类!A:D,4,0)</f>
        <v>病案首页</v>
      </c>
      <c r="E144" s="183" t="str">
        <f>VLOOKUP(F144,数据集标准分类!A:C,3,0)</f>
        <v>020102</v>
      </c>
      <c r="F144" s="170" t="s">
        <v>563</v>
      </c>
      <c r="G144" s="183" t="str">
        <f>VLOOKUP(F144,数据集标准分类!A:B,2,0)</f>
        <v>tcm_inp_case_homepage</v>
      </c>
      <c r="H144" s="294">
        <f>VLOOKUP(F144,数据集标准分类!A:H,8,0)</f>
        <v>5</v>
      </c>
      <c r="I144" s="170" t="s">
        <v>603</v>
      </c>
      <c r="J144" s="170" t="s">
        <v>604</v>
      </c>
      <c r="K144" s="170" t="s">
        <v>605</v>
      </c>
      <c r="L144" s="170" t="s">
        <v>606</v>
      </c>
      <c r="M144" s="170" t="s">
        <v>607</v>
      </c>
      <c r="N144" s="294">
        <v>19</v>
      </c>
      <c r="O144" s="170"/>
    </row>
    <row r="145" ht="15.75" customHeight="1" spans="1:15">
      <c r="A145" s="183" t="str">
        <f>VLOOKUP(F145,数据集标准分类!A:G,7,0)</f>
        <v>02</v>
      </c>
      <c r="B145" s="183" t="str">
        <f>VLOOKUP(F145,数据集标准分类!A:F,6,0)</f>
        <v>电子病历</v>
      </c>
      <c r="C145" s="183" t="str">
        <f>VLOOKUP(F145,数据集标准分类!A:E,5,0)</f>
        <v>0201</v>
      </c>
      <c r="D145" s="183" t="str">
        <f>VLOOKUP(F145,数据集标准分类!A:D,4,0)</f>
        <v>病案首页</v>
      </c>
      <c r="E145" s="183" t="str">
        <f>VLOOKUP(F145,数据集标准分类!A:C,3,0)</f>
        <v>020102</v>
      </c>
      <c r="F145" s="170" t="s">
        <v>563</v>
      </c>
      <c r="G145" s="183" t="str">
        <f>VLOOKUP(F145,数据集标准分类!A:B,2,0)</f>
        <v>tcm_inp_case_homepage</v>
      </c>
      <c r="H145" s="294">
        <f>VLOOKUP(F145,数据集标准分类!A:H,8,0)</f>
        <v>5</v>
      </c>
      <c r="I145" s="170" t="s">
        <v>608</v>
      </c>
      <c r="J145" s="170" t="s">
        <v>609</v>
      </c>
      <c r="K145" s="170" t="s">
        <v>610</v>
      </c>
      <c r="L145" s="170" t="s">
        <v>611</v>
      </c>
      <c r="M145" s="170" t="s">
        <v>612</v>
      </c>
      <c r="N145" s="294">
        <v>20</v>
      </c>
      <c r="O145" s="170"/>
    </row>
    <row r="146" ht="15.75" customHeight="1" spans="1:15">
      <c r="A146" s="183" t="str">
        <f>VLOOKUP(F146,数据集标准分类!A:G,7,0)</f>
        <v>02</v>
      </c>
      <c r="B146" s="183" t="str">
        <f>VLOOKUP(F146,数据集标准分类!A:F,6,0)</f>
        <v>电子病历</v>
      </c>
      <c r="C146" s="183" t="str">
        <f>VLOOKUP(F146,数据集标准分类!A:E,5,0)</f>
        <v>0201</v>
      </c>
      <c r="D146" s="183" t="str">
        <f>VLOOKUP(F146,数据集标准分类!A:D,4,0)</f>
        <v>病案首页</v>
      </c>
      <c r="E146" s="183" t="str">
        <f>VLOOKUP(F146,数据集标准分类!A:C,3,0)</f>
        <v>020102</v>
      </c>
      <c r="F146" s="170" t="s">
        <v>563</v>
      </c>
      <c r="G146" s="183" t="str">
        <f>VLOOKUP(F146,数据集标准分类!A:B,2,0)</f>
        <v>tcm_inp_case_homepage</v>
      </c>
      <c r="H146" s="294">
        <f>VLOOKUP(F146,数据集标准分类!A:H,8,0)</f>
        <v>5</v>
      </c>
      <c r="I146" s="170" t="s">
        <v>613</v>
      </c>
      <c r="J146" s="170" t="s">
        <v>614</v>
      </c>
      <c r="K146" s="170" t="s">
        <v>615</v>
      </c>
      <c r="L146" s="170" t="s">
        <v>616</v>
      </c>
      <c r="M146" s="170" t="s">
        <v>617</v>
      </c>
      <c r="N146" s="294">
        <v>21</v>
      </c>
      <c r="O146" s="170"/>
    </row>
    <row r="147" ht="15.75" customHeight="1" spans="1:15">
      <c r="A147" s="183" t="str">
        <f>VLOOKUP(F147,数据集标准分类!A:G,7,0)</f>
        <v>02</v>
      </c>
      <c r="B147" s="183" t="str">
        <f>VLOOKUP(F147,数据集标准分类!A:F,6,0)</f>
        <v>电子病历</v>
      </c>
      <c r="C147" s="183" t="str">
        <f>VLOOKUP(F147,数据集标准分类!A:E,5,0)</f>
        <v>0201</v>
      </c>
      <c r="D147" s="183" t="str">
        <f>VLOOKUP(F147,数据集标准分类!A:D,4,0)</f>
        <v>病案首页</v>
      </c>
      <c r="E147" s="183" t="str">
        <f>VLOOKUP(F147,数据集标准分类!A:C,3,0)</f>
        <v>020102</v>
      </c>
      <c r="F147" s="170" t="s">
        <v>563</v>
      </c>
      <c r="G147" s="183" t="str">
        <f>VLOOKUP(F147,数据集标准分类!A:B,2,0)</f>
        <v>tcm_inp_case_homepage</v>
      </c>
      <c r="H147" s="294">
        <f>VLOOKUP(F147,数据集标准分类!A:H,8,0)</f>
        <v>5</v>
      </c>
      <c r="I147" s="170" t="s">
        <v>618</v>
      </c>
      <c r="J147" s="170" t="s">
        <v>619</v>
      </c>
      <c r="K147" s="170" t="s">
        <v>620</v>
      </c>
      <c r="L147" s="170" t="s">
        <v>621</v>
      </c>
      <c r="M147" s="170" t="s">
        <v>622</v>
      </c>
      <c r="N147" s="294">
        <v>22</v>
      </c>
      <c r="O147" s="170"/>
    </row>
    <row r="148" ht="15.75" customHeight="1" spans="1:15">
      <c r="A148" s="183" t="str">
        <f>VLOOKUP(F148,数据集标准分类!A:G,7,0)</f>
        <v>02</v>
      </c>
      <c r="B148" s="183" t="str">
        <f>VLOOKUP(F148,数据集标准分类!A:F,6,0)</f>
        <v>电子病历</v>
      </c>
      <c r="C148" s="183" t="str">
        <f>VLOOKUP(F148,数据集标准分类!A:E,5,0)</f>
        <v>0201</v>
      </c>
      <c r="D148" s="183" t="str">
        <f>VLOOKUP(F148,数据集标准分类!A:D,4,0)</f>
        <v>病案首页</v>
      </c>
      <c r="E148" s="183" t="str">
        <f>VLOOKUP(F148,数据集标准分类!A:C,3,0)</f>
        <v>020102</v>
      </c>
      <c r="F148" s="170" t="s">
        <v>563</v>
      </c>
      <c r="G148" s="183" t="str">
        <f>VLOOKUP(F148,数据集标准分类!A:B,2,0)</f>
        <v>tcm_inp_case_homepage</v>
      </c>
      <c r="H148" s="294">
        <f>VLOOKUP(F148,数据集标准分类!A:H,8,0)</f>
        <v>5</v>
      </c>
      <c r="I148" s="170" t="s">
        <v>623</v>
      </c>
      <c r="J148" s="170" t="s">
        <v>624</v>
      </c>
      <c r="K148" s="170" t="s">
        <v>625</v>
      </c>
      <c r="L148" s="170" t="s">
        <v>626</v>
      </c>
      <c r="M148" s="170" t="s">
        <v>627</v>
      </c>
      <c r="N148" s="294">
        <v>23</v>
      </c>
      <c r="O148" s="170"/>
    </row>
    <row r="149" ht="15.75" customHeight="1" spans="1:15">
      <c r="A149" s="183" t="str">
        <f>VLOOKUP(F149,数据集标准分类!A:G,7,0)</f>
        <v>02</v>
      </c>
      <c r="B149" s="183" t="str">
        <f>VLOOKUP(F149,数据集标准分类!A:F,6,0)</f>
        <v>电子病历</v>
      </c>
      <c r="C149" s="183" t="str">
        <f>VLOOKUP(F149,数据集标准分类!A:E,5,0)</f>
        <v>0201</v>
      </c>
      <c r="D149" s="183" t="str">
        <f>VLOOKUP(F149,数据集标准分类!A:D,4,0)</f>
        <v>病案首页</v>
      </c>
      <c r="E149" s="183" t="str">
        <f>VLOOKUP(F149,数据集标准分类!A:C,3,0)</f>
        <v>020102</v>
      </c>
      <c r="F149" s="170" t="s">
        <v>563</v>
      </c>
      <c r="G149" s="183" t="str">
        <f>VLOOKUP(F149,数据集标准分类!A:B,2,0)</f>
        <v>tcm_inp_case_homepage</v>
      </c>
      <c r="H149" s="294">
        <f>VLOOKUP(F149,数据集标准分类!A:H,8,0)</f>
        <v>5</v>
      </c>
      <c r="I149" s="170" t="s">
        <v>628</v>
      </c>
      <c r="J149" s="170" t="s">
        <v>629</v>
      </c>
      <c r="K149" s="170" t="s">
        <v>630</v>
      </c>
      <c r="L149" s="170" t="s">
        <v>631</v>
      </c>
      <c r="M149" s="170" t="s">
        <v>632</v>
      </c>
      <c r="N149" s="294">
        <v>24</v>
      </c>
      <c r="O149" s="170"/>
    </row>
    <row r="150" ht="15.75" customHeight="1" spans="1:15">
      <c r="A150" s="183" t="str">
        <f>VLOOKUP(F150,数据集标准分类!A:G,7,0)</f>
        <v>02</v>
      </c>
      <c r="B150" s="183" t="str">
        <f>VLOOKUP(F150,数据集标准分类!A:F,6,0)</f>
        <v>电子病历</v>
      </c>
      <c r="C150" s="183" t="str">
        <f>VLOOKUP(F150,数据集标准分类!A:E,5,0)</f>
        <v>0201</v>
      </c>
      <c r="D150" s="183" t="str">
        <f>VLOOKUP(F150,数据集标准分类!A:D,4,0)</f>
        <v>病案首页</v>
      </c>
      <c r="E150" s="183" t="str">
        <f>VLOOKUP(F150,数据集标准分类!A:C,3,0)</f>
        <v>020102</v>
      </c>
      <c r="F150" s="170" t="s">
        <v>563</v>
      </c>
      <c r="G150" s="183" t="str">
        <f>VLOOKUP(F150,数据集标准分类!A:B,2,0)</f>
        <v>tcm_inp_case_homepage</v>
      </c>
      <c r="H150" s="294">
        <f>VLOOKUP(F150,数据集标准分类!A:H,8,0)</f>
        <v>5</v>
      </c>
      <c r="I150" s="170" t="s">
        <v>633</v>
      </c>
      <c r="J150" s="170" t="s">
        <v>634</v>
      </c>
      <c r="K150" s="170" t="s">
        <v>635</v>
      </c>
      <c r="L150" s="170" t="s">
        <v>636</v>
      </c>
      <c r="M150" s="170" t="s">
        <v>637</v>
      </c>
      <c r="N150" s="294">
        <v>25</v>
      </c>
      <c r="O150" s="170"/>
    </row>
    <row r="151" ht="15.75" customHeight="1" spans="1:15">
      <c r="A151" s="183" t="str">
        <f>VLOOKUP(F151,数据集标准分类!A:G,7,0)</f>
        <v>02</v>
      </c>
      <c r="B151" s="183" t="str">
        <f>VLOOKUP(F151,数据集标准分类!A:F,6,0)</f>
        <v>电子病历</v>
      </c>
      <c r="C151" s="183" t="str">
        <f>VLOOKUP(F151,数据集标准分类!A:E,5,0)</f>
        <v>0201</v>
      </c>
      <c r="D151" s="183" t="str">
        <f>VLOOKUP(F151,数据集标准分类!A:D,4,0)</f>
        <v>病案首页</v>
      </c>
      <c r="E151" s="183" t="str">
        <f>VLOOKUP(F151,数据集标准分类!A:C,3,0)</f>
        <v>020102</v>
      </c>
      <c r="F151" s="170" t="s">
        <v>563</v>
      </c>
      <c r="G151" s="183" t="str">
        <f>VLOOKUP(F151,数据集标准分类!A:B,2,0)</f>
        <v>tcm_inp_case_homepage</v>
      </c>
      <c r="H151" s="294">
        <f>VLOOKUP(F151,数据集标准分类!A:H,8,0)</f>
        <v>5</v>
      </c>
      <c r="I151" s="170" t="s">
        <v>638</v>
      </c>
      <c r="J151" s="170" t="s">
        <v>639</v>
      </c>
      <c r="K151" s="170" t="s">
        <v>640</v>
      </c>
      <c r="L151" s="170" t="s">
        <v>641</v>
      </c>
      <c r="M151" s="170" t="s">
        <v>642</v>
      </c>
      <c r="N151" s="294">
        <v>26</v>
      </c>
      <c r="O151" s="170"/>
    </row>
    <row r="152" ht="15.75" customHeight="1" spans="1:15">
      <c r="A152" s="183" t="str">
        <f>VLOOKUP(F152,数据集标准分类!A:G,7,0)</f>
        <v>02</v>
      </c>
      <c r="B152" s="183" t="str">
        <f>VLOOKUP(F152,数据集标准分类!A:F,6,0)</f>
        <v>电子病历</v>
      </c>
      <c r="C152" s="183" t="str">
        <f>VLOOKUP(F152,数据集标准分类!A:E,5,0)</f>
        <v>0201</v>
      </c>
      <c r="D152" s="183" t="str">
        <f>VLOOKUP(F152,数据集标准分类!A:D,4,0)</f>
        <v>病案首页</v>
      </c>
      <c r="E152" s="183" t="str">
        <f>VLOOKUP(F152,数据集标准分类!A:C,3,0)</f>
        <v>020102</v>
      </c>
      <c r="F152" s="170" t="s">
        <v>563</v>
      </c>
      <c r="G152" s="183" t="str">
        <f>VLOOKUP(F152,数据集标准分类!A:B,2,0)</f>
        <v>tcm_inp_case_homepage</v>
      </c>
      <c r="H152" s="294">
        <f>VLOOKUP(F152,数据集标准分类!A:H,8,0)</f>
        <v>5</v>
      </c>
      <c r="I152" s="170" t="s">
        <v>643</v>
      </c>
      <c r="J152" s="170" t="s">
        <v>644</v>
      </c>
      <c r="K152" s="170" t="s">
        <v>645</v>
      </c>
      <c r="L152" s="170" t="s">
        <v>646</v>
      </c>
      <c r="M152" s="170" t="s">
        <v>647</v>
      </c>
      <c r="N152" s="294">
        <v>27</v>
      </c>
      <c r="O152" s="170"/>
    </row>
    <row r="153" ht="15.75" customHeight="1" spans="1:15">
      <c r="A153" s="183" t="str">
        <f>VLOOKUP(F153,数据集标准分类!A:G,7,0)</f>
        <v>02</v>
      </c>
      <c r="B153" s="183" t="str">
        <f>VLOOKUP(F153,数据集标准分类!A:F,6,0)</f>
        <v>电子病历</v>
      </c>
      <c r="C153" s="183" t="str">
        <f>VLOOKUP(F153,数据集标准分类!A:E,5,0)</f>
        <v>0201</v>
      </c>
      <c r="D153" s="183" t="str">
        <f>VLOOKUP(F153,数据集标准分类!A:D,4,0)</f>
        <v>病案首页</v>
      </c>
      <c r="E153" s="183" t="str">
        <f>VLOOKUP(F153,数据集标准分类!A:C,3,0)</f>
        <v>020102</v>
      </c>
      <c r="F153" s="170" t="s">
        <v>563</v>
      </c>
      <c r="G153" s="183" t="str">
        <f>VLOOKUP(F153,数据集标准分类!A:B,2,0)</f>
        <v>tcm_inp_case_homepage</v>
      </c>
      <c r="H153" s="294">
        <f>VLOOKUP(F153,数据集标准分类!A:H,8,0)</f>
        <v>5</v>
      </c>
      <c r="I153" s="170" t="s">
        <v>648</v>
      </c>
      <c r="J153" s="170" t="s">
        <v>649</v>
      </c>
      <c r="K153" s="170" t="s">
        <v>650</v>
      </c>
      <c r="L153" s="170" t="s">
        <v>651</v>
      </c>
      <c r="M153" s="170" t="s">
        <v>652</v>
      </c>
      <c r="N153" s="294">
        <v>28</v>
      </c>
      <c r="O153" s="170"/>
    </row>
    <row r="154" ht="15.75" customHeight="1" spans="1:15">
      <c r="A154" s="183" t="str">
        <f>VLOOKUP(F154,数据集标准分类!A:G,7,0)</f>
        <v>02</v>
      </c>
      <c r="B154" s="183" t="str">
        <f>VLOOKUP(F154,数据集标准分类!A:F,6,0)</f>
        <v>电子病历</v>
      </c>
      <c r="C154" s="183" t="str">
        <f>VLOOKUP(F154,数据集标准分类!A:E,5,0)</f>
        <v>0201</v>
      </c>
      <c r="D154" s="183" t="str">
        <f>VLOOKUP(F154,数据集标准分类!A:D,4,0)</f>
        <v>病案首页</v>
      </c>
      <c r="E154" s="183" t="str">
        <f>VLOOKUP(F154,数据集标准分类!A:C,3,0)</f>
        <v>020102</v>
      </c>
      <c r="F154" s="170" t="s">
        <v>563</v>
      </c>
      <c r="G154" s="183" t="str">
        <f>VLOOKUP(F154,数据集标准分类!A:B,2,0)</f>
        <v>tcm_inp_case_homepage</v>
      </c>
      <c r="H154" s="294">
        <f>VLOOKUP(F154,数据集标准分类!A:H,8,0)</f>
        <v>5</v>
      </c>
      <c r="I154" s="170" t="s">
        <v>441</v>
      </c>
      <c r="J154" s="170" t="s">
        <v>442</v>
      </c>
      <c r="K154" s="170" t="s">
        <v>443</v>
      </c>
      <c r="L154" s="170" t="s">
        <v>444</v>
      </c>
      <c r="M154" s="170" t="s">
        <v>653</v>
      </c>
      <c r="N154" s="294">
        <v>29</v>
      </c>
      <c r="O154" s="170"/>
    </row>
    <row r="155" ht="15.75" customHeight="1" spans="1:15">
      <c r="A155" s="183" t="str">
        <f>VLOOKUP(F155,数据集标准分类!A:G,7,0)</f>
        <v>02</v>
      </c>
      <c r="B155" s="183" t="str">
        <f>VLOOKUP(F155,数据集标准分类!A:F,6,0)</f>
        <v>电子病历</v>
      </c>
      <c r="C155" s="183" t="str">
        <f>VLOOKUP(F155,数据集标准分类!A:E,5,0)</f>
        <v>0201</v>
      </c>
      <c r="D155" s="183" t="str">
        <f>VLOOKUP(F155,数据集标准分类!A:D,4,0)</f>
        <v>病案首页</v>
      </c>
      <c r="E155" s="183" t="str">
        <f>VLOOKUP(F155,数据集标准分类!A:C,3,0)</f>
        <v>020102</v>
      </c>
      <c r="F155" s="170" t="s">
        <v>563</v>
      </c>
      <c r="G155" s="183" t="str">
        <f>VLOOKUP(F155,数据集标准分类!A:B,2,0)</f>
        <v>tcm_inp_case_homepage</v>
      </c>
      <c r="H155" s="294">
        <f>VLOOKUP(F155,数据集标准分类!A:H,8,0)</f>
        <v>5</v>
      </c>
      <c r="I155" s="170" t="s">
        <v>446</v>
      </c>
      <c r="J155" s="170" t="s">
        <v>447</v>
      </c>
      <c r="K155" s="170" t="s">
        <v>448</v>
      </c>
      <c r="L155" s="170" t="s">
        <v>449</v>
      </c>
      <c r="M155" s="170" t="s">
        <v>654</v>
      </c>
      <c r="N155" s="294">
        <v>30</v>
      </c>
      <c r="O155" s="170"/>
    </row>
    <row r="156" ht="15.75" customHeight="1" spans="1:15">
      <c r="A156" s="183" t="str">
        <f>VLOOKUP(F156,数据集标准分类!A:G,7,0)</f>
        <v>02</v>
      </c>
      <c r="B156" s="183" t="str">
        <f>VLOOKUP(F156,数据集标准分类!A:F,6,0)</f>
        <v>电子病历</v>
      </c>
      <c r="C156" s="183" t="str">
        <f>VLOOKUP(F156,数据集标准分类!A:E,5,0)</f>
        <v>0201</v>
      </c>
      <c r="D156" s="183" t="str">
        <f>VLOOKUP(F156,数据集标准分类!A:D,4,0)</f>
        <v>病案首页</v>
      </c>
      <c r="E156" s="183" t="str">
        <f>VLOOKUP(F156,数据集标准分类!A:C,3,0)</f>
        <v>020102</v>
      </c>
      <c r="F156" s="170" t="s">
        <v>563</v>
      </c>
      <c r="G156" s="183" t="str">
        <f>VLOOKUP(F156,数据集标准分类!A:B,2,0)</f>
        <v>tcm_inp_case_homepage</v>
      </c>
      <c r="H156" s="294">
        <f>VLOOKUP(F156,数据集标准分类!A:H,8,0)</f>
        <v>5</v>
      </c>
      <c r="I156" s="170" t="s">
        <v>451</v>
      </c>
      <c r="J156" s="170" t="s">
        <v>452</v>
      </c>
      <c r="K156" s="170" t="s">
        <v>453</v>
      </c>
      <c r="L156" s="170" t="s">
        <v>454</v>
      </c>
      <c r="M156" s="170" t="s">
        <v>655</v>
      </c>
      <c r="N156" s="294">
        <v>31</v>
      </c>
      <c r="O156" s="170"/>
    </row>
    <row r="157" ht="15.75" customHeight="1" spans="1:15">
      <c r="A157" s="183" t="str">
        <f>VLOOKUP(F157,数据集标准分类!A:G,7,0)</f>
        <v>02</v>
      </c>
      <c r="B157" s="183" t="str">
        <f>VLOOKUP(F157,数据集标准分类!A:F,6,0)</f>
        <v>电子病历</v>
      </c>
      <c r="C157" s="183" t="str">
        <f>VLOOKUP(F157,数据集标准分类!A:E,5,0)</f>
        <v>0201</v>
      </c>
      <c r="D157" s="183" t="str">
        <f>VLOOKUP(F157,数据集标准分类!A:D,4,0)</f>
        <v>病案首页</v>
      </c>
      <c r="E157" s="183" t="str">
        <f>VLOOKUP(F157,数据集标准分类!A:C,3,0)</f>
        <v>020102</v>
      </c>
      <c r="F157" s="170" t="s">
        <v>563</v>
      </c>
      <c r="G157" s="183" t="str">
        <f>VLOOKUP(F157,数据集标准分类!A:B,2,0)</f>
        <v>tcm_inp_case_homepage</v>
      </c>
      <c r="H157" s="294">
        <f>VLOOKUP(F157,数据集标准分类!A:H,8,0)</f>
        <v>5</v>
      </c>
      <c r="I157" s="170" t="s">
        <v>456</v>
      </c>
      <c r="J157" s="170" t="s">
        <v>457</v>
      </c>
      <c r="K157" s="170" t="s">
        <v>458</v>
      </c>
      <c r="L157" s="170" t="s">
        <v>459</v>
      </c>
      <c r="M157" s="170" t="s">
        <v>460</v>
      </c>
      <c r="N157" s="294">
        <v>32</v>
      </c>
      <c r="O157" s="170"/>
    </row>
    <row r="158" ht="15.75" customHeight="1" spans="1:15">
      <c r="A158" s="183" t="str">
        <f>VLOOKUP(F158,数据集标准分类!A:G,7,0)</f>
        <v>02</v>
      </c>
      <c r="B158" s="183" t="str">
        <f>VLOOKUP(F158,数据集标准分类!A:F,6,0)</f>
        <v>电子病历</v>
      </c>
      <c r="C158" s="183" t="str">
        <f>VLOOKUP(F158,数据集标准分类!A:E,5,0)</f>
        <v>0201</v>
      </c>
      <c r="D158" s="183" t="str">
        <f>VLOOKUP(F158,数据集标准分类!A:D,4,0)</f>
        <v>病案首页</v>
      </c>
      <c r="E158" s="183" t="str">
        <f>VLOOKUP(F158,数据集标准分类!A:C,3,0)</f>
        <v>020102</v>
      </c>
      <c r="F158" s="170" t="s">
        <v>563</v>
      </c>
      <c r="G158" s="183" t="str">
        <f>VLOOKUP(F158,数据集标准分类!A:B,2,0)</f>
        <v>tcm_inp_case_homepage</v>
      </c>
      <c r="H158" s="294">
        <f>VLOOKUP(F158,数据集标准分类!A:H,8,0)</f>
        <v>5</v>
      </c>
      <c r="I158" s="170" t="s">
        <v>187</v>
      </c>
      <c r="J158" s="170" t="s">
        <v>188</v>
      </c>
      <c r="K158" s="170" t="s">
        <v>189</v>
      </c>
      <c r="L158" s="170" t="s">
        <v>190</v>
      </c>
      <c r="M158" s="170" t="s">
        <v>656</v>
      </c>
      <c r="N158" s="294">
        <v>33</v>
      </c>
      <c r="O158" s="170"/>
    </row>
    <row r="159" ht="15.75" customHeight="1" spans="1:15">
      <c r="A159" s="183" t="str">
        <f>VLOOKUP(F159,数据集标准分类!A:G,7,0)</f>
        <v>02</v>
      </c>
      <c r="B159" s="183" t="str">
        <f>VLOOKUP(F159,数据集标准分类!A:F,6,0)</f>
        <v>电子病历</v>
      </c>
      <c r="C159" s="183" t="str">
        <f>VLOOKUP(F159,数据集标准分类!A:E,5,0)</f>
        <v>0201</v>
      </c>
      <c r="D159" s="183" t="str">
        <f>VLOOKUP(F159,数据集标准分类!A:D,4,0)</f>
        <v>病案首页</v>
      </c>
      <c r="E159" s="183" t="str">
        <f>VLOOKUP(F159,数据集标准分类!A:C,3,0)</f>
        <v>020102</v>
      </c>
      <c r="F159" s="170" t="s">
        <v>563</v>
      </c>
      <c r="G159" s="183" t="str">
        <f>VLOOKUP(F159,数据集标准分类!A:B,2,0)</f>
        <v>tcm_inp_case_homepage</v>
      </c>
      <c r="H159" s="294">
        <f>VLOOKUP(F159,数据集标准分类!A:H,8,0)</f>
        <v>5</v>
      </c>
      <c r="I159" s="170" t="s">
        <v>657</v>
      </c>
      <c r="J159" s="170" t="s">
        <v>658</v>
      </c>
      <c r="K159" s="170" t="s">
        <v>659</v>
      </c>
      <c r="L159" s="170" t="s">
        <v>660</v>
      </c>
      <c r="M159" s="170" t="s">
        <v>661</v>
      </c>
      <c r="N159" s="294">
        <v>34</v>
      </c>
      <c r="O159" s="170"/>
    </row>
    <row r="160" ht="15.75" customHeight="1" spans="1:15">
      <c r="A160" s="183" t="str">
        <f>VLOOKUP(F160,数据集标准分类!A:G,7,0)</f>
        <v>02</v>
      </c>
      <c r="B160" s="183" t="str">
        <f>VLOOKUP(F160,数据集标准分类!A:F,6,0)</f>
        <v>电子病历</v>
      </c>
      <c r="C160" s="183" t="str">
        <f>VLOOKUP(F160,数据集标准分类!A:E,5,0)</f>
        <v>0201</v>
      </c>
      <c r="D160" s="183" t="str">
        <f>VLOOKUP(F160,数据集标准分类!A:D,4,0)</f>
        <v>病案首页</v>
      </c>
      <c r="E160" s="183" t="str">
        <f>VLOOKUP(F160,数据集标准分类!A:C,3,0)</f>
        <v>020102</v>
      </c>
      <c r="F160" s="170" t="s">
        <v>563</v>
      </c>
      <c r="G160" s="183" t="str">
        <f>VLOOKUP(F160,数据集标准分类!A:B,2,0)</f>
        <v>tcm_inp_case_homepage</v>
      </c>
      <c r="H160" s="294">
        <f>VLOOKUP(F160,数据集标准分类!A:H,8,0)</f>
        <v>5</v>
      </c>
      <c r="I160" s="170" t="s">
        <v>467</v>
      </c>
      <c r="J160" s="170" t="s">
        <v>468</v>
      </c>
      <c r="K160" s="170" t="s">
        <v>469</v>
      </c>
      <c r="L160" s="170" t="s">
        <v>470</v>
      </c>
      <c r="M160" s="170" t="s">
        <v>471</v>
      </c>
      <c r="N160" s="294">
        <v>35</v>
      </c>
      <c r="O160" s="170"/>
    </row>
    <row r="161" ht="15.75" customHeight="1" spans="1:15">
      <c r="A161" s="183" t="str">
        <f>VLOOKUP(F161,数据集标准分类!A:G,7,0)</f>
        <v>02</v>
      </c>
      <c r="B161" s="183" t="str">
        <f>VLOOKUP(F161,数据集标准分类!A:F,6,0)</f>
        <v>电子病历</v>
      </c>
      <c r="C161" s="183" t="str">
        <f>VLOOKUP(F161,数据集标准分类!A:E,5,0)</f>
        <v>0201</v>
      </c>
      <c r="D161" s="183" t="str">
        <f>VLOOKUP(F161,数据集标准分类!A:D,4,0)</f>
        <v>病案首页</v>
      </c>
      <c r="E161" s="183" t="str">
        <f>VLOOKUP(F161,数据集标准分类!A:C,3,0)</f>
        <v>020102</v>
      </c>
      <c r="F161" s="170" t="s">
        <v>563</v>
      </c>
      <c r="G161" s="183" t="str">
        <f>VLOOKUP(F161,数据集标准分类!A:B,2,0)</f>
        <v>tcm_inp_case_homepage</v>
      </c>
      <c r="H161" s="294">
        <f>VLOOKUP(F161,数据集标准分类!A:H,8,0)</f>
        <v>5</v>
      </c>
      <c r="I161" s="170" t="s">
        <v>472</v>
      </c>
      <c r="J161" s="170" t="s">
        <v>473</v>
      </c>
      <c r="K161" s="170" t="s">
        <v>474</v>
      </c>
      <c r="L161" s="170" t="s">
        <v>475</v>
      </c>
      <c r="M161" s="170" t="s">
        <v>476</v>
      </c>
      <c r="N161" s="294">
        <v>36</v>
      </c>
      <c r="O161" s="170"/>
    </row>
    <row r="162" ht="15.75" customHeight="1" spans="1:15">
      <c r="A162" s="183" t="str">
        <f>VLOOKUP(F162,数据集标准分类!A:G,7,0)</f>
        <v>02</v>
      </c>
      <c r="B162" s="183" t="str">
        <f>VLOOKUP(F162,数据集标准分类!A:F,6,0)</f>
        <v>电子病历</v>
      </c>
      <c r="C162" s="183" t="str">
        <f>VLOOKUP(F162,数据集标准分类!A:E,5,0)</f>
        <v>0201</v>
      </c>
      <c r="D162" s="183" t="str">
        <f>VLOOKUP(F162,数据集标准分类!A:D,4,0)</f>
        <v>病案首页</v>
      </c>
      <c r="E162" s="183" t="str">
        <f>VLOOKUP(F162,数据集标准分类!A:C,3,0)</f>
        <v>020102</v>
      </c>
      <c r="F162" s="170" t="s">
        <v>563</v>
      </c>
      <c r="G162" s="183" t="str">
        <f>VLOOKUP(F162,数据集标准分类!A:B,2,0)</f>
        <v>tcm_inp_case_homepage</v>
      </c>
      <c r="H162" s="294">
        <f>VLOOKUP(F162,数据集标准分类!A:H,8,0)</f>
        <v>5</v>
      </c>
      <c r="I162" s="170" t="s">
        <v>477</v>
      </c>
      <c r="J162" s="170" t="s">
        <v>478</v>
      </c>
      <c r="K162" s="170" t="s">
        <v>479</v>
      </c>
      <c r="L162" s="170" t="s">
        <v>480</v>
      </c>
      <c r="M162" s="170" t="s">
        <v>481</v>
      </c>
      <c r="N162" s="294">
        <v>37</v>
      </c>
      <c r="O162" s="170"/>
    </row>
    <row r="163" ht="15.75" customHeight="1" spans="1:15">
      <c r="A163" s="183" t="str">
        <f>VLOOKUP(F163,数据集标准分类!A:G,7,0)</f>
        <v>02</v>
      </c>
      <c r="B163" s="183" t="str">
        <f>VLOOKUP(F163,数据集标准分类!A:F,6,0)</f>
        <v>电子病历</v>
      </c>
      <c r="C163" s="183" t="str">
        <f>VLOOKUP(F163,数据集标准分类!A:E,5,0)</f>
        <v>0201</v>
      </c>
      <c r="D163" s="183" t="str">
        <f>VLOOKUP(F163,数据集标准分类!A:D,4,0)</f>
        <v>病案首页</v>
      </c>
      <c r="E163" s="183" t="str">
        <f>VLOOKUP(F163,数据集标准分类!A:C,3,0)</f>
        <v>020102</v>
      </c>
      <c r="F163" s="170" t="s">
        <v>563</v>
      </c>
      <c r="G163" s="183" t="str">
        <f>VLOOKUP(F163,数据集标准分类!A:B,2,0)</f>
        <v>tcm_inp_case_homepage</v>
      </c>
      <c r="H163" s="294">
        <f>VLOOKUP(F163,数据集标准分类!A:H,8,0)</f>
        <v>5</v>
      </c>
      <c r="I163" s="170" t="s">
        <v>482</v>
      </c>
      <c r="J163" s="170" t="s">
        <v>483</v>
      </c>
      <c r="K163" s="170" t="s">
        <v>484</v>
      </c>
      <c r="L163" s="170" t="s">
        <v>485</v>
      </c>
      <c r="M163" s="170" t="s">
        <v>486</v>
      </c>
      <c r="N163" s="294">
        <v>38</v>
      </c>
      <c r="O163" s="170"/>
    </row>
    <row r="164" ht="15.75" customHeight="1" spans="1:15">
      <c r="A164" s="183" t="str">
        <f>VLOOKUP(F164,数据集标准分类!A:G,7,0)</f>
        <v>02</v>
      </c>
      <c r="B164" s="183" t="str">
        <f>VLOOKUP(F164,数据集标准分类!A:F,6,0)</f>
        <v>电子病历</v>
      </c>
      <c r="C164" s="183" t="str">
        <f>VLOOKUP(F164,数据集标准分类!A:E,5,0)</f>
        <v>0201</v>
      </c>
      <c r="D164" s="183" t="str">
        <f>VLOOKUP(F164,数据集标准分类!A:D,4,0)</f>
        <v>病案首页</v>
      </c>
      <c r="E164" s="183" t="str">
        <f>VLOOKUP(F164,数据集标准分类!A:C,3,0)</f>
        <v>020102</v>
      </c>
      <c r="F164" s="170" t="s">
        <v>563</v>
      </c>
      <c r="G164" s="183" t="str">
        <f>VLOOKUP(F164,数据集标准分类!A:B,2,0)</f>
        <v>tcm_inp_case_homepage</v>
      </c>
      <c r="H164" s="294">
        <f>VLOOKUP(F164,数据集标准分类!A:H,8,0)</f>
        <v>5</v>
      </c>
      <c r="I164" s="170" t="s">
        <v>345</v>
      </c>
      <c r="J164" s="170" t="s">
        <v>346</v>
      </c>
      <c r="K164" s="170" t="s">
        <v>347</v>
      </c>
      <c r="L164" s="170" t="s">
        <v>348</v>
      </c>
      <c r="M164" s="170" t="s">
        <v>349</v>
      </c>
      <c r="N164" s="294">
        <v>39</v>
      </c>
      <c r="O164" s="170"/>
    </row>
    <row r="165" ht="15.75" customHeight="1" spans="1:15">
      <c r="A165" s="183" t="str">
        <f>VLOOKUP(F165,数据集标准分类!A:G,7,0)</f>
        <v>02</v>
      </c>
      <c r="B165" s="183" t="str">
        <f>VLOOKUP(F165,数据集标准分类!A:F,6,0)</f>
        <v>电子病历</v>
      </c>
      <c r="C165" s="183" t="str">
        <f>VLOOKUP(F165,数据集标准分类!A:E,5,0)</f>
        <v>0201</v>
      </c>
      <c r="D165" s="183" t="str">
        <f>VLOOKUP(F165,数据集标准分类!A:D,4,0)</f>
        <v>病案首页</v>
      </c>
      <c r="E165" s="183" t="str">
        <f>VLOOKUP(F165,数据集标准分类!A:C,3,0)</f>
        <v>020102</v>
      </c>
      <c r="F165" s="170" t="s">
        <v>563</v>
      </c>
      <c r="G165" s="183" t="str">
        <f>VLOOKUP(F165,数据集标准分类!A:B,2,0)</f>
        <v>tcm_inp_case_homepage</v>
      </c>
      <c r="H165" s="294">
        <f>VLOOKUP(F165,数据集标准分类!A:H,8,0)</f>
        <v>5</v>
      </c>
      <c r="I165" s="170" t="s">
        <v>503</v>
      </c>
      <c r="J165" s="170" t="s">
        <v>504</v>
      </c>
      <c r="K165" s="170" t="s">
        <v>505</v>
      </c>
      <c r="L165" s="170" t="s">
        <v>506</v>
      </c>
      <c r="M165" s="170" t="s">
        <v>507</v>
      </c>
      <c r="N165" s="294">
        <v>40</v>
      </c>
      <c r="O165" s="170"/>
    </row>
    <row r="166" ht="15.75" customHeight="1" spans="1:15">
      <c r="A166" s="183" t="str">
        <f>VLOOKUP(F166,数据集标准分类!A:G,7,0)</f>
        <v>02</v>
      </c>
      <c r="B166" s="183" t="str">
        <f>VLOOKUP(F166,数据集标准分类!A:F,6,0)</f>
        <v>电子病历</v>
      </c>
      <c r="C166" s="183" t="str">
        <f>VLOOKUP(F166,数据集标准分类!A:E,5,0)</f>
        <v>0201</v>
      </c>
      <c r="D166" s="183" t="str">
        <f>VLOOKUP(F166,数据集标准分类!A:D,4,0)</f>
        <v>病案首页</v>
      </c>
      <c r="E166" s="183" t="str">
        <f>VLOOKUP(F166,数据集标准分类!A:C,3,0)</f>
        <v>020102</v>
      </c>
      <c r="F166" s="170" t="s">
        <v>563</v>
      </c>
      <c r="G166" s="183" t="str">
        <f>VLOOKUP(F166,数据集标准分类!A:B,2,0)</f>
        <v>tcm_inp_case_homepage</v>
      </c>
      <c r="H166" s="294">
        <f>VLOOKUP(F166,数据集标准分类!A:H,8,0)</f>
        <v>5</v>
      </c>
      <c r="I166" s="170" t="s">
        <v>508</v>
      </c>
      <c r="J166" s="170" t="s">
        <v>509</v>
      </c>
      <c r="K166" s="170" t="s">
        <v>510</v>
      </c>
      <c r="L166" s="170" t="s">
        <v>511</v>
      </c>
      <c r="M166" s="170" t="s">
        <v>512</v>
      </c>
      <c r="N166" s="294">
        <v>41</v>
      </c>
      <c r="O166" s="170"/>
    </row>
    <row r="167" ht="15.75" customHeight="1" spans="1:15">
      <c r="A167" s="183" t="str">
        <f>VLOOKUP(F167,数据集标准分类!A:G,7,0)</f>
        <v>02</v>
      </c>
      <c r="B167" s="183" t="str">
        <f>VLOOKUP(F167,数据集标准分类!A:F,6,0)</f>
        <v>电子病历</v>
      </c>
      <c r="C167" s="183" t="str">
        <f>VLOOKUP(F167,数据集标准分类!A:E,5,0)</f>
        <v>0201</v>
      </c>
      <c r="D167" s="183" t="str">
        <f>VLOOKUP(F167,数据集标准分类!A:D,4,0)</f>
        <v>病案首页</v>
      </c>
      <c r="E167" s="183" t="str">
        <f>VLOOKUP(F167,数据集标准分类!A:C,3,0)</f>
        <v>020102</v>
      </c>
      <c r="F167" s="170" t="s">
        <v>563</v>
      </c>
      <c r="G167" s="183" t="str">
        <f>VLOOKUP(F167,数据集标准分类!A:B,2,0)</f>
        <v>tcm_inp_case_homepage</v>
      </c>
      <c r="H167" s="294">
        <f>VLOOKUP(F167,数据集标准分类!A:H,8,0)</f>
        <v>5</v>
      </c>
      <c r="I167" s="170" t="s">
        <v>350</v>
      </c>
      <c r="J167" s="170" t="s">
        <v>351</v>
      </c>
      <c r="K167" s="170" t="s">
        <v>352</v>
      </c>
      <c r="L167" s="170" t="s">
        <v>353</v>
      </c>
      <c r="M167" s="170" t="s">
        <v>354</v>
      </c>
      <c r="N167" s="294">
        <v>42</v>
      </c>
      <c r="O167" s="170"/>
    </row>
    <row r="168" ht="15.75" customHeight="1" spans="1:15">
      <c r="A168" s="183" t="str">
        <f>VLOOKUP(F168,数据集标准分类!A:G,7,0)</f>
        <v>02</v>
      </c>
      <c r="B168" s="183" t="str">
        <f>VLOOKUP(F168,数据集标准分类!A:F,6,0)</f>
        <v>电子病历</v>
      </c>
      <c r="C168" s="183" t="str">
        <f>VLOOKUP(F168,数据集标准分类!A:E,5,0)</f>
        <v>0201</v>
      </c>
      <c r="D168" s="183" t="str">
        <f>VLOOKUP(F168,数据集标准分类!A:D,4,0)</f>
        <v>病案首页</v>
      </c>
      <c r="E168" s="183" t="str">
        <f>VLOOKUP(F168,数据集标准分类!A:C,3,0)</f>
        <v>020102</v>
      </c>
      <c r="F168" s="170" t="s">
        <v>563</v>
      </c>
      <c r="G168" s="183" t="str">
        <f>VLOOKUP(F168,数据集标准分类!A:B,2,0)</f>
        <v>tcm_inp_case_homepage</v>
      </c>
      <c r="H168" s="294">
        <f>VLOOKUP(F168,数据集标准分类!A:H,8,0)</f>
        <v>5</v>
      </c>
      <c r="I168" s="170" t="s">
        <v>77</v>
      </c>
      <c r="J168" s="170" t="s">
        <v>78</v>
      </c>
      <c r="K168" s="170" t="s">
        <v>79</v>
      </c>
      <c r="L168" s="170" t="s">
        <v>80</v>
      </c>
      <c r="M168" s="170" t="s">
        <v>310</v>
      </c>
      <c r="N168" s="294">
        <v>43</v>
      </c>
      <c r="O168" s="170"/>
    </row>
    <row r="169" ht="15.75" customHeight="1" spans="1:15">
      <c r="A169" s="183" t="str">
        <f>VLOOKUP(F169,数据集标准分类!A:G,7,0)</f>
        <v>02</v>
      </c>
      <c r="B169" s="183" t="str">
        <f>VLOOKUP(F169,数据集标准分类!A:F,6,0)</f>
        <v>电子病历</v>
      </c>
      <c r="C169" s="183" t="str">
        <f>VLOOKUP(F169,数据集标准分类!A:E,5,0)</f>
        <v>0201</v>
      </c>
      <c r="D169" s="183" t="str">
        <f>VLOOKUP(F169,数据集标准分类!A:D,4,0)</f>
        <v>病案首页</v>
      </c>
      <c r="E169" s="183" t="str">
        <f>VLOOKUP(F169,数据集标准分类!A:C,3,0)</f>
        <v>020102</v>
      </c>
      <c r="F169" s="170" t="s">
        <v>563</v>
      </c>
      <c r="G169" s="183" t="str">
        <f>VLOOKUP(F169,数据集标准分类!A:B,2,0)</f>
        <v>tcm_inp_case_homepage</v>
      </c>
      <c r="H169" s="294">
        <f>VLOOKUP(F169,数据集标准分类!A:H,8,0)</f>
        <v>5</v>
      </c>
      <c r="I169" s="170" t="s">
        <v>82</v>
      </c>
      <c r="J169" s="170" t="s">
        <v>83</v>
      </c>
      <c r="K169" s="170" t="s">
        <v>84</v>
      </c>
      <c r="L169" s="170" t="s">
        <v>85</v>
      </c>
      <c r="M169" s="170" t="s">
        <v>311</v>
      </c>
      <c r="N169" s="294">
        <v>44</v>
      </c>
      <c r="O169" s="170"/>
    </row>
    <row r="170" ht="15.75" customHeight="1" spans="1:15">
      <c r="A170" s="183" t="str">
        <f>VLOOKUP(F170,数据集标准分类!A:G,7,0)</f>
        <v>02</v>
      </c>
      <c r="B170" s="183" t="str">
        <f>VLOOKUP(F170,数据集标准分类!A:F,6,0)</f>
        <v>电子病历</v>
      </c>
      <c r="C170" s="183" t="str">
        <f>VLOOKUP(F170,数据集标准分类!A:E,5,0)</f>
        <v>0201</v>
      </c>
      <c r="D170" s="183" t="str">
        <f>VLOOKUP(F170,数据集标准分类!A:D,4,0)</f>
        <v>病案首页</v>
      </c>
      <c r="E170" s="183" t="str">
        <f>VLOOKUP(F170,数据集标准分类!A:C,3,0)</f>
        <v>020102</v>
      </c>
      <c r="F170" s="170" t="s">
        <v>563</v>
      </c>
      <c r="G170" s="183" t="str">
        <f>VLOOKUP(F170,数据集标准分类!A:B,2,0)</f>
        <v>tcm_inp_case_homepage</v>
      </c>
      <c r="H170" s="294">
        <f>VLOOKUP(F170,数据集标准分类!A:H,8,0)</f>
        <v>5</v>
      </c>
      <c r="I170" s="170" t="s">
        <v>192</v>
      </c>
      <c r="J170" s="170" t="s">
        <v>193</v>
      </c>
      <c r="K170" s="170" t="s">
        <v>194</v>
      </c>
      <c r="L170" s="170" t="s">
        <v>195</v>
      </c>
      <c r="M170" s="170" t="s">
        <v>385</v>
      </c>
      <c r="N170" s="294">
        <v>45</v>
      </c>
      <c r="O170" s="170"/>
    </row>
    <row r="171" ht="15.75" customHeight="1" spans="1:15">
      <c r="A171" s="183" t="str">
        <f>VLOOKUP(F171,数据集标准分类!A:G,7,0)</f>
        <v>02</v>
      </c>
      <c r="B171" s="183" t="str">
        <f>VLOOKUP(F171,数据集标准分类!A:F,6,0)</f>
        <v>电子病历</v>
      </c>
      <c r="C171" s="183" t="str">
        <f>VLOOKUP(F171,数据集标准分类!A:E,5,0)</f>
        <v>0201</v>
      </c>
      <c r="D171" s="183" t="str">
        <f>VLOOKUP(F171,数据集标准分类!A:D,4,0)</f>
        <v>病案首页</v>
      </c>
      <c r="E171" s="183" t="str">
        <f>VLOOKUP(F171,数据集标准分类!A:C,3,0)</f>
        <v>020102</v>
      </c>
      <c r="F171" s="170" t="s">
        <v>563</v>
      </c>
      <c r="G171" s="183" t="str">
        <f>VLOOKUP(F171,数据集标准分类!A:B,2,0)</f>
        <v>tcm_inp_case_homepage</v>
      </c>
      <c r="H171" s="294">
        <f>VLOOKUP(F171,数据集标准分类!A:H,8,0)</f>
        <v>5</v>
      </c>
      <c r="I171" s="170" t="s">
        <v>386</v>
      </c>
      <c r="J171" s="170" t="s">
        <v>387</v>
      </c>
      <c r="K171" s="170" t="s">
        <v>388</v>
      </c>
      <c r="L171" s="170" t="s">
        <v>389</v>
      </c>
      <c r="M171" s="170" t="s">
        <v>390</v>
      </c>
      <c r="N171" s="294">
        <v>46</v>
      </c>
      <c r="O171" s="170"/>
    </row>
    <row r="172" ht="15.75" customHeight="1" spans="1:15">
      <c r="A172" s="183" t="str">
        <f>VLOOKUP(F172,数据集标准分类!A:G,7,0)</f>
        <v>02</v>
      </c>
      <c r="B172" s="183" t="str">
        <f>VLOOKUP(F172,数据集标准分类!A:F,6,0)</f>
        <v>电子病历</v>
      </c>
      <c r="C172" s="183" t="str">
        <f>VLOOKUP(F172,数据集标准分类!A:E,5,0)</f>
        <v>0201</v>
      </c>
      <c r="D172" s="183" t="str">
        <f>VLOOKUP(F172,数据集标准分类!A:D,4,0)</f>
        <v>病案首页</v>
      </c>
      <c r="E172" s="183" t="str">
        <f>VLOOKUP(F172,数据集标准分类!A:C,3,0)</f>
        <v>020102</v>
      </c>
      <c r="F172" s="170" t="s">
        <v>563</v>
      </c>
      <c r="G172" s="183" t="str">
        <f>VLOOKUP(F172,数据集标准分类!A:B,2,0)</f>
        <v>tcm_inp_case_homepage</v>
      </c>
      <c r="H172" s="294">
        <f>VLOOKUP(F172,数据集标准分类!A:H,8,0)</f>
        <v>5</v>
      </c>
      <c r="I172" s="170" t="s">
        <v>391</v>
      </c>
      <c r="J172" s="170" t="s">
        <v>392</v>
      </c>
      <c r="K172" s="170" t="s">
        <v>393</v>
      </c>
      <c r="L172" s="170" t="s">
        <v>394</v>
      </c>
      <c r="M172" s="170" t="s">
        <v>395</v>
      </c>
      <c r="N172" s="294">
        <v>47</v>
      </c>
      <c r="O172" s="170"/>
    </row>
    <row r="173" ht="15.75" customHeight="1" spans="1:15">
      <c r="A173" s="183" t="str">
        <f>VLOOKUP(F173,数据集标准分类!A:G,7,0)</f>
        <v>02</v>
      </c>
      <c r="B173" s="183" t="str">
        <f>VLOOKUP(F173,数据集标准分类!A:F,6,0)</f>
        <v>电子病历</v>
      </c>
      <c r="C173" s="183" t="str">
        <f>VLOOKUP(F173,数据集标准分类!A:E,5,0)</f>
        <v>0201</v>
      </c>
      <c r="D173" s="183" t="str">
        <f>VLOOKUP(F173,数据集标准分类!A:D,4,0)</f>
        <v>病案首页</v>
      </c>
      <c r="E173" s="183" t="str">
        <f>VLOOKUP(F173,数据集标准分类!A:C,3,0)</f>
        <v>020102</v>
      </c>
      <c r="F173" s="170" t="s">
        <v>563</v>
      </c>
      <c r="G173" s="183" t="str">
        <f>VLOOKUP(F173,数据集标准分类!A:B,2,0)</f>
        <v>tcm_inp_case_homepage</v>
      </c>
      <c r="H173" s="294">
        <f>VLOOKUP(F173,数据集标准分类!A:H,8,0)</f>
        <v>5</v>
      </c>
      <c r="I173" s="170" t="s">
        <v>396</v>
      </c>
      <c r="J173" s="170" t="s">
        <v>397</v>
      </c>
      <c r="K173" s="170" t="s">
        <v>398</v>
      </c>
      <c r="L173" s="170" t="s">
        <v>399</v>
      </c>
      <c r="M173" s="170" t="s">
        <v>400</v>
      </c>
      <c r="N173" s="294">
        <v>48</v>
      </c>
      <c r="O173" s="170"/>
    </row>
    <row r="174" ht="15.75" customHeight="1" spans="1:15">
      <c r="A174" s="183" t="str">
        <f>VLOOKUP(F174,数据集标准分类!A:G,7,0)</f>
        <v>02</v>
      </c>
      <c r="B174" s="183" t="str">
        <f>VLOOKUP(F174,数据集标准分类!A:F,6,0)</f>
        <v>电子病历</v>
      </c>
      <c r="C174" s="183" t="str">
        <f>VLOOKUP(F174,数据集标准分类!A:E,5,0)</f>
        <v>0201</v>
      </c>
      <c r="D174" s="183" t="str">
        <f>VLOOKUP(F174,数据集标准分类!A:D,4,0)</f>
        <v>病案首页</v>
      </c>
      <c r="E174" s="183" t="str">
        <f>VLOOKUP(F174,数据集标准分类!A:C,3,0)</f>
        <v>020102</v>
      </c>
      <c r="F174" s="170" t="s">
        <v>563</v>
      </c>
      <c r="G174" s="183" t="str">
        <f>VLOOKUP(F174,数据集标准分类!A:B,2,0)</f>
        <v>tcm_inp_case_homepage</v>
      </c>
      <c r="H174" s="294">
        <f>VLOOKUP(F174,数据集标准分类!A:H,8,0)</f>
        <v>5</v>
      </c>
      <c r="I174" s="170" t="s">
        <v>245</v>
      </c>
      <c r="J174" s="170" t="s">
        <v>246</v>
      </c>
      <c r="K174" s="170" t="s">
        <v>247</v>
      </c>
      <c r="L174" s="170" t="s">
        <v>248</v>
      </c>
      <c r="M174" s="170" t="s">
        <v>249</v>
      </c>
      <c r="N174" s="294">
        <v>49</v>
      </c>
      <c r="O174" s="170"/>
    </row>
    <row r="175" ht="15.75" customHeight="1" spans="1:15">
      <c r="A175" s="183" t="str">
        <f>VLOOKUP(F175,数据集标准分类!A:G,7,0)</f>
        <v>02</v>
      </c>
      <c r="B175" s="183" t="str">
        <f>VLOOKUP(F175,数据集标准分类!A:F,6,0)</f>
        <v>电子病历</v>
      </c>
      <c r="C175" s="183" t="str">
        <f>VLOOKUP(F175,数据集标准分类!A:E,5,0)</f>
        <v>0201</v>
      </c>
      <c r="D175" s="183" t="str">
        <f>VLOOKUP(F175,数据集标准分类!A:D,4,0)</f>
        <v>病案首页</v>
      </c>
      <c r="E175" s="183" t="str">
        <f>VLOOKUP(F175,数据集标准分类!A:C,3,0)</f>
        <v>020102</v>
      </c>
      <c r="F175" s="170" t="s">
        <v>563</v>
      </c>
      <c r="G175" s="183" t="str">
        <f>VLOOKUP(F175,数据集标准分类!A:B,2,0)</f>
        <v>tcm_inp_case_homepage</v>
      </c>
      <c r="H175" s="294">
        <f>VLOOKUP(F175,数据集标准分类!A:H,8,0)</f>
        <v>5</v>
      </c>
      <c r="I175" s="170" t="s">
        <v>401</v>
      </c>
      <c r="J175" s="170" t="s">
        <v>402</v>
      </c>
      <c r="K175" s="170" t="s">
        <v>403</v>
      </c>
      <c r="L175" s="170" t="s">
        <v>404</v>
      </c>
      <c r="M175" s="170" t="s">
        <v>405</v>
      </c>
      <c r="N175" s="294">
        <v>50</v>
      </c>
      <c r="O175" s="170"/>
    </row>
    <row r="176" ht="15.75" customHeight="1" spans="1:15">
      <c r="A176" s="183" t="str">
        <f>VLOOKUP(F176,数据集标准分类!A:G,7,0)</f>
        <v>02</v>
      </c>
      <c r="B176" s="183" t="str">
        <f>VLOOKUP(F176,数据集标准分类!A:F,6,0)</f>
        <v>电子病历</v>
      </c>
      <c r="C176" s="183" t="str">
        <f>VLOOKUP(F176,数据集标准分类!A:E,5,0)</f>
        <v>0201</v>
      </c>
      <c r="D176" s="183" t="str">
        <f>VLOOKUP(F176,数据集标准分类!A:D,4,0)</f>
        <v>病案首页</v>
      </c>
      <c r="E176" s="183" t="str">
        <f>VLOOKUP(F176,数据集标准分类!A:C,3,0)</f>
        <v>020102</v>
      </c>
      <c r="F176" s="170" t="s">
        <v>563</v>
      </c>
      <c r="G176" s="183" t="str">
        <f>VLOOKUP(F176,数据集标准分类!A:B,2,0)</f>
        <v>tcm_inp_case_homepage</v>
      </c>
      <c r="H176" s="294">
        <f>VLOOKUP(F176,数据集标准分类!A:H,8,0)</f>
        <v>5</v>
      </c>
      <c r="I176" s="170" t="s">
        <v>406</v>
      </c>
      <c r="J176" s="170" t="s">
        <v>407</v>
      </c>
      <c r="K176" s="170" t="s">
        <v>408</v>
      </c>
      <c r="L176" s="170" t="s">
        <v>409</v>
      </c>
      <c r="M176" s="170" t="s">
        <v>410</v>
      </c>
      <c r="N176" s="294">
        <v>51</v>
      </c>
      <c r="O176" s="170"/>
    </row>
    <row r="177" ht="15.75" customHeight="1" spans="1:15">
      <c r="A177" s="183" t="str">
        <f>VLOOKUP(F177,数据集标准分类!A:G,7,0)</f>
        <v>02</v>
      </c>
      <c r="B177" s="183" t="str">
        <f>VLOOKUP(F177,数据集标准分类!A:F,6,0)</f>
        <v>电子病历</v>
      </c>
      <c r="C177" s="183" t="str">
        <f>VLOOKUP(F177,数据集标准分类!A:E,5,0)</f>
        <v>0201</v>
      </c>
      <c r="D177" s="183" t="str">
        <f>VLOOKUP(F177,数据集标准分类!A:D,4,0)</f>
        <v>病案首页</v>
      </c>
      <c r="E177" s="183" t="str">
        <f>VLOOKUP(F177,数据集标准分类!A:C,3,0)</f>
        <v>020102</v>
      </c>
      <c r="F177" s="170" t="s">
        <v>563</v>
      </c>
      <c r="G177" s="183" t="str">
        <f>VLOOKUP(F177,数据集标准分类!A:B,2,0)</f>
        <v>tcm_inp_case_homepage</v>
      </c>
      <c r="H177" s="294">
        <f>VLOOKUP(F177,数据集标准分类!A:H,8,0)</f>
        <v>5</v>
      </c>
      <c r="I177" s="170" t="s">
        <v>411</v>
      </c>
      <c r="J177" s="170" t="s">
        <v>412</v>
      </c>
      <c r="K177" s="170" t="s">
        <v>413</v>
      </c>
      <c r="L177" s="170" t="s">
        <v>414</v>
      </c>
      <c r="M177" s="170" t="s">
        <v>415</v>
      </c>
      <c r="N177" s="294">
        <v>52</v>
      </c>
      <c r="O177" s="170"/>
    </row>
    <row r="178" ht="15.75" customHeight="1" spans="1:15">
      <c r="A178" s="183" t="str">
        <f>VLOOKUP(F178,数据集标准分类!A:G,7,0)</f>
        <v>02</v>
      </c>
      <c r="B178" s="183" t="str">
        <f>VLOOKUP(F178,数据集标准分类!A:F,6,0)</f>
        <v>电子病历</v>
      </c>
      <c r="C178" s="183" t="str">
        <f>VLOOKUP(F178,数据集标准分类!A:E,5,0)</f>
        <v>0201</v>
      </c>
      <c r="D178" s="183" t="str">
        <f>VLOOKUP(F178,数据集标准分类!A:D,4,0)</f>
        <v>病案首页</v>
      </c>
      <c r="E178" s="183" t="str">
        <f>VLOOKUP(F178,数据集标准分类!A:C,3,0)</f>
        <v>020102</v>
      </c>
      <c r="F178" s="170" t="s">
        <v>563</v>
      </c>
      <c r="G178" s="183" t="str">
        <f>VLOOKUP(F178,数据集标准分类!A:B,2,0)</f>
        <v>tcm_inp_case_homepage</v>
      </c>
      <c r="H178" s="294">
        <f>VLOOKUP(F178,数据集标准分类!A:H,8,0)</f>
        <v>5</v>
      </c>
      <c r="I178" s="170" t="s">
        <v>416</v>
      </c>
      <c r="J178" s="170" t="s">
        <v>417</v>
      </c>
      <c r="K178" s="170" t="s">
        <v>418</v>
      </c>
      <c r="L178" s="170" t="s">
        <v>419</v>
      </c>
      <c r="M178" s="170" t="s">
        <v>420</v>
      </c>
      <c r="N178" s="294">
        <v>53</v>
      </c>
      <c r="O178" s="170"/>
    </row>
    <row r="179" ht="15.75" customHeight="1" spans="1:15">
      <c r="A179" s="183" t="str">
        <f>VLOOKUP(F179,数据集标准分类!A:G,7,0)</f>
        <v>02</v>
      </c>
      <c r="B179" s="183" t="str">
        <f>VLOOKUP(F179,数据集标准分类!A:F,6,0)</f>
        <v>电子病历</v>
      </c>
      <c r="C179" s="183" t="str">
        <f>VLOOKUP(F179,数据集标准分类!A:E,5,0)</f>
        <v>0201</v>
      </c>
      <c r="D179" s="183" t="str">
        <f>VLOOKUP(F179,数据集标准分类!A:D,4,0)</f>
        <v>病案首页</v>
      </c>
      <c r="E179" s="183" t="str">
        <f>VLOOKUP(F179,数据集标准分类!A:C,3,0)</f>
        <v>020102</v>
      </c>
      <c r="F179" s="170" t="s">
        <v>563</v>
      </c>
      <c r="G179" s="183" t="str">
        <f>VLOOKUP(F179,数据集标准分类!A:B,2,0)</f>
        <v>tcm_inp_case_homepage</v>
      </c>
      <c r="H179" s="294">
        <f>VLOOKUP(F179,数据集标准分类!A:H,8,0)</f>
        <v>5</v>
      </c>
      <c r="I179" s="170" t="s">
        <v>421</v>
      </c>
      <c r="J179" s="170" t="s">
        <v>422</v>
      </c>
      <c r="K179" s="170" t="s">
        <v>423</v>
      </c>
      <c r="L179" s="170" t="s">
        <v>424</v>
      </c>
      <c r="M179" s="170" t="s">
        <v>425</v>
      </c>
      <c r="N179" s="294">
        <v>54</v>
      </c>
      <c r="O179" s="170"/>
    </row>
    <row r="180" ht="15.75" customHeight="1" spans="1:15">
      <c r="A180" s="183" t="str">
        <f>VLOOKUP(F180,数据集标准分类!A:G,7,0)</f>
        <v>02</v>
      </c>
      <c r="B180" s="183" t="str">
        <f>VLOOKUP(F180,数据集标准分类!A:F,6,0)</f>
        <v>电子病历</v>
      </c>
      <c r="C180" s="183" t="str">
        <f>VLOOKUP(F180,数据集标准分类!A:E,5,0)</f>
        <v>0201</v>
      </c>
      <c r="D180" s="183" t="str">
        <f>VLOOKUP(F180,数据集标准分类!A:D,4,0)</f>
        <v>病案首页</v>
      </c>
      <c r="E180" s="183" t="str">
        <f>VLOOKUP(F180,数据集标准分类!A:C,3,0)</f>
        <v>020102</v>
      </c>
      <c r="F180" s="170" t="s">
        <v>563</v>
      </c>
      <c r="G180" s="183" t="str">
        <f>VLOOKUP(F180,数据集标准分类!A:B,2,0)</f>
        <v>tcm_inp_case_homepage</v>
      </c>
      <c r="H180" s="294">
        <f>VLOOKUP(F180,数据集标准分类!A:H,8,0)</f>
        <v>5</v>
      </c>
      <c r="I180" s="170" t="s">
        <v>426</v>
      </c>
      <c r="J180" s="170" t="s">
        <v>427</v>
      </c>
      <c r="K180" s="170" t="s">
        <v>428</v>
      </c>
      <c r="L180" s="170" t="s">
        <v>429</v>
      </c>
      <c r="M180" s="170" t="s">
        <v>430</v>
      </c>
      <c r="N180" s="294">
        <v>55</v>
      </c>
      <c r="O180" s="170"/>
    </row>
    <row r="181" ht="15.75" customHeight="1" spans="1:15">
      <c r="A181" s="183" t="str">
        <f>VLOOKUP(F181,数据集标准分类!A:G,7,0)</f>
        <v>02</v>
      </c>
      <c r="B181" s="183" t="str">
        <f>VLOOKUP(F181,数据集标准分类!A:F,6,0)</f>
        <v>电子病历</v>
      </c>
      <c r="C181" s="183" t="str">
        <f>VLOOKUP(F181,数据集标准分类!A:E,5,0)</f>
        <v>0201</v>
      </c>
      <c r="D181" s="183" t="str">
        <f>VLOOKUP(F181,数据集标准分类!A:D,4,0)</f>
        <v>病案首页</v>
      </c>
      <c r="E181" s="183" t="str">
        <f>VLOOKUP(F181,数据集标准分类!A:C,3,0)</f>
        <v>020102</v>
      </c>
      <c r="F181" s="170" t="s">
        <v>563</v>
      </c>
      <c r="G181" s="183" t="str">
        <f>VLOOKUP(F181,数据集标准分类!A:B,2,0)</f>
        <v>tcm_inp_case_homepage</v>
      </c>
      <c r="H181" s="294">
        <f>VLOOKUP(F181,数据集标准分类!A:H,8,0)</f>
        <v>5</v>
      </c>
      <c r="I181" s="170" t="s">
        <v>355</v>
      </c>
      <c r="J181" s="170" t="s">
        <v>356</v>
      </c>
      <c r="K181" s="170" t="s">
        <v>357</v>
      </c>
      <c r="L181" s="170" t="s">
        <v>358</v>
      </c>
      <c r="M181" s="170" t="s">
        <v>359</v>
      </c>
      <c r="N181" s="294">
        <v>56</v>
      </c>
      <c r="O181" s="170"/>
    </row>
    <row r="182" ht="15.75" customHeight="1" spans="1:15">
      <c r="A182" s="183" t="str">
        <f>VLOOKUP(F182,数据集标准分类!A:G,7,0)</f>
        <v>02</v>
      </c>
      <c r="B182" s="183" t="str">
        <f>VLOOKUP(F182,数据集标准分类!A:F,6,0)</f>
        <v>电子病历</v>
      </c>
      <c r="C182" s="183" t="str">
        <f>VLOOKUP(F182,数据集标准分类!A:E,5,0)</f>
        <v>0201</v>
      </c>
      <c r="D182" s="183" t="str">
        <f>VLOOKUP(F182,数据集标准分类!A:D,4,0)</f>
        <v>病案首页</v>
      </c>
      <c r="E182" s="183" t="str">
        <f>VLOOKUP(F182,数据集标准分类!A:C,3,0)</f>
        <v>020102</v>
      </c>
      <c r="F182" s="170" t="s">
        <v>563</v>
      </c>
      <c r="G182" s="183" t="str">
        <f>VLOOKUP(F182,数据集标准分类!A:B,2,0)</f>
        <v>tcm_inp_case_homepage</v>
      </c>
      <c r="H182" s="294">
        <f>VLOOKUP(F182,数据集标准分类!A:H,8,0)</f>
        <v>5</v>
      </c>
      <c r="I182" s="170" t="s">
        <v>513</v>
      </c>
      <c r="J182" s="170" t="s">
        <v>514</v>
      </c>
      <c r="K182" s="170" t="s">
        <v>515</v>
      </c>
      <c r="L182" s="170" t="s">
        <v>516</v>
      </c>
      <c r="M182" s="170" t="s">
        <v>517</v>
      </c>
      <c r="N182" s="294">
        <v>57</v>
      </c>
      <c r="O182" s="170"/>
    </row>
    <row r="183" ht="15.75" customHeight="1" spans="1:15">
      <c r="A183" s="183" t="str">
        <f>VLOOKUP(F183,数据集标准分类!A:G,7,0)</f>
        <v>02</v>
      </c>
      <c r="B183" s="183" t="str">
        <f>VLOOKUP(F183,数据集标准分类!A:F,6,0)</f>
        <v>电子病历</v>
      </c>
      <c r="C183" s="183" t="str">
        <f>VLOOKUP(F183,数据集标准分类!A:E,5,0)</f>
        <v>0201</v>
      </c>
      <c r="D183" s="183" t="str">
        <f>VLOOKUP(F183,数据集标准分类!A:D,4,0)</f>
        <v>病案首页</v>
      </c>
      <c r="E183" s="183" t="str">
        <f>VLOOKUP(F183,数据集标准分类!A:C,3,0)</f>
        <v>020102</v>
      </c>
      <c r="F183" s="170" t="s">
        <v>563</v>
      </c>
      <c r="G183" s="183" t="str">
        <f>VLOOKUP(F183,数据集标准分类!A:B,2,0)</f>
        <v>tcm_inp_case_homepage</v>
      </c>
      <c r="H183" s="294">
        <f>VLOOKUP(F183,数据集标准分类!A:H,8,0)</f>
        <v>5</v>
      </c>
      <c r="I183" s="170" t="s">
        <v>518</v>
      </c>
      <c r="J183" s="170" t="s">
        <v>519</v>
      </c>
      <c r="K183" s="170" t="s">
        <v>520</v>
      </c>
      <c r="L183" s="170" t="s">
        <v>521</v>
      </c>
      <c r="M183" s="170" t="s">
        <v>522</v>
      </c>
      <c r="N183" s="294">
        <v>58</v>
      </c>
      <c r="O183" s="170"/>
    </row>
    <row r="184" ht="15.75" customHeight="1" spans="1:15">
      <c r="A184" s="183" t="str">
        <f>VLOOKUP(F184,数据集标准分类!A:G,7,0)</f>
        <v>02</v>
      </c>
      <c r="B184" s="183" t="str">
        <f>VLOOKUP(F184,数据集标准分类!A:F,6,0)</f>
        <v>电子病历</v>
      </c>
      <c r="C184" s="183" t="str">
        <f>VLOOKUP(F184,数据集标准分类!A:E,5,0)</f>
        <v>0201</v>
      </c>
      <c r="D184" s="183" t="str">
        <f>VLOOKUP(F184,数据集标准分类!A:D,4,0)</f>
        <v>病案首页</v>
      </c>
      <c r="E184" s="183" t="str">
        <f>VLOOKUP(F184,数据集标准分类!A:C,3,0)</f>
        <v>020102</v>
      </c>
      <c r="F184" s="170" t="s">
        <v>563</v>
      </c>
      <c r="G184" s="183" t="str">
        <f>VLOOKUP(F184,数据集标准分类!A:B,2,0)</f>
        <v>tcm_inp_case_homepage</v>
      </c>
      <c r="H184" s="294">
        <f>VLOOKUP(F184,数据集标准分类!A:H,8,0)</f>
        <v>5</v>
      </c>
      <c r="I184" s="170" t="s">
        <v>523</v>
      </c>
      <c r="J184" s="170" t="s">
        <v>524</v>
      </c>
      <c r="K184" s="170" t="s">
        <v>525</v>
      </c>
      <c r="L184" s="170" t="s">
        <v>526</v>
      </c>
      <c r="M184" s="170" t="s">
        <v>527</v>
      </c>
      <c r="N184" s="294">
        <v>59</v>
      </c>
      <c r="O184" s="170"/>
    </row>
    <row r="185" ht="15.75" customHeight="1" spans="1:15">
      <c r="A185" s="183" t="str">
        <f>VLOOKUP(F185,数据集标准分类!A:G,7,0)</f>
        <v>02</v>
      </c>
      <c r="B185" s="183" t="str">
        <f>VLOOKUP(F185,数据集标准分类!A:F,6,0)</f>
        <v>电子病历</v>
      </c>
      <c r="C185" s="183" t="str">
        <f>VLOOKUP(F185,数据集标准分类!A:E,5,0)</f>
        <v>0201</v>
      </c>
      <c r="D185" s="183" t="str">
        <f>VLOOKUP(F185,数据集标准分类!A:D,4,0)</f>
        <v>病案首页</v>
      </c>
      <c r="E185" s="183" t="str">
        <f>VLOOKUP(F185,数据集标准分类!A:C,3,0)</f>
        <v>020102</v>
      </c>
      <c r="F185" s="170" t="s">
        <v>563</v>
      </c>
      <c r="G185" s="183" t="str">
        <f>VLOOKUP(F185,数据集标准分类!A:B,2,0)</f>
        <v>tcm_inp_case_homepage</v>
      </c>
      <c r="H185" s="294">
        <f>VLOOKUP(F185,数据集标准分类!A:H,8,0)</f>
        <v>5</v>
      </c>
      <c r="I185" s="170" t="s">
        <v>528</v>
      </c>
      <c r="J185" s="170" t="s">
        <v>529</v>
      </c>
      <c r="K185" s="170" t="s">
        <v>530</v>
      </c>
      <c r="L185" s="170" t="s">
        <v>531</v>
      </c>
      <c r="M185" s="170" t="s">
        <v>532</v>
      </c>
      <c r="N185" s="294">
        <v>60</v>
      </c>
      <c r="O185" s="170"/>
    </row>
    <row r="186" ht="15.75" customHeight="1" spans="1:15">
      <c r="A186" s="183" t="str">
        <f>VLOOKUP(F186,数据集标准分类!A:G,7,0)</f>
        <v>02</v>
      </c>
      <c r="B186" s="183" t="str">
        <f>VLOOKUP(F186,数据集标准分类!A:F,6,0)</f>
        <v>电子病历</v>
      </c>
      <c r="C186" s="183" t="str">
        <f>VLOOKUP(F186,数据集标准分类!A:E,5,0)</f>
        <v>0201</v>
      </c>
      <c r="D186" s="183" t="str">
        <f>VLOOKUP(F186,数据集标准分类!A:D,4,0)</f>
        <v>病案首页</v>
      </c>
      <c r="E186" s="183" t="str">
        <f>VLOOKUP(F186,数据集标准分类!A:C,3,0)</f>
        <v>020102</v>
      </c>
      <c r="F186" s="170" t="s">
        <v>563</v>
      </c>
      <c r="G186" s="183" t="str">
        <f>VLOOKUP(F186,数据集标准分类!A:B,2,0)</f>
        <v>tcm_inp_case_homepage</v>
      </c>
      <c r="H186" s="294">
        <f>VLOOKUP(F186,数据集标准分类!A:H,8,0)</f>
        <v>5</v>
      </c>
      <c r="I186" s="170" t="s">
        <v>533</v>
      </c>
      <c r="J186" s="170" t="s">
        <v>534</v>
      </c>
      <c r="K186" s="170" t="s">
        <v>535</v>
      </c>
      <c r="L186" s="170" t="s">
        <v>536</v>
      </c>
      <c r="M186" s="170" t="s">
        <v>537</v>
      </c>
      <c r="N186" s="294">
        <v>61</v>
      </c>
      <c r="O186" s="170"/>
    </row>
    <row r="187" ht="15.75" customHeight="1" spans="1:15">
      <c r="A187" s="183" t="str">
        <f>VLOOKUP(F187,数据集标准分类!A:G,7,0)</f>
        <v>02</v>
      </c>
      <c r="B187" s="183" t="str">
        <f>VLOOKUP(F187,数据集标准分类!A:F,6,0)</f>
        <v>电子病历</v>
      </c>
      <c r="C187" s="183" t="str">
        <f>VLOOKUP(F187,数据集标准分类!A:E,5,0)</f>
        <v>0201</v>
      </c>
      <c r="D187" s="183" t="str">
        <f>VLOOKUP(F187,数据集标准分类!A:D,4,0)</f>
        <v>病案首页</v>
      </c>
      <c r="E187" s="183" t="str">
        <f>VLOOKUP(F187,数据集标准分类!A:C,3,0)</f>
        <v>020102</v>
      </c>
      <c r="F187" s="170" t="s">
        <v>563</v>
      </c>
      <c r="G187" s="183" t="str">
        <f>VLOOKUP(F187,数据集标准分类!A:B,2,0)</f>
        <v>tcm_inp_case_homepage</v>
      </c>
      <c r="H187" s="294">
        <f>VLOOKUP(F187,数据集标准分类!A:H,8,0)</f>
        <v>5</v>
      </c>
      <c r="I187" s="170" t="s">
        <v>538</v>
      </c>
      <c r="J187" s="170" t="s">
        <v>539</v>
      </c>
      <c r="K187" s="170" t="s">
        <v>540</v>
      </c>
      <c r="L187" s="170" t="s">
        <v>541</v>
      </c>
      <c r="M187" s="170" t="s">
        <v>542</v>
      </c>
      <c r="N187" s="294">
        <v>62</v>
      </c>
      <c r="O187" s="170"/>
    </row>
    <row r="188" ht="15.75" customHeight="1" spans="1:15">
      <c r="A188" s="183" t="str">
        <f>VLOOKUP(F188,数据集标准分类!A:G,7,0)</f>
        <v>02</v>
      </c>
      <c r="B188" s="183" t="str">
        <f>VLOOKUP(F188,数据集标准分类!A:F,6,0)</f>
        <v>电子病历</v>
      </c>
      <c r="C188" s="183" t="str">
        <f>VLOOKUP(F188,数据集标准分类!A:E,5,0)</f>
        <v>0201</v>
      </c>
      <c r="D188" s="183" t="str">
        <f>VLOOKUP(F188,数据集标准分类!A:D,4,0)</f>
        <v>病案首页</v>
      </c>
      <c r="E188" s="183" t="str">
        <f>VLOOKUP(F188,数据集标准分类!A:C,3,0)</f>
        <v>020102</v>
      </c>
      <c r="F188" s="170" t="s">
        <v>563</v>
      </c>
      <c r="G188" s="183" t="str">
        <f>VLOOKUP(F188,数据集标准分类!A:B,2,0)</f>
        <v>tcm_inp_case_homepage</v>
      </c>
      <c r="H188" s="294">
        <f>VLOOKUP(F188,数据集标准分类!A:H,8,0)</f>
        <v>5</v>
      </c>
      <c r="I188" s="170" t="s">
        <v>543</v>
      </c>
      <c r="J188" s="170" t="s">
        <v>544</v>
      </c>
      <c r="K188" s="170" t="s">
        <v>545</v>
      </c>
      <c r="L188" s="170" t="s">
        <v>546</v>
      </c>
      <c r="M188" s="170" t="s">
        <v>547</v>
      </c>
      <c r="N188" s="294">
        <v>63</v>
      </c>
      <c r="O188" s="170"/>
    </row>
    <row r="189" ht="15.75" customHeight="1" spans="1:15">
      <c r="A189" s="183" t="str">
        <f>VLOOKUP(F189,数据集标准分类!A:G,7,0)</f>
        <v>02</v>
      </c>
      <c r="B189" s="183" t="str">
        <f>VLOOKUP(F189,数据集标准分类!A:F,6,0)</f>
        <v>电子病历</v>
      </c>
      <c r="C189" s="183" t="str">
        <f>VLOOKUP(F189,数据集标准分类!A:E,5,0)</f>
        <v>0201</v>
      </c>
      <c r="D189" s="183" t="str">
        <f>VLOOKUP(F189,数据集标准分类!A:D,4,0)</f>
        <v>病案首页</v>
      </c>
      <c r="E189" s="183" t="str">
        <f>VLOOKUP(F189,数据集标准分类!A:C,3,0)</f>
        <v>020102</v>
      </c>
      <c r="F189" s="170" t="s">
        <v>563</v>
      </c>
      <c r="G189" s="183" t="str">
        <f>VLOOKUP(F189,数据集标准分类!A:B,2,0)</f>
        <v>tcm_inp_case_homepage</v>
      </c>
      <c r="H189" s="294">
        <f>VLOOKUP(F189,数据集标准分类!A:H,8,0)</f>
        <v>5</v>
      </c>
      <c r="I189" s="170" t="s">
        <v>548</v>
      </c>
      <c r="J189" s="170" t="s">
        <v>549</v>
      </c>
      <c r="K189" s="170" t="s">
        <v>550</v>
      </c>
      <c r="L189" s="170" t="s">
        <v>551</v>
      </c>
      <c r="M189" s="170" t="s">
        <v>552</v>
      </c>
      <c r="N189" s="294">
        <v>64</v>
      </c>
      <c r="O189" s="170"/>
    </row>
    <row r="190" ht="15.75" customHeight="1" spans="1:15">
      <c r="A190" s="183" t="str">
        <f>VLOOKUP(F190,数据集标准分类!A:G,7,0)</f>
        <v>02</v>
      </c>
      <c r="B190" s="183" t="str">
        <f>VLOOKUP(F190,数据集标准分类!A:F,6,0)</f>
        <v>电子病历</v>
      </c>
      <c r="C190" s="183" t="str">
        <f>VLOOKUP(F190,数据集标准分类!A:E,5,0)</f>
        <v>0201</v>
      </c>
      <c r="D190" s="183" t="str">
        <f>VLOOKUP(F190,数据集标准分类!A:D,4,0)</f>
        <v>病案首页</v>
      </c>
      <c r="E190" s="183" t="str">
        <f>VLOOKUP(F190,数据集标准分类!A:C,3,0)</f>
        <v>020102</v>
      </c>
      <c r="F190" s="170" t="s">
        <v>563</v>
      </c>
      <c r="G190" s="183" t="str">
        <f>VLOOKUP(F190,数据集标准分类!A:B,2,0)</f>
        <v>tcm_inp_case_homepage</v>
      </c>
      <c r="H190" s="294">
        <f>VLOOKUP(F190,数据集标准分类!A:H,8,0)</f>
        <v>5</v>
      </c>
      <c r="I190" s="170" t="s">
        <v>553</v>
      </c>
      <c r="J190" s="170" t="s">
        <v>554</v>
      </c>
      <c r="K190" s="170" t="s">
        <v>555</v>
      </c>
      <c r="L190" s="170" t="s">
        <v>556</v>
      </c>
      <c r="M190" s="170" t="s">
        <v>557</v>
      </c>
      <c r="N190" s="294">
        <v>65</v>
      </c>
      <c r="O190" s="170"/>
    </row>
    <row r="191" ht="15.75" customHeight="1" spans="1:15">
      <c r="A191" s="183" t="str">
        <f>VLOOKUP(F191,数据集标准分类!A:G,7,0)</f>
        <v>02</v>
      </c>
      <c r="B191" s="183" t="str">
        <f>VLOOKUP(F191,数据集标准分类!A:F,6,0)</f>
        <v>电子病历</v>
      </c>
      <c r="C191" s="183" t="str">
        <f>VLOOKUP(F191,数据集标准分类!A:E,5,0)</f>
        <v>0201</v>
      </c>
      <c r="D191" s="183" t="str">
        <f>VLOOKUP(F191,数据集标准分类!A:D,4,0)</f>
        <v>病案首页</v>
      </c>
      <c r="E191" s="183" t="str">
        <f>VLOOKUP(F191,数据集标准分类!A:C,3,0)</f>
        <v>020102</v>
      </c>
      <c r="F191" s="170" t="s">
        <v>563</v>
      </c>
      <c r="G191" s="183" t="str">
        <f>VLOOKUP(F191,数据集标准分类!A:B,2,0)</f>
        <v>tcm_inp_case_homepage</v>
      </c>
      <c r="H191" s="294">
        <f>VLOOKUP(F191,数据集标准分类!A:H,8,0)</f>
        <v>5</v>
      </c>
      <c r="I191" s="170" t="s">
        <v>558</v>
      </c>
      <c r="J191" s="170" t="s">
        <v>559</v>
      </c>
      <c r="K191" s="170" t="s">
        <v>560</v>
      </c>
      <c r="L191" s="170" t="s">
        <v>561</v>
      </c>
      <c r="M191" s="170" t="s">
        <v>562</v>
      </c>
      <c r="N191" s="294">
        <v>66</v>
      </c>
      <c r="O191" s="170"/>
    </row>
    <row r="192" ht="15.75" customHeight="1" spans="1:15">
      <c r="A192" s="183" t="str">
        <f>VLOOKUP(F192,数据集标准分类!A:G,7,0)</f>
        <v>02</v>
      </c>
      <c r="B192" s="183" t="str">
        <f>VLOOKUP(F192,数据集标准分类!A:F,6,0)</f>
        <v>电子病历</v>
      </c>
      <c r="C192" s="183" t="str">
        <f>VLOOKUP(F192,数据集标准分类!A:E,5,0)</f>
        <v>0202</v>
      </c>
      <c r="D192" s="183" t="str">
        <f>VLOOKUP(F192,数据集标准分类!A:D,4,0)</f>
        <v>入院记录</v>
      </c>
      <c r="E192" s="183" t="str">
        <f>VLOOKUP(F192,数据集标准分类!A:C,3,0)</f>
        <v>020201</v>
      </c>
      <c r="F192" s="170" t="s">
        <v>662</v>
      </c>
      <c r="G192" s="183" t="str">
        <f>VLOOKUP(F192,数据集标准分类!A:B,2,0)</f>
        <v>admission_record</v>
      </c>
      <c r="H192" s="294">
        <f>VLOOKUP(F192,数据集标准分类!A:H,8,0)</f>
        <v>7</v>
      </c>
      <c r="I192" s="170" t="s">
        <v>152</v>
      </c>
      <c r="J192" s="170" t="s">
        <v>153</v>
      </c>
      <c r="K192" s="170" t="s">
        <v>154</v>
      </c>
      <c r="L192" s="170" t="s">
        <v>155</v>
      </c>
      <c r="M192" s="170" t="s">
        <v>156</v>
      </c>
      <c r="N192" s="294">
        <v>1</v>
      </c>
      <c r="O192" s="170"/>
    </row>
    <row r="193" ht="15.75" customHeight="1" spans="1:15">
      <c r="A193" s="183" t="str">
        <f>VLOOKUP(F193,数据集标准分类!A:G,7,0)</f>
        <v>02</v>
      </c>
      <c r="B193" s="183" t="str">
        <f>VLOOKUP(F193,数据集标准分类!A:F,6,0)</f>
        <v>电子病历</v>
      </c>
      <c r="C193" s="183" t="str">
        <f>VLOOKUP(F193,数据集标准分类!A:E,5,0)</f>
        <v>0202</v>
      </c>
      <c r="D193" s="183" t="str">
        <f>VLOOKUP(F193,数据集标准分类!A:D,4,0)</f>
        <v>入院记录</v>
      </c>
      <c r="E193" s="183" t="str">
        <f>VLOOKUP(F193,数据集标准分类!A:C,3,0)</f>
        <v>020201</v>
      </c>
      <c r="F193" s="170" t="s">
        <v>662</v>
      </c>
      <c r="G193" s="183" t="str">
        <f>VLOOKUP(F193,数据集标准分类!A:B,2,0)</f>
        <v>admission_record</v>
      </c>
      <c r="H193" s="294">
        <f>VLOOKUP(F193,数据集标准分类!A:H,8,0)</f>
        <v>7</v>
      </c>
      <c r="I193" s="170" t="s">
        <v>663</v>
      </c>
      <c r="J193" s="170" t="s">
        <v>664</v>
      </c>
      <c r="K193" s="170" t="s">
        <v>665</v>
      </c>
      <c r="L193" s="170" t="s">
        <v>666</v>
      </c>
      <c r="M193" s="170" t="s">
        <v>667</v>
      </c>
      <c r="N193" s="294">
        <v>2</v>
      </c>
      <c r="O193" s="170"/>
    </row>
    <row r="194" ht="15.75" customHeight="1" spans="1:15">
      <c r="A194" s="183" t="str">
        <f>VLOOKUP(F194,数据集标准分类!A:G,7,0)</f>
        <v>02</v>
      </c>
      <c r="B194" s="183" t="str">
        <f>VLOOKUP(F194,数据集标准分类!A:F,6,0)</f>
        <v>电子病历</v>
      </c>
      <c r="C194" s="183" t="str">
        <f>VLOOKUP(F194,数据集标准分类!A:E,5,0)</f>
        <v>0202</v>
      </c>
      <c r="D194" s="183" t="str">
        <f>VLOOKUP(F194,数据集标准分类!A:D,4,0)</f>
        <v>入院记录</v>
      </c>
      <c r="E194" s="183" t="str">
        <f>VLOOKUP(F194,数据集标准分类!A:C,3,0)</f>
        <v>020201</v>
      </c>
      <c r="F194" s="170" t="s">
        <v>662</v>
      </c>
      <c r="G194" s="183" t="str">
        <f>VLOOKUP(F194,数据集标准分类!A:B,2,0)</f>
        <v>admission_record</v>
      </c>
      <c r="H194" s="294">
        <f>VLOOKUP(F194,数据集标准分类!A:H,8,0)</f>
        <v>7</v>
      </c>
      <c r="I194" s="170" t="s">
        <v>668</v>
      </c>
      <c r="J194" s="170" t="s">
        <v>669</v>
      </c>
      <c r="K194" s="170" t="s">
        <v>670</v>
      </c>
      <c r="L194" s="170" t="s">
        <v>671</v>
      </c>
      <c r="M194" s="170" t="s">
        <v>672</v>
      </c>
      <c r="N194" s="294">
        <v>3</v>
      </c>
      <c r="O194" s="170"/>
    </row>
    <row r="195" ht="15.75" customHeight="1" spans="1:15">
      <c r="A195" s="183" t="str">
        <f>VLOOKUP(F195,数据集标准分类!A:G,7,0)</f>
        <v>02</v>
      </c>
      <c r="B195" s="183" t="str">
        <f>VLOOKUP(F195,数据集标准分类!A:F,6,0)</f>
        <v>电子病历</v>
      </c>
      <c r="C195" s="183" t="str">
        <f>VLOOKUP(F195,数据集标准分类!A:E,5,0)</f>
        <v>0202</v>
      </c>
      <c r="D195" s="183" t="str">
        <f>VLOOKUP(F195,数据集标准分类!A:D,4,0)</f>
        <v>入院记录</v>
      </c>
      <c r="E195" s="183" t="str">
        <f>VLOOKUP(F195,数据集标准分类!A:C,3,0)</f>
        <v>020201</v>
      </c>
      <c r="F195" s="170" t="s">
        <v>662</v>
      </c>
      <c r="G195" s="183" t="str">
        <f>VLOOKUP(F195,数据集标准分类!A:B,2,0)</f>
        <v>admission_record</v>
      </c>
      <c r="H195" s="294">
        <f>VLOOKUP(F195,数据集标准分类!A:H,8,0)</f>
        <v>7</v>
      </c>
      <c r="I195" s="170" t="s">
        <v>673</v>
      </c>
      <c r="J195" s="170" t="s">
        <v>674</v>
      </c>
      <c r="K195" s="170" t="s">
        <v>675</v>
      </c>
      <c r="L195" s="170" t="s">
        <v>676</v>
      </c>
      <c r="M195" s="170" t="s">
        <v>677</v>
      </c>
      <c r="N195" s="294">
        <v>4</v>
      </c>
      <c r="O195" s="170"/>
    </row>
    <row r="196" ht="15.75" customHeight="1" spans="1:15">
      <c r="A196" s="183" t="str">
        <f>VLOOKUP(F196,数据集标准分类!A:G,7,0)</f>
        <v>02</v>
      </c>
      <c r="B196" s="183" t="str">
        <f>VLOOKUP(F196,数据集标准分类!A:F,6,0)</f>
        <v>电子病历</v>
      </c>
      <c r="C196" s="183" t="str">
        <f>VLOOKUP(F196,数据集标准分类!A:E,5,0)</f>
        <v>0202</v>
      </c>
      <c r="D196" s="183" t="str">
        <f>VLOOKUP(F196,数据集标准分类!A:D,4,0)</f>
        <v>入院记录</v>
      </c>
      <c r="E196" s="183" t="str">
        <f>VLOOKUP(F196,数据集标准分类!A:C,3,0)</f>
        <v>020201</v>
      </c>
      <c r="F196" s="170" t="s">
        <v>662</v>
      </c>
      <c r="G196" s="183" t="str">
        <f>VLOOKUP(F196,数据集标准分类!A:B,2,0)</f>
        <v>admission_record</v>
      </c>
      <c r="H196" s="294">
        <f>VLOOKUP(F196,数据集标准分类!A:H,8,0)</f>
        <v>7</v>
      </c>
      <c r="I196" s="170" t="s">
        <v>87</v>
      </c>
      <c r="J196" s="170" t="s">
        <v>88</v>
      </c>
      <c r="K196" s="170" t="s">
        <v>89</v>
      </c>
      <c r="L196" s="170" t="s">
        <v>90</v>
      </c>
      <c r="M196" s="170" t="s">
        <v>91</v>
      </c>
      <c r="N196" s="294">
        <v>5</v>
      </c>
      <c r="O196" s="170"/>
    </row>
    <row r="197" ht="15.75" customHeight="1" spans="1:15">
      <c r="A197" s="183" t="str">
        <f>VLOOKUP(F197,数据集标准分类!A:G,7,0)</f>
        <v>02</v>
      </c>
      <c r="B197" s="183" t="str">
        <f>VLOOKUP(F197,数据集标准分类!A:F,6,0)</f>
        <v>电子病历</v>
      </c>
      <c r="C197" s="183" t="str">
        <f>VLOOKUP(F197,数据集标准分类!A:E,5,0)</f>
        <v>0202</v>
      </c>
      <c r="D197" s="183" t="str">
        <f>VLOOKUP(F197,数据集标准分类!A:D,4,0)</f>
        <v>入院记录</v>
      </c>
      <c r="E197" s="183" t="str">
        <f>VLOOKUP(F197,数据集标准分类!A:C,3,0)</f>
        <v>020201</v>
      </c>
      <c r="F197" s="170" t="s">
        <v>662</v>
      </c>
      <c r="G197" s="183" t="str">
        <f>VLOOKUP(F197,数据集标准分类!A:B,2,0)</f>
        <v>admission_record</v>
      </c>
      <c r="H197" s="294">
        <f>VLOOKUP(F197,数据集标准分类!A:H,8,0)</f>
        <v>7</v>
      </c>
      <c r="I197" s="170" t="s">
        <v>678</v>
      </c>
      <c r="J197" s="170" t="s">
        <v>679</v>
      </c>
      <c r="K197" s="170" t="s">
        <v>680</v>
      </c>
      <c r="L197" s="170" t="s">
        <v>681</v>
      </c>
      <c r="M197" s="170" t="s">
        <v>682</v>
      </c>
      <c r="N197" s="294">
        <v>6</v>
      </c>
      <c r="O197" s="170"/>
    </row>
    <row r="198" ht="15.75" customHeight="1" spans="1:15">
      <c r="A198" s="183" t="str">
        <f>VLOOKUP(F198,数据集标准分类!A:G,7,0)</f>
        <v>02</v>
      </c>
      <c r="B198" s="183" t="str">
        <f>VLOOKUP(F198,数据集标准分类!A:F,6,0)</f>
        <v>电子病历</v>
      </c>
      <c r="C198" s="183" t="str">
        <f>VLOOKUP(F198,数据集标准分类!A:E,5,0)</f>
        <v>0202</v>
      </c>
      <c r="D198" s="183" t="str">
        <f>VLOOKUP(F198,数据集标准分类!A:D,4,0)</f>
        <v>入院记录</v>
      </c>
      <c r="E198" s="183" t="str">
        <f>VLOOKUP(F198,数据集标准分类!A:C,3,0)</f>
        <v>020201</v>
      </c>
      <c r="F198" s="170" t="s">
        <v>662</v>
      </c>
      <c r="G198" s="183" t="str">
        <f>VLOOKUP(F198,数据集标准分类!A:B,2,0)</f>
        <v>admission_record</v>
      </c>
      <c r="H198" s="294">
        <f>VLOOKUP(F198,数据集标准分类!A:H,8,0)</f>
        <v>7</v>
      </c>
      <c r="I198" s="170" t="s">
        <v>92</v>
      </c>
      <c r="J198" s="170" t="s">
        <v>93</v>
      </c>
      <c r="K198" s="170" t="s">
        <v>94</v>
      </c>
      <c r="L198" s="170" t="s">
        <v>95</v>
      </c>
      <c r="M198" s="170" t="s">
        <v>96</v>
      </c>
      <c r="N198" s="294">
        <v>7</v>
      </c>
      <c r="O198" s="170"/>
    </row>
    <row r="199" ht="15.75" customHeight="1" spans="1:15">
      <c r="A199" s="183" t="str">
        <f>VLOOKUP(F199,数据集标准分类!A:G,7,0)</f>
        <v>02</v>
      </c>
      <c r="B199" s="183" t="str">
        <f>VLOOKUP(F199,数据集标准分类!A:F,6,0)</f>
        <v>电子病历</v>
      </c>
      <c r="C199" s="183" t="str">
        <f>VLOOKUP(F199,数据集标准分类!A:E,5,0)</f>
        <v>0202</v>
      </c>
      <c r="D199" s="183" t="str">
        <f>VLOOKUP(F199,数据集标准分类!A:D,4,0)</f>
        <v>入院记录</v>
      </c>
      <c r="E199" s="183" t="str">
        <f>VLOOKUP(F199,数据集标准分类!A:C,3,0)</f>
        <v>020201</v>
      </c>
      <c r="F199" s="170" t="s">
        <v>662</v>
      </c>
      <c r="G199" s="183" t="str">
        <f>VLOOKUP(F199,数据集标准分类!A:B,2,0)</f>
        <v>admission_record</v>
      </c>
      <c r="H199" s="294">
        <f>VLOOKUP(F199,数据集标准分类!A:H,8,0)</f>
        <v>7</v>
      </c>
      <c r="I199" s="170" t="s">
        <v>107</v>
      </c>
      <c r="J199" s="170" t="s">
        <v>108</v>
      </c>
      <c r="K199" s="170" t="s">
        <v>109</v>
      </c>
      <c r="L199" s="170" t="s">
        <v>110</v>
      </c>
      <c r="M199" s="170" t="s">
        <v>101</v>
      </c>
      <c r="N199" s="294">
        <v>8</v>
      </c>
      <c r="O199" s="170"/>
    </row>
    <row r="200" ht="15.75" customHeight="1" spans="1:15">
      <c r="A200" s="183" t="str">
        <f>VLOOKUP(F200,数据集标准分类!A:G,7,0)</f>
        <v>02</v>
      </c>
      <c r="B200" s="183" t="str">
        <f>VLOOKUP(F200,数据集标准分类!A:F,6,0)</f>
        <v>电子病历</v>
      </c>
      <c r="C200" s="183" t="str">
        <f>VLOOKUP(F200,数据集标准分类!A:E,5,0)</f>
        <v>0202</v>
      </c>
      <c r="D200" s="183" t="str">
        <f>VLOOKUP(F200,数据集标准分类!A:D,4,0)</f>
        <v>入院记录</v>
      </c>
      <c r="E200" s="183" t="str">
        <f>VLOOKUP(F200,数据集标准分类!A:C,3,0)</f>
        <v>020201</v>
      </c>
      <c r="F200" s="170" t="s">
        <v>662</v>
      </c>
      <c r="G200" s="183" t="str">
        <f>VLOOKUP(F200,数据集标准分类!A:B,2,0)</f>
        <v>admission_record</v>
      </c>
      <c r="H200" s="294">
        <f>VLOOKUP(F200,数据集标准分类!A:H,8,0)</f>
        <v>7</v>
      </c>
      <c r="I200" s="170" t="s">
        <v>97</v>
      </c>
      <c r="J200" s="170" t="s">
        <v>98</v>
      </c>
      <c r="K200" s="170" t="s">
        <v>99</v>
      </c>
      <c r="L200" s="170" t="s">
        <v>100</v>
      </c>
      <c r="M200" s="170" t="s">
        <v>106</v>
      </c>
      <c r="N200" s="294">
        <v>9</v>
      </c>
      <c r="O200" s="170"/>
    </row>
    <row r="201" ht="15.75" customHeight="1" spans="1:15">
      <c r="A201" s="183" t="str">
        <f>VLOOKUP(F201,数据集标准分类!A:G,7,0)</f>
        <v>02</v>
      </c>
      <c r="B201" s="183" t="str">
        <f>VLOOKUP(F201,数据集标准分类!A:F,6,0)</f>
        <v>电子病历</v>
      </c>
      <c r="C201" s="183" t="str">
        <f>VLOOKUP(F201,数据集标准分类!A:E,5,0)</f>
        <v>0202</v>
      </c>
      <c r="D201" s="183" t="str">
        <f>VLOOKUP(F201,数据集标准分类!A:D,4,0)</f>
        <v>入院记录</v>
      </c>
      <c r="E201" s="183" t="str">
        <f>VLOOKUP(F201,数据集标准分类!A:C,3,0)</f>
        <v>020201</v>
      </c>
      <c r="F201" s="170" t="s">
        <v>662</v>
      </c>
      <c r="G201" s="183" t="str">
        <f>VLOOKUP(F201,数据集标准分类!A:B,2,0)</f>
        <v>admission_record</v>
      </c>
      <c r="H201" s="294">
        <f>VLOOKUP(F201,数据集标准分类!A:H,8,0)</f>
        <v>7</v>
      </c>
      <c r="I201" s="170" t="s">
        <v>112</v>
      </c>
      <c r="J201" s="170" t="s">
        <v>113</v>
      </c>
      <c r="K201" s="170" t="s">
        <v>114</v>
      </c>
      <c r="L201" s="170" t="s">
        <v>115</v>
      </c>
      <c r="M201" s="170" t="s">
        <v>111</v>
      </c>
      <c r="N201" s="294">
        <v>10</v>
      </c>
      <c r="O201" s="170"/>
    </row>
    <row r="202" ht="15.75" customHeight="1" spans="1:15">
      <c r="A202" s="183" t="str">
        <f>VLOOKUP(F202,数据集标准分类!A:G,7,0)</f>
        <v>02</v>
      </c>
      <c r="B202" s="183" t="str">
        <f>VLOOKUP(F202,数据集标准分类!A:F,6,0)</f>
        <v>电子病历</v>
      </c>
      <c r="C202" s="183" t="str">
        <f>VLOOKUP(F202,数据集标准分类!A:E,5,0)</f>
        <v>0202</v>
      </c>
      <c r="D202" s="183" t="str">
        <f>VLOOKUP(F202,数据集标准分类!A:D,4,0)</f>
        <v>入院记录</v>
      </c>
      <c r="E202" s="183" t="str">
        <f>VLOOKUP(F202,数据集标准分类!A:C,3,0)</f>
        <v>020201</v>
      </c>
      <c r="F202" s="170" t="s">
        <v>662</v>
      </c>
      <c r="G202" s="183" t="str">
        <f>VLOOKUP(F202,数据集标准分类!A:B,2,0)</f>
        <v>admission_record</v>
      </c>
      <c r="H202" s="294">
        <f>VLOOKUP(F202,数据集标准分类!A:H,8,0)</f>
        <v>7</v>
      </c>
      <c r="I202" s="170" t="s">
        <v>508</v>
      </c>
      <c r="J202" s="170" t="s">
        <v>509</v>
      </c>
      <c r="K202" s="170" t="s">
        <v>510</v>
      </c>
      <c r="L202" s="170" t="s">
        <v>511</v>
      </c>
      <c r="M202" s="170" t="s">
        <v>116</v>
      </c>
      <c r="N202" s="294">
        <v>11</v>
      </c>
      <c r="O202" s="170"/>
    </row>
    <row r="203" ht="15.75" customHeight="1" spans="1:15">
      <c r="A203" s="183" t="str">
        <f>VLOOKUP(F203,数据集标准分类!A:G,7,0)</f>
        <v>02</v>
      </c>
      <c r="B203" s="183" t="str">
        <f>VLOOKUP(F203,数据集标准分类!A:F,6,0)</f>
        <v>电子病历</v>
      </c>
      <c r="C203" s="183" t="str">
        <f>VLOOKUP(F203,数据集标准分类!A:E,5,0)</f>
        <v>0202</v>
      </c>
      <c r="D203" s="183" t="str">
        <f>VLOOKUP(F203,数据集标准分类!A:D,4,0)</f>
        <v>入院记录</v>
      </c>
      <c r="E203" s="183" t="str">
        <f>VLOOKUP(F203,数据集标准分类!A:C,3,0)</f>
        <v>020201</v>
      </c>
      <c r="F203" s="170" t="s">
        <v>662</v>
      </c>
      <c r="G203" s="183" t="str">
        <f>VLOOKUP(F203,数据集标准分类!A:B,2,0)</f>
        <v>admission_record</v>
      </c>
      <c r="H203" s="294">
        <f>VLOOKUP(F203,数据集标准分类!A:H,8,0)</f>
        <v>7</v>
      </c>
      <c r="I203" s="170" t="s">
        <v>117</v>
      </c>
      <c r="J203" s="170" t="s">
        <v>118</v>
      </c>
      <c r="K203" s="170" t="s">
        <v>119</v>
      </c>
      <c r="L203" s="170" t="s">
        <v>120</v>
      </c>
      <c r="M203" s="170" t="s">
        <v>683</v>
      </c>
      <c r="N203" s="294">
        <v>12</v>
      </c>
      <c r="O203" s="170"/>
    </row>
    <row r="204" ht="15.75" customHeight="1" spans="1:15">
      <c r="A204" s="183" t="str">
        <f>VLOOKUP(F204,数据集标准分类!A:G,7,0)</f>
        <v>02</v>
      </c>
      <c r="B204" s="183" t="str">
        <f>VLOOKUP(F204,数据集标准分类!A:F,6,0)</f>
        <v>电子病历</v>
      </c>
      <c r="C204" s="183" t="str">
        <f>VLOOKUP(F204,数据集标准分类!A:E,5,0)</f>
        <v>0202</v>
      </c>
      <c r="D204" s="183" t="str">
        <f>VLOOKUP(F204,数据集标准分类!A:D,4,0)</f>
        <v>入院记录</v>
      </c>
      <c r="E204" s="183" t="str">
        <f>VLOOKUP(F204,数据集标准分类!A:C,3,0)</f>
        <v>020201</v>
      </c>
      <c r="F204" s="170" t="s">
        <v>662</v>
      </c>
      <c r="G204" s="183" t="str">
        <f>VLOOKUP(F204,数据集标准分类!A:B,2,0)</f>
        <v>admission_record</v>
      </c>
      <c r="H204" s="294">
        <f>VLOOKUP(F204,数据集标准分类!A:H,8,0)</f>
        <v>7</v>
      </c>
      <c r="I204" s="170" t="s">
        <v>102</v>
      </c>
      <c r="J204" s="170" t="s">
        <v>103</v>
      </c>
      <c r="K204" s="170" t="s">
        <v>104</v>
      </c>
      <c r="L204" s="170" t="s">
        <v>105</v>
      </c>
      <c r="M204" s="170" t="s">
        <v>121</v>
      </c>
      <c r="N204" s="294">
        <v>13</v>
      </c>
      <c r="O204" s="170"/>
    </row>
    <row r="205" ht="15.75" customHeight="1" spans="1:15">
      <c r="A205" s="183" t="str">
        <f>VLOOKUP(F205,数据集标准分类!A:G,7,0)</f>
        <v>02</v>
      </c>
      <c r="B205" s="183" t="str">
        <f>VLOOKUP(F205,数据集标准分类!A:F,6,0)</f>
        <v>电子病历</v>
      </c>
      <c r="C205" s="183" t="str">
        <f>VLOOKUP(F205,数据集标准分类!A:E,5,0)</f>
        <v>0202</v>
      </c>
      <c r="D205" s="183" t="str">
        <f>VLOOKUP(F205,数据集标准分类!A:D,4,0)</f>
        <v>入院记录</v>
      </c>
      <c r="E205" s="183" t="str">
        <f>VLOOKUP(F205,数据集标准分类!A:C,3,0)</f>
        <v>020201</v>
      </c>
      <c r="F205" s="170" t="s">
        <v>662</v>
      </c>
      <c r="G205" s="183" t="str">
        <f>VLOOKUP(F205,数据集标准分类!A:B,2,0)</f>
        <v>admission_record</v>
      </c>
      <c r="H205" s="294">
        <f>VLOOKUP(F205,数据集标准分类!A:H,8,0)</f>
        <v>7</v>
      </c>
      <c r="I205" s="170" t="s">
        <v>122</v>
      </c>
      <c r="J205" s="170" t="s">
        <v>123</v>
      </c>
      <c r="K205" s="170" t="s">
        <v>123</v>
      </c>
      <c r="L205" s="170" t="s">
        <v>124</v>
      </c>
      <c r="M205" s="170" t="s">
        <v>125</v>
      </c>
      <c r="N205" s="294">
        <v>14</v>
      </c>
      <c r="O205" s="170"/>
    </row>
    <row r="206" ht="15.75" customHeight="1" spans="1:15">
      <c r="A206" s="183" t="str">
        <f>VLOOKUP(F206,数据集标准分类!A:G,7,0)</f>
        <v>02</v>
      </c>
      <c r="B206" s="183" t="str">
        <f>VLOOKUP(F206,数据集标准分类!A:F,6,0)</f>
        <v>电子病历</v>
      </c>
      <c r="C206" s="183" t="str">
        <f>VLOOKUP(F206,数据集标准分类!A:E,5,0)</f>
        <v>0202</v>
      </c>
      <c r="D206" s="183" t="str">
        <f>VLOOKUP(F206,数据集标准分类!A:D,4,0)</f>
        <v>入院记录</v>
      </c>
      <c r="E206" s="183" t="str">
        <f>VLOOKUP(F206,数据集标准分类!A:C,3,0)</f>
        <v>020201</v>
      </c>
      <c r="F206" s="170" t="s">
        <v>662</v>
      </c>
      <c r="G206" s="183" t="str">
        <f>VLOOKUP(F206,数据集标准分类!A:B,2,0)</f>
        <v>admission_record</v>
      </c>
      <c r="H206" s="294">
        <f>VLOOKUP(F206,数据集标准分类!A:H,8,0)</f>
        <v>7</v>
      </c>
      <c r="I206" s="170" t="s">
        <v>126</v>
      </c>
      <c r="J206" s="170" t="s">
        <v>127</v>
      </c>
      <c r="K206" s="170" t="s">
        <v>128</v>
      </c>
      <c r="L206" s="170" t="s">
        <v>129</v>
      </c>
      <c r="M206" s="170" t="s">
        <v>130</v>
      </c>
      <c r="N206" s="294">
        <v>15</v>
      </c>
      <c r="O206" s="170"/>
    </row>
    <row r="207" ht="15.75" customHeight="1" spans="1:15">
      <c r="A207" s="183" t="str">
        <f>VLOOKUP(F207,数据集标准分类!A:G,7,0)</f>
        <v>02</v>
      </c>
      <c r="B207" s="183" t="str">
        <f>VLOOKUP(F207,数据集标准分类!A:F,6,0)</f>
        <v>电子病历</v>
      </c>
      <c r="C207" s="183" t="str">
        <f>VLOOKUP(F207,数据集标准分类!A:E,5,0)</f>
        <v>0202</v>
      </c>
      <c r="D207" s="183" t="str">
        <f>VLOOKUP(F207,数据集标准分类!A:D,4,0)</f>
        <v>入院记录</v>
      </c>
      <c r="E207" s="183" t="str">
        <f>VLOOKUP(F207,数据集标准分类!A:C,3,0)</f>
        <v>020201</v>
      </c>
      <c r="F207" s="170" t="s">
        <v>662</v>
      </c>
      <c r="G207" s="183" t="str">
        <f>VLOOKUP(F207,数据集标准分类!A:B,2,0)</f>
        <v>admission_record</v>
      </c>
      <c r="H207" s="294">
        <f>VLOOKUP(F207,数据集标准分类!A:H,8,0)</f>
        <v>7</v>
      </c>
      <c r="I207" s="170" t="s">
        <v>684</v>
      </c>
      <c r="J207" s="170" t="s">
        <v>685</v>
      </c>
      <c r="K207" s="170" t="s">
        <v>686</v>
      </c>
      <c r="L207" s="170" t="s">
        <v>687</v>
      </c>
      <c r="M207" s="170" t="s">
        <v>688</v>
      </c>
      <c r="N207" s="294">
        <v>16</v>
      </c>
      <c r="O207" s="170"/>
    </row>
    <row r="208" ht="15.75" customHeight="1" spans="1:15">
      <c r="A208" s="183" t="str">
        <f>VLOOKUP(F208,数据集标准分类!A:G,7,0)</f>
        <v>02</v>
      </c>
      <c r="B208" s="183" t="str">
        <f>VLOOKUP(F208,数据集标准分类!A:F,6,0)</f>
        <v>电子病历</v>
      </c>
      <c r="C208" s="183" t="str">
        <f>VLOOKUP(F208,数据集标准分类!A:E,5,0)</f>
        <v>0202</v>
      </c>
      <c r="D208" s="183" t="str">
        <f>VLOOKUP(F208,数据集标准分类!A:D,4,0)</f>
        <v>入院记录</v>
      </c>
      <c r="E208" s="183" t="str">
        <f>VLOOKUP(F208,数据集标准分类!A:C,3,0)</f>
        <v>020201</v>
      </c>
      <c r="F208" s="170" t="s">
        <v>662</v>
      </c>
      <c r="G208" s="183" t="str">
        <f>VLOOKUP(F208,数据集标准分类!A:B,2,0)</f>
        <v>admission_record</v>
      </c>
      <c r="H208" s="294">
        <f>VLOOKUP(F208,数据集标准分类!A:H,8,0)</f>
        <v>7</v>
      </c>
      <c r="I208" s="170" t="s">
        <v>689</v>
      </c>
      <c r="J208" s="170" t="s">
        <v>690</v>
      </c>
      <c r="K208" s="170" t="s">
        <v>691</v>
      </c>
      <c r="L208" s="170" t="s">
        <v>692</v>
      </c>
      <c r="M208" s="170" t="s">
        <v>693</v>
      </c>
      <c r="N208" s="294">
        <v>17</v>
      </c>
      <c r="O208" s="170"/>
    </row>
    <row r="209" ht="15.75" customHeight="1" spans="1:15">
      <c r="A209" s="183" t="str">
        <f>VLOOKUP(F209,数据集标准分类!A:G,7,0)</f>
        <v>02</v>
      </c>
      <c r="B209" s="183" t="str">
        <f>VLOOKUP(F209,数据集标准分类!A:F,6,0)</f>
        <v>电子病历</v>
      </c>
      <c r="C209" s="183" t="str">
        <f>VLOOKUP(F209,数据集标准分类!A:E,5,0)</f>
        <v>0202</v>
      </c>
      <c r="D209" s="183" t="str">
        <f>VLOOKUP(F209,数据集标准分类!A:D,4,0)</f>
        <v>入院记录</v>
      </c>
      <c r="E209" s="183" t="str">
        <f>VLOOKUP(F209,数据集标准分类!A:C,3,0)</f>
        <v>020201</v>
      </c>
      <c r="F209" s="170" t="s">
        <v>662</v>
      </c>
      <c r="G209" s="183" t="str">
        <f>VLOOKUP(F209,数据集标准分类!A:B,2,0)</f>
        <v>admission_record</v>
      </c>
      <c r="H209" s="294">
        <f>VLOOKUP(F209,数据集标准分类!A:H,8,0)</f>
        <v>7</v>
      </c>
      <c r="I209" s="170" t="s">
        <v>694</v>
      </c>
      <c r="J209" s="170" t="s">
        <v>695</v>
      </c>
      <c r="K209" s="170" t="s">
        <v>696</v>
      </c>
      <c r="L209" s="170" t="s">
        <v>697</v>
      </c>
      <c r="M209" s="170" t="s">
        <v>698</v>
      </c>
      <c r="N209" s="294">
        <v>18</v>
      </c>
      <c r="O209" s="170"/>
    </row>
    <row r="210" ht="15.75" customHeight="1" spans="1:15">
      <c r="A210" s="183" t="str">
        <f>VLOOKUP(F210,数据集标准分类!A:G,7,0)</f>
        <v>02</v>
      </c>
      <c r="B210" s="183" t="str">
        <f>VLOOKUP(F210,数据集标准分类!A:F,6,0)</f>
        <v>电子病历</v>
      </c>
      <c r="C210" s="183" t="str">
        <f>VLOOKUP(F210,数据集标准分类!A:E,5,0)</f>
        <v>0202</v>
      </c>
      <c r="D210" s="183" t="str">
        <f>VLOOKUP(F210,数据集标准分类!A:D,4,0)</f>
        <v>入院记录</v>
      </c>
      <c r="E210" s="183" t="str">
        <f>VLOOKUP(F210,数据集标准分类!A:C,3,0)</f>
        <v>020201</v>
      </c>
      <c r="F210" s="170" t="s">
        <v>662</v>
      </c>
      <c r="G210" s="183" t="str">
        <f>VLOOKUP(F210,数据集标准分类!A:B,2,0)</f>
        <v>admission_record</v>
      </c>
      <c r="H210" s="294">
        <f>VLOOKUP(F210,数据集标准分类!A:H,8,0)</f>
        <v>7</v>
      </c>
      <c r="I210" s="170" t="s">
        <v>699</v>
      </c>
      <c r="J210" s="170" t="s">
        <v>700</v>
      </c>
      <c r="K210" s="170" t="s">
        <v>700</v>
      </c>
      <c r="L210" s="170" t="s">
        <v>701</v>
      </c>
      <c r="M210" s="170" t="s">
        <v>702</v>
      </c>
      <c r="N210" s="294">
        <v>19</v>
      </c>
      <c r="O210" s="170"/>
    </row>
    <row r="211" ht="15.75" customHeight="1" spans="1:15">
      <c r="A211" s="183" t="str">
        <f>VLOOKUP(F211,数据集标准分类!A:G,7,0)</f>
        <v>02</v>
      </c>
      <c r="B211" s="183" t="str">
        <f>VLOOKUP(F211,数据集标准分类!A:F,6,0)</f>
        <v>电子病历</v>
      </c>
      <c r="C211" s="183" t="str">
        <f>VLOOKUP(F211,数据集标准分类!A:E,5,0)</f>
        <v>0202</v>
      </c>
      <c r="D211" s="183" t="str">
        <f>VLOOKUP(F211,数据集标准分类!A:D,4,0)</f>
        <v>入院记录</v>
      </c>
      <c r="E211" s="183" t="str">
        <f>VLOOKUP(F211,数据集标准分类!A:C,3,0)</f>
        <v>020201</v>
      </c>
      <c r="F211" s="170" t="s">
        <v>662</v>
      </c>
      <c r="G211" s="183" t="str">
        <f>VLOOKUP(F211,数据集标准分类!A:B,2,0)</f>
        <v>admission_record</v>
      </c>
      <c r="H211" s="294">
        <f>VLOOKUP(F211,数据集标准分类!A:H,8,0)</f>
        <v>7</v>
      </c>
      <c r="I211" s="170" t="s">
        <v>703</v>
      </c>
      <c r="J211" s="170" t="s">
        <v>704</v>
      </c>
      <c r="K211" s="170" t="s">
        <v>704</v>
      </c>
      <c r="L211" s="170" t="s">
        <v>705</v>
      </c>
      <c r="M211" s="170" t="s">
        <v>706</v>
      </c>
      <c r="N211" s="294">
        <v>20</v>
      </c>
      <c r="O211" s="170"/>
    </row>
    <row r="212" ht="15.75" customHeight="1" spans="1:15">
      <c r="A212" s="183" t="str">
        <f>VLOOKUP(F212,数据集标准分类!A:G,7,0)</f>
        <v>02</v>
      </c>
      <c r="B212" s="183" t="str">
        <f>VLOOKUP(F212,数据集标准分类!A:F,6,0)</f>
        <v>电子病历</v>
      </c>
      <c r="C212" s="183" t="str">
        <f>VLOOKUP(F212,数据集标准分类!A:E,5,0)</f>
        <v>0202</v>
      </c>
      <c r="D212" s="183" t="str">
        <f>VLOOKUP(F212,数据集标准分类!A:D,4,0)</f>
        <v>入院记录</v>
      </c>
      <c r="E212" s="183" t="str">
        <f>VLOOKUP(F212,数据集标准分类!A:C,3,0)</f>
        <v>020201</v>
      </c>
      <c r="F212" s="170" t="s">
        <v>662</v>
      </c>
      <c r="G212" s="183" t="str">
        <f>VLOOKUP(F212,数据集标准分类!A:B,2,0)</f>
        <v>admission_record</v>
      </c>
      <c r="H212" s="294">
        <f>VLOOKUP(F212,数据集标准分类!A:H,8,0)</f>
        <v>7</v>
      </c>
      <c r="I212" s="170" t="s">
        <v>707</v>
      </c>
      <c r="J212" s="170" t="s">
        <v>708</v>
      </c>
      <c r="K212" s="170" t="s">
        <v>708</v>
      </c>
      <c r="L212" s="170" t="s">
        <v>709</v>
      </c>
      <c r="M212" s="170" t="s">
        <v>710</v>
      </c>
      <c r="N212" s="294">
        <v>21</v>
      </c>
      <c r="O212" s="170"/>
    </row>
    <row r="213" ht="15.75" customHeight="1" spans="1:15">
      <c r="A213" s="183" t="str">
        <f>VLOOKUP(F213,数据集标准分类!A:G,7,0)</f>
        <v>02</v>
      </c>
      <c r="B213" s="183" t="str">
        <f>VLOOKUP(F213,数据集标准分类!A:F,6,0)</f>
        <v>电子病历</v>
      </c>
      <c r="C213" s="183" t="str">
        <f>VLOOKUP(F213,数据集标准分类!A:E,5,0)</f>
        <v>0202</v>
      </c>
      <c r="D213" s="183" t="str">
        <f>VLOOKUP(F213,数据集标准分类!A:D,4,0)</f>
        <v>入院记录</v>
      </c>
      <c r="E213" s="183" t="str">
        <f>VLOOKUP(F213,数据集标准分类!A:C,3,0)</f>
        <v>020201</v>
      </c>
      <c r="F213" s="170" t="s">
        <v>662</v>
      </c>
      <c r="G213" s="183" t="str">
        <f>VLOOKUP(F213,数据集标准分类!A:B,2,0)</f>
        <v>admission_record</v>
      </c>
      <c r="H213" s="294">
        <f>VLOOKUP(F213,数据集标准分类!A:H,8,0)</f>
        <v>7</v>
      </c>
      <c r="I213" s="170" t="s">
        <v>711</v>
      </c>
      <c r="J213" s="170" t="s">
        <v>712</v>
      </c>
      <c r="K213" s="170" t="s">
        <v>712</v>
      </c>
      <c r="L213" s="170" t="s">
        <v>713</v>
      </c>
      <c r="M213" s="170" t="s">
        <v>714</v>
      </c>
      <c r="N213" s="294">
        <v>22</v>
      </c>
      <c r="O213" s="170"/>
    </row>
    <row r="214" ht="15.75" customHeight="1" spans="1:15">
      <c r="A214" s="183" t="str">
        <f>VLOOKUP(F214,数据集标准分类!A:G,7,0)</f>
        <v>02</v>
      </c>
      <c r="B214" s="183" t="str">
        <f>VLOOKUP(F214,数据集标准分类!A:F,6,0)</f>
        <v>电子病历</v>
      </c>
      <c r="C214" s="183" t="str">
        <f>VLOOKUP(F214,数据集标准分类!A:E,5,0)</f>
        <v>0202</v>
      </c>
      <c r="D214" s="183" t="str">
        <f>VLOOKUP(F214,数据集标准分类!A:D,4,0)</f>
        <v>入院记录</v>
      </c>
      <c r="E214" s="183" t="str">
        <f>VLOOKUP(F214,数据集标准分类!A:C,3,0)</f>
        <v>020201</v>
      </c>
      <c r="F214" s="170" t="s">
        <v>662</v>
      </c>
      <c r="G214" s="183" t="str">
        <f>VLOOKUP(F214,数据集标准分类!A:B,2,0)</f>
        <v>admission_record</v>
      </c>
      <c r="H214" s="294">
        <f>VLOOKUP(F214,数据集标准分类!A:H,8,0)</f>
        <v>7</v>
      </c>
      <c r="I214" s="170" t="s">
        <v>715</v>
      </c>
      <c r="J214" s="170" t="s">
        <v>716</v>
      </c>
      <c r="K214" s="170" t="s">
        <v>717</v>
      </c>
      <c r="L214" s="170" t="s">
        <v>718</v>
      </c>
      <c r="M214" s="170" t="s">
        <v>719</v>
      </c>
      <c r="N214" s="294">
        <v>23</v>
      </c>
      <c r="O214" s="170"/>
    </row>
    <row r="215" ht="15.75" customHeight="1" spans="1:15">
      <c r="A215" s="183" t="str">
        <f>VLOOKUP(F215,数据集标准分类!A:G,7,0)</f>
        <v>02</v>
      </c>
      <c r="B215" s="183" t="str">
        <f>VLOOKUP(F215,数据集标准分类!A:F,6,0)</f>
        <v>电子病历</v>
      </c>
      <c r="C215" s="183" t="str">
        <f>VLOOKUP(F215,数据集标准分类!A:E,5,0)</f>
        <v>0202</v>
      </c>
      <c r="D215" s="183" t="str">
        <f>VLOOKUP(F215,数据集标准分类!A:D,4,0)</f>
        <v>入院记录</v>
      </c>
      <c r="E215" s="183" t="str">
        <f>VLOOKUP(F215,数据集标准分类!A:C,3,0)</f>
        <v>020201</v>
      </c>
      <c r="F215" s="170" t="s">
        <v>662</v>
      </c>
      <c r="G215" s="183" t="str">
        <f>VLOOKUP(F215,数据集标准分类!A:B,2,0)</f>
        <v>admission_record</v>
      </c>
      <c r="H215" s="294">
        <f>VLOOKUP(F215,数据集标准分类!A:H,8,0)</f>
        <v>7</v>
      </c>
      <c r="I215" s="170" t="s">
        <v>720</v>
      </c>
      <c r="J215" s="170" t="s">
        <v>721</v>
      </c>
      <c r="K215" s="170" t="s">
        <v>722</v>
      </c>
      <c r="L215" s="170" t="s">
        <v>723</v>
      </c>
      <c r="M215" s="170" t="s">
        <v>724</v>
      </c>
      <c r="N215" s="294">
        <v>24</v>
      </c>
      <c r="O215" s="170"/>
    </row>
    <row r="216" ht="15.75" customHeight="1" spans="1:15">
      <c r="A216" s="183" t="str">
        <f>VLOOKUP(F216,数据集标准分类!A:G,7,0)</f>
        <v>02</v>
      </c>
      <c r="B216" s="183" t="str">
        <f>VLOOKUP(F216,数据集标准分类!A:F,6,0)</f>
        <v>电子病历</v>
      </c>
      <c r="C216" s="183" t="str">
        <f>VLOOKUP(F216,数据集标准分类!A:E,5,0)</f>
        <v>0202</v>
      </c>
      <c r="D216" s="183" t="str">
        <f>VLOOKUP(F216,数据集标准分类!A:D,4,0)</f>
        <v>入院记录</v>
      </c>
      <c r="E216" s="183" t="str">
        <f>VLOOKUP(F216,数据集标准分类!A:C,3,0)</f>
        <v>020201</v>
      </c>
      <c r="F216" s="170" t="s">
        <v>662</v>
      </c>
      <c r="G216" s="183" t="str">
        <f>VLOOKUP(F216,数据集标准分类!A:B,2,0)</f>
        <v>admission_record</v>
      </c>
      <c r="H216" s="294">
        <f>VLOOKUP(F216,数据集标准分类!A:H,8,0)</f>
        <v>7</v>
      </c>
      <c r="I216" s="170" t="s">
        <v>725</v>
      </c>
      <c r="J216" s="170" t="s">
        <v>726</v>
      </c>
      <c r="K216" s="170" t="s">
        <v>727</v>
      </c>
      <c r="L216" s="170" t="s">
        <v>728</v>
      </c>
      <c r="M216" s="170" t="s">
        <v>724</v>
      </c>
      <c r="N216" s="294">
        <v>25</v>
      </c>
      <c r="O216" s="170"/>
    </row>
    <row r="217" ht="15.75" customHeight="1" spans="1:15">
      <c r="A217" s="183" t="str">
        <f>VLOOKUP(F217,数据集标准分类!A:G,7,0)</f>
        <v>02</v>
      </c>
      <c r="B217" s="183" t="str">
        <f>VLOOKUP(F217,数据集标准分类!A:F,6,0)</f>
        <v>电子病历</v>
      </c>
      <c r="C217" s="183" t="str">
        <f>VLOOKUP(F217,数据集标准分类!A:E,5,0)</f>
        <v>0202</v>
      </c>
      <c r="D217" s="183" t="str">
        <f>VLOOKUP(F217,数据集标准分类!A:D,4,0)</f>
        <v>入院记录</v>
      </c>
      <c r="E217" s="183" t="str">
        <f>VLOOKUP(F217,数据集标准分类!A:C,3,0)</f>
        <v>020201</v>
      </c>
      <c r="F217" s="170" t="s">
        <v>662</v>
      </c>
      <c r="G217" s="183" t="str">
        <f>VLOOKUP(F217,数据集标准分类!A:B,2,0)</f>
        <v>admission_record</v>
      </c>
      <c r="H217" s="294">
        <f>VLOOKUP(F217,数据集标准分类!A:H,8,0)</f>
        <v>7</v>
      </c>
      <c r="I217" s="170" t="s">
        <v>729</v>
      </c>
      <c r="J217" s="170" t="s">
        <v>730</v>
      </c>
      <c r="K217" s="170" t="s">
        <v>731</v>
      </c>
      <c r="L217" s="170" t="s">
        <v>732</v>
      </c>
      <c r="M217" s="170" t="s">
        <v>733</v>
      </c>
      <c r="N217" s="294">
        <v>26</v>
      </c>
      <c r="O217" s="170"/>
    </row>
    <row r="218" ht="15.75" customHeight="1" spans="1:15">
      <c r="A218" s="183" t="str">
        <f>VLOOKUP(F218,数据集标准分类!A:G,7,0)</f>
        <v>02</v>
      </c>
      <c r="B218" s="183" t="str">
        <f>VLOOKUP(F218,数据集标准分类!A:F,6,0)</f>
        <v>电子病历</v>
      </c>
      <c r="C218" s="183" t="str">
        <f>VLOOKUP(F218,数据集标准分类!A:E,5,0)</f>
        <v>0202</v>
      </c>
      <c r="D218" s="183" t="str">
        <f>VLOOKUP(F218,数据集标准分类!A:D,4,0)</f>
        <v>入院记录</v>
      </c>
      <c r="E218" s="183" t="str">
        <f>VLOOKUP(F218,数据集标准分类!A:C,3,0)</f>
        <v>020201</v>
      </c>
      <c r="F218" s="170" t="s">
        <v>662</v>
      </c>
      <c r="G218" s="183" t="str">
        <f>VLOOKUP(F218,数据集标准分类!A:B,2,0)</f>
        <v>admission_record</v>
      </c>
      <c r="H218" s="294">
        <f>VLOOKUP(F218,数据集标准分类!A:H,8,0)</f>
        <v>7</v>
      </c>
      <c r="I218" s="170" t="s">
        <v>734</v>
      </c>
      <c r="J218" s="170" t="s">
        <v>735</v>
      </c>
      <c r="K218" s="170" t="s">
        <v>736</v>
      </c>
      <c r="L218" s="170" t="s">
        <v>737</v>
      </c>
      <c r="M218" s="170" t="s">
        <v>738</v>
      </c>
      <c r="N218" s="294">
        <v>27</v>
      </c>
      <c r="O218" s="170"/>
    </row>
    <row r="219" ht="15.75" customHeight="1" spans="1:15">
      <c r="A219" s="183" t="str">
        <f>VLOOKUP(F219,数据集标准分类!A:G,7,0)</f>
        <v>02</v>
      </c>
      <c r="B219" s="183" t="str">
        <f>VLOOKUP(F219,数据集标准分类!A:F,6,0)</f>
        <v>电子病历</v>
      </c>
      <c r="C219" s="183" t="str">
        <f>VLOOKUP(F219,数据集标准分类!A:E,5,0)</f>
        <v>0202</v>
      </c>
      <c r="D219" s="183" t="str">
        <f>VLOOKUP(F219,数据集标准分类!A:D,4,0)</f>
        <v>入院记录</v>
      </c>
      <c r="E219" s="183" t="str">
        <f>VLOOKUP(F219,数据集标准分类!A:C,3,0)</f>
        <v>020201</v>
      </c>
      <c r="F219" s="170" t="s">
        <v>662</v>
      </c>
      <c r="G219" s="183" t="str">
        <f>VLOOKUP(F219,数据集标准分类!A:B,2,0)</f>
        <v>admission_record</v>
      </c>
      <c r="H219" s="294">
        <f>VLOOKUP(F219,数据集标准分类!A:H,8,0)</f>
        <v>7</v>
      </c>
      <c r="I219" s="170" t="s">
        <v>739</v>
      </c>
      <c r="J219" s="170" t="s">
        <v>740</v>
      </c>
      <c r="K219" s="170" t="s">
        <v>741</v>
      </c>
      <c r="L219" s="170" t="s">
        <v>742</v>
      </c>
      <c r="M219" s="170" t="s">
        <v>743</v>
      </c>
      <c r="N219" s="294">
        <v>28</v>
      </c>
      <c r="O219" s="170"/>
    </row>
    <row r="220" ht="15.75" customHeight="1" spans="1:15">
      <c r="A220" s="183" t="str">
        <f>VLOOKUP(F220,数据集标准分类!A:G,7,0)</f>
        <v>02</v>
      </c>
      <c r="B220" s="183" t="str">
        <f>VLOOKUP(F220,数据集标准分类!A:F,6,0)</f>
        <v>电子病历</v>
      </c>
      <c r="C220" s="183" t="str">
        <f>VLOOKUP(F220,数据集标准分类!A:E,5,0)</f>
        <v>0202</v>
      </c>
      <c r="D220" s="183" t="str">
        <f>VLOOKUP(F220,数据集标准分类!A:D,4,0)</f>
        <v>入院记录</v>
      </c>
      <c r="E220" s="183" t="str">
        <f>VLOOKUP(F220,数据集标准分类!A:C,3,0)</f>
        <v>020201</v>
      </c>
      <c r="F220" s="170" t="s">
        <v>662</v>
      </c>
      <c r="G220" s="183" t="str">
        <f>VLOOKUP(F220,数据集标准分类!A:B,2,0)</f>
        <v>admission_record</v>
      </c>
      <c r="H220" s="294">
        <f>VLOOKUP(F220,数据集标准分类!A:H,8,0)</f>
        <v>7</v>
      </c>
      <c r="I220" s="170" t="s">
        <v>744</v>
      </c>
      <c r="J220" s="170" t="s">
        <v>745</v>
      </c>
      <c r="K220" s="170" t="s">
        <v>746</v>
      </c>
      <c r="L220" s="170" t="s">
        <v>747</v>
      </c>
      <c r="M220" s="170" t="s">
        <v>748</v>
      </c>
      <c r="N220" s="294">
        <v>29</v>
      </c>
      <c r="O220" s="170"/>
    </row>
    <row r="221" ht="15.75" customHeight="1" spans="1:15">
      <c r="A221" s="183" t="str">
        <f>VLOOKUP(F221,数据集标准分类!A:G,7,0)</f>
        <v>02</v>
      </c>
      <c r="B221" s="183" t="str">
        <f>VLOOKUP(F221,数据集标准分类!A:F,6,0)</f>
        <v>电子病历</v>
      </c>
      <c r="C221" s="183" t="str">
        <f>VLOOKUP(F221,数据集标准分类!A:E,5,0)</f>
        <v>0202</v>
      </c>
      <c r="D221" s="183" t="str">
        <f>VLOOKUP(F221,数据集标准分类!A:D,4,0)</f>
        <v>入院记录</v>
      </c>
      <c r="E221" s="183" t="str">
        <f>VLOOKUP(F221,数据集标准分类!A:C,3,0)</f>
        <v>020201</v>
      </c>
      <c r="F221" s="170" t="s">
        <v>662</v>
      </c>
      <c r="G221" s="183" t="str">
        <f>VLOOKUP(F221,数据集标准分类!A:B,2,0)</f>
        <v>admission_record</v>
      </c>
      <c r="H221" s="294">
        <f>VLOOKUP(F221,数据集标准分类!A:H,8,0)</f>
        <v>7</v>
      </c>
      <c r="I221" s="170" t="s">
        <v>749</v>
      </c>
      <c r="J221" s="170" t="s">
        <v>750</v>
      </c>
      <c r="K221" s="170" t="s">
        <v>751</v>
      </c>
      <c r="L221" s="170" t="s">
        <v>752</v>
      </c>
      <c r="M221" s="170" t="s">
        <v>753</v>
      </c>
      <c r="N221" s="294">
        <v>30</v>
      </c>
      <c r="O221" s="170"/>
    </row>
    <row r="222" ht="15.75" customHeight="1" spans="1:15">
      <c r="A222" s="183" t="str">
        <f>VLOOKUP(F222,数据集标准分类!A:G,7,0)</f>
        <v>02</v>
      </c>
      <c r="B222" s="183" t="str">
        <f>VLOOKUP(F222,数据集标准分类!A:F,6,0)</f>
        <v>电子病历</v>
      </c>
      <c r="C222" s="183" t="str">
        <f>VLOOKUP(F222,数据集标准分类!A:E,5,0)</f>
        <v>0202</v>
      </c>
      <c r="D222" s="183" t="str">
        <f>VLOOKUP(F222,数据集标准分类!A:D,4,0)</f>
        <v>入院记录</v>
      </c>
      <c r="E222" s="183" t="str">
        <f>VLOOKUP(F222,数据集标准分类!A:C,3,0)</f>
        <v>020201</v>
      </c>
      <c r="F222" s="170" t="s">
        <v>662</v>
      </c>
      <c r="G222" s="183" t="str">
        <f>VLOOKUP(F222,数据集标准分类!A:B,2,0)</f>
        <v>admission_record</v>
      </c>
      <c r="H222" s="294">
        <f>VLOOKUP(F222,数据集标准分类!A:H,8,0)</f>
        <v>7</v>
      </c>
      <c r="I222" s="170" t="s">
        <v>754</v>
      </c>
      <c r="J222" s="170" t="s">
        <v>755</v>
      </c>
      <c r="K222" s="170" t="s">
        <v>756</v>
      </c>
      <c r="L222" s="170" t="s">
        <v>757</v>
      </c>
      <c r="M222" s="170" t="s">
        <v>758</v>
      </c>
      <c r="N222" s="294">
        <v>31</v>
      </c>
      <c r="O222" s="170"/>
    </row>
    <row r="223" ht="15.75" customHeight="1" spans="1:15">
      <c r="A223" s="183" t="str">
        <f>VLOOKUP(F223,数据集标准分类!A:G,7,0)</f>
        <v>02</v>
      </c>
      <c r="B223" s="183" t="str">
        <f>VLOOKUP(F223,数据集标准分类!A:F,6,0)</f>
        <v>电子病历</v>
      </c>
      <c r="C223" s="183" t="str">
        <f>VLOOKUP(F223,数据集标准分类!A:E,5,0)</f>
        <v>0202</v>
      </c>
      <c r="D223" s="183" t="str">
        <f>VLOOKUP(F223,数据集标准分类!A:D,4,0)</f>
        <v>入院记录</v>
      </c>
      <c r="E223" s="183" t="str">
        <f>VLOOKUP(F223,数据集标准分类!A:C,3,0)</f>
        <v>020201</v>
      </c>
      <c r="F223" s="170" t="s">
        <v>662</v>
      </c>
      <c r="G223" s="183" t="str">
        <f>VLOOKUP(F223,数据集标准分类!A:B,2,0)</f>
        <v>admission_record</v>
      </c>
      <c r="H223" s="294">
        <f>VLOOKUP(F223,数据集标准分类!A:H,8,0)</f>
        <v>7</v>
      </c>
      <c r="I223" s="170" t="s">
        <v>759</v>
      </c>
      <c r="J223" s="170" t="s">
        <v>760</v>
      </c>
      <c r="K223" s="170" t="s">
        <v>761</v>
      </c>
      <c r="L223" s="170" t="s">
        <v>762</v>
      </c>
      <c r="M223" s="170" t="s">
        <v>763</v>
      </c>
      <c r="N223" s="294">
        <v>32</v>
      </c>
      <c r="O223" s="170"/>
    </row>
    <row r="224" ht="15.75" customHeight="1" spans="1:15">
      <c r="A224" s="183" t="str">
        <f>VLOOKUP(F224,数据集标准分类!A:G,7,0)</f>
        <v>02</v>
      </c>
      <c r="B224" s="183" t="str">
        <f>VLOOKUP(F224,数据集标准分类!A:F,6,0)</f>
        <v>电子病历</v>
      </c>
      <c r="C224" s="183" t="str">
        <f>VLOOKUP(F224,数据集标准分类!A:E,5,0)</f>
        <v>0202</v>
      </c>
      <c r="D224" s="183" t="str">
        <f>VLOOKUP(F224,数据集标准分类!A:D,4,0)</f>
        <v>入院记录</v>
      </c>
      <c r="E224" s="183" t="str">
        <f>VLOOKUP(F224,数据集标准分类!A:C,3,0)</f>
        <v>020201</v>
      </c>
      <c r="F224" s="170" t="s">
        <v>662</v>
      </c>
      <c r="G224" s="183" t="str">
        <f>VLOOKUP(F224,数据集标准分类!A:B,2,0)</f>
        <v>admission_record</v>
      </c>
      <c r="H224" s="294">
        <f>VLOOKUP(F224,数据集标准分类!A:H,8,0)</f>
        <v>7</v>
      </c>
      <c r="I224" s="170" t="s">
        <v>764</v>
      </c>
      <c r="J224" s="170" t="s">
        <v>765</v>
      </c>
      <c r="K224" s="170" t="s">
        <v>766</v>
      </c>
      <c r="L224" s="170" t="s">
        <v>767</v>
      </c>
      <c r="M224" s="170" t="s">
        <v>768</v>
      </c>
      <c r="N224" s="294">
        <v>33</v>
      </c>
      <c r="O224" s="170"/>
    </row>
    <row r="225" ht="15.75" customHeight="1" spans="1:15">
      <c r="A225" s="183" t="str">
        <f>VLOOKUP(F225,数据集标准分类!A:G,7,0)</f>
        <v>02</v>
      </c>
      <c r="B225" s="183" t="str">
        <f>VLOOKUP(F225,数据集标准分类!A:F,6,0)</f>
        <v>电子病历</v>
      </c>
      <c r="C225" s="183" t="str">
        <f>VLOOKUP(F225,数据集标准分类!A:E,5,0)</f>
        <v>0202</v>
      </c>
      <c r="D225" s="183" t="str">
        <f>VLOOKUP(F225,数据集标准分类!A:D,4,0)</f>
        <v>入院记录</v>
      </c>
      <c r="E225" s="183" t="str">
        <f>VLOOKUP(F225,数据集标准分类!A:C,3,0)</f>
        <v>020201</v>
      </c>
      <c r="F225" s="170" t="s">
        <v>662</v>
      </c>
      <c r="G225" s="183" t="str">
        <f>VLOOKUP(F225,数据集标准分类!A:B,2,0)</f>
        <v>admission_record</v>
      </c>
      <c r="H225" s="294">
        <f>VLOOKUP(F225,数据集标准分类!A:H,8,0)</f>
        <v>7</v>
      </c>
      <c r="I225" s="170" t="s">
        <v>769</v>
      </c>
      <c r="J225" s="170" t="s">
        <v>770</v>
      </c>
      <c r="K225" s="170" t="s">
        <v>771</v>
      </c>
      <c r="L225" s="170" t="s">
        <v>772</v>
      </c>
      <c r="M225" s="170" t="s">
        <v>773</v>
      </c>
      <c r="N225" s="294">
        <v>34</v>
      </c>
      <c r="O225" s="170"/>
    </row>
    <row r="226" ht="15.75" customHeight="1" spans="1:15">
      <c r="A226" s="183" t="str">
        <f>VLOOKUP(F226,数据集标准分类!A:G,7,0)</f>
        <v>02</v>
      </c>
      <c r="B226" s="183" t="str">
        <f>VLOOKUP(F226,数据集标准分类!A:F,6,0)</f>
        <v>电子病历</v>
      </c>
      <c r="C226" s="183" t="str">
        <f>VLOOKUP(F226,数据集标准分类!A:E,5,0)</f>
        <v>0202</v>
      </c>
      <c r="D226" s="183" t="str">
        <f>VLOOKUP(F226,数据集标准分类!A:D,4,0)</f>
        <v>入院记录</v>
      </c>
      <c r="E226" s="183" t="str">
        <f>VLOOKUP(F226,数据集标准分类!A:C,3,0)</f>
        <v>020201</v>
      </c>
      <c r="F226" s="170" t="s">
        <v>662</v>
      </c>
      <c r="G226" s="183" t="str">
        <f>VLOOKUP(F226,数据集标准分类!A:B,2,0)</f>
        <v>admission_record</v>
      </c>
      <c r="H226" s="294">
        <f>VLOOKUP(F226,数据集标准分类!A:H,8,0)</f>
        <v>7</v>
      </c>
      <c r="I226" s="170" t="s">
        <v>774</v>
      </c>
      <c r="J226" s="170" t="s">
        <v>775</v>
      </c>
      <c r="K226" s="170" t="s">
        <v>776</v>
      </c>
      <c r="L226" s="170" t="s">
        <v>777</v>
      </c>
      <c r="M226" s="170" t="s">
        <v>778</v>
      </c>
      <c r="N226" s="294">
        <v>35</v>
      </c>
      <c r="O226" s="170"/>
    </row>
    <row r="227" ht="15.75" customHeight="1" spans="1:15">
      <c r="A227" s="183" t="str">
        <f>VLOOKUP(F227,数据集标准分类!A:G,7,0)</f>
        <v>02</v>
      </c>
      <c r="B227" s="183" t="str">
        <f>VLOOKUP(F227,数据集标准分类!A:F,6,0)</f>
        <v>电子病历</v>
      </c>
      <c r="C227" s="183" t="str">
        <f>VLOOKUP(F227,数据集标准分类!A:E,5,0)</f>
        <v>0202</v>
      </c>
      <c r="D227" s="183" t="str">
        <f>VLOOKUP(F227,数据集标准分类!A:D,4,0)</f>
        <v>入院记录</v>
      </c>
      <c r="E227" s="183" t="str">
        <f>VLOOKUP(F227,数据集标准分类!A:C,3,0)</f>
        <v>020201</v>
      </c>
      <c r="F227" s="170" t="s">
        <v>662</v>
      </c>
      <c r="G227" s="183" t="str">
        <f>VLOOKUP(F227,数据集标准分类!A:B,2,0)</f>
        <v>admission_record</v>
      </c>
      <c r="H227" s="294">
        <f>VLOOKUP(F227,数据集标准分类!A:H,8,0)</f>
        <v>7</v>
      </c>
      <c r="I227" s="170" t="s">
        <v>779</v>
      </c>
      <c r="J227" s="170" t="s">
        <v>780</v>
      </c>
      <c r="K227" s="170" t="s">
        <v>781</v>
      </c>
      <c r="L227" s="170" t="s">
        <v>782</v>
      </c>
      <c r="M227" s="170" t="s">
        <v>783</v>
      </c>
      <c r="N227" s="294">
        <v>36</v>
      </c>
      <c r="O227" s="170"/>
    </row>
    <row r="228" ht="15.75" customHeight="1" spans="1:15">
      <c r="A228" s="183" t="str">
        <f>VLOOKUP(F228,数据集标准分类!A:G,7,0)</f>
        <v>02</v>
      </c>
      <c r="B228" s="183" t="str">
        <f>VLOOKUP(F228,数据集标准分类!A:F,6,0)</f>
        <v>电子病历</v>
      </c>
      <c r="C228" s="183" t="str">
        <f>VLOOKUP(F228,数据集标准分类!A:E,5,0)</f>
        <v>0202</v>
      </c>
      <c r="D228" s="183" t="str">
        <f>VLOOKUP(F228,数据集标准分类!A:D,4,0)</f>
        <v>入院记录</v>
      </c>
      <c r="E228" s="183" t="str">
        <f>VLOOKUP(F228,数据集标准分类!A:C,3,0)</f>
        <v>020201</v>
      </c>
      <c r="F228" s="170" t="s">
        <v>662</v>
      </c>
      <c r="G228" s="183" t="str">
        <f>VLOOKUP(F228,数据集标准分类!A:B,2,0)</f>
        <v>admission_record</v>
      </c>
      <c r="H228" s="294">
        <f>VLOOKUP(F228,数据集标准分类!A:H,8,0)</f>
        <v>7</v>
      </c>
      <c r="I228" s="170" t="s">
        <v>784</v>
      </c>
      <c r="J228" s="170" t="s">
        <v>785</v>
      </c>
      <c r="K228" s="170" t="s">
        <v>786</v>
      </c>
      <c r="L228" s="170" t="s">
        <v>787</v>
      </c>
      <c r="M228" s="170" t="s">
        <v>788</v>
      </c>
      <c r="N228" s="294">
        <v>37</v>
      </c>
      <c r="O228" s="170"/>
    </row>
    <row r="229" ht="15.75" customHeight="1" spans="1:15">
      <c r="A229" s="183" t="str">
        <f>VLOOKUP(F229,数据集标准分类!A:G,7,0)</f>
        <v>02</v>
      </c>
      <c r="B229" s="183" t="str">
        <f>VLOOKUP(F229,数据集标准分类!A:F,6,0)</f>
        <v>电子病历</v>
      </c>
      <c r="C229" s="183" t="str">
        <f>VLOOKUP(F229,数据集标准分类!A:E,5,0)</f>
        <v>0202</v>
      </c>
      <c r="D229" s="183" t="str">
        <f>VLOOKUP(F229,数据集标准分类!A:D,4,0)</f>
        <v>入院记录</v>
      </c>
      <c r="E229" s="183" t="str">
        <f>VLOOKUP(F229,数据集标准分类!A:C,3,0)</f>
        <v>020201</v>
      </c>
      <c r="F229" s="170" t="s">
        <v>662</v>
      </c>
      <c r="G229" s="183" t="str">
        <f>VLOOKUP(F229,数据集标准分类!A:B,2,0)</f>
        <v>admission_record</v>
      </c>
      <c r="H229" s="294">
        <f>VLOOKUP(F229,数据集标准分类!A:H,8,0)</f>
        <v>7</v>
      </c>
      <c r="I229" s="170" t="s">
        <v>789</v>
      </c>
      <c r="J229" s="170" t="s">
        <v>790</v>
      </c>
      <c r="K229" s="170" t="s">
        <v>790</v>
      </c>
      <c r="L229" s="170" t="s">
        <v>791</v>
      </c>
      <c r="M229" s="170" t="s">
        <v>792</v>
      </c>
      <c r="N229" s="294">
        <v>38</v>
      </c>
      <c r="O229" s="170"/>
    </row>
    <row r="230" ht="15.75" customHeight="1" spans="1:15">
      <c r="A230" s="183" t="str">
        <f>VLOOKUP(F230,数据集标准分类!A:G,7,0)</f>
        <v>02</v>
      </c>
      <c r="B230" s="183" t="str">
        <f>VLOOKUP(F230,数据集标准分类!A:F,6,0)</f>
        <v>电子病历</v>
      </c>
      <c r="C230" s="183" t="str">
        <f>VLOOKUP(F230,数据集标准分类!A:E,5,0)</f>
        <v>0202</v>
      </c>
      <c r="D230" s="183" t="str">
        <f>VLOOKUP(F230,数据集标准分类!A:D,4,0)</f>
        <v>入院记录</v>
      </c>
      <c r="E230" s="183" t="str">
        <f>VLOOKUP(F230,数据集标准分类!A:C,3,0)</f>
        <v>020201</v>
      </c>
      <c r="F230" s="170" t="s">
        <v>662</v>
      </c>
      <c r="G230" s="183" t="str">
        <f>VLOOKUP(F230,数据集标准分类!A:B,2,0)</f>
        <v>admission_record</v>
      </c>
      <c r="H230" s="294">
        <f>VLOOKUP(F230,数据集标准分类!A:H,8,0)</f>
        <v>7</v>
      </c>
      <c r="I230" s="170" t="s">
        <v>793</v>
      </c>
      <c r="J230" s="170" t="s">
        <v>794</v>
      </c>
      <c r="K230" s="170" t="s">
        <v>795</v>
      </c>
      <c r="L230" s="170" t="s">
        <v>796</v>
      </c>
      <c r="M230" s="170" t="s">
        <v>797</v>
      </c>
      <c r="N230" s="294">
        <v>39</v>
      </c>
      <c r="O230" s="170"/>
    </row>
    <row r="231" ht="15.75" customHeight="1" spans="1:15">
      <c r="A231" s="183" t="str">
        <f>VLOOKUP(F231,数据集标准分类!A:G,7,0)</f>
        <v>02</v>
      </c>
      <c r="B231" s="183" t="str">
        <f>VLOOKUP(F231,数据集标准分类!A:F,6,0)</f>
        <v>电子病历</v>
      </c>
      <c r="C231" s="183" t="str">
        <f>VLOOKUP(F231,数据集标准分类!A:E,5,0)</f>
        <v>0202</v>
      </c>
      <c r="D231" s="183" t="str">
        <f>VLOOKUP(F231,数据集标准分类!A:D,4,0)</f>
        <v>入院记录</v>
      </c>
      <c r="E231" s="183" t="str">
        <f>VLOOKUP(F231,数据集标准分类!A:C,3,0)</f>
        <v>020201</v>
      </c>
      <c r="F231" s="170" t="s">
        <v>662</v>
      </c>
      <c r="G231" s="183" t="str">
        <f>VLOOKUP(F231,数据集标准分类!A:B,2,0)</f>
        <v>admission_record</v>
      </c>
      <c r="H231" s="294">
        <f>VLOOKUP(F231,数据集标准分类!A:H,8,0)</f>
        <v>7</v>
      </c>
      <c r="I231" s="170" t="s">
        <v>798</v>
      </c>
      <c r="J231" s="170" t="s">
        <v>799</v>
      </c>
      <c r="K231" s="170" t="s">
        <v>800</v>
      </c>
      <c r="L231" s="170" t="s">
        <v>801</v>
      </c>
      <c r="M231" s="170" t="s">
        <v>802</v>
      </c>
      <c r="N231" s="294">
        <v>40</v>
      </c>
      <c r="O231" s="170"/>
    </row>
    <row r="232" ht="15.75" customHeight="1" spans="1:15">
      <c r="A232" s="183" t="str">
        <f>VLOOKUP(F232,数据集标准分类!A:G,7,0)</f>
        <v>02</v>
      </c>
      <c r="B232" s="183" t="str">
        <f>VLOOKUP(F232,数据集标准分类!A:F,6,0)</f>
        <v>电子病历</v>
      </c>
      <c r="C232" s="183" t="str">
        <f>VLOOKUP(F232,数据集标准分类!A:E,5,0)</f>
        <v>0202</v>
      </c>
      <c r="D232" s="183" t="str">
        <f>VLOOKUP(F232,数据集标准分类!A:D,4,0)</f>
        <v>入院记录</v>
      </c>
      <c r="E232" s="183" t="str">
        <f>VLOOKUP(F232,数据集标准分类!A:C,3,0)</f>
        <v>020201</v>
      </c>
      <c r="F232" s="170" t="s">
        <v>662</v>
      </c>
      <c r="G232" s="183" t="str">
        <f>VLOOKUP(F232,数据集标准分类!A:B,2,0)</f>
        <v>admission_record</v>
      </c>
      <c r="H232" s="294">
        <f>VLOOKUP(F232,数据集标准分类!A:H,8,0)</f>
        <v>7</v>
      </c>
      <c r="I232" s="170" t="s">
        <v>803</v>
      </c>
      <c r="J232" s="170" t="s">
        <v>804</v>
      </c>
      <c r="K232" s="170" t="s">
        <v>805</v>
      </c>
      <c r="L232" s="170" t="s">
        <v>806</v>
      </c>
      <c r="M232" s="170" t="s">
        <v>807</v>
      </c>
      <c r="N232" s="294">
        <v>41</v>
      </c>
      <c r="O232" s="170"/>
    </row>
    <row r="233" ht="15.75" customHeight="1" spans="1:15">
      <c r="A233" s="183" t="str">
        <f>VLOOKUP(F233,数据集标准分类!A:G,7,0)</f>
        <v>02</v>
      </c>
      <c r="B233" s="183" t="str">
        <f>VLOOKUP(F233,数据集标准分类!A:F,6,0)</f>
        <v>电子病历</v>
      </c>
      <c r="C233" s="183" t="str">
        <f>VLOOKUP(F233,数据集标准分类!A:E,5,0)</f>
        <v>0202</v>
      </c>
      <c r="D233" s="183" t="str">
        <f>VLOOKUP(F233,数据集标准分类!A:D,4,0)</f>
        <v>入院记录</v>
      </c>
      <c r="E233" s="183" t="str">
        <f>VLOOKUP(F233,数据集标准分类!A:C,3,0)</f>
        <v>020201</v>
      </c>
      <c r="F233" s="170" t="s">
        <v>662</v>
      </c>
      <c r="G233" s="183" t="str">
        <f>VLOOKUP(F233,数据集标准分类!A:B,2,0)</f>
        <v>admission_record</v>
      </c>
      <c r="H233" s="294">
        <f>VLOOKUP(F233,数据集标准分类!A:H,8,0)</f>
        <v>7</v>
      </c>
      <c r="I233" s="170" t="s">
        <v>808</v>
      </c>
      <c r="J233" s="170" t="s">
        <v>809</v>
      </c>
      <c r="K233" s="170" t="s">
        <v>810</v>
      </c>
      <c r="L233" s="170" t="s">
        <v>811</v>
      </c>
      <c r="M233" s="170" t="s">
        <v>812</v>
      </c>
      <c r="N233" s="294">
        <v>42</v>
      </c>
      <c r="O233" s="170"/>
    </row>
    <row r="234" ht="15.75" customHeight="1" spans="1:15">
      <c r="A234" s="183" t="str">
        <f>VLOOKUP(F234,数据集标准分类!A:G,7,0)</f>
        <v>02</v>
      </c>
      <c r="B234" s="183" t="str">
        <f>VLOOKUP(F234,数据集标准分类!A:F,6,0)</f>
        <v>电子病历</v>
      </c>
      <c r="C234" s="183" t="str">
        <f>VLOOKUP(F234,数据集标准分类!A:E,5,0)</f>
        <v>0202</v>
      </c>
      <c r="D234" s="183" t="str">
        <f>VLOOKUP(F234,数据集标准分类!A:D,4,0)</f>
        <v>入院记录</v>
      </c>
      <c r="E234" s="183" t="str">
        <f>VLOOKUP(F234,数据集标准分类!A:C,3,0)</f>
        <v>020201</v>
      </c>
      <c r="F234" s="170" t="s">
        <v>662</v>
      </c>
      <c r="G234" s="183" t="str">
        <f>VLOOKUP(F234,数据集标准分类!A:B,2,0)</f>
        <v>admission_record</v>
      </c>
      <c r="H234" s="294">
        <f>VLOOKUP(F234,数据集标准分类!A:H,8,0)</f>
        <v>7</v>
      </c>
      <c r="I234" s="170" t="s">
        <v>813</v>
      </c>
      <c r="J234" s="170" t="s">
        <v>814</v>
      </c>
      <c r="K234" s="170" t="s">
        <v>815</v>
      </c>
      <c r="L234" s="170" t="s">
        <v>816</v>
      </c>
      <c r="M234" s="170" t="s">
        <v>817</v>
      </c>
      <c r="N234" s="294">
        <v>43</v>
      </c>
      <c r="O234" s="170"/>
    </row>
    <row r="235" ht="15.75" customHeight="1" spans="1:15">
      <c r="A235" s="183" t="str">
        <f>VLOOKUP(F235,数据集标准分类!A:G,7,0)</f>
        <v>02</v>
      </c>
      <c r="B235" s="183" t="str">
        <f>VLOOKUP(F235,数据集标准分类!A:F,6,0)</f>
        <v>电子病历</v>
      </c>
      <c r="C235" s="183" t="str">
        <f>VLOOKUP(F235,数据集标准分类!A:E,5,0)</f>
        <v>0202</v>
      </c>
      <c r="D235" s="183" t="str">
        <f>VLOOKUP(F235,数据集标准分类!A:D,4,0)</f>
        <v>入院记录</v>
      </c>
      <c r="E235" s="183" t="str">
        <f>VLOOKUP(F235,数据集标准分类!A:C,3,0)</f>
        <v>020201</v>
      </c>
      <c r="F235" s="170" t="s">
        <v>662</v>
      </c>
      <c r="G235" s="183" t="str">
        <f>VLOOKUP(F235,数据集标准分类!A:B,2,0)</f>
        <v>admission_record</v>
      </c>
      <c r="H235" s="294">
        <f>VLOOKUP(F235,数据集标准分类!A:H,8,0)</f>
        <v>7</v>
      </c>
      <c r="I235" s="170" t="s">
        <v>818</v>
      </c>
      <c r="J235" s="170" t="s">
        <v>819</v>
      </c>
      <c r="K235" s="170" t="s">
        <v>820</v>
      </c>
      <c r="L235" s="170" t="s">
        <v>821</v>
      </c>
      <c r="M235" s="170" t="s">
        <v>822</v>
      </c>
      <c r="N235" s="294">
        <v>44</v>
      </c>
      <c r="O235" s="170"/>
    </row>
    <row r="236" ht="15.75" customHeight="1" spans="1:15">
      <c r="A236" s="183" t="str">
        <f>VLOOKUP(F236,数据集标准分类!A:G,7,0)</f>
        <v>02</v>
      </c>
      <c r="B236" s="183" t="str">
        <f>VLOOKUP(F236,数据集标准分类!A:F,6,0)</f>
        <v>电子病历</v>
      </c>
      <c r="C236" s="183" t="str">
        <f>VLOOKUP(F236,数据集标准分类!A:E,5,0)</f>
        <v>0202</v>
      </c>
      <c r="D236" s="183" t="str">
        <f>VLOOKUP(F236,数据集标准分类!A:D,4,0)</f>
        <v>入院记录</v>
      </c>
      <c r="E236" s="183" t="str">
        <f>VLOOKUP(F236,数据集标准分类!A:C,3,0)</f>
        <v>020201</v>
      </c>
      <c r="F236" s="170" t="s">
        <v>662</v>
      </c>
      <c r="G236" s="183" t="str">
        <f>VLOOKUP(F236,数据集标准分类!A:B,2,0)</f>
        <v>admission_record</v>
      </c>
      <c r="H236" s="294">
        <f>VLOOKUP(F236,数据集标准分类!A:H,8,0)</f>
        <v>7</v>
      </c>
      <c r="I236" s="170" t="s">
        <v>823</v>
      </c>
      <c r="J236" s="170" t="s">
        <v>824</v>
      </c>
      <c r="K236" s="170" t="s">
        <v>825</v>
      </c>
      <c r="L236" s="170" t="s">
        <v>826</v>
      </c>
      <c r="M236" s="170" t="s">
        <v>827</v>
      </c>
      <c r="N236" s="294">
        <v>45</v>
      </c>
      <c r="O236" s="170"/>
    </row>
    <row r="237" ht="15.75" customHeight="1" spans="1:15">
      <c r="A237" s="183" t="str">
        <f>VLOOKUP(F237,数据集标准分类!A:G,7,0)</f>
        <v>02</v>
      </c>
      <c r="B237" s="183" t="str">
        <f>VLOOKUP(F237,数据集标准分类!A:F,6,0)</f>
        <v>电子病历</v>
      </c>
      <c r="C237" s="183" t="str">
        <f>VLOOKUP(F237,数据集标准分类!A:E,5,0)</f>
        <v>0202</v>
      </c>
      <c r="D237" s="183" t="str">
        <f>VLOOKUP(F237,数据集标准分类!A:D,4,0)</f>
        <v>入院记录</v>
      </c>
      <c r="E237" s="183" t="str">
        <f>VLOOKUP(F237,数据集标准分类!A:C,3,0)</f>
        <v>020201</v>
      </c>
      <c r="F237" s="170" t="s">
        <v>662</v>
      </c>
      <c r="G237" s="183" t="str">
        <f>VLOOKUP(F237,数据集标准分类!A:B,2,0)</f>
        <v>admission_record</v>
      </c>
      <c r="H237" s="294">
        <f>VLOOKUP(F237,数据集标准分类!A:H,8,0)</f>
        <v>7</v>
      </c>
      <c r="I237" s="170" t="s">
        <v>828</v>
      </c>
      <c r="J237" s="170" t="s">
        <v>829</v>
      </c>
      <c r="K237" s="170" t="s">
        <v>830</v>
      </c>
      <c r="L237" s="170" t="s">
        <v>831</v>
      </c>
      <c r="M237" s="170" t="s">
        <v>832</v>
      </c>
      <c r="N237" s="294">
        <v>46</v>
      </c>
      <c r="O237" s="170"/>
    </row>
    <row r="238" ht="15.75" customHeight="1" spans="1:15">
      <c r="A238" s="183" t="str">
        <f>VLOOKUP(F238,数据集标准分类!A:G,7,0)</f>
        <v>02</v>
      </c>
      <c r="B238" s="183" t="str">
        <f>VLOOKUP(F238,数据集标准分类!A:F,6,0)</f>
        <v>电子病历</v>
      </c>
      <c r="C238" s="183" t="str">
        <f>VLOOKUP(F238,数据集标准分类!A:E,5,0)</f>
        <v>0202</v>
      </c>
      <c r="D238" s="183" t="str">
        <f>VLOOKUP(F238,数据集标准分类!A:D,4,0)</f>
        <v>入院记录</v>
      </c>
      <c r="E238" s="183" t="str">
        <f>VLOOKUP(F238,数据集标准分类!A:C,3,0)</f>
        <v>020201</v>
      </c>
      <c r="F238" s="170" t="s">
        <v>662</v>
      </c>
      <c r="G238" s="183" t="str">
        <f>VLOOKUP(F238,数据集标准分类!A:B,2,0)</f>
        <v>admission_record</v>
      </c>
      <c r="H238" s="294">
        <f>VLOOKUP(F238,数据集标准分类!A:H,8,0)</f>
        <v>7</v>
      </c>
      <c r="I238" s="170" t="s">
        <v>833</v>
      </c>
      <c r="J238" s="170" t="s">
        <v>834</v>
      </c>
      <c r="K238" s="170" t="s">
        <v>835</v>
      </c>
      <c r="L238" s="170" t="s">
        <v>836</v>
      </c>
      <c r="M238" s="170" t="s">
        <v>837</v>
      </c>
      <c r="N238" s="294">
        <v>47</v>
      </c>
      <c r="O238" s="170"/>
    </row>
    <row r="239" ht="15.75" customHeight="1" spans="1:15">
      <c r="A239" s="183" t="str">
        <f>VLOOKUP(F239,数据集标准分类!A:G,7,0)</f>
        <v>02</v>
      </c>
      <c r="B239" s="183" t="str">
        <f>VLOOKUP(F239,数据集标准分类!A:F,6,0)</f>
        <v>电子病历</v>
      </c>
      <c r="C239" s="183" t="str">
        <f>VLOOKUP(F239,数据集标准分类!A:E,5,0)</f>
        <v>0202</v>
      </c>
      <c r="D239" s="183" t="str">
        <f>VLOOKUP(F239,数据集标准分类!A:D,4,0)</f>
        <v>入院记录</v>
      </c>
      <c r="E239" s="183" t="str">
        <f>VLOOKUP(F239,数据集标准分类!A:C,3,0)</f>
        <v>020201</v>
      </c>
      <c r="F239" s="170" t="s">
        <v>662</v>
      </c>
      <c r="G239" s="183" t="str">
        <f>VLOOKUP(F239,数据集标准分类!A:B,2,0)</f>
        <v>admission_record</v>
      </c>
      <c r="H239" s="294">
        <f>VLOOKUP(F239,数据集标准分类!A:H,8,0)</f>
        <v>7</v>
      </c>
      <c r="I239" s="170" t="s">
        <v>838</v>
      </c>
      <c r="J239" s="170" t="s">
        <v>839</v>
      </c>
      <c r="K239" s="170" t="s">
        <v>840</v>
      </c>
      <c r="L239" s="170" t="s">
        <v>841</v>
      </c>
      <c r="M239" s="170" t="s">
        <v>842</v>
      </c>
      <c r="N239" s="294">
        <v>48</v>
      </c>
      <c r="O239" s="170"/>
    </row>
    <row r="240" ht="15.75" customHeight="1" spans="1:15">
      <c r="A240" s="183" t="str">
        <f>VLOOKUP(F240,数据集标准分类!A:G,7,0)</f>
        <v>02</v>
      </c>
      <c r="B240" s="183" t="str">
        <f>VLOOKUP(F240,数据集标准分类!A:F,6,0)</f>
        <v>电子病历</v>
      </c>
      <c r="C240" s="183" t="str">
        <f>VLOOKUP(F240,数据集标准分类!A:E,5,0)</f>
        <v>0202</v>
      </c>
      <c r="D240" s="183" t="str">
        <f>VLOOKUP(F240,数据集标准分类!A:D,4,0)</f>
        <v>入院记录</v>
      </c>
      <c r="E240" s="183" t="str">
        <f>VLOOKUP(F240,数据集标准分类!A:C,3,0)</f>
        <v>020201</v>
      </c>
      <c r="F240" s="170" t="s">
        <v>662</v>
      </c>
      <c r="G240" s="183" t="str">
        <f>VLOOKUP(F240,数据集标准分类!A:B,2,0)</f>
        <v>admission_record</v>
      </c>
      <c r="H240" s="294">
        <f>VLOOKUP(F240,数据集标准分类!A:H,8,0)</f>
        <v>7</v>
      </c>
      <c r="I240" s="170" t="s">
        <v>843</v>
      </c>
      <c r="J240" s="170" t="s">
        <v>844</v>
      </c>
      <c r="K240" s="170" t="s">
        <v>845</v>
      </c>
      <c r="L240" s="170" t="s">
        <v>846</v>
      </c>
      <c r="M240" s="170" t="s">
        <v>847</v>
      </c>
      <c r="N240" s="294">
        <v>49</v>
      </c>
      <c r="O240" s="170"/>
    </row>
    <row r="241" ht="15.75" customHeight="1" spans="1:15">
      <c r="A241" s="183" t="str">
        <f>VLOOKUP(F241,数据集标准分类!A:G,7,0)</f>
        <v>02</v>
      </c>
      <c r="B241" s="183" t="str">
        <f>VLOOKUP(F241,数据集标准分类!A:F,6,0)</f>
        <v>电子病历</v>
      </c>
      <c r="C241" s="183" t="str">
        <f>VLOOKUP(F241,数据集标准分类!A:E,5,0)</f>
        <v>0202</v>
      </c>
      <c r="D241" s="183" t="str">
        <f>VLOOKUP(F241,数据集标准分类!A:D,4,0)</f>
        <v>入院记录</v>
      </c>
      <c r="E241" s="183" t="str">
        <f>VLOOKUP(F241,数据集标准分类!A:C,3,0)</f>
        <v>020201</v>
      </c>
      <c r="F241" s="170" t="s">
        <v>662</v>
      </c>
      <c r="G241" s="183" t="str">
        <f>VLOOKUP(F241,数据集标准分类!A:B,2,0)</f>
        <v>admission_record</v>
      </c>
      <c r="H241" s="294">
        <f>VLOOKUP(F241,数据集标准分类!A:H,8,0)</f>
        <v>7</v>
      </c>
      <c r="I241" s="170" t="s">
        <v>848</v>
      </c>
      <c r="J241" s="170" t="s">
        <v>849</v>
      </c>
      <c r="K241" s="170" t="s">
        <v>850</v>
      </c>
      <c r="L241" s="170" t="s">
        <v>851</v>
      </c>
      <c r="M241" s="170" t="s">
        <v>852</v>
      </c>
      <c r="N241" s="294">
        <v>50</v>
      </c>
      <c r="O241" s="170"/>
    </row>
    <row r="242" ht="15.75" customHeight="1" spans="1:15">
      <c r="A242" s="183" t="str">
        <f>VLOOKUP(F242,数据集标准分类!A:G,7,0)</f>
        <v>02</v>
      </c>
      <c r="B242" s="183" t="str">
        <f>VLOOKUP(F242,数据集标准分类!A:F,6,0)</f>
        <v>电子病历</v>
      </c>
      <c r="C242" s="183" t="str">
        <f>VLOOKUP(F242,数据集标准分类!A:E,5,0)</f>
        <v>0202</v>
      </c>
      <c r="D242" s="183" t="str">
        <f>VLOOKUP(F242,数据集标准分类!A:D,4,0)</f>
        <v>入院记录</v>
      </c>
      <c r="E242" s="183" t="str">
        <f>VLOOKUP(F242,数据集标准分类!A:C,3,0)</f>
        <v>020201</v>
      </c>
      <c r="F242" s="170" t="s">
        <v>662</v>
      </c>
      <c r="G242" s="183" t="str">
        <f>VLOOKUP(F242,数据集标准分类!A:B,2,0)</f>
        <v>admission_record</v>
      </c>
      <c r="H242" s="294">
        <f>VLOOKUP(F242,数据集标准分类!A:H,8,0)</f>
        <v>7</v>
      </c>
      <c r="I242" s="170" t="s">
        <v>853</v>
      </c>
      <c r="J242" s="170" t="s">
        <v>854</v>
      </c>
      <c r="K242" s="170" t="s">
        <v>855</v>
      </c>
      <c r="L242" s="170" t="s">
        <v>856</v>
      </c>
      <c r="M242" s="170" t="s">
        <v>857</v>
      </c>
      <c r="N242" s="294">
        <v>51</v>
      </c>
      <c r="O242" s="170"/>
    </row>
    <row r="243" ht="15.75" customHeight="1" spans="1:15">
      <c r="A243" s="183" t="str">
        <f>VLOOKUP(F243,数据集标准分类!A:G,7,0)</f>
        <v>02</v>
      </c>
      <c r="B243" s="183" t="str">
        <f>VLOOKUP(F243,数据集标准分类!A:F,6,0)</f>
        <v>电子病历</v>
      </c>
      <c r="C243" s="183" t="str">
        <f>VLOOKUP(F243,数据集标准分类!A:E,5,0)</f>
        <v>0202</v>
      </c>
      <c r="D243" s="183" t="str">
        <f>VLOOKUP(F243,数据集标准分类!A:D,4,0)</f>
        <v>入院记录</v>
      </c>
      <c r="E243" s="183" t="str">
        <f>VLOOKUP(F243,数据集标准分类!A:C,3,0)</f>
        <v>020201</v>
      </c>
      <c r="F243" s="170" t="s">
        <v>662</v>
      </c>
      <c r="G243" s="183" t="str">
        <f>VLOOKUP(F243,数据集标准分类!A:B,2,0)</f>
        <v>admission_record</v>
      </c>
      <c r="H243" s="294">
        <f>VLOOKUP(F243,数据集标准分类!A:H,8,0)</f>
        <v>7</v>
      </c>
      <c r="I243" s="170" t="s">
        <v>858</v>
      </c>
      <c r="J243" s="170" t="s">
        <v>859</v>
      </c>
      <c r="K243" s="170" t="s">
        <v>860</v>
      </c>
      <c r="L243" s="170" t="s">
        <v>861</v>
      </c>
      <c r="M243" s="170" t="s">
        <v>862</v>
      </c>
      <c r="N243" s="294">
        <v>52</v>
      </c>
      <c r="O243" s="170"/>
    </row>
    <row r="244" ht="15.75" customHeight="1" spans="1:15">
      <c r="A244" s="183" t="str">
        <f>VLOOKUP(F244,数据集标准分类!A:G,7,0)</f>
        <v>02</v>
      </c>
      <c r="B244" s="183" t="str">
        <f>VLOOKUP(F244,数据集标准分类!A:F,6,0)</f>
        <v>电子病历</v>
      </c>
      <c r="C244" s="183" t="str">
        <f>VLOOKUP(F244,数据集标准分类!A:E,5,0)</f>
        <v>0202</v>
      </c>
      <c r="D244" s="183" t="str">
        <f>VLOOKUP(F244,数据集标准分类!A:D,4,0)</f>
        <v>入院记录</v>
      </c>
      <c r="E244" s="183" t="str">
        <f>VLOOKUP(F244,数据集标准分类!A:C,3,0)</f>
        <v>020201</v>
      </c>
      <c r="F244" s="170" t="s">
        <v>662</v>
      </c>
      <c r="G244" s="183" t="str">
        <f>VLOOKUP(F244,数据集标准分类!A:B,2,0)</f>
        <v>admission_record</v>
      </c>
      <c r="H244" s="294">
        <f>VLOOKUP(F244,数据集标准分类!A:H,8,0)</f>
        <v>7</v>
      </c>
      <c r="I244" s="170" t="s">
        <v>863</v>
      </c>
      <c r="J244" s="170" t="s">
        <v>864</v>
      </c>
      <c r="K244" s="170" t="s">
        <v>865</v>
      </c>
      <c r="L244" s="170" t="s">
        <v>866</v>
      </c>
      <c r="M244" s="170" t="s">
        <v>867</v>
      </c>
      <c r="N244" s="294">
        <v>53</v>
      </c>
      <c r="O244" s="170"/>
    </row>
    <row r="245" ht="15.75" customHeight="1" spans="1:15">
      <c r="A245" s="183" t="str">
        <f>VLOOKUP(F245,数据集标准分类!A:G,7,0)</f>
        <v>02</v>
      </c>
      <c r="B245" s="183" t="str">
        <f>VLOOKUP(F245,数据集标准分类!A:F,6,0)</f>
        <v>电子病历</v>
      </c>
      <c r="C245" s="183" t="str">
        <f>VLOOKUP(F245,数据集标准分类!A:E,5,0)</f>
        <v>0202</v>
      </c>
      <c r="D245" s="183" t="str">
        <f>VLOOKUP(F245,数据集标准分类!A:D,4,0)</f>
        <v>入院记录</v>
      </c>
      <c r="E245" s="183" t="str">
        <f>VLOOKUP(F245,数据集标准分类!A:C,3,0)</f>
        <v>020201</v>
      </c>
      <c r="F245" s="170" t="s">
        <v>662</v>
      </c>
      <c r="G245" s="183" t="str">
        <f>VLOOKUP(F245,数据集标准分类!A:B,2,0)</f>
        <v>admission_record</v>
      </c>
      <c r="H245" s="294">
        <f>VLOOKUP(F245,数据集标准分类!A:H,8,0)</f>
        <v>7</v>
      </c>
      <c r="I245" s="170" t="s">
        <v>868</v>
      </c>
      <c r="J245" s="170" t="s">
        <v>869</v>
      </c>
      <c r="K245" s="170" t="s">
        <v>870</v>
      </c>
      <c r="L245" s="170" t="s">
        <v>871</v>
      </c>
      <c r="M245" s="170" t="s">
        <v>872</v>
      </c>
      <c r="N245" s="294">
        <v>54</v>
      </c>
      <c r="O245" s="170"/>
    </row>
    <row r="246" ht="15.75" customHeight="1" spans="1:15">
      <c r="A246" s="183" t="str">
        <f>VLOOKUP(F246,数据集标准分类!A:G,7,0)</f>
        <v>02</v>
      </c>
      <c r="B246" s="183" t="str">
        <f>VLOOKUP(F246,数据集标准分类!A:F,6,0)</f>
        <v>电子病历</v>
      </c>
      <c r="C246" s="183" t="str">
        <f>VLOOKUP(F246,数据集标准分类!A:E,5,0)</f>
        <v>0202</v>
      </c>
      <c r="D246" s="183" t="str">
        <f>VLOOKUP(F246,数据集标准分类!A:D,4,0)</f>
        <v>入院记录</v>
      </c>
      <c r="E246" s="183" t="str">
        <f>VLOOKUP(F246,数据集标准分类!A:C,3,0)</f>
        <v>020201</v>
      </c>
      <c r="F246" s="170" t="s">
        <v>662</v>
      </c>
      <c r="G246" s="183" t="str">
        <f>VLOOKUP(F246,数据集标准分类!A:B,2,0)</f>
        <v>admission_record</v>
      </c>
      <c r="H246" s="294">
        <f>VLOOKUP(F246,数据集标准分类!A:H,8,0)</f>
        <v>7</v>
      </c>
      <c r="I246" s="170" t="s">
        <v>873</v>
      </c>
      <c r="J246" s="170" t="s">
        <v>874</v>
      </c>
      <c r="K246" s="170" t="s">
        <v>875</v>
      </c>
      <c r="L246" s="170" t="s">
        <v>876</v>
      </c>
      <c r="M246" s="170" t="s">
        <v>877</v>
      </c>
      <c r="N246" s="294">
        <v>55</v>
      </c>
      <c r="O246" s="170"/>
    </row>
    <row r="247" ht="15.75" customHeight="1" spans="1:15">
      <c r="A247" s="183" t="str">
        <f>VLOOKUP(F247,数据集标准分类!A:G,7,0)</f>
        <v>02</v>
      </c>
      <c r="B247" s="183" t="str">
        <f>VLOOKUP(F247,数据集标准分类!A:F,6,0)</f>
        <v>电子病历</v>
      </c>
      <c r="C247" s="183" t="str">
        <f>VLOOKUP(F247,数据集标准分类!A:E,5,0)</f>
        <v>0202</v>
      </c>
      <c r="D247" s="183" t="str">
        <f>VLOOKUP(F247,数据集标准分类!A:D,4,0)</f>
        <v>入院记录</v>
      </c>
      <c r="E247" s="183" t="str">
        <f>VLOOKUP(F247,数据集标准分类!A:C,3,0)</f>
        <v>020201</v>
      </c>
      <c r="F247" s="170" t="s">
        <v>662</v>
      </c>
      <c r="G247" s="183" t="str">
        <f>VLOOKUP(F247,数据集标准分类!A:B,2,0)</f>
        <v>admission_record</v>
      </c>
      <c r="H247" s="294">
        <f>VLOOKUP(F247,数据集标准分类!A:H,8,0)</f>
        <v>7</v>
      </c>
      <c r="I247" s="170" t="s">
        <v>878</v>
      </c>
      <c r="J247" s="170" t="s">
        <v>879</v>
      </c>
      <c r="K247" s="170" t="s">
        <v>880</v>
      </c>
      <c r="L247" s="170" t="s">
        <v>881</v>
      </c>
      <c r="M247" s="170" t="s">
        <v>882</v>
      </c>
      <c r="N247" s="294">
        <v>56</v>
      </c>
      <c r="O247" s="170"/>
    </row>
    <row r="248" ht="15.75" customHeight="1" spans="1:15">
      <c r="A248" s="183" t="str">
        <f>VLOOKUP(F248,数据集标准分类!A:G,7,0)</f>
        <v>02</v>
      </c>
      <c r="B248" s="183" t="str">
        <f>VLOOKUP(F248,数据集标准分类!A:F,6,0)</f>
        <v>电子病历</v>
      </c>
      <c r="C248" s="183" t="str">
        <f>VLOOKUP(F248,数据集标准分类!A:E,5,0)</f>
        <v>0202</v>
      </c>
      <c r="D248" s="183" t="str">
        <f>VLOOKUP(F248,数据集标准分类!A:D,4,0)</f>
        <v>入院记录</v>
      </c>
      <c r="E248" s="183" t="str">
        <f>VLOOKUP(F248,数据集标准分类!A:C,3,0)</f>
        <v>020201</v>
      </c>
      <c r="F248" s="170" t="s">
        <v>662</v>
      </c>
      <c r="G248" s="183" t="str">
        <f>VLOOKUP(F248,数据集标准分类!A:B,2,0)</f>
        <v>admission_record</v>
      </c>
      <c r="H248" s="294">
        <f>VLOOKUP(F248,数据集标准分类!A:H,8,0)</f>
        <v>7</v>
      </c>
      <c r="I248" s="170" t="s">
        <v>883</v>
      </c>
      <c r="J248" s="170" t="s">
        <v>884</v>
      </c>
      <c r="K248" s="170" t="s">
        <v>885</v>
      </c>
      <c r="L248" s="170" t="s">
        <v>886</v>
      </c>
      <c r="M248" s="170" t="s">
        <v>887</v>
      </c>
      <c r="N248" s="294">
        <v>57</v>
      </c>
      <c r="O248" s="170"/>
    </row>
    <row r="249" ht="15.75" customHeight="1" spans="1:15">
      <c r="A249" s="183" t="str">
        <f>VLOOKUP(F249,数据集标准分类!A:G,7,0)</f>
        <v>02</v>
      </c>
      <c r="B249" s="183" t="str">
        <f>VLOOKUP(F249,数据集标准分类!A:F,6,0)</f>
        <v>电子病历</v>
      </c>
      <c r="C249" s="183" t="str">
        <f>VLOOKUP(F249,数据集标准分类!A:E,5,0)</f>
        <v>0202</v>
      </c>
      <c r="D249" s="183" t="str">
        <f>VLOOKUP(F249,数据集标准分类!A:D,4,0)</f>
        <v>入院记录</v>
      </c>
      <c r="E249" s="183" t="str">
        <f>VLOOKUP(F249,数据集标准分类!A:C,3,0)</f>
        <v>020201</v>
      </c>
      <c r="F249" s="170" t="s">
        <v>662</v>
      </c>
      <c r="G249" s="183" t="str">
        <f>VLOOKUP(F249,数据集标准分类!A:B,2,0)</f>
        <v>admission_record</v>
      </c>
      <c r="H249" s="294">
        <f>VLOOKUP(F249,数据集标准分类!A:H,8,0)</f>
        <v>7</v>
      </c>
      <c r="I249" s="170" t="s">
        <v>888</v>
      </c>
      <c r="J249" s="170" t="s">
        <v>889</v>
      </c>
      <c r="K249" s="170" t="s">
        <v>890</v>
      </c>
      <c r="L249" s="170" t="s">
        <v>891</v>
      </c>
      <c r="M249" s="170" t="s">
        <v>892</v>
      </c>
      <c r="N249" s="294">
        <v>58</v>
      </c>
      <c r="O249" s="170"/>
    </row>
    <row r="250" ht="15.75" customHeight="1" spans="1:15">
      <c r="A250" s="183" t="str">
        <f>VLOOKUP(F250,数据集标准分类!A:G,7,0)</f>
        <v>02</v>
      </c>
      <c r="B250" s="183" t="str">
        <f>VLOOKUP(F250,数据集标准分类!A:F,6,0)</f>
        <v>电子病历</v>
      </c>
      <c r="C250" s="183" t="str">
        <f>VLOOKUP(F250,数据集标准分类!A:E,5,0)</f>
        <v>0202</v>
      </c>
      <c r="D250" s="183" t="str">
        <f>VLOOKUP(F250,数据集标准分类!A:D,4,0)</f>
        <v>入院记录</v>
      </c>
      <c r="E250" s="183" t="str">
        <f>VLOOKUP(F250,数据集标准分类!A:C,3,0)</f>
        <v>020201</v>
      </c>
      <c r="F250" s="170" t="s">
        <v>662</v>
      </c>
      <c r="G250" s="183" t="str">
        <f>VLOOKUP(F250,数据集标准分类!A:B,2,0)</f>
        <v>admission_record</v>
      </c>
      <c r="H250" s="294">
        <f>VLOOKUP(F250,数据集标准分类!A:H,8,0)</f>
        <v>7</v>
      </c>
      <c r="I250" s="170" t="s">
        <v>893</v>
      </c>
      <c r="J250" s="170" t="s">
        <v>894</v>
      </c>
      <c r="K250" s="170" t="s">
        <v>895</v>
      </c>
      <c r="L250" s="170" t="s">
        <v>896</v>
      </c>
      <c r="M250" s="170" t="s">
        <v>897</v>
      </c>
      <c r="N250" s="294">
        <v>59</v>
      </c>
      <c r="O250" s="170"/>
    </row>
    <row r="251" ht="15.75" customHeight="1" spans="1:15">
      <c r="A251" s="183" t="str">
        <f>VLOOKUP(F251,数据集标准分类!A:G,7,0)</f>
        <v>02</v>
      </c>
      <c r="B251" s="183" t="str">
        <f>VLOOKUP(F251,数据集标准分类!A:F,6,0)</f>
        <v>电子病历</v>
      </c>
      <c r="C251" s="183" t="str">
        <f>VLOOKUP(F251,数据集标准分类!A:E,5,0)</f>
        <v>0202</v>
      </c>
      <c r="D251" s="183" t="str">
        <f>VLOOKUP(F251,数据集标准分类!A:D,4,0)</f>
        <v>入院记录</v>
      </c>
      <c r="E251" s="183" t="str">
        <f>VLOOKUP(F251,数据集标准分类!A:C,3,0)</f>
        <v>020201</v>
      </c>
      <c r="F251" s="170" t="s">
        <v>662</v>
      </c>
      <c r="G251" s="183" t="str">
        <f>VLOOKUP(F251,数据集标准分类!A:B,2,0)</f>
        <v>admission_record</v>
      </c>
      <c r="H251" s="294">
        <f>VLOOKUP(F251,数据集标准分类!A:H,8,0)</f>
        <v>7</v>
      </c>
      <c r="I251" s="170" t="s">
        <v>898</v>
      </c>
      <c r="J251" s="170" t="s">
        <v>899</v>
      </c>
      <c r="K251" s="170" t="s">
        <v>900</v>
      </c>
      <c r="L251" s="170" t="s">
        <v>901</v>
      </c>
      <c r="M251" s="170" t="s">
        <v>902</v>
      </c>
      <c r="N251" s="294">
        <v>60</v>
      </c>
      <c r="O251" s="170"/>
    </row>
    <row r="252" ht="15.75" customHeight="1" spans="1:15">
      <c r="A252" s="183" t="str">
        <f>VLOOKUP(F252,数据集标准分类!A:G,7,0)</f>
        <v>02</v>
      </c>
      <c r="B252" s="183" t="str">
        <f>VLOOKUP(F252,数据集标准分类!A:F,6,0)</f>
        <v>电子病历</v>
      </c>
      <c r="C252" s="183" t="str">
        <f>VLOOKUP(F252,数据集标准分类!A:E,5,0)</f>
        <v>0202</v>
      </c>
      <c r="D252" s="183" t="str">
        <f>VLOOKUP(F252,数据集标准分类!A:D,4,0)</f>
        <v>入院记录</v>
      </c>
      <c r="E252" s="183" t="str">
        <f>VLOOKUP(F252,数据集标准分类!A:C,3,0)</f>
        <v>020201</v>
      </c>
      <c r="F252" s="170" t="s">
        <v>662</v>
      </c>
      <c r="G252" s="183" t="str">
        <f>VLOOKUP(F252,数据集标准分类!A:B,2,0)</f>
        <v>admission_record</v>
      </c>
      <c r="H252" s="294">
        <f>VLOOKUP(F252,数据集标准分类!A:H,8,0)</f>
        <v>7</v>
      </c>
      <c r="I252" s="170" t="s">
        <v>903</v>
      </c>
      <c r="J252" s="170" t="s">
        <v>904</v>
      </c>
      <c r="K252" s="170" t="s">
        <v>905</v>
      </c>
      <c r="L252" s="170" t="s">
        <v>906</v>
      </c>
      <c r="M252" s="170" t="s">
        <v>907</v>
      </c>
      <c r="N252" s="294">
        <v>61</v>
      </c>
      <c r="O252" s="170"/>
    </row>
    <row r="253" ht="15.75" customHeight="1" spans="1:15">
      <c r="A253" s="183" t="str">
        <f>VLOOKUP(F253,数据集标准分类!A:G,7,0)</f>
        <v>02</v>
      </c>
      <c r="B253" s="183" t="str">
        <f>VLOOKUP(F253,数据集标准分类!A:F,6,0)</f>
        <v>电子病历</v>
      </c>
      <c r="C253" s="183" t="str">
        <f>VLOOKUP(F253,数据集标准分类!A:E,5,0)</f>
        <v>0202</v>
      </c>
      <c r="D253" s="183" t="str">
        <f>VLOOKUP(F253,数据集标准分类!A:D,4,0)</f>
        <v>入院记录</v>
      </c>
      <c r="E253" s="183" t="str">
        <f>VLOOKUP(F253,数据集标准分类!A:C,3,0)</f>
        <v>020201</v>
      </c>
      <c r="F253" s="170" t="s">
        <v>662</v>
      </c>
      <c r="G253" s="183" t="str">
        <f>VLOOKUP(F253,数据集标准分类!A:B,2,0)</f>
        <v>admission_record</v>
      </c>
      <c r="H253" s="294">
        <f>VLOOKUP(F253,数据集标准分类!A:H,8,0)</f>
        <v>7</v>
      </c>
      <c r="I253" s="170" t="s">
        <v>908</v>
      </c>
      <c r="J253" s="170" t="s">
        <v>909</v>
      </c>
      <c r="K253" s="170" t="s">
        <v>910</v>
      </c>
      <c r="L253" s="170" t="s">
        <v>911</v>
      </c>
      <c r="M253" s="170" t="s">
        <v>912</v>
      </c>
      <c r="N253" s="294">
        <v>62</v>
      </c>
      <c r="O253" s="170"/>
    </row>
    <row r="254" ht="15.75" customHeight="1" spans="1:15">
      <c r="A254" s="183" t="str">
        <f>VLOOKUP(F254,数据集标准分类!A:G,7,0)</f>
        <v>02</v>
      </c>
      <c r="B254" s="183" t="str">
        <f>VLOOKUP(F254,数据集标准分类!A:F,6,0)</f>
        <v>电子病历</v>
      </c>
      <c r="C254" s="183" t="str">
        <f>VLOOKUP(F254,数据集标准分类!A:E,5,0)</f>
        <v>0202</v>
      </c>
      <c r="D254" s="183" t="str">
        <f>VLOOKUP(F254,数据集标准分类!A:D,4,0)</f>
        <v>入院记录</v>
      </c>
      <c r="E254" s="183" t="str">
        <f>VLOOKUP(F254,数据集标准分类!A:C,3,0)</f>
        <v>020201</v>
      </c>
      <c r="F254" s="170" t="s">
        <v>662</v>
      </c>
      <c r="G254" s="183" t="str">
        <f>VLOOKUP(F254,数据集标准分类!A:B,2,0)</f>
        <v>admission_record</v>
      </c>
      <c r="H254" s="294">
        <f>VLOOKUP(F254,数据集标准分类!A:H,8,0)</f>
        <v>7</v>
      </c>
      <c r="I254" s="170" t="s">
        <v>913</v>
      </c>
      <c r="J254" s="170" t="s">
        <v>914</v>
      </c>
      <c r="K254" s="170" t="s">
        <v>915</v>
      </c>
      <c r="L254" s="170" t="s">
        <v>916</v>
      </c>
      <c r="M254" s="170" t="s">
        <v>917</v>
      </c>
      <c r="N254" s="294">
        <v>63</v>
      </c>
      <c r="O254" s="170"/>
    </row>
    <row r="255" ht="15.75" customHeight="1" spans="1:15">
      <c r="A255" s="183" t="str">
        <f>VLOOKUP(F255,数据集标准分类!A:G,7,0)</f>
        <v>02</v>
      </c>
      <c r="B255" s="183" t="str">
        <f>VLOOKUP(F255,数据集标准分类!A:F,6,0)</f>
        <v>电子病历</v>
      </c>
      <c r="C255" s="183" t="str">
        <f>VLOOKUP(F255,数据集标准分类!A:E,5,0)</f>
        <v>0202</v>
      </c>
      <c r="D255" s="183" t="str">
        <f>VLOOKUP(F255,数据集标准分类!A:D,4,0)</f>
        <v>入院记录</v>
      </c>
      <c r="E255" s="183" t="str">
        <f>VLOOKUP(F255,数据集标准分类!A:C,3,0)</f>
        <v>020201</v>
      </c>
      <c r="F255" s="170" t="s">
        <v>662</v>
      </c>
      <c r="G255" s="183" t="str">
        <f>VLOOKUP(F255,数据集标准分类!A:B,2,0)</f>
        <v>admission_record</v>
      </c>
      <c r="H255" s="294">
        <f>VLOOKUP(F255,数据集标准分类!A:H,8,0)</f>
        <v>7</v>
      </c>
      <c r="I255" s="170" t="s">
        <v>918</v>
      </c>
      <c r="J255" s="170" t="s">
        <v>919</v>
      </c>
      <c r="K255" s="170" t="s">
        <v>920</v>
      </c>
      <c r="L255" s="170" t="s">
        <v>921</v>
      </c>
      <c r="M255" s="170" t="s">
        <v>922</v>
      </c>
      <c r="N255" s="294">
        <v>64</v>
      </c>
      <c r="O255" s="170"/>
    </row>
    <row r="256" ht="15.75" customHeight="1" spans="1:15">
      <c r="A256" s="183" t="str">
        <f>VLOOKUP(F256,数据集标准分类!A:G,7,0)</f>
        <v>02</v>
      </c>
      <c r="B256" s="183" t="str">
        <f>VLOOKUP(F256,数据集标准分类!A:F,6,0)</f>
        <v>电子病历</v>
      </c>
      <c r="C256" s="183" t="str">
        <f>VLOOKUP(F256,数据集标准分类!A:E,5,0)</f>
        <v>0202</v>
      </c>
      <c r="D256" s="183" t="str">
        <f>VLOOKUP(F256,数据集标准分类!A:D,4,0)</f>
        <v>入院记录</v>
      </c>
      <c r="E256" s="183" t="str">
        <f>VLOOKUP(F256,数据集标准分类!A:C,3,0)</f>
        <v>020202</v>
      </c>
      <c r="F256" s="170" t="s">
        <v>923</v>
      </c>
      <c r="G256" s="183" t="str">
        <f>VLOOKUP(F256,数据集标准分类!A:B,2,0)</f>
        <v>admsn_dc_record_24_h</v>
      </c>
      <c r="H256" s="294">
        <f>VLOOKUP(F256,数据集标准分类!A:H,8,0)</f>
        <v>8</v>
      </c>
      <c r="I256" s="170" t="s">
        <v>152</v>
      </c>
      <c r="J256" s="170" t="s">
        <v>153</v>
      </c>
      <c r="K256" s="170" t="s">
        <v>154</v>
      </c>
      <c r="L256" s="170" t="s">
        <v>155</v>
      </c>
      <c r="M256" s="170" t="s">
        <v>156</v>
      </c>
      <c r="N256" s="294">
        <v>1</v>
      </c>
      <c r="O256" s="170"/>
    </row>
    <row r="257" ht="15.75" customHeight="1" spans="1:15">
      <c r="A257" s="183" t="str">
        <f>VLOOKUP(F257,数据集标准分类!A:G,7,0)</f>
        <v>02</v>
      </c>
      <c r="B257" s="183" t="str">
        <f>VLOOKUP(F257,数据集标准分类!A:F,6,0)</f>
        <v>电子病历</v>
      </c>
      <c r="C257" s="183" t="str">
        <f>VLOOKUP(F257,数据集标准分类!A:E,5,0)</f>
        <v>0202</v>
      </c>
      <c r="D257" s="183" t="str">
        <f>VLOOKUP(F257,数据集标准分类!A:D,4,0)</f>
        <v>入院记录</v>
      </c>
      <c r="E257" s="183" t="str">
        <f>VLOOKUP(F257,数据集标准分类!A:C,3,0)</f>
        <v>020202</v>
      </c>
      <c r="F257" s="170" t="s">
        <v>923</v>
      </c>
      <c r="G257" s="183" t="str">
        <f>VLOOKUP(F257,数据集标准分类!A:B,2,0)</f>
        <v>admsn_dc_record_24_h</v>
      </c>
      <c r="H257" s="294">
        <f>VLOOKUP(F257,数据集标准分类!A:H,8,0)</f>
        <v>8</v>
      </c>
      <c r="I257" s="170" t="s">
        <v>157</v>
      </c>
      <c r="J257" s="170" t="s">
        <v>158</v>
      </c>
      <c r="K257" s="170" t="s">
        <v>159</v>
      </c>
      <c r="L257" s="170" t="s">
        <v>160</v>
      </c>
      <c r="M257" s="170" t="s">
        <v>161</v>
      </c>
      <c r="N257" s="294">
        <v>2</v>
      </c>
      <c r="O257" s="170"/>
    </row>
    <row r="258" ht="15.75" customHeight="1" spans="1:15">
      <c r="A258" s="183" t="str">
        <f>VLOOKUP(F258,数据集标准分类!A:G,7,0)</f>
        <v>02</v>
      </c>
      <c r="B258" s="183" t="str">
        <f>VLOOKUP(F258,数据集标准分类!A:F,6,0)</f>
        <v>电子病历</v>
      </c>
      <c r="C258" s="183" t="str">
        <f>VLOOKUP(F258,数据集标准分类!A:E,5,0)</f>
        <v>0202</v>
      </c>
      <c r="D258" s="183" t="str">
        <f>VLOOKUP(F258,数据集标准分类!A:D,4,0)</f>
        <v>入院记录</v>
      </c>
      <c r="E258" s="183" t="str">
        <f>VLOOKUP(F258,数据集标准分类!A:C,3,0)</f>
        <v>020202</v>
      </c>
      <c r="F258" s="170" t="s">
        <v>923</v>
      </c>
      <c r="G258" s="183" t="str">
        <f>VLOOKUP(F258,数据集标准分类!A:B,2,0)</f>
        <v>admsn_dc_record_24_h</v>
      </c>
      <c r="H258" s="294">
        <f>VLOOKUP(F258,数据集标准分类!A:H,8,0)</f>
        <v>8</v>
      </c>
      <c r="I258" s="170" t="s">
        <v>663</v>
      </c>
      <c r="J258" s="170" t="s">
        <v>664</v>
      </c>
      <c r="K258" s="170" t="s">
        <v>665</v>
      </c>
      <c r="L258" s="170" t="s">
        <v>666</v>
      </c>
      <c r="M258" s="170" t="s">
        <v>667</v>
      </c>
      <c r="N258" s="294">
        <v>3</v>
      </c>
      <c r="O258" s="170"/>
    </row>
    <row r="259" ht="15.75" customHeight="1" spans="1:15">
      <c r="A259" s="183" t="str">
        <f>VLOOKUP(F259,数据集标准分类!A:G,7,0)</f>
        <v>02</v>
      </c>
      <c r="B259" s="183" t="str">
        <f>VLOOKUP(F259,数据集标准分类!A:F,6,0)</f>
        <v>电子病历</v>
      </c>
      <c r="C259" s="183" t="str">
        <f>VLOOKUP(F259,数据集标准分类!A:E,5,0)</f>
        <v>0202</v>
      </c>
      <c r="D259" s="183" t="str">
        <f>VLOOKUP(F259,数据集标准分类!A:D,4,0)</f>
        <v>入院记录</v>
      </c>
      <c r="E259" s="183" t="str">
        <f>VLOOKUP(F259,数据集标准分类!A:C,3,0)</f>
        <v>020202</v>
      </c>
      <c r="F259" s="170" t="s">
        <v>923</v>
      </c>
      <c r="G259" s="183" t="str">
        <f>VLOOKUP(F259,数据集标准分类!A:B,2,0)</f>
        <v>admsn_dc_record_24_h</v>
      </c>
      <c r="H259" s="294">
        <f>VLOOKUP(F259,数据集标准分类!A:H,8,0)</f>
        <v>8</v>
      </c>
      <c r="I259" s="170" t="s">
        <v>668</v>
      </c>
      <c r="J259" s="170" t="s">
        <v>669</v>
      </c>
      <c r="K259" s="170" t="s">
        <v>670</v>
      </c>
      <c r="L259" s="170" t="s">
        <v>671</v>
      </c>
      <c r="M259" s="170" t="s">
        <v>672</v>
      </c>
      <c r="N259" s="294">
        <v>4</v>
      </c>
      <c r="O259" s="170"/>
    </row>
    <row r="260" ht="15.75" customHeight="1" spans="1:15">
      <c r="A260" s="183" t="str">
        <f>VLOOKUP(F260,数据集标准分类!A:G,7,0)</f>
        <v>02</v>
      </c>
      <c r="B260" s="183" t="str">
        <f>VLOOKUP(F260,数据集标准分类!A:F,6,0)</f>
        <v>电子病历</v>
      </c>
      <c r="C260" s="183" t="str">
        <f>VLOOKUP(F260,数据集标准分类!A:E,5,0)</f>
        <v>0202</v>
      </c>
      <c r="D260" s="183" t="str">
        <f>VLOOKUP(F260,数据集标准分类!A:D,4,0)</f>
        <v>入院记录</v>
      </c>
      <c r="E260" s="183" t="str">
        <f>VLOOKUP(F260,数据集标准分类!A:C,3,0)</f>
        <v>020202</v>
      </c>
      <c r="F260" s="170" t="s">
        <v>923</v>
      </c>
      <c r="G260" s="183" t="str">
        <f>VLOOKUP(F260,数据集标准分类!A:B,2,0)</f>
        <v>admsn_dc_record_24_h</v>
      </c>
      <c r="H260" s="294">
        <f>VLOOKUP(F260,数据集标准分类!A:H,8,0)</f>
        <v>8</v>
      </c>
      <c r="I260" s="170" t="s">
        <v>924</v>
      </c>
      <c r="J260" s="170" t="s">
        <v>925</v>
      </c>
      <c r="K260" s="170" t="s">
        <v>926</v>
      </c>
      <c r="L260" s="170" t="s">
        <v>927</v>
      </c>
      <c r="M260" s="170" t="s">
        <v>928</v>
      </c>
      <c r="N260" s="294">
        <v>5</v>
      </c>
      <c r="O260" s="170"/>
    </row>
    <row r="261" ht="15.75" customHeight="1" spans="1:15">
      <c r="A261" s="183" t="str">
        <f>VLOOKUP(F261,数据集标准分类!A:G,7,0)</f>
        <v>02</v>
      </c>
      <c r="B261" s="183" t="str">
        <f>VLOOKUP(F261,数据集标准分类!A:F,6,0)</f>
        <v>电子病历</v>
      </c>
      <c r="C261" s="183" t="str">
        <f>VLOOKUP(F261,数据集标准分类!A:E,5,0)</f>
        <v>0202</v>
      </c>
      <c r="D261" s="183" t="str">
        <f>VLOOKUP(F261,数据集标准分类!A:D,4,0)</f>
        <v>入院记录</v>
      </c>
      <c r="E261" s="183" t="str">
        <f>VLOOKUP(F261,数据集标准分类!A:C,3,0)</f>
        <v>020202</v>
      </c>
      <c r="F261" s="170" t="s">
        <v>923</v>
      </c>
      <c r="G261" s="183" t="str">
        <f>VLOOKUP(F261,数据集标准分类!A:B,2,0)</f>
        <v>admsn_dc_record_24_h</v>
      </c>
      <c r="H261" s="294">
        <f>VLOOKUP(F261,数据集标准分类!A:H,8,0)</f>
        <v>8</v>
      </c>
      <c r="I261" s="170" t="s">
        <v>929</v>
      </c>
      <c r="J261" s="170" t="s">
        <v>930</v>
      </c>
      <c r="K261" s="170" t="s">
        <v>931</v>
      </c>
      <c r="L261" s="170" t="s">
        <v>932</v>
      </c>
      <c r="M261" s="170" t="s">
        <v>933</v>
      </c>
      <c r="N261" s="294">
        <v>6</v>
      </c>
      <c r="O261" s="170"/>
    </row>
    <row r="262" ht="15.75" customHeight="1" spans="1:15">
      <c r="A262" s="183" t="str">
        <f>VLOOKUP(F262,数据集标准分类!A:G,7,0)</f>
        <v>02</v>
      </c>
      <c r="B262" s="183" t="str">
        <f>VLOOKUP(F262,数据集标准分类!A:F,6,0)</f>
        <v>电子病历</v>
      </c>
      <c r="C262" s="183" t="str">
        <f>VLOOKUP(F262,数据集标准分类!A:E,5,0)</f>
        <v>0202</v>
      </c>
      <c r="D262" s="183" t="str">
        <f>VLOOKUP(F262,数据集标准分类!A:D,4,0)</f>
        <v>入院记录</v>
      </c>
      <c r="E262" s="183" t="str">
        <f>VLOOKUP(F262,数据集标准分类!A:C,3,0)</f>
        <v>020202</v>
      </c>
      <c r="F262" s="170" t="s">
        <v>923</v>
      </c>
      <c r="G262" s="183" t="str">
        <f>VLOOKUP(F262,数据集标准分类!A:B,2,0)</f>
        <v>admsn_dc_record_24_h</v>
      </c>
      <c r="H262" s="294">
        <f>VLOOKUP(F262,数据集标准分类!A:H,8,0)</f>
        <v>8</v>
      </c>
      <c r="I262" s="170" t="s">
        <v>934</v>
      </c>
      <c r="J262" s="170" t="s">
        <v>935</v>
      </c>
      <c r="K262" s="170" t="s">
        <v>936</v>
      </c>
      <c r="L262" s="170" t="s">
        <v>937</v>
      </c>
      <c r="M262" s="170" t="s">
        <v>938</v>
      </c>
      <c r="N262" s="294">
        <v>7</v>
      </c>
      <c r="O262" s="170"/>
    </row>
    <row r="263" ht="15.75" customHeight="1" spans="1:15">
      <c r="A263" s="183" t="str">
        <f>VLOOKUP(F263,数据集标准分类!A:G,7,0)</f>
        <v>02</v>
      </c>
      <c r="B263" s="183" t="str">
        <f>VLOOKUP(F263,数据集标准分类!A:F,6,0)</f>
        <v>电子病历</v>
      </c>
      <c r="C263" s="183" t="str">
        <f>VLOOKUP(F263,数据集标准分类!A:E,5,0)</f>
        <v>0202</v>
      </c>
      <c r="D263" s="183" t="str">
        <f>VLOOKUP(F263,数据集标准分类!A:D,4,0)</f>
        <v>入院记录</v>
      </c>
      <c r="E263" s="183" t="str">
        <f>VLOOKUP(F263,数据集标准分类!A:C,3,0)</f>
        <v>020202</v>
      </c>
      <c r="F263" s="170" t="s">
        <v>923</v>
      </c>
      <c r="G263" s="183" t="str">
        <f>VLOOKUP(F263,数据集标准分类!A:B,2,0)</f>
        <v>admsn_dc_record_24_h</v>
      </c>
      <c r="H263" s="294">
        <f>VLOOKUP(F263,数据集标准分类!A:H,8,0)</f>
        <v>8</v>
      </c>
      <c r="I263" s="170" t="s">
        <v>784</v>
      </c>
      <c r="J263" s="170" t="s">
        <v>785</v>
      </c>
      <c r="K263" s="170" t="s">
        <v>786</v>
      </c>
      <c r="L263" s="170" t="s">
        <v>787</v>
      </c>
      <c r="M263" s="170" t="s">
        <v>788</v>
      </c>
      <c r="N263" s="294">
        <v>8</v>
      </c>
      <c r="O263" s="170"/>
    </row>
    <row r="264" ht="15.75" customHeight="1" spans="1:15">
      <c r="A264" s="183" t="str">
        <f>VLOOKUP(F264,数据集标准分类!A:G,7,0)</f>
        <v>02</v>
      </c>
      <c r="B264" s="183" t="str">
        <f>VLOOKUP(F264,数据集标准分类!A:F,6,0)</f>
        <v>电子病历</v>
      </c>
      <c r="C264" s="183" t="str">
        <f>VLOOKUP(F264,数据集标准分类!A:E,5,0)</f>
        <v>0202</v>
      </c>
      <c r="D264" s="183" t="str">
        <f>VLOOKUP(F264,数据集标准分类!A:D,4,0)</f>
        <v>入院记录</v>
      </c>
      <c r="E264" s="183" t="str">
        <f>VLOOKUP(F264,数据集标准分类!A:C,3,0)</f>
        <v>020202</v>
      </c>
      <c r="F264" s="170" t="s">
        <v>923</v>
      </c>
      <c r="G264" s="183" t="str">
        <f>VLOOKUP(F264,数据集标准分类!A:B,2,0)</f>
        <v>admsn_dc_record_24_h</v>
      </c>
      <c r="H264" s="294">
        <f>VLOOKUP(F264,数据集标准分类!A:H,8,0)</f>
        <v>8</v>
      </c>
      <c r="I264" s="170" t="s">
        <v>789</v>
      </c>
      <c r="J264" s="170" t="s">
        <v>790</v>
      </c>
      <c r="K264" s="170" t="s">
        <v>790</v>
      </c>
      <c r="L264" s="170" t="s">
        <v>791</v>
      </c>
      <c r="M264" s="170" t="s">
        <v>792</v>
      </c>
      <c r="N264" s="294">
        <v>9</v>
      </c>
      <c r="O264" s="170"/>
    </row>
    <row r="265" ht="15.75" customHeight="1" spans="1:15">
      <c r="A265" s="183" t="str">
        <f>VLOOKUP(F265,数据集标准分类!A:G,7,0)</f>
        <v>02</v>
      </c>
      <c r="B265" s="183" t="str">
        <f>VLOOKUP(F265,数据集标准分类!A:F,6,0)</f>
        <v>电子病历</v>
      </c>
      <c r="C265" s="183" t="str">
        <f>VLOOKUP(F265,数据集标准分类!A:E,5,0)</f>
        <v>0202</v>
      </c>
      <c r="D265" s="183" t="str">
        <f>VLOOKUP(F265,数据集标准分类!A:D,4,0)</f>
        <v>入院记录</v>
      </c>
      <c r="E265" s="183" t="str">
        <f>VLOOKUP(F265,数据集标准分类!A:C,3,0)</f>
        <v>020202</v>
      </c>
      <c r="F265" s="170" t="s">
        <v>923</v>
      </c>
      <c r="G265" s="183" t="str">
        <f>VLOOKUP(F265,数据集标准分类!A:B,2,0)</f>
        <v>admsn_dc_record_24_h</v>
      </c>
      <c r="H265" s="294">
        <f>VLOOKUP(F265,数据集标准分类!A:H,8,0)</f>
        <v>8</v>
      </c>
      <c r="I265" s="170" t="s">
        <v>939</v>
      </c>
      <c r="J265" s="170" t="s">
        <v>940</v>
      </c>
      <c r="K265" s="170" t="s">
        <v>941</v>
      </c>
      <c r="L265" s="170" t="s">
        <v>942</v>
      </c>
      <c r="M265" s="170" t="s">
        <v>797</v>
      </c>
      <c r="N265" s="294">
        <v>10</v>
      </c>
      <c r="O265" s="170"/>
    </row>
    <row r="266" ht="15.75" customHeight="1" spans="1:15">
      <c r="A266" s="183" t="str">
        <f>VLOOKUP(F266,数据集标准分类!A:G,7,0)</f>
        <v>02</v>
      </c>
      <c r="B266" s="183" t="str">
        <f>VLOOKUP(F266,数据集标准分类!A:F,6,0)</f>
        <v>电子病历</v>
      </c>
      <c r="C266" s="183" t="str">
        <f>VLOOKUP(F266,数据集标准分类!A:E,5,0)</f>
        <v>0202</v>
      </c>
      <c r="D266" s="183" t="str">
        <f>VLOOKUP(F266,数据集标准分类!A:D,4,0)</f>
        <v>入院记录</v>
      </c>
      <c r="E266" s="183" t="str">
        <f>VLOOKUP(F266,数据集标准分类!A:C,3,0)</f>
        <v>020202</v>
      </c>
      <c r="F266" s="170" t="s">
        <v>923</v>
      </c>
      <c r="G266" s="183" t="str">
        <f>VLOOKUP(F266,数据集标准分类!A:B,2,0)</f>
        <v>admsn_dc_record_24_h</v>
      </c>
      <c r="H266" s="294">
        <f>VLOOKUP(F266,数据集标准分类!A:H,8,0)</f>
        <v>8</v>
      </c>
      <c r="I266" s="170" t="s">
        <v>943</v>
      </c>
      <c r="J266" s="170" t="s">
        <v>944</v>
      </c>
      <c r="K266" s="170" t="s">
        <v>945</v>
      </c>
      <c r="L266" s="170" t="s">
        <v>946</v>
      </c>
      <c r="M266" s="170" t="s">
        <v>947</v>
      </c>
      <c r="N266" s="294">
        <v>11</v>
      </c>
      <c r="O266" s="170"/>
    </row>
    <row r="267" ht="15.75" customHeight="1" spans="1:15">
      <c r="A267" s="183" t="str">
        <f>VLOOKUP(F267,数据集标准分类!A:G,7,0)</f>
        <v>02</v>
      </c>
      <c r="B267" s="183" t="str">
        <f>VLOOKUP(F267,数据集标准分类!A:F,6,0)</f>
        <v>电子病历</v>
      </c>
      <c r="C267" s="183" t="str">
        <f>VLOOKUP(F267,数据集标准分类!A:E,5,0)</f>
        <v>0202</v>
      </c>
      <c r="D267" s="183" t="str">
        <f>VLOOKUP(F267,数据集标准分类!A:D,4,0)</f>
        <v>入院记录</v>
      </c>
      <c r="E267" s="183" t="str">
        <f>VLOOKUP(F267,数据集标准分类!A:C,3,0)</f>
        <v>020202</v>
      </c>
      <c r="F267" s="170" t="s">
        <v>923</v>
      </c>
      <c r="G267" s="183" t="str">
        <f>VLOOKUP(F267,数据集标准分类!A:B,2,0)</f>
        <v>admsn_dc_record_24_h</v>
      </c>
      <c r="H267" s="294">
        <f>VLOOKUP(F267,数据集标准分类!A:H,8,0)</f>
        <v>8</v>
      </c>
      <c r="I267" s="170" t="s">
        <v>948</v>
      </c>
      <c r="J267" s="170" t="s">
        <v>949</v>
      </c>
      <c r="K267" s="170" t="s">
        <v>950</v>
      </c>
      <c r="L267" s="170" t="s">
        <v>951</v>
      </c>
      <c r="M267" s="170" t="s">
        <v>807</v>
      </c>
      <c r="N267" s="294">
        <v>12</v>
      </c>
      <c r="O267" s="170"/>
    </row>
    <row r="268" ht="15.75" customHeight="1" spans="1:15">
      <c r="A268" s="183" t="str">
        <f>VLOOKUP(F268,数据集标准分类!A:G,7,0)</f>
        <v>02</v>
      </c>
      <c r="B268" s="183" t="str">
        <f>VLOOKUP(F268,数据集标准分类!A:F,6,0)</f>
        <v>电子病历</v>
      </c>
      <c r="C268" s="183" t="str">
        <f>VLOOKUP(F268,数据集标准分类!A:E,5,0)</f>
        <v>0202</v>
      </c>
      <c r="D268" s="183" t="str">
        <f>VLOOKUP(F268,数据集标准分类!A:D,4,0)</f>
        <v>入院记录</v>
      </c>
      <c r="E268" s="183" t="str">
        <f>VLOOKUP(F268,数据集标准分类!A:C,3,0)</f>
        <v>020202</v>
      </c>
      <c r="F268" s="170" t="s">
        <v>923</v>
      </c>
      <c r="G268" s="183" t="str">
        <f>VLOOKUP(F268,数据集标准分类!A:B,2,0)</f>
        <v>admsn_dc_record_24_h</v>
      </c>
      <c r="H268" s="294">
        <f>VLOOKUP(F268,数据集标准分类!A:H,8,0)</f>
        <v>8</v>
      </c>
      <c r="I268" s="170" t="s">
        <v>952</v>
      </c>
      <c r="J268" s="170" t="s">
        <v>953</v>
      </c>
      <c r="K268" s="170" t="s">
        <v>954</v>
      </c>
      <c r="L268" s="170" t="s">
        <v>955</v>
      </c>
      <c r="M268" s="170" t="s">
        <v>956</v>
      </c>
      <c r="N268" s="294">
        <v>13</v>
      </c>
      <c r="O268" s="170"/>
    </row>
    <row r="269" ht="15.75" customHeight="1" spans="1:15">
      <c r="A269" s="183" t="str">
        <f>VLOOKUP(F269,数据集标准分类!A:G,7,0)</f>
        <v>02</v>
      </c>
      <c r="B269" s="183" t="str">
        <f>VLOOKUP(F269,数据集标准分类!A:F,6,0)</f>
        <v>电子病历</v>
      </c>
      <c r="C269" s="183" t="str">
        <f>VLOOKUP(F269,数据集标准分类!A:E,5,0)</f>
        <v>0202</v>
      </c>
      <c r="D269" s="183" t="str">
        <f>VLOOKUP(F269,数据集标准分类!A:D,4,0)</f>
        <v>入院记录</v>
      </c>
      <c r="E269" s="183" t="str">
        <f>VLOOKUP(F269,数据集标准分类!A:C,3,0)</f>
        <v>020202</v>
      </c>
      <c r="F269" s="170" t="s">
        <v>923</v>
      </c>
      <c r="G269" s="183" t="str">
        <f>VLOOKUP(F269,数据集标准分类!A:B,2,0)</f>
        <v>admsn_dc_record_24_h</v>
      </c>
      <c r="H269" s="294">
        <f>VLOOKUP(F269,数据集标准分类!A:H,8,0)</f>
        <v>8</v>
      </c>
      <c r="I269" s="170" t="s">
        <v>957</v>
      </c>
      <c r="J269" s="170" t="s">
        <v>958</v>
      </c>
      <c r="K269" s="170" t="s">
        <v>959</v>
      </c>
      <c r="L269" s="170" t="s">
        <v>960</v>
      </c>
      <c r="M269" s="170" t="s">
        <v>817</v>
      </c>
      <c r="N269" s="294">
        <v>14</v>
      </c>
      <c r="O269" s="170"/>
    </row>
    <row r="270" ht="15.75" customHeight="1" spans="1:15">
      <c r="A270" s="183" t="str">
        <f>VLOOKUP(F270,数据集标准分类!A:G,7,0)</f>
        <v>02</v>
      </c>
      <c r="B270" s="183" t="str">
        <f>VLOOKUP(F270,数据集标准分类!A:F,6,0)</f>
        <v>电子病历</v>
      </c>
      <c r="C270" s="183" t="str">
        <f>VLOOKUP(F270,数据集标准分类!A:E,5,0)</f>
        <v>0202</v>
      </c>
      <c r="D270" s="183" t="str">
        <f>VLOOKUP(F270,数据集标准分类!A:D,4,0)</f>
        <v>入院记录</v>
      </c>
      <c r="E270" s="183" t="str">
        <f>VLOOKUP(F270,数据集标准分类!A:C,3,0)</f>
        <v>020202</v>
      </c>
      <c r="F270" s="170" t="s">
        <v>923</v>
      </c>
      <c r="G270" s="183" t="str">
        <f>VLOOKUP(F270,数据集标准分类!A:B,2,0)</f>
        <v>admsn_dc_record_24_h</v>
      </c>
      <c r="H270" s="294">
        <f>VLOOKUP(F270,数据集标准分类!A:H,8,0)</f>
        <v>8</v>
      </c>
      <c r="I270" s="170" t="s">
        <v>961</v>
      </c>
      <c r="J270" s="170" t="s">
        <v>962</v>
      </c>
      <c r="K270" s="170" t="s">
        <v>963</v>
      </c>
      <c r="L270" s="170" t="s">
        <v>964</v>
      </c>
      <c r="M270" s="170" t="s">
        <v>965</v>
      </c>
      <c r="N270" s="294">
        <v>15</v>
      </c>
      <c r="O270" s="170"/>
    </row>
    <row r="271" ht="15.75" customHeight="1" spans="1:15">
      <c r="A271" s="183" t="str">
        <f>VLOOKUP(F271,数据集标准分类!A:G,7,0)</f>
        <v>02</v>
      </c>
      <c r="B271" s="183" t="str">
        <f>VLOOKUP(F271,数据集标准分类!A:F,6,0)</f>
        <v>电子病历</v>
      </c>
      <c r="C271" s="183" t="str">
        <f>VLOOKUP(F271,数据集标准分类!A:E,5,0)</f>
        <v>0202</v>
      </c>
      <c r="D271" s="183" t="str">
        <f>VLOOKUP(F271,数据集标准分类!A:D,4,0)</f>
        <v>入院记录</v>
      </c>
      <c r="E271" s="183" t="str">
        <f>VLOOKUP(F271,数据集标准分类!A:C,3,0)</f>
        <v>020202</v>
      </c>
      <c r="F271" s="170" t="s">
        <v>923</v>
      </c>
      <c r="G271" s="183" t="str">
        <f>VLOOKUP(F271,数据集标准分类!A:B,2,0)</f>
        <v>admsn_dc_record_24_h</v>
      </c>
      <c r="H271" s="294">
        <f>VLOOKUP(F271,数据集标准分类!A:H,8,0)</f>
        <v>8</v>
      </c>
      <c r="I271" s="170" t="s">
        <v>966</v>
      </c>
      <c r="J271" s="170" t="s">
        <v>967</v>
      </c>
      <c r="K271" s="170" t="s">
        <v>968</v>
      </c>
      <c r="L271" s="170" t="s">
        <v>969</v>
      </c>
      <c r="M271" s="170" t="s">
        <v>970</v>
      </c>
      <c r="N271" s="294">
        <v>16</v>
      </c>
      <c r="O271" s="170"/>
    </row>
    <row r="272" ht="15.75" customHeight="1" spans="1:15">
      <c r="A272" s="183" t="str">
        <f>VLOOKUP(F272,数据集标准分类!A:G,7,0)</f>
        <v>02</v>
      </c>
      <c r="B272" s="183" t="str">
        <f>VLOOKUP(F272,数据集标准分类!A:F,6,0)</f>
        <v>电子病历</v>
      </c>
      <c r="C272" s="183" t="str">
        <f>VLOOKUP(F272,数据集标准分类!A:E,5,0)</f>
        <v>0202</v>
      </c>
      <c r="D272" s="183" t="str">
        <f>VLOOKUP(F272,数据集标准分类!A:D,4,0)</f>
        <v>入院记录</v>
      </c>
      <c r="E272" s="183" t="str">
        <f>VLOOKUP(F272,数据集标准分类!A:C,3,0)</f>
        <v>020202</v>
      </c>
      <c r="F272" s="170" t="s">
        <v>923</v>
      </c>
      <c r="G272" s="183" t="str">
        <f>VLOOKUP(F272,数据集标准分类!A:B,2,0)</f>
        <v>admsn_dc_record_24_h</v>
      </c>
      <c r="H272" s="294">
        <f>VLOOKUP(F272,数据集标准分类!A:H,8,0)</f>
        <v>8</v>
      </c>
      <c r="I272" s="170" t="s">
        <v>971</v>
      </c>
      <c r="J272" s="170" t="s">
        <v>972</v>
      </c>
      <c r="K272" s="170" t="s">
        <v>973</v>
      </c>
      <c r="L272" s="170" t="s">
        <v>974</v>
      </c>
      <c r="M272" s="170" t="s">
        <v>975</v>
      </c>
      <c r="N272" s="294">
        <v>17</v>
      </c>
      <c r="O272" s="170"/>
    </row>
    <row r="273" ht="15.75" customHeight="1" spans="1:15">
      <c r="A273" s="183" t="str">
        <f>VLOOKUP(F273,数据集标准分类!A:G,7,0)</f>
        <v>02</v>
      </c>
      <c r="B273" s="183" t="str">
        <f>VLOOKUP(F273,数据集标准分类!A:F,6,0)</f>
        <v>电子病历</v>
      </c>
      <c r="C273" s="183" t="str">
        <f>VLOOKUP(F273,数据集标准分类!A:E,5,0)</f>
        <v>0202</v>
      </c>
      <c r="D273" s="183" t="str">
        <f>VLOOKUP(F273,数据集标准分类!A:D,4,0)</f>
        <v>入院记录</v>
      </c>
      <c r="E273" s="183" t="str">
        <f>VLOOKUP(F273,数据集标准分类!A:C,3,0)</f>
        <v>020202</v>
      </c>
      <c r="F273" s="170" t="s">
        <v>923</v>
      </c>
      <c r="G273" s="183" t="str">
        <f>VLOOKUP(F273,数据集标准分类!A:B,2,0)</f>
        <v>admsn_dc_record_24_h</v>
      </c>
      <c r="H273" s="294">
        <f>VLOOKUP(F273,数据集标准分类!A:H,8,0)</f>
        <v>8</v>
      </c>
      <c r="I273" s="170" t="s">
        <v>976</v>
      </c>
      <c r="J273" s="170" t="s">
        <v>977</v>
      </c>
      <c r="K273" s="170" t="s">
        <v>978</v>
      </c>
      <c r="L273" s="170" t="s">
        <v>979</v>
      </c>
      <c r="M273" s="170" t="s">
        <v>980</v>
      </c>
      <c r="N273" s="294">
        <v>18</v>
      </c>
      <c r="O273" s="170"/>
    </row>
    <row r="274" ht="15.75" customHeight="1" spans="1:15">
      <c r="A274" s="183" t="str">
        <f>VLOOKUP(F274,数据集标准分类!A:G,7,0)</f>
        <v>02</v>
      </c>
      <c r="B274" s="183" t="str">
        <f>VLOOKUP(F274,数据集标准分类!A:F,6,0)</f>
        <v>电子病历</v>
      </c>
      <c r="C274" s="183" t="str">
        <f>VLOOKUP(F274,数据集标准分类!A:E,5,0)</f>
        <v>0202</v>
      </c>
      <c r="D274" s="183" t="str">
        <f>VLOOKUP(F274,数据集标准分类!A:D,4,0)</f>
        <v>入院记录</v>
      </c>
      <c r="E274" s="183" t="str">
        <f>VLOOKUP(F274,数据集标准分类!A:C,3,0)</f>
        <v>020202</v>
      </c>
      <c r="F274" s="170" t="s">
        <v>923</v>
      </c>
      <c r="G274" s="183" t="str">
        <f>VLOOKUP(F274,数据集标准分类!A:B,2,0)</f>
        <v>admsn_dc_record_24_h</v>
      </c>
      <c r="H274" s="294">
        <f>VLOOKUP(F274,数据集标准分类!A:H,8,0)</f>
        <v>8</v>
      </c>
      <c r="I274" s="170" t="s">
        <v>981</v>
      </c>
      <c r="J274" s="170" t="s">
        <v>982</v>
      </c>
      <c r="K274" s="170" t="s">
        <v>983</v>
      </c>
      <c r="L274" s="170" t="s">
        <v>984</v>
      </c>
      <c r="M274" s="170" t="s">
        <v>985</v>
      </c>
      <c r="N274" s="294">
        <v>19</v>
      </c>
      <c r="O274" s="170"/>
    </row>
    <row r="275" ht="15.75" customHeight="1" spans="1:15">
      <c r="A275" s="183" t="str">
        <f>VLOOKUP(F275,数据集标准分类!A:G,7,0)</f>
        <v>02</v>
      </c>
      <c r="B275" s="183" t="str">
        <f>VLOOKUP(F275,数据集标准分类!A:F,6,0)</f>
        <v>电子病历</v>
      </c>
      <c r="C275" s="183" t="str">
        <f>VLOOKUP(F275,数据集标准分类!A:E,5,0)</f>
        <v>0202</v>
      </c>
      <c r="D275" s="183" t="str">
        <f>VLOOKUP(F275,数据集标准分类!A:D,4,0)</f>
        <v>入院记录</v>
      </c>
      <c r="E275" s="183" t="str">
        <f>VLOOKUP(F275,数据集标准分类!A:C,3,0)</f>
        <v>020202</v>
      </c>
      <c r="F275" s="170" t="s">
        <v>923</v>
      </c>
      <c r="G275" s="183" t="str">
        <f>VLOOKUP(F275,数据集标准分类!A:B,2,0)</f>
        <v>admsn_dc_record_24_h</v>
      </c>
      <c r="H275" s="294">
        <f>VLOOKUP(F275,数据集标准分类!A:H,8,0)</f>
        <v>8</v>
      </c>
      <c r="I275" s="170" t="s">
        <v>986</v>
      </c>
      <c r="J275" s="170" t="s">
        <v>987</v>
      </c>
      <c r="K275" s="170" t="s">
        <v>988</v>
      </c>
      <c r="L275" s="170" t="s">
        <v>989</v>
      </c>
      <c r="M275" s="170" t="s">
        <v>990</v>
      </c>
      <c r="N275" s="294">
        <v>20</v>
      </c>
      <c r="O275" s="170"/>
    </row>
    <row r="276" ht="15.75" customHeight="1" spans="1:15">
      <c r="A276" s="183" t="str">
        <f>VLOOKUP(F276,数据集标准分类!A:G,7,0)</f>
        <v>02</v>
      </c>
      <c r="B276" s="183" t="str">
        <f>VLOOKUP(F276,数据集标准分类!A:F,6,0)</f>
        <v>电子病历</v>
      </c>
      <c r="C276" s="183" t="str">
        <f>VLOOKUP(F276,数据集标准分类!A:E,5,0)</f>
        <v>0202</v>
      </c>
      <c r="D276" s="183" t="str">
        <f>VLOOKUP(F276,数据集标准分类!A:D,4,0)</f>
        <v>入院记录</v>
      </c>
      <c r="E276" s="183" t="str">
        <f>VLOOKUP(F276,数据集标准分类!A:C,3,0)</f>
        <v>020202</v>
      </c>
      <c r="F276" s="170" t="s">
        <v>923</v>
      </c>
      <c r="G276" s="183" t="str">
        <f>VLOOKUP(F276,数据集标准分类!A:B,2,0)</f>
        <v>admsn_dc_record_24_h</v>
      </c>
      <c r="H276" s="294">
        <f>VLOOKUP(F276,数据集标准分类!A:H,8,0)</f>
        <v>8</v>
      </c>
      <c r="I276" s="170" t="s">
        <v>991</v>
      </c>
      <c r="J276" s="170" t="s">
        <v>992</v>
      </c>
      <c r="K276" s="170" t="s">
        <v>993</v>
      </c>
      <c r="L276" s="170" t="s">
        <v>994</v>
      </c>
      <c r="M276" s="170" t="s">
        <v>995</v>
      </c>
      <c r="N276" s="294">
        <v>21</v>
      </c>
      <c r="O276" s="170"/>
    </row>
    <row r="277" ht="15.75" customHeight="1" spans="1:15">
      <c r="A277" s="183" t="str">
        <f>VLOOKUP(F277,数据集标准分类!A:G,7,0)</f>
        <v>02</v>
      </c>
      <c r="B277" s="183" t="str">
        <f>VLOOKUP(F277,数据集标准分类!A:F,6,0)</f>
        <v>电子病历</v>
      </c>
      <c r="C277" s="183" t="str">
        <f>VLOOKUP(F277,数据集标准分类!A:E,5,0)</f>
        <v>0202</v>
      </c>
      <c r="D277" s="183" t="str">
        <f>VLOOKUP(F277,数据集标准分类!A:D,4,0)</f>
        <v>入院记录</v>
      </c>
      <c r="E277" s="183" t="str">
        <f>VLOOKUP(F277,数据集标准分类!A:C,3,0)</f>
        <v>020202</v>
      </c>
      <c r="F277" s="170" t="s">
        <v>923</v>
      </c>
      <c r="G277" s="183" t="str">
        <f>VLOOKUP(F277,数据集标准分类!A:B,2,0)</f>
        <v>admsn_dc_record_24_h</v>
      </c>
      <c r="H277" s="294">
        <f>VLOOKUP(F277,数据集标准分类!A:H,8,0)</f>
        <v>8</v>
      </c>
      <c r="I277" s="170" t="s">
        <v>996</v>
      </c>
      <c r="J277" s="170" t="s">
        <v>997</v>
      </c>
      <c r="K277" s="170" t="s">
        <v>998</v>
      </c>
      <c r="L277" s="170" t="s">
        <v>999</v>
      </c>
      <c r="M277" s="170" t="s">
        <v>1000</v>
      </c>
      <c r="N277" s="294">
        <v>22</v>
      </c>
      <c r="O277" s="170"/>
    </row>
    <row r="278" ht="15.75" customHeight="1" spans="1:15">
      <c r="A278" s="183" t="str">
        <f>VLOOKUP(F278,数据集标准分类!A:G,7,0)</f>
        <v>02</v>
      </c>
      <c r="B278" s="183" t="str">
        <f>VLOOKUP(F278,数据集标准分类!A:F,6,0)</f>
        <v>电子病历</v>
      </c>
      <c r="C278" s="183" t="str">
        <f>VLOOKUP(F278,数据集标准分类!A:E,5,0)</f>
        <v>0202</v>
      </c>
      <c r="D278" s="183" t="str">
        <f>VLOOKUP(F278,数据集标准分类!A:D,4,0)</f>
        <v>入院记录</v>
      </c>
      <c r="E278" s="183" t="str">
        <f>VLOOKUP(F278,数据集标准分类!A:C,3,0)</f>
        <v>020202</v>
      </c>
      <c r="F278" s="170" t="s">
        <v>923</v>
      </c>
      <c r="G278" s="183" t="str">
        <f>VLOOKUP(F278,数据集标准分类!A:B,2,0)</f>
        <v>admsn_dc_record_24_h</v>
      </c>
      <c r="H278" s="294">
        <f>VLOOKUP(F278,数据集标准分类!A:H,8,0)</f>
        <v>8</v>
      </c>
      <c r="I278" s="170" t="s">
        <v>1001</v>
      </c>
      <c r="J278" s="170" t="s">
        <v>1002</v>
      </c>
      <c r="K278" s="170" t="s">
        <v>1003</v>
      </c>
      <c r="L278" s="170" t="s">
        <v>1004</v>
      </c>
      <c r="M278" s="170" t="s">
        <v>1005</v>
      </c>
      <c r="N278" s="294">
        <v>23</v>
      </c>
      <c r="O278" s="170"/>
    </row>
    <row r="279" ht="15.75" customHeight="1" spans="1:15">
      <c r="A279" s="183" t="str">
        <f>VLOOKUP(F279,数据集标准分类!A:G,7,0)</f>
        <v>02</v>
      </c>
      <c r="B279" s="183" t="str">
        <f>VLOOKUP(F279,数据集标准分类!A:F,6,0)</f>
        <v>电子病历</v>
      </c>
      <c r="C279" s="183" t="str">
        <f>VLOOKUP(F279,数据集标准分类!A:E,5,0)</f>
        <v>0202</v>
      </c>
      <c r="D279" s="183" t="str">
        <f>VLOOKUP(F279,数据集标准分类!A:D,4,0)</f>
        <v>入院记录</v>
      </c>
      <c r="E279" s="183" t="str">
        <f>VLOOKUP(F279,数据集标准分类!A:C,3,0)</f>
        <v>020202</v>
      </c>
      <c r="F279" s="170" t="s">
        <v>923</v>
      </c>
      <c r="G279" s="183" t="str">
        <f>VLOOKUP(F279,数据集标准分类!A:B,2,0)</f>
        <v>admsn_dc_record_24_h</v>
      </c>
      <c r="H279" s="294">
        <f>VLOOKUP(F279,数据集标准分类!A:H,8,0)</f>
        <v>8</v>
      </c>
      <c r="I279" s="170" t="s">
        <v>1006</v>
      </c>
      <c r="J279" s="170" t="s">
        <v>1007</v>
      </c>
      <c r="K279" s="170" t="s">
        <v>1008</v>
      </c>
      <c r="L279" s="170" t="s">
        <v>1009</v>
      </c>
      <c r="M279" s="170" t="s">
        <v>1010</v>
      </c>
      <c r="N279" s="294">
        <v>24</v>
      </c>
      <c r="O279" s="170"/>
    </row>
    <row r="280" ht="15.75" customHeight="1" spans="1:15">
      <c r="A280" s="183" t="str">
        <f>VLOOKUP(F280,数据集标准分类!A:G,7,0)</f>
        <v>02</v>
      </c>
      <c r="B280" s="183" t="str">
        <f>VLOOKUP(F280,数据集标准分类!A:F,6,0)</f>
        <v>电子病历</v>
      </c>
      <c r="C280" s="183" t="str">
        <f>VLOOKUP(F280,数据集标准分类!A:E,5,0)</f>
        <v>0202</v>
      </c>
      <c r="D280" s="183" t="str">
        <f>VLOOKUP(F280,数据集标准分类!A:D,4,0)</f>
        <v>入院记录</v>
      </c>
      <c r="E280" s="183" t="str">
        <f>VLOOKUP(F280,数据集标准分类!A:C,3,0)</f>
        <v>020202</v>
      </c>
      <c r="F280" s="170" t="s">
        <v>923</v>
      </c>
      <c r="G280" s="183" t="str">
        <f>VLOOKUP(F280,数据集标准分类!A:B,2,0)</f>
        <v>admsn_dc_record_24_h</v>
      </c>
      <c r="H280" s="294">
        <f>VLOOKUP(F280,数据集标准分类!A:H,8,0)</f>
        <v>8</v>
      </c>
      <c r="I280" s="170" t="s">
        <v>1011</v>
      </c>
      <c r="J280" s="170" t="s">
        <v>1012</v>
      </c>
      <c r="K280" s="170" t="s">
        <v>1013</v>
      </c>
      <c r="L280" s="170" t="s">
        <v>1014</v>
      </c>
      <c r="M280" s="170" t="s">
        <v>1015</v>
      </c>
      <c r="N280" s="294">
        <v>25</v>
      </c>
      <c r="O280" s="170"/>
    </row>
    <row r="281" ht="15.75" customHeight="1" spans="1:15">
      <c r="A281" s="183" t="str">
        <f>VLOOKUP(F281,数据集标准分类!A:G,7,0)</f>
        <v>02</v>
      </c>
      <c r="B281" s="183" t="str">
        <f>VLOOKUP(F281,数据集标准分类!A:F,6,0)</f>
        <v>电子病历</v>
      </c>
      <c r="C281" s="183" t="str">
        <f>VLOOKUP(F281,数据集标准分类!A:E,5,0)</f>
        <v>0202</v>
      </c>
      <c r="D281" s="183" t="str">
        <f>VLOOKUP(F281,数据集标准分类!A:D,4,0)</f>
        <v>入院记录</v>
      </c>
      <c r="E281" s="183" t="str">
        <f>VLOOKUP(F281,数据集标准分类!A:C,3,0)</f>
        <v>020203</v>
      </c>
      <c r="F281" s="170" t="s">
        <v>1016</v>
      </c>
      <c r="G281" s="183" t="str">
        <f>VLOOKUP(F281,数据集标准分类!A:B,2,0)</f>
        <v>admsn_death_record</v>
      </c>
      <c r="H281" s="294">
        <f>VLOOKUP(F281,数据集标准分类!A:H,8,0)</f>
        <v>9</v>
      </c>
      <c r="I281" s="170" t="s">
        <v>152</v>
      </c>
      <c r="J281" s="170" t="s">
        <v>153</v>
      </c>
      <c r="K281" s="170" t="s">
        <v>154</v>
      </c>
      <c r="L281" s="170" t="s">
        <v>155</v>
      </c>
      <c r="M281" s="170" t="s">
        <v>156</v>
      </c>
      <c r="N281" s="294">
        <v>1</v>
      </c>
      <c r="O281" s="170"/>
    </row>
    <row r="282" ht="15.75" customHeight="1" spans="1:15">
      <c r="A282" s="183" t="str">
        <f>VLOOKUP(F282,数据集标准分类!A:G,7,0)</f>
        <v>02</v>
      </c>
      <c r="B282" s="183" t="str">
        <f>VLOOKUP(F282,数据集标准分类!A:F,6,0)</f>
        <v>电子病历</v>
      </c>
      <c r="C282" s="183" t="str">
        <f>VLOOKUP(F282,数据集标准分类!A:E,5,0)</f>
        <v>0202</v>
      </c>
      <c r="D282" s="183" t="str">
        <f>VLOOKUP(F282,数据集标准分类!A:D,4,0)</f>
        <v>入院记录</v>
      </c>
      <c r="E282" s="183" t="str">
        <f>VLOOKUP(F282,数据集标准分类!A:C,3,0)</f>
        <v>020203</v>
      </c>
      <c r="F282" s="170" t="s">
        <v>1016</v>
      </c>
      <c r="G282" s="183" t="str">
        <f>VLOOKUP(F282,数据集标准分类!A:B,2,0)</f>
        <v>admsn_death_record</v>
      </c>
      <c r="H282" s="294">
        <f>VLOOKUP(F282,数据集标准分类!A:H,8,0)</f>
        <v>9</v>
      </c>
      <c r="I282" s="170" t="s">
        <v>1017</v>
      </c>
      <c r="J282" s="170" t="s">
        <v>1018</v>
      </c>
      <c r="K282" s="170" t="s">
        <v>1019</v>
      </c>
      <c r="L282" s="170" t="s">
        <v>1020</v>
      </c>
      <c r="M282" s="170" t="s">
        <v>1021</v>
      </c>
      <c r="N282" s="294">
        <v>2</v>
      </c>
      <c r="O282" s="170"/>
    </row>
    <row r="283" ht="15.75" customHeight="1" spans="1:15">
      <c r="A283" s="183" t="str">
        <f>VLOOKUP(F283,数据集标准分类!A:G,7,0)</f>
        <v>02</v>
      </c>
      <c r="B283" s="183" t="str">
        <f>VLOOKUP(F283,数据集标准分类!A:F,6,0)</f>
        <v>电子病历</v>
      </c>
      <c r="C283" s="183" t="str">
        <f>VLOOKUP(F283,数据集标准分类!A:E,5,0)</f>
        <v>0202</v>
      </c>
      <c r="D283" s="183" t="str">
        <f>VLOOKUP(F283,数据集标准分类!A:D,4,0)</f>
        <v>入院记录</v>
      </c>
      <c r="E283" s="183" t="str">
        <f>VLOOKUP(F283,数据集标准分类!A:C,3,0)</f>
        <v>020203</v>
      </c>
      <c r="F283" s="170" t="s">
        <v>1016</v>
      </c>
      <c r="G283" s="183" t="str">
        <f>VLOOKUP(F283,数据集标准分类!A:B,2,0)</f>
        <v>admsn_death_record</v>
      </c>
      <c r="H283" s="294">
        <f>VLOOKUP(F283,数据集标准分类!A:H,8,0)</f>
        <v>9</v>
      </c>
      <c r="I283" s="170" t="s">
        <v>924</v>
      </c>
      <c r="J283" s="170" t="s">
        <v>925</v>
      </c>
      <c r="K283" s="170" t="s">
        <v>926</v>
      </c>
      <c r="L283" s="170" t="s">
        <v>927</v>
      </c>
      <c r="M283" s="170" t="s">
        <v>928</v>
      </c>
      <c r="N283" s="294">
        <v>3</v>
      </c>
      <c r="O283" s="170"/>
    </row>
    <row r="284" ht="15.75" customHeight="1" spans="1:15">
      <c r="A284" s="183" t="str">
        <f>VLOOKUP(F284,数据集标准分类!A:G,7,0)</f>
        <v>02</v>
      </c>
      <c r="B284" s="183" t="str">
        <f>VLOOKUP(F284,数据集标准分类!A:F,6,0)</f>
        <v>电子病历</v>
      </c>
      <c r="C284" s="183" t="str">
        <f>VLOOKUP(F284,数据集标准分类!A:E,5,0)</f>
        <v>0202</v>
      </c>
      <c r="D284" s="183" t="str">
        <f>VLOOKUP(F284,数据集标准分类!A:D,4,0)</f>
        <v>入院记录</v>
      </c>
      <c r="E284" s="183" t="str">
        <f>VLOOKUP(F284,数据集标准分类!A:C,3,0)</f>
        <v>020203</v>
      </c>
      <c r="F284" s="170" t="s">
        <v>1016</v>
      </c>
      <c r="G284" s="183" t="str">
        <f>VLOOKUP(F284,数据集标准分类!A:B,2,0)</f>
        <v>admsn_death_record</v>
      </c>
      <c r="H284" s="294">
        <f>VLOOKUP(F284,数据集标准分类!A:H,8,0)</f>
        <v>9</v>
      </c>
      <c r="I284" s="170" t="s">
        <v>784</v>
      </c>
      <c r="J284" s="170" t="s">
        <v>785</v>
      </c>
      <c r="K284" s="170" t="s">
        <v>786</v>
      </c>
      <c r="L284" s="170" t="s">
        <v>787</v>
      </c>
      <c r="M284" s="170" t="s">
        <v>788</v>
      </c>
      <c r="N284" s="294">
        <v>4</v>
      </c>
      <c r="O284" s="170"/>
    </row>
    <row r="285" ht="15.75" customHeight="1" spans="1:15">
      <c r="A285" s="183" t="str">
        <f>VLOOKUP(F285,数据集标准分类!A:G,7,0)</f>
        <v>02</v>
      </c>
      <c r="B285" s="183" t="str">
        <f>VLOOKUP(F285,数据集标准分类!A:F,6,0)</f>
        <v>电子病历</v>
      </c>
      <c r="C285" s="183" t="str">
        <f>VLOOKUP(F285,数据集标准分类!A:E,5,0)</f>
        <v>0202</v>
      </c>
      <c r="D285" s="183" t="str">
        <f>VLOOKUP(F285,数据集标准分类!A:D,4,0)</f>
        <v>入院记录</v>
      </c>
      <c r="E285" s="183" t="str">
        <f>VLOOKUP(F285,数据集标准分类!A:C,3,0)</f>
        <v>020203</v>
      </c>
      <c r="F285" s="170" t="s">
        <v>1016</v>
      </c>
      <c r="G285" s="183" t="str">
        <f>VLOOKUP(F285,数据集标准分类!A:B,2,0)</f>
        <v>admsn_death_record</v>
      </c>
      <c r="H285" s="294">
        <f>VLOOKUP(F285,数据集标准分类!A:H,8,0)</f>
        <v>9</v>
      </c>
      <c r="I285" s="170" t="s">
        <v>789</v>
      </c>
      <c r="J285" s="170" t="s">
        <v>790</v>
      </c>
      <c r="K285" s="170" t="s">
        <v>790</v>
      </c>
      <c r="L285" s="170" t="s">
        <v>791</v>
      </c>
      <c r="M285" s="170" t="s">
        <v>792</v>
      </c>
      <c r="N285" s="294">
        <v>5</v>
      </c>
      <c r="O285" s="170"/>
    </row>
    <row r="286" ht="15.75" customHeight="1" spans="1:15">
      <c r="A286" s="183" t="str">
        <f>VLOOKUP(F286,数据集标准分类!A:G,7,0)</f>
        <v>02</v>
      </c>
      <c r="B286" s="183" t="str">
        <f>VLOOKUP(F286,数据集标准分类!A:F,6,0)</f>
        <v>电子病历</v>
      </c>
      <c r="C286" s="183" t="str">
        <f>VLOOKUP(F286,数据集标准分类!A:E,5,0)</f>
        <v>0202</v>
      </c>
      <c r="D286" s="183" t="str">
        <f>VLOOKUP(F286,数据集标准分类!A:D,4,0)</f>
        <v>入院记录</v>
      </c>
      <c r="E286" s="183" t="str">
        <f>VLOOKUP(F286,数据集标准分类!A:C,3,0)</f>
        <v>020203</v>
      </c>
      <c r="F286" s="170" t="s">
        <v>1016</v>
      </c>
      <c r="G286" s="183" t="str">
        <f>VLOOKUP(F286,数据集标准分类!A:B,2,0)</f>
        <v>admsn_death_record</v>
      </c>
      <c r="H286" s="294">
        <f>VLOOKUP(F286,数据集标准分类!A:H,8,0)</f>
        <v>9</v>
      </c>
      <c r="I286" s="170" t="s">
        <v>939</v>
      </c>
      <c r="J286" s="170" t="s">
        <v>940</v>
      </c>
      <c r="K286" s="170" t="s">
        <v>941</v>
      </c>
      <c r="L286" s="170" t="s">
        <v>942</v>
      </c>
      <c r="M286" s="170" t="s">
        <v>797</v>
      </c>
      <c r="N286" s="294">
        <v>6</v>
      </c>
      <c r="O286" s="170"/>
    </row>
    <row r="287" ht="15.75" customHeight="1" spans="1:15">
      <c r="A287" s="183" t="str">
        <f>VLOOKUP(F287,数据集标准分类!A:G,7,0)</f>
        <v>02</v>
      </c>
      <c r="B287" s="183" t="str">
        <f>VLOOKUP(F287,数据集标准分类!A:F,6,0)</f>
        <v>电子病历</v>
      </c>
      <c r="C287" s="183" t="str">
        <f>VLOOKUP(F287,数据集标准分类!A:E,5,0)</f>
        <v>0202</v>
      </c>
      <c r="D287" s="183" t="str">
        <f>VLOOKUP(F287,数据集标准分类!A:D,4,0)</f>
        <v>入院记录</v>
      </c>
      <c r="E287" s="183" t="str">
        <f>VLOOKUP(F287,数据集标准分类!A:C,3,0)</f>
        <v>020203</v>
      </c>
      <c r="F287" s="170" t="s">
        <v>1016</v>
      </c>
      <c r="G287" s="183" t="str">
        <f>VLOOKUP(F287,数据集标准分类!A:B,2,0)</f>
        <v>admsn_death_record</v>
      </c>
      <c r="H287" s="294">
        <f>VLOOKUP(F287,数据集标准分类!A:H,8,0)</f>
        <v>9</v>
      </c>
      <c r="I287" s="170" t="s">
        <v>943</v>
      </c>
      <c r="J287" s="170" t="s">
        <v>944</v>
      </c>
      <c r="K287" s="170" t="s">
        <v>945</v>
      </c>
      <c r="L287" s="170" t="s">
        <v>946</v>
      </c>
      <c r="M287" s="170" t="s">
        <v>947</v>
      </c>
      <c r="N287" s="294">
        <v>7</v>
      </c>
      <c r="O287" s="170"/>
    </row>
    <row r="288" ht="15.75" customHeight="1" spans="1:15">
      <c r="A288" s="183" t="str">
        <f>VLOOKUP(F288,数据集标准分类!A:G,7,0)</f>
        <v>02</v>
      </c>
      <c r="B288" s="183" t="str">
        <f>VLOOKUP(F288,数据集标准分类!A:F,6,0)</f>
        <v>电子病历</v>
      </c>
      <c r="C288" s="183" t="str">
        <f>VLOOKUP(F288,数据集标准分类!A:E,5,0)</f>
        <v>0202</v>
      </c>
      <c r="D288" s="183" t="str">
        <f>VLOOKUP(F288,数据集标准分类!A:D,4,0)</f>
        <v>入院记录</v>
      </c>
      <c r="E288" s="183" t="str">
        <f>VLOOKUP(F288,数据集标准分类!A:C,3,0)</f>
        <v>020203</v>
      </c>
      <c r="F288" s="170" t="s">
        <v>1016</v>
      </c>
      <c r="G288" s="183" t="str">
        <f>VLOOKUP(F288,数据集标准分类!A:B,2,0)</f>
        <v>admsn_death_record</v>
      </c>
      <c r="H288" s="294">
        <f>VLOOKUP(F288,数据集标准分类!A:H,8,0)</f>
        <v>9</v>
      </c>
      <c r="I288" s="170" t="s">
        <v>948</v>
      </c>
      <c r="J288" s="170" t="s">
        <v>949</v>
      </c>
      <c r="K288" s="170" t="s">
        <v>950</v>
      </c>
      <c r="L288" s="170" t="s">
        <v>951</v>
      </c>
      <c r="M288" s="170" t="s">
        <v>807</v>
      </c>
      <c r="N288" s="294">
        <v>8</v>
      </c>
      <c r="O288" s="170"/>
    </row>
    <row r="289" ht="15.75" customHeight="1" spans="1:15">
      <c r="A289" s="183" t="str">
        <f>VLOOKUP(F289,数据集标准分类!A:G,7,0)</f>
        <v>02</v>
      </c>
      <c r="B289" s="183" t="str">
        <f>VLOOKUP(F289,数据集标准分类!A:F,6,0)</f>
        <v>电子病历</v>
      </c>
      <c r="C289" s="183" t="str">
        <f>VLOOKUP(F289,数据集标准分类!A:E,5,0)</f>
        <v>0202</v>
      </c>
      <c r="D289" s="183" t="str">
        <f>VLOOKUP(F289,数据集标准分类!A:D,4,0)</f>
        <v>入院记录</v>
      </c>
      <c r="E289" s="183" t="str">
        <f>VLOOKUP(F289,数据集标准分类!A:C,3,0)</f>
        <v>020203</v>
      </c>
      <c r="F289" s="170" t="s">
        <v>1016</v>
      </c>
      <c r="G289" s="183" t="str">
        <f>VLOOKUP(F289,数据集标准分类!A:B,2,0)</f>
        <v>admsn_death_record</v>
      </c>
      <c r="H289" s="294">
        <f>VLOOKUP(F289,数据集标准分类!A:H,8,0)</f>
        <v>9</v>
      </c>
      <c r="I289" s="170" t="s">
        <v>952</v>
      </c>
      <c r="J289" s="170" t="s">
        <v>953</v>
      </c>
      <c r="K289" s="170" t="s">
        <v>954</v>
      </c>
      <c r="L289" s="170" t="s">
        <v>955</v>
      </c>
      <c r="M289" s="170" t="s">
        <v>956</v>
      </c>
      <c r="N289" s="294">
        <v>9</v>
      </c>
      <c r="O289" s="170"/>
    </row>
    <row r="290" ht="15.75" customHeight="1" spans="1:15">
      <c r="A290" s="183" t="str">
        <f>VLOOKUP(F290,数据集标准分类!A:G,7,0)</f>
        <v>02</v>
      </c>
      <c r="B290" s="183" t="str">
        <f>VLOOKUP(F290,数据集标准分类!A:F,6,0)</f>
        <v>电子病历</v>
      </c>
      <c r="C290" s="183" t="str">
        <f>VLOOKUP(F290,数据集标准分类!A:E,5,0)</f>
        <v>0202</v>
      </c>
      <c r="D290" s="183" t="str">
        <f>VLOOKUP(F290,数据集标准分类!A:D,4,0)</f>
        <v>入院记录</v>
      </c>
      <c r="E290" s="183" t="str">
        <f>VLOOKUP(F290,数据集标准分类!A:C,3,0)</f>
        <v>020203</v>
      </c>
      <c r="F290" s="170" t="s">
        <v>1016</v>
      </c>
      <c r="G290" s="183" t="str">
        <f>VLOOKUP(F290,数据集标准分类!A:B,2,0)</f>
        <v>admsn_death_record</v>
      </c>
      <c r="H290" s="294">
        <f>VLOOKUP(F290,数据集标准分类!A:H,8,0)</f>
        <v>9</v>
      </c>
      <c r="I290" s="170" t="s">
        <v>957</v>
      </c>
      <c r="J290" s="170" t="s">
        <v>958</v>
      </c>
      <c r="K290" s="170" t="s">
        <v>959</v>
      </c>
      <c r="L290" s="170" t="s">
        <v>960</v>
      </c>
      <c r="M290" s="170" t="s">
        <v>817</v>
      </c>
      <c r="N290" s="294">
        <v>10</v>
      </c>
      <c r="O290" s="170"/>
    </row>
    <row r="291" ht="15.75" customHeight="1" spans="1:15">
      <c r="A291" s="183" t="str">
        <f>VLOOKUP(F291,数据集标准分类!A:G,7,0)</f>
        <v>02</v>
      </c>
      <c r="B291" s="183" t="str">
        <f>VLOOKUP(F291,数据集标准分类!A:F,6,0)</f>
        <v>电子病历</v>
      </c>
      <c r="C291" s="183" t="str">
        <f>VLOOKUP(F291,数据集标准分类!A:E,5,0)</f>
        <v>0202</v>
      </c>
      <c r="D291" s="183" t="str">
        <f>VLOOKUP(F291,数据集标准分类!A:D,4,0)</f>
        <v>入院记录</v>
      </c>
      <c r="E291" s="183" t="str">
        <f>VLOOKUP(F291,数据集标准分类!A:C,3,0)</f>
        <v>020203</v>
      </c>
      <c r="F291" s="170" t="s">
        <v>1016</v>
      </c>
      <c r="G291" s="183" t="str">
        <f>VLOOKUP(F291,数据集标准分类!A:B,2,0)</f>
        <v>admsn_death_record</v>
      </c>
      <c r="H291" s="294">
        <f>VLOOKUP(F291,数据集标准分类!A:H,8,0)</f>
        <v>9</v>
      </c>
      <c r="I291" s="170" t="s">
        <v>961</v>
      </c>
      <c r="J291" s="170" t="s">
        <v>962</v>
      </c>
      <c r="K291" s="170" t="s">
        <v>963</v>
      </c>
      <c r="L291" s="170" t="s">
        <v>964</v>
      </c>
      <c r="M291" s="170" t="s">
        <v>965</v>
      </c>
      <c r="N291" s="294">
        <v>11</v>
      </c>
      <c r="O291" s="170"/>
    </row>
    <row r="292" ht="15.75" customHeight="1" spans="1:15">
      <c r="A292" s="183" t="str">
        <f>VLOOKUP(F292,数据集标准分类!A:G,7,0)</f>
        <v>02</v>
      </c>
      <c r="B292" s="183" t="str">
        <f>VLOOKUP(F292,数据集标准分类!A:F,6,0)</f>
        <v>电子病历</v>
      </c>
      <c r="C292" s="183" t="str">
        <f>VLOOKUP(F292,数据集标准分类!A:E,5,0)</f>
        <v>0202</v>
      </c>
      <c r="D292" s="183" t="str">
        <f>VLOOKUP(F292,数据集标准分类!A:D,4,0)</f>
        <v>入院记录</v>
      </c>
      <c r="E292" s="183" t="str">
        <f>VLOOKUP(F292,数据集标准分类!A:C,3,0)</f>
        <v>020203</v>
      </c>
      <c r="F292" s="170" t="s">
        <v>1016</v>
      </c>
      <c r="G292" s="183" t="str">
        <f>VLOOKUP(F292,数据集标准分类!A:B,2,0)</f>
        <v>admsn_death_record</v>
      </c>
      <c r="H292" s="294">
        <f>VLOOKUP(F292,数据集标准分类!A:H,8,0)</f>
        <v>9</v>
      </c>
      <c r="I292" s="170" t="s">
        <v>966</v>
      </c>
      <c r="J292" s="170" t="s">
        <v>967</v>
      </c>
      <c r="K292" s="170" t="s">
        <v>968</v>
      </c>
      <c r="L292" s="170" t="s">
        <v>969</v>
      </c>
      <c r="M292" s="170" t="s">
        <v>970</v>
      </c>
      <c r="N292" s="294">
        <v>12</v>
      </c>
      <c r="O292" s="170"/>
    </row>
    <row r="293" ht="15.75" customHeight="1" spans="1:15">
      <c r="A293" s="183" t="str">
        <f>VLOOKUP(F293,数据集标准分类!A:G,7,0)</f>
        <v>02</v>
      </c>
      <c r="B293" s="183" t="str">
        <f>VLOOKUP(F293,数据集标准分类!A:F,6,0)</f>
        <v>电子病历</v>
      </c>
      <c r="C293" s="183" t="str">
        <f>VLOOKUP(F293,数据集标准分类!A:E,5,0)</f>
        <v>0202</v>
      </c>
      <c r="D293" s="183" t="str">
        <f>VLOOKUP(F293,数据集标准分类!A:D,4,0)</f>
        <v>入院记录</v>
      </c>
      <c r="E293" s="183" t="str">
        <f>VLOOKUP(F293,数据集标准分类!A:C,3,0)</f>
        <v>020203</v>
      </c>
      <c r="F293" s="170" t="s">
        <v>1016</v>
      </c>
      <c r="G293" s="183" t="str">
        <f>VLOOKUP(F293,数据集标准分类!A:B,2,0)</f>
        <v>admsn_death_record</v>
      </c>
      <c r="H293" s="294">
        <f>VLOOKUP(F293,数据集标准分类!A:H,8,0)</f>
        <v>9</v>
      </c>
      <c r="I293" s="170" t="s">
        <v>1022</v>
      </c>
      <c r="J293" s="170" t="s">
        <v>1023</v>
      </c>
      <c r="K293" s="170" t="s">
        <v>1024</v>
      </c>
      <c r="L293" s="170" t="s">
        <v>1025</v>
      </c>
      <c r="M293" s="170" t="s">
        <v>1026</v>
      </c>
      <c r="N293" s="294">
        <v>13</v>
      </c>
      <c r="O293" s="170"/>
    </row>
    <row r="294" ht="15.75" customHeight="1" spans="1:15">
      <c r="A294" s="183" t="str">
        <f>VLOOKUP(F294,数据集标准分类!A:G,7,0)</f>
        <v>02</v>
      </c>
      <c r="B294" s="183" t="str">
        <f>VLOOKUP(F294,数据集标准分类!A:F,6,0)</f>
        <v>电子病历</v>
      </c>
      <c r="C294" s="183" t="str">
        <f>VLOOKUP(F294,数据集标准分类!A:E,5,0)</f>
        <v>0202</v>
      </c>
      <c r="D294" s="183" t="str">
        <f>VLOOKUP(F294,数据集标准分类!A:D,4,0)</f>
        <v>入院记录</v>
      </c>
      <c r="E294" s="183" t="str">
        <f>VLOOKUP(F294,数据集标准分类!A:C,3,0)</f>
        <v>020203</v>
      </c>
      <c r="F294" s="170" t="s">
        <v>1016</v>
      </c>
      <c r="G294" s="183" t="str">
        <f>VLOOKUP(F294,数据集标准分类!A:B,2,0)</f>
        <v>admsn_death_record</v>
      </c>
      <c r="H294" s="294">
        <f>VLOOKUP(F294,数据集标准分类!A:H,8,0)</f>
        <v>9</v>
      </c>
      <c r="I294" s="170" t="s">
        <v>1027</v>
      </c>
      <c r="J294" s="170" t="s">
        <v>1028</v>
      </c>
      <c r="K294" s="170" t="s">
        <v>1029</v>
      </c>
      <c r="L294" s="170" t="s">
        <v>1030</v>
      </c>
      <c r="M294" s="170" t="s">
        <v>1031</v>
      </c>
      <c r="N294" s="294">
        <v>14</v>
      </c>
      <c r="O294" s="170"/>
    </row>
    <row r="295" ht="15.75" customHeight="1" spans="1:15">
      <c r="A295" s="183" t="str">
        <f>VLOOKUP(F295,数据集标准分类!A:G,7,0)</f>
        <v>02</v>
      </c>
      <c r="B295" s="183" t="str">
        <f>VLOOKUP(F295,数据集标准分类!A:F,6,0)</f>
        <v>电子病历</v>
      </c>
      <c r="C295" s="183" t="str">
        <f>VLOOKUP(F295,数据集标准分类!A:E,5,0)</f>
        <v>0202</v>
      </c>
      <c r="D295" s="183" t="str">
        <f>VLOOKUP(F295,数据集标准分类!A:D,4,0)</f>
        <v>入院记录</v>
      </c>
      <c r="E295" s="183" t="str">
        <f>VLOOKUP(F295,数据集标准分类!A:C,3,0)</f>
        <v>020203</v>
      </c>
      <c r="F295" s="170" t="s">
        <v>1016</v>
      </c>
      <c r="G295" s="183" t="str">
        <f>VLOOKUP(F295,数据集标准分类!A:B,2,0)</f>
        <v>admsn_death_record</v>
      </c>
      <c r="H295" s="294">
        <f>VLOOKUP(F295,数据集标准分类!A:H,8,0)</f>
        <v>9</v>
      </c>
      <c r="I295" s="170" t="s">
        <v>1032</v>
      </c>
      <c r="J295" s="170" t="s">
        <v>1033</v>
      </c>
      <c r="K295" s="170" t="s">
        <v>1034</v>
      </c>
      <c r="L295" s="170" t="s">
        <v>1035</v>
      </c>
      <c r="M295" s="170" t="s">
        <v>1036</v>
      </c>
      <c r="N295" s="294">
        <v>15</v>
      </c>
      <c r="O295" s="170"/>
    </row>
    <row r="296" ht="15.75" customHeight="1" spans="1:15">
      <c r="A296" s="183" t="str">
        <f>VLOOKUP(F296,数据集标准分类!A:G,7,0)</f>
        <v>02</v>
      </c>
      <c r="B296" s="183" t="str">
        <f>VLOOKUP(F296,数据集标准分类!A:F,6,0)</f>
        <v>电子病历</v>
      </c>
      <c r="C296" s="183" t="str">
        <f>VLOOKUP(F296,数据集标准分类!A:E,5,0)</f>
        <v>0202</v>
      </c>
      <c r="D296" s="183" t="str">
        <f>VLOOKUP(F296,数据集标准分类!A:D,4,0)</f>
        <v>入院记录</v>
      </c>
      <c r="E296" s="183" t="str">
        <f>VLOOKUP(F296,数据集标准分类!A:C,3,0)</f>
        <v>020203</v>
      </c>
      <c r="F296" s="170" t="s">
        <v>1016</v>
      </c>
      <c r="G296" s="183" t="str">
        <f>VLOOKUP(F296,数据集标准分类!A:B,2,0)</f>
        <v>admsn_death_record</v>
      </c>
      <c r="H296" s="294">
        <f>VLOOKUP(F296,数据集标准分类!A:H,8,0)</f>
        <v>9</v>
      </c>
      <c r="I296" s="170" t="s">
        <v>1037</v>
      </c>
      <c r="J296" s="170" t="s">
        <v>1038</v>
      </c>
      <c r="K296" s="170" t="s">
        <v>1039</v>
      </c>
      <c r="L296" s="170" t="s">
        <v>1040</v>
      </c>
      <c r="M296" s="170" t="s">
        <v>1041</v>
      </c>
      <c r="N296" s="294">
        <v>16</v>
      </c>
      <c r="O296" s="170"/>
    </row>
    <row r="297" ht="15.75" customHeight="1" spans="1:15">
      <c r="A297" s="183" t="str">
        <f>VLOOKUP(F297,数据集标准分类!A:G,7,0)</f>
        <v>02</v>
      </c>
      <c r="B297" s="183" t="str">
        <f>VLOOKUP(F297,数据集标准分类!A:F,6,0)</f>
        <v>电子病历</v>
      </c>
      <c r="C297" s="183" t="str">
        <f>VLOOKUP(F297,数据集标准分类!A:E,5,0)</f>
        <v>0202</v>
      </c>
      <c r="D297" s="183" t="str">
        <f>VLOOKUP(F297,数据集标准分类!A:D,4,0)</f>
        <v>入院记录</v>
      </c>
      <c r="E297" s="183" t="str">
        <f>VLOOKUP(F297,数据集标准分类!A:C,3,0)</f>
        <v>020203</v>
      </c>
      <c r="F297" s="170" t="s">
        <v>1016</v>
      </c>
      <c r="G297" s="183" t="str">
        <f>VLOOKUP(F297,数据集标准分类!A:B,2,0)</f>
        <v>admsn_death_record</v>
      </c>
      <c r="H297" s="294">
        <f>VLOOKUP(F297,数据集标准分类!A:H,8,0)</f>
        <v>9</v>
      </c>
      <c r="I297" s="170" t="s">
        <v>1042</v>
      </c>
      <c r="J297" s="170" t="s">
        <v>1043</v>
      </c>
      <c r="K297" s="170" t="s">
        <v>1044</v>
      </c>
      <c r="L297" s="170" t="s">
        <v>1045</v>
      </c>
      <c r="M297" s="170" t="s">
        <v>1046</v>
      </c>
      <c r="N297" s="294">
        <v>17</v>
      </c>
      <c r="O297" s="170"/>
    </row>
    <row r="298" ht="15.75" customHeight="1" spans="1:15">
      <c r="A298" s="183" t="str">
        <f>VLOOKUP(F298,数据集标准分类!A:G,7,0)</f>
        <v>02</v>
      </c>
      <c r="B298" s="183" t="str">
        <f>VLOOKUP(F298,数据集标准分类!A:F,6,0)</f>
        <v>电子病历</v>
      </c>
      <c r="C298" s="183" t="str">
        <f>VLOOKUP(F298,数据集标准分类!A:E,5,0)</f>
        <v>0202</v>
      </c>
      <c r="D298" s="183" t="str">
        <f>VLOOKUP(F298,数据集标准分类!A:D,4,0)</f>
        <v>入院记录</v>
      </c>
      <c r="E298" s="183" t="str">
        <f>VLOOKUP(F298,数据集标准分类!A:C,3,0)</f>
        <v>020203</v>
      </c>
      <c r="F298" s="170" t="s">
        <v>1016</v>
      </c>
      <c r="G298" s="183" t="str">
        <f>VLOOKUP(F298,数据集标准分类!A:B,2,0)</f>
        <v>admsn_death_record</v>
      </c>
      <c r="H298" s="294">
        <f>VLOOKUP(F298,数据集标准分类!A:H,8,0)</f>
        <v>9</v>
      </c>
      <c r="I298" s="170" t="s">
        <v>1047</v>
      </c>
      <c r="J298" s="170" t="s">
        <v>1048</v>
      </c>
      <c r="K298" s="170" t="s">
        <v>1049</v>
      </c>
      <c r="L298" s="170" t="s">
        <v>1050</v>
      </c>
      <c r="M298" s="170" t="s">
        <v>1051</v>
      </c>
      <c r="N298" s="294">
        <v>18</v>
      </c>
      <c r="O298" s="170"/>
    </row>
    <row r="299" ht="15.75" customHeight="1" spans="1:15">
      <c r="A299" s="183" t="str">
        <f>VLOOKUP(F299,数据集标准分类!A:G,7,0)</f>
        <v>02</v>
      </c>
      <c r="B299" s="183" t="str">
        <f>VLOOKUP(F299,数据集标准分类!A:F,6,0)</f>
        <v>电子病历</v>
      </c>
      <c r="C299" s="183" t="str">
        <f>VLOOKUP(F299,数据集标准分类!A:E,5,0)</f>
        <v>0202</v>
      </c>
      <c r="D299" s="183" t="str">
        <f>VLOOKUP(F299,数据集标准分类!A:D,4,0)</f>
        <v>入院记录</v>
      </c>
      <c r="E299" s="183" t="str">
        <f>VLOOKUP(F299,数据集标准分类!A:C,3,0)</f>
        <v>020203</v>
      </c>
      <c r="F299" s="170" t="s">
        <v>1016</v>
      </c>
      <c r="G299" s="183" t="str">
        <f>VLOOKUP(F299,数据集标准分类!A:B,2,0)</f>
        <v>admsn_death_record</v>
      </c>
      <c r="H299" s="294">
        <f>VLOOKUP(F299,数据集标准分类!A:H,8,0)</f>
        <v>9</v>
      </c>
      <c r="I299" s="170" t="s">
        <v>1052</v>
      </c>
      <c r="J299" s="170" t="s">
        <v>1053</v>
      </c>
      <c r="K299" s="170" t="s">
        <v>1054</v>
      </c>
      <c r="L299" s="170" t="s">
        <v>1055</v>
      </c>
      <c r="M299" s="170" t="s">
        <v>1056</v>
      </c>
      <c r="N299" s="294">
        <v>19</v>
      </c>
      <c r="O299" s="170"/>
    </row>
    <row r="300" ht="15.75" customHeight="1" spans="1:15">
      <c r="A300" s="183" t="str">
        <f>VLOOKUP(F300,数据集标准分类!A:G,7,0)</f>
        <v>02</v>
      </c>
      <c r="B300" s="183" t="str">
        <f>VLOOKUP(F300,数据集标准分类!A:F,6,0)</f>
        <v>电子病历</v>
      </c>
      <c r="C300" s="183" t="str">
        <f>VLOOKUP(F300,数据集标准分类!A:E,5,0)</f>
        <v>0203</v>
      </c>
      <c r="D300" s="183" t="str">
        <f>VLOOKUP(F300,数据集标准分类!A:D,4,0)</f>
        <v>病程记录</v>
      </c>
      <c r="E300" s="183" t="str">
        <f>VLOOKUP(F300,数据集标准分类!A:C,3,0)</f>
        <v>020301</v>
      </c>
      <c r="F300" s="170" t="s">
        <v>1057</v>
      </c>
      <c r="G300" s="183" t="str">
        <f>VLOOKUP(F300,数据集标准分类!A:B,2,0)</f>
        <v>first_course_record</v>
      </c>
      <c r="H300" s="294">
        <f>VLOOKUP(F300,数据集标准分类!A:H,8,0)</f>
        <v>10</v>
      </c>
      <c r="I300" s="170" t="s">
        <v>663</v>
      </c>
      <c r="J300" s="170" t="s">
        <v>664</v>
      </c>
      <c r="K300" s="170" t="s">
        <v>665</v>
      </c>
      <c r="L300" s="170" t="s">
        <v>666</v>
      </c>
      <c r="M300" s="170" t="s">
        <v>667</v>
      </c>
      <c r="N300" s="294">
        <v>1</v>
      </c>
      <c r="O300" s="170"/>
    </row>
    <row r="301" ht="15.75" customHeight="1" spans="1:15">
      <c r="A301" s="183" t="str">
        <f>VLOOKUP(F301,数据集标准分类!A:G,7,0)</f>
        <v>02</v>
      </c>
      <c r="B301" s="183" t="str">
        <f>VLOOKUP(F301,数据集标准分类!A:F,6,0)</f>
        <v>电子病历</v>
      </c>
      <c r="C301" s="183" t="str">
        <f>VLOOKUP(F301,数据集标准分类!A:E,5,0)</f>
        <v>0203</v>
      </c>
      <c r="D301" s="183" t="str">
        <f>VLOOKUP(F301,数据集标准分类!A:D,4,0)</f>
        <v>病程记录</v>
      </c>
      <c r="E301" s="183" t="str">
        <f>VLOOKUP(F301,数据集标准分类!A:C,3,0)</f>
        <v>020301</v>
      </c>
      <c r="F301" s="170" t="s">
        <v>1057</v>
      </c>
      <c r="G301" s="183" t="str">
        <f>VLOOKUP(F301,数据集标准分类!A:B,2,0)</f>
        <v>first_course_record</v>
      </c>
      <c r="H301" s="294">
        <f>VLOOKUP(F301,数据集标准分类!A:H,8,0)</f>
        <v>10</v>
      </c>
      <c r="I301" s="170" t="s">
        <v>1058</v>
      </c>
      <c r="J301" s="170" t="s">
        <v>1059</v>
      </c>
      <c r="K301" s="170" t="s">
        <v>1060</v>
      </c>
      <c r="L301" s="170" t="s">
        <v>1061</v>
      </c>
      <c r="M301" s="170" t="s">
        <v>1062</v>
      </c>
      <c r="N301" s="294">
        <v>2</v>
      </c>
      <c r="O301" s="170"/>
    </row>
    <row r="302" ht="15.75" customHeight="1" spans="1:15">
      <c r="A302" s="183" t="str">
        <f>VLOOKUP(F302,数据集标准分类!A:G,7,0)</f>
        <v>02</v>
      </c>
      <c r="B302" s="183" t="str">
        <f>VLOOKUP(F302,数据集标准分类!A:F,6,0)</f>
        <v>电子病历</v>
      </c>
      <c r="C302" s="183" t="str">
        <f>VLOOKUP(F302,数据集标准分类!A:E,5,0)</f>
        <v>0203</v>
      </c>
      <c r="D302" s="183" t="str">
        <f>VLOOKUP(F302,数据集标准分类!A:D,4,0)</f>
        <v>病程记录</v>
      </c>
      <c r="E302" s="183" t="str">
        <f>VLOOKUP(F302,数据集标准分类!A:C,3,0)</f>
        <v>020301</v>
      </c>
      <c r="F302" s="170" t="s">
        <v>1057</v>
      </c>
      <c r="G302" s="183" t="str">
        <f>VLOOKUP(F302,数据集标准分类!A:B,2,0)</f>
        <v>first_course_record</v>
      </c>
      <c r="H302" s="294">
        <f>VLOOKUP(F302,数据集标准分类!A:H,8,0)</f>
        <v>10</v>
      </c>
      <c r="I302" s="170" t="s">
        <v>784</v>
      </c>
      <c r="J302" s="170" t="s">
        <v>785</v>
      </c>
      <c r="K302" s="170" t="s">
        <v>786</v>
      </c>
      <c r="L302" s="170" t="s">
        <v>787</v>
      </c>
      <c r="M302" s="170" t="s">
        <v>788</v>
      </c>
      <c r="N302" s="294">
        <v>3</v>
      </c>
      <c r="O302" s="170"/>
    </row>
    <row r="303" ht="15.75" customHeight="1" spans="1:15">
      <c r="A303" s="183" t="str">
        <f>VLOOKUP(F303,数据集标准分类!A:G,7,0)</f>
        <v>02</v>
      </c>
      <c r="B303" s="183" t="str">
        <f>VLOOKUP(F303,数据集标准分类!A:F,6,0)</f>
        <v>电子病历</v>
      </c>
      <c r="C303" s="183" t="str">
        <f>VLOOKUP(F303,数据集标准分类!A:E,5,0)</f>
        <v>0203</v>
      </c>
      <c r="D303" s="183" t="str">
        <f>VLOOKUP(F303,数据集标准分类!A:D,4,0)</f>
        <v>病程记录</v>
      </c>
      <c r="E303" s="183" t="str">
        <f>VLOOKUP(F303,数据集标准分类!A:C,3,0)</f>
        <v>020301</v>
      </c>
      <c r="F303" s="170" t="s">
        <v>1057</v>
      </c>
      <c r="G303" s="183" t="str">
        <f>VLOOKUP(F303,数据集标准分类!A:B,2,0)</f>
        <v>first_course_record</v>
      </c>
      <c r="H303" s="294">
        <f>VLOOKUP(F303,数据集标准分类!A:H,8,0)</f>
        <v>10</v>
      </c>
      <c r="I303" s="170" t="s">
        <v>1063</v>
      </c>
      <c r="J303" s="170" t="s">
        <v>1064</v>
      </c>
      <c r="K303" s="170" t="s">
        <v>1065</v>
      </c>
      <c r="L303" s="170" t="s">
        <v>1066</v>
      </c>
      <c r="M303" s="170" t="s">
        <v>1067</v>
      </c>
      <c r="N303" s="294">
        <v>4</v>
      </c>
      <c r="O303" s="170"/>
    </row>
    <row r="304" ht="15.75" customHeight="1" spans="1:15">
      <c r="A304" s="183" t="str">
        <f>VLOOKUP(F304,数据集标准分类!A:G,7,0)</f>
        <v>02</v>
      </c>
      <c r="B304" s="183" t="str">
        <f>VLOOKUP(F304,数据集标准分类!A:F,6,0)</f>
        <v>电子病历</v>
      </c>
      <c r="C304" s="183" t="str">
        <f>VLOOKUP(F304,数据集标准分类!A:E,5,0)</f>
        <v>0203</v>
      </c>
      <c r="D304" s="183" t="str">
        <f>VLOOKUP(F304,数据集标准分类!A:D,4,0)</f>
        <v>病程记录</v>
      </c>
      <c r="E304" s="183" t="str">
        <f>VLOOKUP(F304,数据集标准分类!A:C,3,0)</f>
        <v>020301</v>
      </c>
      <c r="F304" s="170" t="s">
        <v>1057</v>
      </c>
      <c r="G304" s="183" t="str">
        <f>VLOOKUP(F304,数据集标准分类!A:B,2,0)</f>
        <v>first_course_record</v>
      </c>
      <c r="H304" s="294">
        <f>VLOOKUP(F304,数据集标准分类!A:H,8,0)</f>
        <v>10</v>
      </c>
      <c r="I304" s="170" t="s">
        <v>798</v>
      </c>
      <c r="J304" s="170" t="s">
        <v>799</v>
      </c>
      <c r="K304" s="170" t="s">
        <v>800</v>
      </c>
      <c r="L304" s="170" t="s">
        <v>801</v>
      </c>
      <c r="M304" s="170" t="s">
        <v>802</v>
      </c>
      <c r="N304" s="294">
        <v>5</v>
      </c>
      <c r="O304" s="170"/>
    </row>
    <row r="305" ht="15.75" customHeight="1" spans="1:15">
      <c r="A305" s="183" t="str">
        <f>VLOOKUP(F305,数据集标准分类!A:G,7,0)</f>
        <v>02</v>
      </c>
      <c r="B305" s="183" t="str">
        <f>VLOOKUP(F305,数据集标准分类!A:F,6,0)</f>
        <v>电子病历</v>
      </c>
      <c r="C305" s="183" t="str">
        <f>VLOOKUP(F305,数据集标准分类!A:E,5,0)</f>
        <v>0203</v>
      </c>
      <c r="D305" s="183" t="str">
        <f>VLOOKUP(F305,数据集标准分类!A:D,4,0)</f>
        <v>病程记录</v>
      </c>
      <c r="E305" s="183" t="str">
        <f>VLOOKUP(F305,数据集标准分类!A:C,3,0)</f>
        <v>020301</v>
      </c>
      <c r="F305" s="170" t="s">
        <v>1057</v>
      </c>
      <c r="G305" s="183" t="str">
        <f>VLOOKUP(F305,数据集标准分类!A:B,2,0)</f>
        <v>first_course_record</v>
      </c>
      <c r="H305" s="294">
        <f>VLOOKUP(F305,数据集标准分类!A:H,8,0)</f>
        <v>10</v>
      </c>
      <c r="I305" s="170" t="s">
        <v>808</v>
      </c>
      <c r="J305" s="170" t="s">
        <v>809</v>
      </c>
      <c r="K305" s="170" t="s">
        <v>810</v>
      </c>
      <c r="L305" s="170" t="s">
        <v>811</v>
      </c>
      <c r="M305" s="170" t="s">
        <v>812</v>
      </c>
      <c r="N305" s="294">
        <v>6</v>
      </c>
      <c r="O305" s="170"/>
    </row>
    <row r="306" ht="15.75" customHeight="1" spans="1:15">
      <c r="A306" s="183" t="str">
        <f>VLOOKUP(F306,数据集标准分类!A:G,7,0)</f>
        <v>02</v>
      </c>
      <c r="B306" s="183" t="str">
        <f>VLOOKUP(F306,数据集标准分类!A:F,6,0)</f>
        <v>电子病历</v>
      </c>
      <c r="C306" s="183" t="str">
        <f>VLOOKUP(F306,数据集标准分类!A:E,5,0)</f>
        <v>0203</v>
      </c>
      <c r="D306" s="183" t="str">
        <f>VLOOKUP(F306,数据集标准分类!A:D,4,0)</f>
        <v>病程记录</v>
      </c>
      <c r="E306" s="183" t="str">
        <f>VLOOKUP(F306,数据集标准分类!A:C,3,0)</f>
        <v>020301</v>
      </c>
      <c r="F306" s="170" t="s">
        <v>1057</v>
      </c>
      <c r="G306" s="183" t="str">
        <f>VLOOKUP(F306,数据集标准分类!A:B,2,0)</f>
        <v>first_course_record</v>
      </c>
      <c r="H306" s="294">
        <f>VLOOKUP(F306,数据集标准分类!A:H,8,0)</f>
        <v>10</v>
      </c>
      <c r="I306" s="170" t="s">
        <v>818</v>
      </c>
      <c r="J306" s="170" t="s">
        <v>819</v>
      </c>
      <c r="K306" s="170" t="s">
        <v>820</v>
      </c>
      <c r="L306" s="170" t="s">
        <v>821</v>
      </c>
      <c r="M306" s="170" t="s">
        <v>822</v>
      </c>
      <c r="N306" s="294">
        <v>7</v>
      </c>
      <c r="O306" s="170"/>
    </row>
    <row r="307" ht="15.75" customHeight="1" spans="1:15">
      <c r="A307" s="183" t="str">
        <f>VLOOKUP(F307,数据集标准分类!A:G,7,0)</f>
        <v>02</v>
      </c>
      <c r="B307" s="183" t="str">
        <f>VLOOKUP(F307,数据集标准分类!A:F,6,0)</f>
        <v>电子病历</v>
      </c>
      <c r="C307" s="183" t="str">
        <f>VLOOKUP(F307,数据集标准分类!A:E,5,0)</f>
        <v>0203</v>
      </c>
      <c r="D307" s="183" t="str">
        <f>VLOOKUP(F307,数据集标准分类!A:D,4,0)</f>
        <v>病程记录</v>
      </c>
      <c r="E307" s="183" t="str">
        <f>VLOOKUP(F307,数据集标准分类!A:C,3,0)</f>
        <v>020301</v>
      </c>
      <c r="F307" s="170" t="s">
        <v>1057</v>
      </c>
      <c r="G307" s="183" t="str">
        <f>VLOOKUP(F307,数据集标准分类!A:B,2,0)</f>
        <v>first_course_record</v>
      </c>
      <c r="H307" s="294">
        <f>VLOOKUP(F307,数据集标准分类!A:H,8,0)</f>
        <v>10</v>
      </c>
      <c r="I307" s="170" t="s">
        <v>1068</v>
      </c>
      <c r="J307" s="170" t="s">
        <v>1069</v>
      </c>
      <c r="K307" s="170" t="s">
        <v>1070</v>
      </c>
      <c r="L307" s="170" t="s">
        <v>1071</v>
      </c>
      <c r="M307" s="170" t="s">
        <v>1072</v>
      </c>
      <c r="N307" s="294">
        <v>8</v>
      </c>
      <c r="O307" s="170"/>
    </row>
    <row r="308" ht="15.75" customHeight="1" spans="1:15">
      <c r="A308" s="183" t="str">
        <f>VLOOKUP(F308,数据集标准分类!A:G,7,0)</f>
        <v>02</v>
      </c>
      <c r="B308" s="183" t="str">
        <f>VLOOKUP(F308,数据集标准分类!A:F,6,0)</f>
        <v>电子病历</v>
      </c>
      <c r="C308" s="183" t="str">
        <f>VLOOKUP(F308,数据集标准分类!A:E,5,0)</f>
        <v>0203</v>
      </c>
      <c r="D308" s="183" t="str">
        <f>VLOOKUP(F308,数据集标准分类!A:D,4,0)</f>
        <v>病程记录</v>
      </c>
      <c r="E308" s="183" t="str">
        <f>VLOOKUP(F308,数据集标准分类!A:C,3,0)</f>
        <v>020301</v>
      </c>
      <c r="F308" s="170" t="s">
        <v>1057</v>
      </c>
      <c r="G308" s="183" t="str">
        <f>VLOOKUP(F308,数据集标准分类!A:B,2,0)</f>
        <v>first_course_record</v>
      </c>
      <c r="H308" s="294">
        <f>VLOOKUP(F308,数据集标准分类!A:H,8,0)</f>
        <v>10</v>
      </c>
      <c r="I308" s="170" t="s">
        <v>1073</v>
      </c>
      <c r="J308" s="170" t="s">
        <v>1074</v>
      </c>
      <c r="K308" s="170" t="s">
        <v>1075</v>
      </c>
      <c r="L308" s="170" t="s">
        <v>1076</v>
      </c>
      <c r="M308" s="170" t="s">
        <v>1077</v>
      </c>
      <c r="N308" s="294">
        <v>9</v>
      </c>
      <c r="O308" s="170"/>
    </row>
    <row r="309" ht="15.75" customHeight="1" spans="1:15">
      <c r="A309" s="183" t="str">
        <f>VLOOKUP(F309,数据集标准分类!A:G,7,0)</f>
        <v>02</v>
      </c>
      <c r="B309" s="183" t="str">
        <f>VLOOKUP(F309,数据集标准分类!A:F,6,0)</f>
        <v>电子病历</v>
      </c>
      <c r="C309" s="183" t="str">
        <f>VLOOKUP(F309,数据集标准分类!A:E,5,0)</f>
        <v>0203</v>
      </c>
      <c r="D309" s="183" t="str">
        <f>VLOOKUP(F309,数据集标准分类!A:D,4,0)</f>
        <v>病程记录</v>
      </c>
      <c r="E309" s="183" t="str">
        <f>VLOOKUP(F309,数据集标准分类!A:C,3,0)</f>
        <v>020301</v>
      </c>
      <c r="F309" s="170" t="s">
        <v>1057</v>
      </c>
      <c r="G309" s="183" t="str">
        <f>VLOOKUP(F309,数据集标准分类!A:B,2,0)</f>
        <v>first_course_record</v>
      </c>
      <c r="H309" s="294">
        <f>VLOOKUP(F309,数据集标准分类!A:H,8,0)</f>
        <v>10</v>
      </c>
      <c r="I309" s="170" t="s">
        <v>1078</v>
      </c>
      <c r="J309" s="170" t="s">
        <v>1079</v>
      </c>
      <c r="K309" s="170" t="s">
        <v>1080</v>
      </c>
      <c r="L309" s="170" t="s">
        <v>1081</v>
      </c>
      <c r="M309" s="170" t="s">
        <v>1082</v>
      </c>
      <c r="N309" s="294">
        <v>10</v>
      </c>
      <c r="O309" s="170"/>
    </row>
    <row r="310" ht="15.75" customHeight="1" spans="1:15">
      <c r="A310" s="183" t="str">
        <f>VLOOKUP(F310,数据集标准分类!A:G,7,0)</f>
        <v>02</v>
      </c>
      <c r="B310" s="183" t="str">
        <f>VLOOKUP(F310,数据集标准分类!A:F,6,0)</f>
        <v>电子病历</v>
      </c>
      <c r="C310" s="183" t="str">
        <f>VLOOKUP(F310,数据集标准分类!A:E,5,0)</f>
        <v>0203</v>
      </c>
      <c r="D310" s="183" t="str">
        <f>VLOOKUP(F310,数据集标准分类!A:D,4,0)</f>
        <v>病程记录</v>
      </c>
      <c r="E310" s="183" t="str">
        <f>VLOOKUP(F310,数据集标准分类!A:C,3,0)</f>
        <v>020301</v>
      </c>
      <c r="F310" s="170" t="s">
        <v>1057</v>
      </c>
      <c r="G310" s="183" t="str">
        <f>VLOOKUP(F310,数据集标准分类!A:B,2,0)</f>
        <v>first_course_record</v>
      </c>
      <c r="H310" s="294">
        <f>VLOOKUP(F310,数据集标准分类!A:H,8,0)</f>
        <v>10</v>
      </c>
      <c r="I310" s="170" t="s">
        <v>1083</v>
      </c>
      <c r="J310" s="170" t="s">
        <v>1084</v>
      </c>
      <c r="K310" s="170" t="s">
        <v>1085</v>
      </c>
      <c r="L310" s="170" t="s">
        <v>1086</v>
      </c>
      <c r="M310" s="170" t="s">
        <v>1087</v>
      </c>
      <c r="N310" s="294">
        <v>11</v>
      </c>
      <c r="O310" s="170"/>
    </row>
    <row r="311" ht="15.75" customHeight="1" spans="1:15">
      <c r="A311" s="183" t="str">
        <f>VLOOKUP(F311,数据集标准分类!A:G,7,0)</f>
        <v>02</v>
      </c>
      <c r="B311" s="183" t="str">
        <f>VLOOKUP(F311,数据集标准分类!A:F,6,0)</f>
        <v>电子病历</v>
      </c>
      <c r="C311" s="183" t="str">
        <f>VLOOKUP(F311,数据集标准分类!A:E,5,0)</f>
        <v>0203</v>
      </c>
      <c r="D311" s="183" t="str">
        <f>VLOOKUP(F311,数据集标准分类!A:D,4,0)</f>
        <v>病程记录</v>
      </c>
      <c r="E311" s="183" t="str">
        <f>VLOOKUP(F311,数据集标准分类!A:C,3,0)</f>
        <v>020301</v>
      </c>
      <c r="F311" s="170" t="s">
        <v>1057</v>
      </c>
      <c r="G311" s="183" t="str">
        <f>VLOOKUP(F311,数据集标准分类!A:B,2,0)</f>
        <v>first_course_record</v>
      </c>
      <c r="H311" s="294">
        <f>VLOOKUP(F311,数据集标准分类!A:H,8,0)</f>
        <v>10</v>
      </c>
      <c r="I311" s="170" t="s">
        <v>789</v>
      </c>
      <c r="J311" s="170" t="s">
        <v>790</v>
      </c>
      <c r="K311" s="170" t="s">
        <v>790</v>
      </c>
      <c r="L311" s="170" t="s">
        <v>791</v>
      </c>
      <c r="M311" s="170" t="s">
        <v>792</v>
      </c>
      <c r="N311" s="294">
        <v>12</v>
      </c>
      <c r="O311" s="170"/>
    </row>
    <row r="312" ht="15.75" customHeight="1" spans="1:15">
      <c r="A312" s="183" t="str">
        <f>VLOOKUP(F312,数据集标准分类!A:G,7,0)</f>
        <v>02</v>
      </c>
      <c r="B312" s="183" t="str">
        <f>VLOOKUP(F312,数据集标准分类!A:F,6,0)</f>
        <v>电子病历</v>
      </c>
      <c r="C312" s="183" t="str">
        <f>VLOOKUP(F312,数据集标准分类!A:E,5,0)</f>
        <v>0203</v>
      </c>
      <c r="D312" s="183" t="str">
        <f>VLOOKUP(F312,数据集标准分类!A:D,4,0)</f>
        <v>病程记录</v>
      </c>
      <c r="E312" s="183" t="str">
        <f>VLOOKUP(F312,数据集标准分类!A:C,3,0)</f>
        <v>020301</v>
      </c>
      <c r="F312" s="170" t="s">
        <v>1057</v>
      </c>
      <c r="G312" s="183" t="str">
        <f>VLOOKUP(F312,数据集标准分类!A:B,2,0)</f>
        <v>first_course_record</v>
      </c>
      <c r="H312" s="294">
        <f>VLOOKUP(F312,数据集标准分类!A:H,8,0)</f>
        <v>10</v>
      </c>
      <c r="I312" s="170" t="s">
        <v>1088</v>
      </c>
      <c r="J312" s="170" t="s">
        <v>1089</v>
      </c>
      <c r="K312" s="170" t="s">
        <v>1090</v>
      </c>
      <c r="L312" s="170" t="s">
        <v>1091</v>
      </c>
      <c r="M312" s="170"/>
      <c r="N312" s="294">
        <v>13</v>
      </c>
      <c r="O312" s="170"/>
    </row>
    <row r="313" ht="15.75" customHeight="1" spans="1:15">
      <c r="A313" s="183" t="str">
        <f>VLOOKUP(F313,数据集标准分类!A:G,7,0)</f>
        <v>02</v>
      </c>
      <c r="B313" s="183" t="str">
        <f>VLOOKUP(F313,数据集标准分类!A:F,6,0)</f>
        <v>电子病历</v>
      </c>
      <c r="C313" s="183" t="str">
        <f>VLOOKUP(F313,数据集标准分类!A:E,5,0)</f>
        <v>0203</v>
      </c>
      <c r="D313" s="183" t="str">
        <f>VLOOKUP(F313,数据集标准分类!A:D,4,0)</f>
        <v>病程记录</v>
      </c>
      <c r="E313" s="183" t="str">
        <f>VLOOKUP(F313,数据集标准分类!A:C,3,0)</f>
        <v>020301</v>
      </c>
      <c r="F313" s="170" t="s">
        <v>1057</v>
      </c>
      <c r="G313" s="183" t="str">
        <f>VLOOKUP(F313,数据集标准分类!A:B,2,0)</f>
        <v>first_course_record</v>
      </c>
      <c r="H313" s="294">
        <f>VLOOKUP(F313,数据集标准分类!A:H,8,0)</f>
        <v>10</v>
      </c>
      <c r="I313" s="170" t="s">
        <v>1092</v>
      </c>
      <c r="J313" s="170" t="s">
        <v>1093</v>
      </c>
      <c r="K313" s="170" t="s">
        <v>1094</v>
      </c>
      <c r="L313" s="170" t="s">
        <v>1095</v>
      </c>
      <c r="M313" s="170"/>
      <c r="N313" s="294">
        <v>14</v>
      </c>
      <c r="O313" s="170"/>
    </row>
    <row r="314" ht="15.75" customHeight="1" spans="1:15">
      <c r="A314" s="183" t="str">
        <f>VLOOKUP(F314,数据集标准分类!A:G,7,0)</f>
        <v>02</v>
      </c>
      <c r="B314" s="183" t="str">
        <f>VLOOKUP(F314,数据集标准分类!A:F,6,0)</f>
        <v>电子病历</v>
      </c>
      <c r="C314" s="183" t="str">
        <f>VLOOKUP(F314,数据集标准分类!A:E,5,0)</f>
        <v>0203</v>
      </c>
      <c r="D314" s="183" t="str">
        <f>VLOOKUP(F314,数据集标准分类!A:D,4,0)</f>
        <v>病程记录</v>
      </c>
      <c r="E314" s="183" t="str">
        <f>VLOOKUP(F314,数据集标准分类!A:C,3,0)</f>
        <v>020302</v>
      </c>
      <c r="F314" s="170" t="s">
        <v>1096</v>
      </c>
      <c r="G314" s="183" t="str">
        <f>VLOOKUP(F314,数据集标准分类!A:B,2,0)</f>
        <v>daily_course_record</v>
      </c>
      <c r="H314" s="294">
        <f>VLOOKUP(F314,数据集标准分类!A:H,8,0)</f>
        <v>11</v>
      </c>
      <c r="I314" s="170" t="s">
        <v>1097</v>
      </c>
      <c r="J314" s="170" t="s">
        <v>1098</v>
      </c>
      <c r="K314" s="170" t="s">
        <v>1099</v>
      </c>
      <c r="L314" s="170" t="s">
        <v>1100</v>
      </c>
      <c r="M314" s="170" t="s">
        <v>1101</v>
      </c>
      <c r="N314" s="294">
        <v>1</v>
      </c>
      <c r="O314" s="170"/>
    </row>
    <row r="315" ht="15.75" customHeight="1" spans="1:15">
      <c r="A315" s="183" t="str">
        <f>VLOOKUP(F315,数据集标准分类!A:G,7,0)</f>
        <v>02</v>
      </c>
      <c r="B315" s="183" t="str">
        <f>VLOOKUP(F315,数据集标准分类!A:F,6,0)</f>
        <v>电子病历</v>
      </c>
      <c r="C315" s="183" t="str">
        <f>VLOOKUP(F315,数据集标准分类!A:E,5,0)</f>
        <v>0203</v>
      </c>
      <c r="D315" s="183" t="str">
        <f>VLOOKUP(F315,数据集标准分类!A:D,4,0)</f>
        <v>病程记录</v>
      </c>
      <c r="E315" s="183" t="str">
        <f>VLOOKUP(F315,数据集标准分类!A:C,3,0)</f>
        <v>020302</v>
      </c>
      <c r="F315" s="170" t="s">
        <v>1096</v>
      </c>
      <c r="G315" s="183" t="str">
        <f>VLOOKUP(F315,数据集标准分类!A:B,2,0)</f>
        <v>daily_course_record</v>
      </c>
      <c r="H315" s="294">
        <f>VLOOKUP(F315,数据集标准分类!A:H,8,0)</f>
        <v>11</v>
      </c>
      <c r="I315" s="170" t="s">
        <v>1102</v>
      </c>
      <c r="J315" s="170" t="s">
        <v>1103</v>
      </c>
      <c r="K315" s="170" t="s">
        <v>1104</v>
      </c>
      <c r="L315" s="170" t="s">
        <v>1105</v>
      </c>
      <c r="M315" s="170" t="s">
        <v>1106</v>
      </c>
      <c r="N315" s="294">
        <v>2</v>
      </c>
      <c r="O315" s="170"/>
    </row>
    <row r="316" ht="15.75" customHeight="1" spans="1:15">
      <c r="A316" s="183" t="str">
        <f>VLOOKUP(F316,数据集标准分类!A:G,7,0)</f>
        <v>02</v>
      </c>
      <c r="B316" s="183" t="str">
        <f>VLOOKUP(F316,数据集标准分类!A:F,6,0)</f>
        <v>电子病历</v>
      </c>
      <c r="C316" s="183" t="str">
        <f>VLOOKUP(F316,数据集标准分类!A:E,5,0)</f>
        <v>0203</v>
      </c>
      <c r="D316" s="183" t="str">
        <f>VLOOKUP(F316,数据集标准分类!A:D,4,0)</f>
        <v>病程记录</v>
      </c>
      <c r="E316" s="183" t="str">
        <f>VLOOKUP(F316,数据集标准分类!A:C,3,0)</f>
        <v>020302</v>
      </c>
      <c r="F316" s="170" t="s">
        <v>1096</v>
      </c>
      <c r="G316" s="183" t="str">
        <f>VLOOKUP(F316,数据集标准分类!A:B,2,0)</f>
        <v>daily_course_record</v>
      </c>
      <c r="H316" s="294">
        <f>VLOOKUP(F316,数据集标准分类!A:H,8,0)</f>
        <v>11</v>
      </c>
      <c r="I316" s="170" t="s">
        <v>1006</v>
      </c>
      <c r="J316" s="170" t="s">
        <v>1007</v>
      </c>
      <c r="K316" s="170" t="s">
        <v>1008</v>
      </c>
      <c r="L316" s="170" t="s">
        <v>1009</v>
      </c>
      <c r="M316" s="170" t="s">
        <v>1107</v>
      </c>
      <c r="N316" s="294">
        <v>3</v>
      </c>
      <c r="O316" s="170"/>
    </row>
    <row r="317" ht="15.75" customHeight="1" spans="1:15">
      <c r="A317" s="183" t="str">
        <f>VLOOKUP(F317,数据集标准分类!A:G,7,0)</f>
        <v>02</v>
      </c>
      <c r="B317" s="183" t="str">
        <f>VLOOKUP(F317,数据集标准分类!A:F,6,0)</f>
        <v>电子病历</v>
      </c>
      <c r="C317" s="183" t="str">
        <f>VLOOKUP(F317,数据集标准分类!A:E,5,0)</f>
        <v>0203</v>
      </c>
      <c r="D317" s="183" t="str">
        <f>VLOOKUP(F317,数据集标准分类!A:D,4,0)</f>
        <v>病程记录</v>
      </c>
      <c r="E317" s="183" t="str">
        <f>VLOOKUP(F317,数据集标准分类!A:C,3,0)</f>
        <v>020302</v>
      </c>
      <c r="F317" s="170" t="s">
        <v>1096</v>
      </c>
      <c r="G317" s="183" t="str">
        <f>VLOOKUP(F317,数据集标准分类!A:B,2,0)</f>
        <v>daily_course_record</v>
      </c>
      <c r="H317" s="294">
        <f>VLOOKUP(F317,数据集标准分类!A:H,8,0)</f>
        <v>11</v>
      </c>
      <c r="I317" s="170" t="s">
        <v>784</v>
      </c>
      <c r="J317" s="170" t="s">
        <v>785</v>
      </c>
      <c r="K317" s="170" t="s">
        <v>786</v>
      </c>
      <c r="L317" s="170" t="s">
        <v>787</v>
      </c>
      <c r="M317" s="170" t="s">
        <v>788</v>
      </c>
      <c r="N317" s="294">
        <v>4</v>
      </c>
      <c r="O317" s="170"/>
    </row>
    <row r="318" ht="15.75" customHeight="1" spans="1:15">
      <c r="A318" s="183" t="str">
        <f>VLOOKUP(F318,数据集标准分类!A:G,7,0)</f>
        <v>02</v>
      </c>
      <c r="B318" s="183" t="str">
        <f>VLOOKUP(F318,数据集标准分类!A:F,6,0)</f>
        <v>电子病历</v>
      </c>
      <c r="C318" s="183" t="str">
        <f>VLOOKUP(F318,数据集标准分类!A:E,5,0)</f>
        <v>0203</v>
      </c>
      <c r="D318" s="183" t="str">
        <f>VLOOKUP(F318,数据集标准分类!A:D,4,0)</f>
        <v>病程记录</v>
      </c>
      <c r="E318" s="183" t="str">
        <f>VLOOKUP(F318,数据集标准分类!A:C,3,0)</f>
        <v>020302</v>
      </c>
      <c r="F318" s="170" t="s">
        <v>1096</v>
      </c>
      <c r="G318" s="183" t="str">
        <f>VLOOKUP(F318,数据集标准分类!A:B,2,0)</f>
        <v>daily_course_record</v>
      </c>
      <c r="H318" s="294">
        <f>VLOOKUP(F318,数据集标准分类!A:H,8,0)</f>
        <v>11</v>
      </c>
      <c r="I318" s="170" t="s">
        <v>1092</v>
      </c>
      <c r="J318" s="170" t="s">
        <v>1093</v>
      </c>
      <c r="K318" s="170" t="s">
        <v>1094</v>
      </c>
      <c r="L318" s="170" t="s">
        <v>1095</v>
      </c>
      <c r="M318" s="170" t="s">
        <v>1108</v>
      </c>
      <c r="N318" s="294">
        <v>5</v>
      </c>
      <c r="O318" s="170"/>
    </row>
    <row r="319" ht="15.75" customHeight="1" spans="1:15">
      <c r="A319" s="183" t="str">
        <f>VLOOKUP(F319,数据集标准分类!A:G,7,0)</f>
        <v>02</v>
      </c>
      <c r="B319" s="183" t="str">
        <f>VLOOKUP(F319,数据集标准分类!A:F,6,0)</f>
        <v>电子病历</v>
      </c>
      <c r="C319" s="183" t="str">
        <f>VLOOKUP(F319,数据集标准分类!A:E,5,0)</f>
        <v>0203</v>
      </c>
      <c r="D319" s="183" t="str">
        <f>VLOOKUP(F319,数据集标准分类!A:D,4,0)</f>
        <v>病程记录</v>
      </c>
      <c r="E319" s="183" t="str">
        <f>VLOOKUP(F319,数据集标准分类!A:C,3,0)</f>
        <v>020302</v>
      </c>
      <c r="F319" s="170" t="s">
        <v>1096</v>
      </c>
      <c r="G319" s="183" t="str">
        <f>VLOOKUP(F319,数据集标准分类!A:B,2,0)</f>
        <v>daily_course_record</v>
      </c>
      <c r="H319" s="294">
        <f>VLOOKUP(F319,数据集标准分类!A:H,8,0)</f>
        <v>11</v>
      </c>
      <c r="I319" s="170" t="s">
        <v>1109</v>
      </c>
      <c r="J319" s="170" t="s">
        <v>1110</v>
      </c>
      <c r="K319" s="170" t="s">
        <v>1111</v>
      </c>
      <c r="L319" s="170" t="s">
        <v>1112</v>
      </c>
      <c r="M319" s="170" t="s">
        <v>1113</v>
      </c>
      <c r="N319" s="294">
        <v>6</v>
      </c>
      <c r="O319" s="170"/>
    </row>
    <row r="320" ht="15.75" customHeight="1" spans="1:15">
      <c r="A320" s="183" t="str">
        <f>VLOOKUP(F320,数据集标准分类!A:G,7,0)</f>
        <v>02</v>
      </c>
      <c r="B320" s="183" t="str">
        <f>VLOOKUP(F320,数据集标准分类!A:F,6,0)</f>
        <v>电子病历</v>
      </c>
      <c r="C320" s="183" t="str">
        <f>VLOOKUP(F320,数据集标准分类!A:E,5,0)</f>
        <v>0203</v>
      </c>
      <c r="D320" s="183" t="str">
        <f>VLOOKUP(F320,数据集标准分类!A:D,4,0)</f>
        <v>病程记录</v>
      </c>
      <c r="E320" s="183" t="str">
        <f>VLOOKUP(F320,数据集标准分类!A:C,3,0)</f>
        <v>020302</v>
      </c>
      <c r="F320" s="170" t="s">
        <v>1096</v>
      </c>
      <c r="G320" s="183" t="str">
        <f>VLOOKUP(F320,数据集标准分类!A:B,2,0)</f>
        <v>daily_course_record</v>
      </c>
      <c r="H320" s="294">
        <f>VLOOKUP(F320,数据集标准分类!A:H,8,0)</f>
        <v>11</v>
      </c>
      <c r="I320" s="170" t="s">
        <v>201</v>
      </c>
      <c r="J320" s="170" t="s">
        <v>202</v>
      </c>
      <c r="K320" s="170" t="s">
        <v>203</v>
      </c>
      <c r="L320" s="170" t="s">
        <v>204</v>
      </c>
      <c r="M320" s="170" t="s">
        <v>1114</v>
      </c>
      <c r="N320" s="294">
        <v>7</v>
      </c>
      <c r="O320" s="170"/>
    </row>
    <row r="321" ht="15.75" customHeight="1" spans="1:15">
      <c r="A321" s="183" t="str">
        <f>VLOOKUP(F321,数据集标准分类!A:G,7,0)</f>
        <v>02</v>
      </c>
      <c r="B321" s="183" t="str">
        <f>VLOOKUP(F321,数据集标准分类!A:F,6,0)</f>
        <v>电子病历</v>
      </c>
      <c r="C321" s="183" t="str">
        <f>VLOOKUP(F321,数据集标准分类!A:E,5,0)</f>
        <v>0203</v>
      </c>
      <c r="D321" s="183" t="str">
        <f>VLOOKUP(F321,数据集标准分类!A:D,4,0)</f>
        <v>病程记录</v>
      </c>
      <c r="E321" s="183" t="str">
        <f>VLOOKUP(F321,数据集标准分类!A:C,3,0)</f>
        <v>020302</v>
      </c>
      <c r="F321" s="170" t="s">
        <v>1096</v>
      </c>
      <c r="G321" s="183" t="str">
        <f>VLOOKUP(F321,数据集标准分类!A:B,2,0)</f>
        <v>daily_course_record</v>
      </c>
      <c r="H321" s="294">
        <f>VLOOKUP(F321,数据集标准分类!A:H,8,0)</f>
        <v>11</v>
      </c>
      <c r="I321" s="170" t="s">
        <v>1115</v>
      </c>
      <c r="J321" s="170" t="s">
        <v>1116</v>
      </c>
      <c r="K321" s="170" t="s">
        <v>1117</v>
      </c>
      <c r="L321" s="295" t="s">
        <v>1118</v>
      </c>
      <c r="M321" s="170" t="s">
        <v>1119</v>
      </c>
      <c r="N321" s="296">
        <v>8</v>
      </c>
      <c r="O321" s="297"/>
    </row>
    <row r="322" ht="15.75" customHeight="1" spans="1:15">
      <c r="A322" s="183" t="str">
        <f>VLOOKUP(F322,数据集标准分类!A:G,7,0)</f>
        <v>02</v>
      </c>
      <c r="B322" s="183" t="str">
        <f>VLOOKUP(F322,数据集标准分类!A:F,6,0)</f>
        <v>电子病历</v>
      </c>
      <c r="C322" s="183" t="str">
        <f>VLOOKUP(F322,数据集标准分类!A:E,5,0)</f>
        <v>0203</v>
      </c>
      <c r="D322" s="183" t="str">
        <f>VLOOKUP(F322,数据集标准分类!A:D,4,0)</f>
        <v>病程记录</v>
      </c>
      <c r="E322" s="183" t="str">
        <f>VLOOKUP(F322,数据集标准分类!A:C,3,0)</f>
        <v>020302</v>
      </c>
      <c r="F322" s="170" t="s">
        <v>1096</v>
      </c>
      <c r="G322" s="183" t="str">
        <f>VLOOKUP(F322,数据集标准分类!A:B,2,0)</f>
        <v>daily_course_record</v>
      </c>
      <c r="H322" s="294">
        <f>VLOOKUP(F322,数据集标准分类!A:H,8,0)</f>
        <v>11</v>
      </c>
      <c r="I322" s="170" t="s">
        <v>1120</v>
      </c>
      <c r="J322" s="170" t="s">
        <v>1121</v>
      </c>
      <c r="K322" s="170" t="s">
        <v>1122</v>
      </c>
      <c r="L322" s="295" t="s">
        <v>1123</v>
      </c>
      <c r="M322" s="170" t="s">
        <v>1124</v>
      </c>
      <c r="N322" s="296">
        <v>9</v>
      </c>
      <c r="O322" s="297"/>
    </row>
    <row r="323" ht="15.75" customHeight="1" spans="1:15">
      <c r="A323" s="183" t="str">
        <f>VLOOKUP(F323,数据集标准分类!A:G,7,0)</f>
        <v>02</v>
      </c>
      <c r="B323" s="183" t="str">
        <f>VLOOKUP(F323,数据集标准分类!A:F,6,0)</f>
        <v>电子病历</v>
      </c>
      <c r="C323" s="183" t="str">
        <f>VLOOKUP(F323,数据集标准分类!A:E,5,0)</f>
        <v>0203</v>
      </c>
      <c r="D323" s="183" t="str">
        <f>VLOOKUP(F323,数据集标准分类!A:D,4,0)</f>
        <v>病程记录</v>
      </c>
      <c r="E323" s="183" t="str">
        <f>VLOOKUP(F323,数据集标准分类!A:C,3,0)</f>
        <v>020303</v>
      </c>
      <c r="F323" s="170" t="s">
        <v>1125</v>
      </c>
      <c r="G323" s="183" t="str">
        <f>VLOOKUP(F323,数据集标准分类!A:B,2,0)</f>
        <v>parent_phy_ward_rounds_rec</v>
      </c>
      <c r="H323" s="294">
        <f>VLOOKUP(F323,数据集标准分类!A:H,8,0)</f>
        <v>12</v>
      </c>
      <c r="I323" s="170" t="s">
        <v>1126</v>
      </c>
      <c r="J323" s="170" t="s">
        <v>1127</v>
      </c>
      <c r="K323" s="170" t="s">
        <v>1128</v>
      </c>
      <c r="L323" s="170" t="s">
        <v>1129</v>
      </c>
      <c r="M323" s="170" t="s">
        <v>1130</v>
      </c>
      <c r="N323" s="294">
        <v>1</v>
      </c>
      <c r="O323" s="170"/>
    </row>
    <row r="324" ht="15.75" customHeight="1" spans="1:15">
      <c r="A324" s="183" t="str">
        <f>VLOOKUP(F324,数据集标准分类!A:G,7,0)</f>
        <v>02</v>
      </c>
      <c r="B324" s="183" t="str">
        <f>VLOOKUP(F324,数据集标准分类!A:F,6,0)</f>
        <v>电子病历</v>
      </c>
      <c r="C324" s="183" t="str">
        <f>VLOOKUP(F324,数据集标准分类!A:E,5,0)</f>
        <v>0203</v>
      </c>
      <c r="D324" s="183" t="str">
        <f>VLOOKUP(F324,数据集标准分类!A:D,4,0)</f>
        <v>病程记录</v>
      </c>
      <c r="E324" s="183" t="str">
        <f>VLOOKUP(F324,数据集标准分类!A:C,3,0)</f>
        <v>020303</v>
      </c>
      <c r="F324" s="170" t="s">
        <v>1125</v>
      </c>
      <c r="G324" s="183" t="str">
        <f>VLOOKUP(F324,数据集标准分类!A:B,2,0)</f>
        <v>parent_phy_ward_rounds_rec</v>
      </c>
      <c r="H324" s="294">
        <f>VLOOKUP(F324,数据集标准分类!A:H,8,0)</f>
        <v>12</v>
      </c>
      <c r="I324" s="170" t="s">
        <v>1097</v>
      </c>
      <c r="J324" s="170" t="s">
        <v>1098</v>
      </c>
      <c r="K324" s="170" t="s">
        <v>1099</v>
      </c>
      <c r="L324" s="170" t="s">
        <v>1131</v>
      </c>
      <c r="M324" s="170" t="s">
        <v>1132</v>
      </c>
      <c r="N324" s="294">
        <v>2</v>
      </c>
      <c r="O324" s="170"/>
    </row>
    <row r="325" ht="15.75" customHeight="1" spans="1:15">
      <c r="A325" s="183" t="str">
        <f>VLOOKUP(F325,数据集标准分类!A:G,7,0)</f>
        <v>02</v>
      </c>
      <c r="B325" s="183" t="str">
        <f>VLOOKUP(F325,数据集标准分类!A:F,6,0)</f>
        <v>电子病历</v>
      </c>
      <c r="C325" s="183" t="str">
        <f>VLOOKUP(F325,数据集标准分类!A:E,5,0)</f>
        <v>0203</v>
      </c>
      <c r="D325" s="183" t="str">
        <f>VLOOKUP(F325,数据集标准分类!A:D,4,0)</f>
        <v>病程记录</v>
      </c>
      <c r="E325" s="183" t="str">
        <f>VLOOKUP(F325,数据集标准分类!A:C,3,0)</f>
        <v>020303</v>
      </c>
      <c r="F325" s="170" t="s">
        <v>1125</v>
      </c>
      <c r="G325" s="183" t="str">
        <f>VLOOKUP(F325,数据集标准分类!A:B,2,0)</f>
        <v>parent_phy_ward_rounds_rec</v>
      </c>
      <c r="H325" s="294">
        <f>VLOOKUP(F325,数据集标准分类!A:H,8,0)</f>
        <v>12</v>
      </c>
      <c r="I325" s="170" t="s">
        <v>1133</v>
      </c>
      <c r="J325" s="170" t="s">
        <v>1134</v>
      </c>
      <c r="K325" s="170" t="s">
        <v>1135</v>
      </c>
      <c r="L325" s="170" t="s">
        <v>1136</v>
      </c>
      <c r="M325" s="170" t="s">
        <v>1137</v>
      </c>
      <c r="N325" s="294">
        <v>3</v>
      </c>
      <c r="O325" s="170"/>
    </row>
    <row r="326" ht="15.75" customHeight="1" spans="1:15">
      <c r="A326" s="183" t="str">
        <f>VLOOKUP(F326,数据集标准分类!A:G,7,0)</f>
        <v>02</v>
      </c>
      <c r="B326" s="183" t="str">
        <f>VLOOKUP(F326,数据集标准分类!A:F,6,0)</f>
        <v>电子病历</v>
      </c>
      <c r="C326" s="183" t="str">
        <f>VLOOKUP(F326,数据集标准分类!A:E,5,0)</f>
        <v>0203</v>
      </c>
      <c r="D326" s="183" t="str">
        <f>VLOOKUP(F326,数据集标准分类!A:D,4,0)</f>
        <v>病程记录</v>
      </c>
      <c r="E326" s="183" t="str">
        <f>VLOOKUP(F326,数据集标准分类!A:C,3,0)</f>
        <v>020303</v>
      </c>
      <c r="F326" s="170" t="s">
        <v>1125</v>
      </c>
      <c r="G326" s="183" t="str">
        <f>VLOOKUP(F326,数据集标准分类!A:B,2,0)</f>
        <v>parent_phy_ward_rounds_rec</v>
      </c>
      <c r="H326" s="294">
        <f>VLOOKUP(F326,数据集标准分类!A:H,8,0)</f>
        <v>12</v>
      </c>
      <c r="I326" s="170" t="s">
        <v>1006</v>
      </c>
      <c r="J326" s="170" t="s">
        <v>1007</v>
      </c>
      <c r="K326" s="170" t="s">
        <v>1008</v>
      </c>
      <c r="L326" s="170" t="s">
        <v>1009</v>
      </c>
      <c r="M326" s="170" t="s">
        <v>1107</v>
      </c>
      <c r="N326" s="294">
        <v>4</v>
      </c>
      <c r="O326" s="170"/>
    </row>
    <row r="327" ht="15.75" customHeight="1" spans="1:15">
      <c r="A327" s="183" t="str">
        <f>VLOOKUP(F327,数据集标准分类!A:G,7,0)</f>
        <v>02</v>
      </c>
      <c r="B327" s="183" t="str">
        <f>VLOOKUP(F327,数据集标准分类!A:F,6,0)</f>
        <v>电子病历</v>
      </c>
      <c r="C327" s="183" t="str">
        <f>VLOOKUP(F327,数据集标准分类!A:E,5,0)</f>
        <v>0203</v>
      </c>
      <c r="D327" s="183" t="str">
        <f>VLOOKUP(F327,数据集标准分类!A:D,4,0)</f>
        <v>病程记录</v>
      </c>
      <c r="E327" s="183" t="str">
        <f>VLOOKUP(F327,数据集标准分类!A:C,3,0)</f>
        <v>020303</v>
      </c>
      <c r="F327" s="170" t="s">
        <v>1125</v>
      </c>
      <c r="G327" s="183" t="str">
        <f>VLOOKUP(F327,数据集标准分类!A:B,2,0)</f>
        <v>parent_phy_ward_rounds_rec</v>
      </c>
      <c r="H327" s="294">
        <f>VLOOKUP(F327,数据集标准分类!A:H,8,0)</f>
        <v>12</v>
      </c>
      <c r="I327" s="170" t="s">
        <v>784</v>
      </c>
      <c r="J327" s="170" t="s">
        <v>785</v>
      </c>
      <c r="K327" s="170" t="s">
        <v>786</v>
      </c>
      <c r="L327" s="170" t="s">
        <v>787</v>
      </c>
      <c r="M327" s="170" t="s">
        <v>788</v>
      </c>
      <c r="N327" s="294">
        <v>5</v>
      </c>
      <c r="O327" s="170"/>
    </row>
    <row r="328" ht="15.75" customHeight="1" spans="1:15">
      <c r="A328" s="183" t="str">
        <f>VLOOKUP(F328,数据集标准分类!A:G,7,0)</f>
        <v>02</v>
      </c>
      <c r="B328" s="183" t="str">
        <f>VLOOKUP(F328,数据集标准分类!A:F,6,0)</f>
        <v>电子病历</v>
      </c>
      <c r="C328" s="183" t="str">
        <f>VLOOKUP(F328,数据集标准分类!A:E,5,0)</f>
        <v>0203</v>
      </c>
      <c r="D328" s="183" t="str">
        <f>VLOOKUP(F328,数据集标准分类!A:D,4,0)</f>
        <v>病程记录</v>
      </c>
      <c r="E328" s="183" t="str">
        <f>VLOOKUP(F328,数据集标准分类!A:C,3,0)</f>
        <v>020303</v>
      </c>
      <c r="F328" s="170" t="s">
        <v>1125</v>
      </c>
      <c r="G328" s="183" t="str">
        <f>VLOOKUP(F328,数据集标准分类!A:B,2,0)</f>
        <v>parent_phy_ward_rounds_rec</v>
      </c>
      <c r="H328" s="294">
        <f>VLOOKUP(F328,数据集标准分类!A:H,8,0)</f>
        <v>12</v>
      </c>
      <c r="I328" s="170" t="s">
        <v>1092</v>
      </c>
      <c r="J328" s="170" t="s">
        <v>1093</v>
      </c>
      <c r="K328" s="170" t="s">
        <v>1094</v>
      </c>
      <c r="L328" s="170" t="s">
        <v>1095</v>
      </c>
      <c r="M328" s="170" t="s">
        <v>1108</v>
      </c>
      <c r="N328" s="294">
        <v>6</v>
      </c>
      <c r="O328" s="170"/>
    </row>
    <row r="329" ht="15.75" customHeight="1" spans="1:15">
      <c r="A329" s="183" t="str">
        <f>VLOOKUP(F329,数据集标准分类!A:G,7,0)</f>
        <v>02</v>
      </c>
      <c r="B329" s="183" t="str">
        <f>VLOOKUP(F329,数据集标准分类!A:F,6,0)</f>
        <v>电子病历</v>
      </c>
      <c r="C329" s="183" t="str">
        <f>VLOOKUP(F329,数据集标准分类!A:E,5,0)</f>
        <v>0203</v>
      </c>
      <c r="D329" s="183" t="str">
        <f>VLOOKUP(F329,数据集标准分类!A:D,4,0)</f>
        <v>病程记录</v>
      </c>
      <c r="E329" s="183" t="str">
        <f>VLOOKUP(F329,数据集标准分类!A:C,3,0)</f>
        <v>020303</v>
      </c>
      <c r="F329" s="170" t="s">
        <v>1125</v>
      </c>
      <c r="G329" s="183" t="str">
        <f>VLOOKUP(F329,数据集标准分类!A:B,2,0)</f>
        <v>parent_phy_ward_rounds_rec</v>
      </c>
      <c r="H329" s="294">
        <f>VLOOKUP(F329,数据集标准分类!A:H,8,0)</f>
        <v>12</v>
      </c>
      <c r="I329" s="170" t="s">
        <v>1109</v>
      </c>
      <c r="J329" s="170" t="s">
        <v>1110</v>
      </c>
      <c r="K329" s="170" t="s">
        <v>1111</v>
      </c>
      <c r="L329" s="170" t="s">
        <v>1112</v>
      </c>
      <c r="M329" s="170" t="s">
        <v>1113</v>
      </c>
      <c r="N329" s="294">
        <v>7</v>
      </c>
      <c r="O329" s="170"/>
    </row>
    <row r="330" ht="15.75" customHeight="1" spans="1:15">
      <c r="A330" s="183" t="str">
        <f>VLOOKUP(F330,数据集标准分类!A:G,7,0)</f>
        <v>02</v>
      </c>
      <c r="B330" s="183" t="str">
        <f>VLOOKUP(F330,数据集标准分类!A:F,6,0)</f>
        <v>电子病历</v>
      </c>
      <c r="C330" s="183" t="str">
        <f>VLOOKUP(F330,数据集标准分类!A:E,5,0)</f>
        <v>0203</v>
      </c>
      <c r="D330" s="183" t="str">
        <f>VLOOKUP(F330,数据集标准分类!A:D,4,0)</f>
        <v>病程记录</v>
      </c>
      <c r="E330" s="183" t="str">
        <f>VLOOKUP(F330,数据集标准分类!A:C,3,0)</f>
        <v>020303</v>
      </c>
      <c r="F330" s="170" t="s">
        <v>1125</v>
      </c>
      <c r="G330" s="183" t="str">
        <f>VLOOKUP(F330,数据集标准分类!A:B,2,0)</f>
        <v>parent_phy_ward_rounds_rec</v>
      </c>
      <c r="H330" s="294">
        <f>VLOOKUP(F330,数据集标准分类!A:H,8,0)</f>
        <v>12</v>
      </c>
      <c r="I330" s="170" t="s">
        <v>201</v>
      </c>
      <c r="J330" s="170" t="s">
        <v>202</v>
      </c>
      <c r="K330" s="170" t="s">
        <v>203</v>
      </c>
      <c r="L330" s="170" t="s">
        <v>204</v>
      </c>
      <c r="M330" s="170" t="s">
        <v>1114</v>
      </c>
      <c r="N330" s="294">
        <v>8</v>
      </c>
      <c r="O330" s="170"/>
    </row>
    <row r="331" ht="15.75" customHeight="1" spans="1:15">
      <c r="A331" s="183" t="str">
        <f>VLOOKUP(F331,数据集标准分类!A:G,7,0)</f>
        <v>02</v>
      </c>
      <c r="B331" s="183" t="str">
        <f>VLOOKUP(F331,数据集标准分类!A:F,6,0)</f>
        <v>电子病历</v>
      </c>
      <c r="C331" s="183" t="str">
        <f>VLOOKUP(F331,数据集标准分类!A:E,5,0)</f>
        <v>0203</v>
      </c>
      <c r="D331" s="183" t="str">
        <f>VLOOKUP(F331,数据集标准分类!A:D,4,0)</f>
        <v>病程记录</v>
      </c>
      <c r="E331" s="183" t="str">
        <f>VLOOKUP(F331,数据集标准分类!A:C,3,0)</f>
        <v>020303</v>
      </c>
      <c r="F331" s="170" t="s">
        <v>1125</v>
      </c>
      <c r="G331" s="183" t="str">
        <f>VLOOKUP(F331,数据集标准分类!A:B,2,0)</f>
        <v>parent_phy_ward_rounds_rec</v>
      </c>
      <c r="H331" s="294">
        <f>VLOOKUP(F331,数据集标准分类!A:H,8,0)</f>
        <v>12</v>
      </c>
      <c r="I331" s="170" t="s">
        <v>1083</v>
      </c>
      <c r="J331" s="170" t="s">
        <v>1084</v>
      </c>
      <c r="K331" s="170" t="s">
        <v>1085</v>
      </c>
      <c r="L331" s="170" t="s">
        <v>1086</v>
      </c>
      <c r="M331" s="170" t="s">
        <v>1087</v>
      </c>
      <c r="N331" s="294">
        <v>9</v>
      </c>
      <c r="O331" s="170"/>
    </row>
    <row r="332" ht="15.75" customHeight="1" spans="1:15">
      <c r="A332" s="183" t="str">
        <f>VLOOKUP(F332,数据集标准分类!A:G,7,0)</f>
        <v>02</v>
      </c>
      <c r="B332" s="183" t="str">
        <f>VLOOKUP(F332,数据集标准分类!A:F,6,0)</f>
        <v>电子病历</v>
      </c>
      <c r="C332" s="183" t="str">
        <f>VLOOKUP(F332,数据集标准分类!A:E,5,0)</f>
        <v>0203</v>
      </c>
      <c r="D332" s="183" t="str">
        <f>VLOOKUP(F332,数据集标准分类!A:D,4,0)</f>
        <v>病程记录</v>
      </c>
      <c r="E332" s="183" t="str">
        <f>VLOOKUP(F332,数据集标准分类!A:C,3,0)</f>
        <v>020304</v>
      </c>
      <c r="F332" s="170" t="s">
        <v>1138</v>
      </c>
      <c r="G332" s="183" t="str">
        <f>VLOOKUP(F332,数据集标准分类!A:B,2,0)</f>
        <v>difficulty_case_discuss</v>
      </c>
      <c r="H332" s="294">
        <f>VLOOKUP(F332,数据集标准分类!A:H,8,0)</f>
        <v>13</v>
      </c>
      <c r="I332" s="170" t="s">
        <v>1139</v>
      </c>
      <c r="J332" s="170" t="s">
        <v>1140</v>
      </c>
      <c r="K332" s="170" t="s">
        <v>1141</v>
      </c>
      <c r="L332" s="170" t="s">
        <v>1142</v>
      </c>
      <c r="M332" s="170" t="s">
        <v>1143</v>
      </c>
      <c r="N332" s="294">
        <v>1</v>
      </c>
      <c r="O332" s="170"/>
    </row>
    <row r="333" ht="15.75" customHeight="1" spans="1:15">
      <c r="A333" s="183" t="str">
        <f>VLOOKUP(F333,数据集标准分类!A:G,7,0)</f>
        <v>02</v>
      </c>
      <c r="B333" s="183" t="str">
        <f>VLOOKUP(F333,数据集标准分类!A:F,6,0)</f>
        <v>电子病历</v>
      </c>
      <c r="C333" s="183" t="str">
        <f>VLOOKUP(F333,数据集标准分类!A:E,5,0)</f>
        <v>0203</v>
      </c>
      <c r="D333" s="183" t="str">
        <f>VLOOKUP(F333,数据集标准分类!A:D,4,0)</f>
        <v>病程记录</v>
      </c>
      <c r="E333" s="183" t="str">
        <f>VLOOKUP(F333,数据集标准分类!A:C,3,0)</f>
        <v>020304</v>
      </c>
      <c r="F333" s="170" t="s">
        <v>1138</v>
      </c>
      <c r="G333" s="183" t="str">
        <f>VLOOKUP(F333,数据集标准分类!A:B,2,0)</f>
        <v>difficulty_case_discuss</v>
      </c>
      <c r="H333" s="294">
        <f>VLOOKUP(F333,数据集标准分类!A:H,8,0)</f>
        <v>13</v>
      </c>
      <c r="I333" s="170" t="s">
        <v>1144</v>
      </c>
      <c r="J333" s="170" t="s">
        <v>1145</v>
      </c>
      <c r="K333" s="170" t="s">
        <v>1146</v>
      </c>
      <c r="L333" s="170" t="s">
        <v>1147</v>
      </c>
      <c r="M333" s="170" t="s">
        <v>1148</v>
      </c>
      <c r="N333" s="294">
        <v>2</v>
      </c>
      <c r="O333" s="170"/>
    </row>
    <row r="334" ht="15.75" customHeight="1" spans="1:15">
      <c r="A334" s="183" t="str">
        <f>VLOOKUP(F334,数据集标准分类!A:G,7,0)</f>
        <v>02</v>
      </c>
      <c r="B334" s="183" t="str">
        <f>VLOOKUP(F334,数据集标准分类!A:F,6,0)</f>
        <v>电子病历</v>
      </c>
      <c r="C334" s="183" t="str">
        <f>VLOOKUP(F334,数据集标准分类!A:E,5,0)</f>
        <v>0203</v>
      </c>
      <c r="D334" s="183" t="str">
        <f>VLOOKUP(F334,数据集标准分类!A:D,4,0)</f>
        <v>病程记录</v>
      </c>
      <c r="E334" s="183" t="str">
        <f>VLOOKUP(F334,数据集标准分类!A:C,3,0)</f>
        <v>020304</v>
      </c>
      <c r="F334" s="170" t="s">
        <v>1138</v>
      </c>
      <c r="G334" s="183" t="str">
        <f>VLOOKUP(F334,数据集标准分类!A:B,2,0)</f>
        <v>difficulty_case_discuss</v>
      </c>
      <c r="H334" s="294">
        <f>VLOOKUP(F334,数据集标准分类!A:H,8,0)</f>
        <v>13</v>
      </c>
      <c r="I334" s="170" t="s">
        <v>784</v>
      </c>
      <c r="J334" s="170" t="s">
        <v>785</v>
      </c>
      <c r="K334" s="170" t="s">
        <v>786</v>
      </c>
      <c r="L334" s="170" t="s">
        <v>787</v>
      </c>
      <c r="M334" s="170" t="s">
        <v>788</v>
      </c>
      <c r="N334" s="294">
        <v>3</v>
      </c>
      <c r="O334" s="170"/>
    </row>
    <row r="335" ht="15.75" customHeight="1" spans="1:15">
      <c r="A335" s="183" t="str">
        <f>VLOOKUP(F335,数据集标准分类!A:G,7,0)</f>
        <v>02</v>
      </c>
      <c r="B335" s="183" t="str">
        <f>VLOOKUP(F335,数据集标准分类!A:F,6,0)</f>
        <v>电子病历</v>
      </c>
      <c r="C335" s="183" t="str">
        <f>VLOOKUP(F335,数据集标准分类!A:E,5,0)</f>
        <v>0203</v>
      </c>
      <c r="D335" s="183" t="str">
        <f>VLOOKUP(F335,数据集标准分类!A:D,4,0)</f>
        <v>病程记录</v>
      </c>
      <c r="E335" s="183" t="str">
        <f>VLOOKUP(F335,数据集标准分类!A:C,3,0)</f>
        <v>020304</v>
      </c>
      <c r="F335" s="170" t="s">
        <v>1138</v>
      </c>
      <c r="G335" s="183" t="str">
        <f>VLOOKUP(F335,数据集标准分类!A:B,2,0)</f>
        <v>difficulty_case_discuss</v>
      </c>
      <c r="H335" s="294">
        <f>VLOOKUP(F335,数据集标准分类!A:H,8,0)</f>
        <v>13</v>
      </c>
      <c r="I335" s="170" t="s">
        <v>1092</v>
      </c>
      <c r="J335" s="170" t="s">
        <v>1093</v>
      </c>
      <c r="K335" s="170" t="s">
        <v>1094</v>
      </c>
      <c r="L335" s="170" t="s">
        <v>1095</v>
      </c>
      <c r="M335" s="170" t="s">
        <v>1108</v>
      </c>
      <c r="N335" s="294">
        <v>4</v>
      </c>
      <c r="O335" s="170"/>
    </row>
    <row r="336" ht="15.75" customHeight="1" spans="1:15">
      <c r="A336" s="183" t="str">
        <f>VLOOKUP(F336,数据集标准分类!A:G,7,0)</f>
        <v>02</v>
      </c>
      <c r="B336" s="183" t="str">
        <f>VLOOKUP(F336,数据集标准分类!A:F,6,0)</f>
        <v>电子病历</v>
      </c>
      <c r="C336" s="183" t="str">
        <f>VLOOKUP(F336,数据集标准分类!A:E,5,0)</f>
        <v>0203</v>
      </c>
      <c r="D336" s="183" t="str">
        <f>VLOOKUP(F336,数据集标准分类!A:D,4,0)</f>
        <v>病程记录</v>
      </c>
      <c r="E336" s="183" t="str">
        <f>VLOOKUP(F336,数据集标准分类!A:C,3,0)</f>
        <v>020304</v>
      </c>
      <c r="F336" s="170" t="s">
        <v>1138</v>
      </c>
      <c r="G336" s="183" t="str">
        <f>VLOOKUP(F336,数据集标准分类!A:B,2,0)</f>
        <v>difficulty_case_discuss</v>
      </c>
      <c r="H336" s="294">
        <f>VLOOKUP(F336,数据集标准分类!A:H,8,0)</f>
        <v>13</v>
      </c>
      <c r="I336" s="170" t="s">
        <v>1006</v>
      </c>
      <c r="J336" s="170" t="s">
        <v>1007</v>
      </c>
      <c r="K336" s="170" t="s">
        <v>1008</v>
      </c>
      <c r="L336" s="170" t="s">
        <v>1009</v>
      </c>
      <c r="M336" s="170" t="s">
        <v>1149</v>
      </c>
      <c r="N336" s="294">
        <v>5</v>
      </c>
      <c r="O336" s="170"/>
    </row>
    <row r="337" ht="15.75" customHeight="1" spans="1:15">
      <c r="A337" s="183" t="str">
        <f>VLOOKUP(F337,数据集标准分类!A:G,7,0)</f>
        <v>02</v>
      </c>
      <c r="B337" s="183" t="str">
        <f>VLOOKUP(F337,数据集标准分类!A:F,6,0)</f>
        <v>电子病历</v>
      </c>
      <c r="C337" s="183" t="str">
        <f>VLOOKUP(F337,数据集标准分类!A:E,5,0)</f>
        <v>0203</v>
      </c>
      <c r="D337" s="183" t="str">
        <f>VLOOKUP(F337,数据集标准分类!A:D,4,0)</f>
        <v>病程记录</v>
      </c>
      <c r="E337" s="183" t="str">
        <f>VLOOKUP(F337,数据集标准分类!A:C,3,0)</f>
        <v>020304</v>
      </c>
      <c r="F337" s="170" t="s">
        <v>1138</v>
      </c>
      <c r="G337" s="183" t="str">
        <f>VLOOKUP(F337,数据集标准分类!A:B,2,0)</f>
        <v>difficulty_case_discuss</v>
      </c>
      <c r="H337" s="294">
        <f>VLOOKUP(F337,数据集标准分类!A:H,8,0)</f>
        <v>13</v>
      </c>
      <c r="I337" s="170" t="s">
        <v>201</v>
      </c>
      <c r="J337" s="170" t="s">
        <v>202</v>
      </c>
      <c r="K337" s="170" t="s">
        <v>203</v>
      </c>
      <c r="L337" s="170" t="s">
        <v>204</v>
      </c>
      <c r="M337" s="170" t="s">
        <v>1114</v>
      </c>
      <c r="N337" s="294">
        <v>6</v>
      </c>
      <c r="O337" s="170"/>
    </row>
    <row r="338" ht="15.75" customHeight="1" spans="1:15">
      <c r="A338" s="183" t="str">
        <f>VLOOKUP(F338,数据集标准分类!A:G,7,0)</f>
        <v>02</v>
      </c>
      <c r="B338" s="183" t="str">
        <f>VLOOKUP(F338,数据集标准分类!A:F,6,0)</f>
        <v>电子病历</v>
      </c>
      <c r="C338" s="183" t="str">
        <f>VLOOKUP(F338,数据集标准分类!A:E,5,0)</f>
        <v>0203</v>
      </c>
      <c r="D338" s="183" t="str">
        <f>VLOOKUP(F338,数据集标准分类!A:D,4,0)</f>
        <v>病程记录</v>
      </c>
      <c r="E338" s="183" t="str">
        <f>VLOOKUP(F338,数据集标准分类!A:C,3,0)</f>
        <v>020304</v>
      </c>
      <c r="F338" s="170" t="s">
        <v>1138</v>
      </c>
      <c r="G338" s="183" t="str">
        <f>VLOOKUP(F338,数据集标准分类!A:B,2,0)</f>
        <v>difficulty_case_discuss</v>
      </c>
      <c r="H338" s="294">
        <f>VLOOKUP(F338,数据集标准分类!A:H,8,0)</f>
        <v>13</v>
      </c>
      <c r="I338" s="170" t="s">
        <v>1150</v>
      </c>
      <c r="J338" s="170" t="s">
        <v>1151</v>
      </c>
      <c r="K338" s="170" t="s">
        <v>1152</v>
      </c>
      <c r="L338" s="170" t="s">
        <v>1153</v>
      </c>
      <c r="M338" s="170" t="s">
        <v>1154</v>
      </c>
      <c r="N338" s="294">
        <v>7</v>
      </c>
      <c r="O338" s="170"/>
    </row>
    <row r="339" ht="15.75" customHeight="1" spans="1:15">
      <c r="A339" s="183" t="str">
        <f>VLOOKUP(F339,数据集标准分类!A:G,7,0)</f>
        <v>02</v>
      </c>
      <c r="B339" s="183" t="str">
        <f>VLOOKUP(F339,数据集标准分类!A:F,6,0)</f>
        <v>电子病历</v>
      </c>
      <c r="C339" s="183" t="str">
        <f>VLOOKUP(F339,数据集标准分类!A:E,5,0)</f>
        <v>0203</v>
      </c>
      <c r="D339" s="183" t="str">
        <f>VLOOKUP(F339,数据集标准分类!A:D,4,0)</f>
        <v>病程记录</v>
      </c>
      <c r="E339" s="183" t="str">
        <f>VLOOKUP(F339,数据集标准分类!A:C,3,0)</f>
        <v>020304</v>
      </c>
      <c r="F339" s="170" t="s">
        <v>1138</v>
      </c>
      <c r="G339" s="183" t="str">
        <f>VLOOKUP(F339,数据集标准分类!A:B,2,0)</f>
        <v>difficulty_case_discuss</v>
      </c>
      <c r="H339" s="294">
        <f>VLOOKUP(F339,数据集标准分类!A:H,8,0)</f>
        <v>13</v>
      </c>
      <c r="I339" s="170" t="s">
        <v>1155</v>
      </c>
      <c r="J339" s="170" t="s">
        <v>1156</v>
      </c>
      <c r="K339" s="170" t="s">
        <v>1157</v>
      </c>
      <c r="L339" s="170" t="s">
        <v>1158</v>
      </c>
      <c r="M339" s="170"/>
      <c r="N339" s="294">
        <v>8</v>
      </c>
      <c r="O339" s="170"/>
    </row>
    <row r="340" ht="15.75" customHeight="1" spans="1:15">
      <c r="A340" s="183" t="str">
        <f>VLOOKUP(F340,数据集标准分类!A:G,7,0)</f>
        <v>02</v>
      </c>
      <c r="B340" s="183" t="str">
        <f>VLOOKUP(F340,数据集标准分类!A:F,6,0)</f>
        <v>电子病历</v>
      </c>
      <c r="C340" s="183" t="str">
        <f>VLOOKUP(F340,数据集标准分类!A:E,5,0)</f>
        <v>0203</v>
      </c>
      <c r="D340" s="183" t="str">
        <f>VLOOKUP(F340,数据集标准分类!A:D,4,0)</f>
        <v>病程记录</v>
      </c>
      <c r="E340" s="183" t="str">
        <f>VLOOKUP(F340,数据集标准分类!A:C,3,0)</f>
        <v>020304</v>
      </c>
      <c r="F340" s="170" t="s">
        <v>1138</v>
      </c>
      <c r="G340" s="183" t="str">
        <f>VLOOKUP(F340,数据集标准分类!A:B,2,0)</f>
        <v>difficulty_case_discuss</v>
      </c>
      <c r="H340" s="294">
        <f>VLOOKUP(F340,数据集标准分类!A:H,8,0)</f>
        <v>13</v>
      </c>
      <c r="I340" s="170" t="s">
        <v>1159</v>
      </c>
      <c r="J340" s="170" t="s">
        <v>1160</v>
      </c>
      <c r="K340" s="170" t="s">
        <v>1161</v>
      </c>
      <c r="L340" s="170" t="s">
        <v>1162</v>
      </c>
      <c r="M340" s="170"/>
      <c r="N340" s="294">
        <v>9</v>
      </c>
      <c r="O340" s="170"/>
    </row>
    <row r="341" ht="15.75" customHeight="1" spans="1:15">
      <c r="A341" s="183" t="str">
        <f>VLOOKUP(F341,数据集标准分类!A:G,7,0)</f>
        <v>02</v>
      </c>
      <c r="B341" s="183" t="str">
        <f>VLOOKUP(F341,数据集标准分类!A:F,6,0)</f>
        <v>电子病历</v>
      </c>
      <c r="C341" s="183" t="str">
        <f>VLOOKUP(F341,数据集标准分类!A:E,5,0)</f>
        <v>0203</v>
      </c>
      <c r="D341" s="183" t="str">
        <f>VLOOKUP(F341,数据集标准分类!A:D,4,0)</f>
        <v>病程记录</v>
      </c>
      <c r="E341" s="183" t="str">
        <f>VLOOKUP(F341,数据集标准分类!A:C,3,0)</f>
        <v>020304</v>
      </c>
      <c r="F341" s="170" t="s">
        <v>1138</v>
      </c>
      <c r="G341" s="183" t="str">
        <f>VLOOKUP(F341,数据集标准分类!A:B,2,0)</f>
        <v>difficulty_case_discuss</v>
      </c>
      <c r="H341" s="294">
        <f>VLOOKUP(F341,数据集标准分类!A:H,8,0)</f>
        <v>13</v>
      </c>
      <c r="I341" s="170" t="s">
        <v>1163</v>
      </c>
      <c r="J341" s="170" t="s">
        <v>1164</v>
      </c>
      <c r="K341" s="170" t="s">
        <v>1165</v>
      </c>
      <c r="L341" s="170" t="s">
        <v>1166</v>
      </c>
      <c r="M341" s="170"/>
      <c r="N341" s="294">
        <v>10</v>
      </c>
      <c r="O341" s="170"/>
    </row>
    <row r="342" ht="15.75" customHeight="1" spans="1:15">
      <c r="A342" s="183" t="str">
        <f>VLOOKUP(F342,数据集标准分类!A:G,7,0)</f>
        <v>02</v>
      </c>
      <c r="B342" s="183" t="str">
        <f>VLOOKUP(F342,数据集标准分类!A:F,6,0)</f>
        <v>电子病历</v>
      </c>
      <c r="C342" s="183" t="str">
        <f>VLOOKUP(F342,数据集标准分类!A:E,5,0)</f>
        <v>0203</v>
      </c>
      <c r="D342" s="183" t="str">
        <f>VLOOKUP(F342,数据集标准分类!A:D,4,0)</f>
        <v>病程记录</v>
      </c>
      <c r="E342" s="183" t="str">
        <f>VLOOKUP(F342,数据集标准分类!A:C,3,0)</f>
        <v>020304</v>
      </c>
      <c r="F342" s="170" t="s">
        <v>1138</v>
      </c>
      <c r="G342" s="183" t="str">
        <f>VLOOKUP(F342,数据集标准分类!A:B,2,0)</f>
        <v>difficulty_case_discuss</v>
      </c>
      <c r="H342" s="294">
        <f>VLOOKUP(F342,数据集标准分类!A:H,8,0)</f>
        <v>13</v>
      </c>
      <c r="I342" s="170" t="s">
        <v>1167</v>
      </c>
      <c r="J342" s="170" t="s">
        <v>1168</v>
      </c>
      <c r="K342" s="170" t="s">
        <v>1169</v>
      </c>
      <c r="L342" s="170" t="s">
        <v>1170</v>
      </c>
      <c r="M342" s="170"/>
      <c r="N342" s="294">
        <v>11</v>
      </c>
      <c r="O342" s="170"/>
    </row>
    <row r="343" ht="15.75" customHeight="1" spans="1:15">
      <c r="A343" s="183" t="str">
        <f>VLOOKUP(F343,数据集标准分类!A:G,7,0)</f>
        <v>02</v>
      </c>
      <c r="B343" s="183" t="str">
        <f>VLOOKUP(F343,数据集标准分类!A:F,6,0)</f>
        <v>电子病历</v>
      </c>
      <c r="C343" s="183" t="str">
        <f>VLOOKUP(F343,数据集标准分类!A:E,5,0)</f>
        <v>0203</v>
      </c>
      <c r="D343" s="183" t="str">
        <f>VLOOKUP(F343,数据集标准分类!A:D,4,0)</f>
        <v>病程记录</v>
      </c>
      <c r="E343" s="183" t="str">
        <f>VLOOKUP(F343,数据集标准分类!A:C,3,0)</f>
        <v>020304</v>
      </c>
      <c r="F343" s="170" t="s">
        <v>1138</v>
      </c>
      <c r="G343" s="183" t="str">
        <f>VLOOKUP(F343,数据集标准分类!A:B,2,0)</f>
        <v>difficulty_case_discuss</v>
      </c>
      <c r="H343" s="294">
        <f>VLOOKUP(F343,数据集标准分类!A:H,8,0)</f>
        <v>13</v>
      </c>
      <c r="I343" s="170" t="s">
        <v>939</v>
      </c>
      <c r="J343" s="170" t="s">
        <v>940</v>
      </c>
      <c r="K343" s="170" t="s">
        <v>941</v>
      </c>
      <c r="L343" s="170" t="s">
        <v>942</v>
      </c>
      <c r="M343" s="170"/>
      <c r="N343" s="294">
        <v>12</v>
      </c>
      <c r="O343" s="170"/>
    </row>
    <row r="344" ht="15.75" customHeight="1" spans="1:15">
      <c r="A344" s="183" t="str">
        <f>VLOOKUP(F344,数据集标准分类!A:G,7,0)</f>
        <v>02</v>
      </c>
      <c r="B344" s="183" t="str">
        <f>VLOOKUP(F344,数据集标准分类!A:F,6,0)</f>
        <v>电子病历</v>
      </c>
      <c r="C344" s="183" t="str">
        <f>VLOOKUP(F344,数据集标准分类!A:E,5,0)</f>
        <v>0203</v>
      </c>
      <c r="D344" s="183" t="str">
        <f>VLOOKUP(F344,数据集标准分类!A:D,4,0)</f>
        <v>病程记录</v>
      </c>
      <c r="E344" s="183" t="str">
        <f>VLOOKUP(F344,数据集标准分类!A:C,3,0)</f>
        <v>020304</v>
      </c>
      <c r="F344" s="170" t="s">
        <v>1138</v>
      </c>
      <c r="G344" s="183" t="str">
        <f>VLOOKUP(F344,数据集标准分类!A:B,2,0)</f>
        <v>difficulty_case_discuss</v>
      </c>
      <c r="H344" s="294">
        <f>VLOOKUP(F344,数据集标准分类!A:H,8,0)</f>
        <v>13</v>
      </c>
      <c r="I344" s="170" t="s">
        <v>966</v>
      </c>
      <c r="J344" s="170" t="s">
        <v>967</v>
      </c>
      <c r="K344" s="170" t="s">
        <v>968</v>
      </c>
      <c r="L344" s="170" t="s">
        <v>969</v>
      </c>
      <c r="M344" s="170"/>
      <c r="N344" s="294">
        <v>13</v>
      </c>
      <c r="O344" s="170"/>
    </row>
    <row r="345" ht="15.75" customHeight="1" spans="1:15">
      <c r="A345" s="183" t="str">
        <f>VLOOKUP(F345,数据集标准分类!A:G,7,0)</f>
        <v>02</v>
      </c>
      <c r="B345" s="183" t="str">
        <f>VLOOKUP(F345,数据集标准分类!A:F,6,0)</f>
        <v>电子病历</v>
      </c>
      <c r="C345" s="183" t="str">
        <f>VLOOKUP(F345,数据集标准分类!A:E,5,0)</f>
        <v>0203</v>
      </c>
      <c r="D345" s="183" t="str">
        <f>VLOOKUP(F345,数据集标准分类!A:D,4,0)</f>
        <v>病程记录</v>
      </c>
      <c r="E345" s="183" t="str">
        <f>VLOOKUP(F345,数据集标准分类!A:C,3,0)</f>
        <v>020304</v>
      </c>
      <c r="F345" s="170" t="s">
        <v>1138</v>
      </c>
      <c r="G345" s="183" t="str">
        <f>VLOOKUP(F345,数据集标准分类!A:B,2,0)</f>
        <v>difficulty_case_discuss</v>
      </c>
      <c r="H345" s="294">
        <f>VLOOKUP(F345,数据集标准分类!A:H,8,0)</f>
        <v>13</v>
      </c>
      <c r="I345" s="170" t="s">
        <v>1083</v>
      </c>
      <c r="J345" s="170" t="s">
        <v>1084</v>
      </c>
      <c r="K345" s="170" t="s">
        <v>1085</v>
      </c>
      <c r="L345" s="170" t="s">
        <v>1086</v>
      </c>
      <c r="M345" s="170"/>
      <c r="N345" s="294">
        <v>14</v>
      </c>
      <c r="O345" s="170"/>
    </row>
    <row r="346" ht="15.75" customHeight="1" spans="1:15">
      <c r="A346" s="183" t="str">
        <f>VLOOKUP(F346,数据集标准分类!A:G,7,0)</f>
        <v>02</v>
      </c>
      <c r="B346" s="183" t="str">
        <f>VLOOKUP(F346,数据集标准分类!A:F,6,0)</f>
        <v>电子病历</v>
      </c>
      <c r="C346" s="183" t="str">
        <f>VLOOKUP(F346,数据集标准分类!A:E,5,0)</f>
        <v>0203</v>
      </c>
      <c r="D346" s="183" t="str">
        <f>VLOOKUP(F346,数据集标准分类!A:D,4,0)</f>
        <v>病程记录</v>
      </c>
      <c r="E346" s="183" t="str">
        <f>VLOOKUP(F346,数据集标准分类!A:C,3,0)</f>
        <v>020305</v>
      </c>
      <c r="F346" s="170" t="s">
        <v>1171</v>
      </c>
      <c r="G346" s="183" t="str">
        <f>VLOOKUP(F346,数据集标准分类!A:B,2,0)</f>
        <v>shift_changeover_record</v>
      </c>
      <c r="H346" s="294">
        <f>VLOOKUP(F346,数据集标准分类!A:H,8,0)</f>
        <v>14</v>
      </c>
      <c r="I346" s="170" t="s">
        <v>152</v>
      </c>
      <c r="J346" s="170" t="s">
        <v>153</v>
      </c>
      <c r="K346" s="170" t="s">
        <v>154</v>
      </c>
      <c r="L346" s="170" t="s">
        <v>155</v>
      </c>
      <c r="M346" s="170" t="s">
        <v>156</v>
      </c>
      <c r="N346" s="294">
        <v>1</v>
      </c>
      <c r="O346" s="170"/>
    </row>
    <row r="347" ht="15.75" customHeight="1" spans="1:15">
      <c r="A347" s="183" t="str">
        <f>VLOOKUP(F347,数据集标准分类!A:G,7,0)</f>
        <v>02</v>
      </c>
      <c r="B347" s="183" t="str">
        <f>VLOOKUP(F347,数据集标准分类!A:F,6,0)</f>
        <v>电子病历</v>
      </c>
      <c r="C347" s="183" t="str">
        <f>VLOOKUP(F347,数据集标准分类!A:E,5,0)</f>
        <v>0203</v>
      </c>
      <c r="D347" s="183" t="str">
        <f>VLOOKUP(F347,数据集标准分类!A:D,4,0)</f>
        <v>病程记录</v>
      </c>
      <c r="E347" s="183" t="str">
        <f>VLOOKUP(F347,数据集标准分类!A:C,3,0)</f>
        <v>020305</v>
      </c>
      <c r="F347" s="170" t="s">
        <v>1171</v>
      </c>
      <c r="G347" s="183" t="str">
        <f>VLOOKUP(F347,数据集标准分类!A:B,2,0)</f>
        <v>shift_changeover_record</v>
      </c>
      <c r="H347" s="294">
        <f>VLOOKUP(F347,数据集标准分类!A:H,8,0)</f>
        <v>14</v>
      </c>
      <c r="I347" s="170" t="s">
        <v>663</v>
      </c>
      <c r="J347" s="170" t="s">
        <v>664</v>
      </c>
      <c r="K347" s="170" t="s">
        <v>665</v>
      </c>
      <c r="L347" s="170" t="s">
        <v>666</v>
      </c>
      <c r="M347" s="170" t="s">
        <v>667</v>
      </c>
      <c r="N347" s="294">
        <v>2</v>
      </c>
      <c r="O347" s="170"/>
    </row>
    <row r="348" ht="15.75" customHeight="1" spans="1:15">
      <c r="A348" s="183" t="str">
        <f>VLOOKUP(F348,数据集标准分类!A:G,7,0)</f>
        <v>02</v>
      </c>
      <c r="B348" s="183" t="str">
        <f>VLOOKUP(F348,数据集标准分类!A:F,6,0)</f>
        <v>电子病历</v>
      </c>
      <c r="C348" s="183" t="str">
        <f>VLOOKUP(F348,数据集标准分类!A:E,5,0)</f>
        <v>0203</v>
      </c>
      <c r="D348" s="183" t="str">
        <f>VLOOKUP(F348,数据集标准分类!A:D,4,0)</f>
        <v>病程记录</v>
      </c>
      <c r="E348" s="183" t="str">
        <f>VLOOKUP(F348,数据集标准分类!A:C,3,0)</f>
        <v>020305</v>
      </c>
      <c r="F348" s="170" t="s">
        <v>1171</v>
      </c>
      <c r="G348" s="183" t="str">
        <f>VLOOKUP(F348,数据集标准分类!A:B,2,0)</f>
        <v>shift_changeover_record</v>
      </c>
      <c r="H348" s="294">
        <f>VLOOKUP(F348,数据集标准分类!A:H,8,0)</f>
        <v>14</v>
      </c>
      <c r="I348" s="170" t="s">
        <v>924</v>
      </c>
      <c r="J348" s="170" t="s">
        <v>925</v>
      </c>
      <c r="K348" s="170" t="s">
        <v>926</v>
      </c>
      <c r="L348" s="170" t="s">
        <v>927</v>
      </c>
      <c r="M348" s="170" t="s">
        <v>928</v>
      </c>
      <c r="N348" s="294">
        <v>3</v>
      </c>
      <c r="O348" s="170"/>
    </row>
    <row r="349" ht="15.75" customHeight="1" spans="1:15">
      <c r="A349" s="183" t="str">
        <f>VLOOKUP(F349,数据集标准分类!A:G,7,0)</f>
        <v>02</v>
      </c>
      <c r="B349" s="183" t="str">
        <f>VLOOKUP(F349,数据集标准分类!A:F,6,0)</f>
        <v>电子病历</v>
      </c>
      <c r="C349" s="183" t="str">
        <f>VLOOKUP(F349,数据集标准分类!A:E,5,0)</f>
        <v>0203</v>
      </c>
      <c r="D349" s="183" t="str">
        <f>VLOOKUP(F349,数据集标准分类!A:D,4,0)</f>
        <v>病程记录</v>
      </c>
      <c r="E349" s="183" t="str">
        <f>VLOOKUP(F349,数据集标准分类!A:C,3,0)</f>
        <v>020305</v>
      </c>
      <c r="F349" s="170" t="s">
        <v>1171</v>
      </c>
      <c r="G349" s="183" t="str">
        <f>VLOOKUP(F349,数据集标准分类!A:B,2,0)</f>
        <v>shift_changeover_record</v>
      </c>
      <c r="H349" s="294">
        <f>VLOOKUP(F349,数据集标准分类!A:H,8,0)</f>
        <v>14</v>
      </c>
      <c r="I349" s="170" t="s">
        <v>784</v>
      </c>
      <c r="J349" s="170" t="s">
        <v>785</v>
      </c>
      <c r="K349" s="170" t="s">
        <v>786</v>
      </c>
      <c r="L349" s="170" t="s">
        <v>787</v>
      </c>
      <c r="M349" s="170" t="s">
        <v>788</v>
      </c>
      <c r="N349" s="294">
        <v>4</v>
      </c>
      <c r="O349" s="170"/>
    </row>
    <row r="350" ht="15.75" customHeight="1" spans="1:15">
      <c r="A350" s="183" t="str">
        <f>VLOOKUP(F350,数据集标准分类!A:G,7,0)</f>
        <v>02</v>
      </c>
      <c r="B350" s="183" t="str">
        <f>VLOOKUP(F350,数据集标准分类!A:F,6,0)</f>
        <v>电子病历</v>
      </c>
      <c r="C350" s="183" t="str">
        <f>VLOOKUP(F350,数据集标准分类!A:E,5,0)</f>
        <v>0203</v>
      </c>
      <c r="D350" s="183" t="str">
        <f>VLOOKUP(F350,数据集标准分类!A:D,4,0)</f>
        <v>病程记录</v>
      </c>
      <c r="E350" s="183" t="str">
        <f>VLOOKUP(F350,数据集标准分类!A:C,3,0)</f>
        <v>020305</v>
      </c>
      <c r="F350" s="170" t="s">
        <v>1171</v>
      </c>
      <c r="G350" s="183" t="str">
        <f>VLOOKUP(F350,数据集标准分类!A:B,2,0)</f>
        <v>shift_changeover_record</v>
      </c>
      <c r="H350" s="294">
        <f>VLOOKUP(F350,数据集标准分类!A:H,8,0)</f>
        <v>14</v>
      </c>
      <c r="I350" s="170" t="s">
        <v>943</v>
      </c>
      <c r="J350" s="170" t="s">
        <v>944</v>
      </c>
      <c r="K350" s="170" t="s">
        <v>945</v>
      </c>
      <c r="L350" s="170" t="s">
        <v>946</v>
      </c>
      <c r="M350" s="170" t="s">
        <v>947</v>
      </c>
      <c r="N350" s="294">
        <v>5</v>
      </c>
      <c r="O350" s="170"/>
    </row>
    <row r="351" ht="15.75" customHeight="1" spans="1:15">
      <c r="A351" s="183" t="str">
        <f>VLOOKUP(F351,数据集标准分类!A:G,7,0)</f>
        <v>02</v>
      </c>
      <c r="B351" s="183" t="str">
        <f>VLOOKUP(F351,数据集标准分类!A:F,6,0)</f>
        <v>电子病历</v>
      </c>
      <c r="C351" s="183" t="str">
        <f>VLOOKUP(F351,数据集标准分类!A:E,5,0)</f>
        <v>0203</v>
      </c>
      <c r="D351" s="183" t="str">
        <f>VLOOKUP(F351,数据集标准分类!A:D,4,0)</f>
        <v>病程记录</v>
      </c>
      <c r="E351" s="183" t="str">
        <f>VLOOKUP(F351,数据集标准分类!A:C,3,0)</f>
        <v>020305</v>
      </c>
      <c r="F351" s="170" t="s">
        <v>1171</v>
      </c>
      <c r="G351" s="183" t="str">
        <f>VLOOKUP(F351,数据集标准分类!A:B,2,0)</f>
        <v>shift_changeover_record</v>
      </c>
      <c r="H351" s="294">
        <f>VLOOKUP(F351,数据集标准分类!A:H,8,0)</f>
        <v>14</v>
      </c>
      <c r="I351" s="170" t="s">
        <v>952</v>
      </c>
      <c r="J351" s="170" t="s">
        <v>953</v>
      </c>
      <c r="K351" s="170" t="s">
        <v>954</v>
      </c>
      <c r="L351" s="170" t="s">
        <v>955</v>
      </c>
      <c r="M351" s="170" t="s">
        <v>956</v>
      </c>
      <c r="N351" s="294">
        <v>6</v>
      </c>
      <c r="O351" s="170"/>
    </row>
    <row r="352" ht="15.75" customHeight="1" spans="1:15">
      <c r="A352" s="183" t="str">
        <f>VLOOKUP(F352,数据集标准分类!A:G,7,0)</f>
        <v>02</v>
      </c>
      <c r="B352" s="183" t="str">
        <f>VLOOKUP(F352,数据集标准分类!A:F,6,0)</f>
        <v>电子病历</v>
      </c>
      <c r="C352" s="183" t="str">
        <f>VLOOKUP(F352,数据集标准分类!A:E,5,0)</f>
        <v>0203</v>
      </c>
      <c r="D352" s="183" t="str">
        <f>VLOOKUP(F352,数据集标准分类!A:D,4,0)</f>
        <v>病程记录</v>
      </c>
      <c r="E352" s="183" t="str">
        <f>VLOOKUP(F352,数据集标准分类!A:C,3,0)</f>
        <v>020305</v>
      </c>
      <c r="F352" s="170" t="s">
        <v>1171</v>
      </c>
      <c r="G352" s="183" t="str">
        <f>VLOOKUP(F352,数据集标准分类!A:B,2,0)</f>
        <v>shift_changeover_record</v>
      </c>
      <c r="H352" s="294">
        <f>VLOOKUP(F352,数据集标准分类!A:H,8,0)</f>
        <v>14</v>
      </c>
      <c r="I352" s="170" t="s">
        <v>961</v>
      </c>
      <c r="J352" s="170" t="s">
        <v>962</v>
      </c>
      <c r="K352" s="170" t="s">
        <v>963</v>
      </c>
      <c r="L352" s="170" t="s">
        <v>964</v>
      </c>
      <c r="M352" s="170" t="s">
        <v>965</v>
      </c>
      <c r="N352" s="294">
        <v>7</v>
      </c>
      <c r="O352" s="170"/>
    </row>
    <row r="353" ht="15.75" customHeight="1" spans="1:15">
      <c r="A353" s="183" t="str">
        <f>VLOOKUP(F353,数据集标准分类!A:G,7,0)</f>
        <v>02</v>
      </c>
      <c r="B353" s="183" t="str">
        <f>VLOOKUP(F353,数据集标准分类!A:F,6,0)</f>
        <v>电子病历</v>
      </c>
      <c r="C353" s="183" t="str">
        <f>VLOOKUP(F353,数据集标准分类!A:E,5,0)</f>
        <v>0203</v>
      </c>
      <c r="D353" s="183" t="str">
        <f>VLOOKUP(F353,数据集标准分类!A:D,4,0)</f>
        <v>病程记录</v>
      </c>
      <c r="E353" s="183" t="str">
        <f>VLOOKUP(F353,数据集标准分类!A:C,3,0)</f>
        <v>020305</v>
      </c>
      <c r="F353" s="170" t="s">
        <v>1171</v>
      </c>
      <c r="G353" s="183" t="str">
        <f>VLOOKUP(F353,数据集标准分类!A:B,2,0)</f>
        <v>shift_changeover_record</v>
      </c>
      <c r="H353" s="294">
        <f>VLOOKUP(F353,数据集标准分类!A:H,8,0)</f>
        <v>14</v>
      </c>
      <c r="I353" s="170" t="s">
        <v>789</v>
      </c>
      <c r="J353" s="170" t="s">
        <v>790</v>
      </c>
      <c r="K353" s="170" t="s">
        <v>790</v>
      </c>
      <c r="L353" s="170" t="s">
        <v>791</v>
      </c>
      <c r="M353" s="170" t="s">
        <v>792</v>
      </c>
      <c r="N353" s="294">
        <v>8</v>
      </c>
      <c r="O353" s="170"/>
    </row>
    <row r="354" ht="15.75" customHeight="1" spans="1:15">
      <c r="A354" s="183" t="str">
        <f>VLOOKUP(F354,数据集标准分类!A:G,7,0)</f>
        <v>02</v>
      </c>
      <c r="B354" s="183" t="str">
        <f>VLOOKUP(F354,数据集标准分类!A:F,6,0)</f>
        <v>电子病历</v>
      </c>
      <c r="C354" s="183" t="str">
        <f>VLOOKUP(F354,数据集标准分类!A:E,5,0)</f>
        <v>0203</v>
      </c>
      <c r="D354" s="183" t="str">
        <f>VLOOKUP(F354,数据集标准分类!A:D,4,0)</f>
        <v>病程记录</v>
      </c>
      <c r="E354" s="183" t="str">
        <f>VLOOKUP(F354,数据集标准分类!A:C,3,0)</f>
        <v>020305</v>
      </c>
      <c r="F354" s="170" t="s">
        <v>1171</v>
      </c>
      <c r="G354" s="183" t="str">
        <f>VLOOKUP(F354,数据集标准分类!A:B,2,0)</f>
        <v>shift_changeover_record</v>
      </c>
      <c r="H354" s="294">
        <f>VLOOKUP(F354,数据集标准分类!A:H,8,0)</f>
        <v>14</v>
      </c>
      <c r="I354" s="170" t="s">
        <v>966</v>
      </c>
      <c r="J354" s="170" t="s">
        <v>967</v>
      </c>
      <c r="K354" s="170" t="s">
        <v>968</v>
      </c>
      <c r="L354" s="170" t="s">
        <v>969</v>
      </c>
      <c r="M354" s="170" t="s">
        <v>970</v>
      </c>
      <c r="N354" s="294">
        <v>9</v>
      </c>
      <c r="O354" s="170"/>
    </row>
    <row r="355" ht="15.75" customHeight="1" spans="1:15">
      <c r="A355" s="183" t="str">
        <f>VLOOKUP(F355,数据集标准分类!A:G,7,0)</f>
        <v>02</v>
      </c>
      <c r="B355" s="183" t="str">
        <f>VLOOKUP(F355,数据集标准分类!A:F,6,0)</f>
        <v>电子病历</v>
      </c>
      <c r="C355" s="183" t="str">
        <f>VLOOKUP(F355,数据集标准分类!A:E,5,0)</f>
        <v>0203</v>
      </c>
      <c r="D355" s="183" t="str">
        <f>VLOOKUP(F355,数据集标准分类!A:D,4,0)</f>
        <v>病程记录</v>
      </c>
      <c r="E355" s="183" t="str">
        <f>VLOOKUP(F355,数据集标准分类!A:C,3,0)</f>
        <v>020305</v>
      </c>
      <c r="F355" s="170" t="s">
        <v>1171</v>
      </c>
      <c r="G355" s="183" t="str">
        <f>VLOOKUP(F355,数据集标准分类!A:B,2,0)</f>
        <v>shift_changeover_record</v>
      </c>
      <c r="H355" s="294">
        <f>VLOOKUP(F355,数据集标准分类!A:H,8,0)</f>
        <v>14</v>
      </c>
      <c r="I355" s="170" t="s">
        <v>1172</v>
      </c>
      <c r="J355" s="170" t="s">
        <v>1173</v>
      </c>
      <c r="K355" s="170" t="s">
        <v>1174</v>
      </c>
      <c r="L355" s="170" t="s">
        <v>1175</v>
      </c>
      <c r="M355" s="170" t="s">
        <v>1176</v>
      </c>
      <c r="N355" s="294">
        <v>10</v>
      </c>
      <c r="O355" s="170"/>
    </row>
    <row r="356" ht="15.75" customHeight="1" spans="1:15">
      <c r="A356" s="183" t="str">
        <f>VLOOKUP(F356,数据集标准分类!A:G,7,0)</f>
        <v>02</v>
      </c>
      <c r="B356" s="183" t="str">
        <f>VLOOKUP(F356,数据集标准分类!A:F,6,0)</f>
        <v>电子病历</v>
      </c>
      <c r="C356" s="183" t="str">
        <f>VLOOKUP(F356,数据集标准分类!A:E,5,0)</f>
        <v>0203</v>
      </c>
      <c r="D356" s="183" t="str">
        <f>VLOOKUP(F356,数据集标准分类!A:D,4,0)</f>
        <v>病程记录</v>
      </c>
      <c r="E356" s="183" t="str">
        <f>VLOOKUP(F356,数据集标准分类!A:C,3,0)</f>
        <v>020305</v>
      </c>
      <c r="F356" s="170" t="s">
        <v>1171</v>
      </c>
      <c r="G356" s="183" t="str">
        <f>VLOOKUP(F356,数据集标准分类!A:B,2,0)</f>
        <v>shift_changeover_record</v>
      </c>
      <c r="H356" s="294">
        <f>VLOOKUP(F356,数据集标准分类!A:H,8,0)</f>
        <v>14</v>
      </c>
      <c r="I356" s="170" t="s">
        <v>1177</v>
      </c>
      <c r="J356" s="170" t="s">
        <v>1178</v>
      </c>
      <c r="K356" s="170" t="s">
        <v>1179</v>
      </c>
      <c r="L356" s="170" t="s">
        <v>1180</v>
      </c>
      <c r="M356" s="170" t="s">
        <v>1181</v>
      </c>
      <c r="N356" s="294">
        <v>11</v>
      </c>
      <c r="O356" s="170"/>
    </row>
    <row r="357" ht="15.75" customHeight="1" spans="1:15">
      <c r="A357" s="183" t="str">
        <f>VLOOKUP(F357,数据集标准分类!A:G,7,0)</f>
        <v>02</v>
      </c>
      <c r="B357" s="183" t="str">
        <f>VLOOKUP(F357,数据集标准分类!A:F,6,0)</f>
        <v>电子病历</v>
      </c>
      <c r="C357" s="183" t="str">
        <f>VLOOKUP(F357,数据集标准分类!A:E,5,0)</f>
        <v>0203</v>
      </c>
      <c r="D357" s="183" t="str">
        <f>VLOOKUP(F357,数据集标准分类!A:D,4,0)</f>
        <v>病程记录</v>
      </c>
      <c r="E357" s="183" t="str">
        <f>VLOOKUP(F357,数据集标准分类!A:C,3,0)</f>
        <v>020305</v>
      </c>
      <c r="F357" s="170" t="s">
        <v>1171</v>
      </c>
      <c r="G357" s="183" t="str">
        <f>VLOOKUP(F357,数据集标准分类!A:B,2,0)</f>
        <v>shift_changeover_record</v>
      </c>
      <c r="H357" s="294">
        <f>VLOOKUP(F357,数据集标准分类!A:H,8,0)</f>
        <v>14</v>
      </c>
      <c r="I357" s="170" t="s">
        <v>1182</v>
      </c>
      <c r="J357" s="170" t="s">
        <v>1183</v>
      </c>
      <c r="K357" s="170" t="s">
        <v>1184</v>
      </c>
      <c r="L357" s="170" t="s">
        <v>1185</v>
      </c>
      <c r="M357" s="170" t="s">
        <v>1186</v>
      </c>
      <c r="N357" s="294">
        <v>12</v>
      </c>
      <c r="O357" s="170"/>
    </row>
    <row r="358" ht="15.75" customHeight="1" spans="1:15">
      <c r="A358" s="183" t="str">
        <f>VLOOKUP(F358,数据集标准分类!A:G,7,0)</f>
        <v>02</v>
      </c>
      <c r="B358" s="183" t="str">
        <f>VLOOKUP(F358,数据集标准分类!A:F,6,0)</f>
        <v>电子病历</v>
      </c>
      <c r="C358" s="183" t="str">
        <f>VLOOKUP(F358,数据集标准分类!A:E,5,0)</f>
        <v>0203</v>
      </c>
      <c r="D358" s="183" t="str">
        <f>VLOOKUP(F358,数据集标准分类!A:D,4,0)</f>
        <v>病程记录</v>
      </c>
      <c r="E358" s="183" t="str">
        <f>VLOOKUP(F358,数据集标准分类!A:C,3,0)</f>
        <v>020305</v>
      </c>
      <c r="F358" s="170" t="s">
        <v>1171</v>
      </c>
      <c r="G358" s="183" t="str">
        <f>VLOOKUP(F358,数据集标准分类!A:B,2,0)</f>
        <v>shift_changeover_record</v>
      </c>
      <c r="H358" s="294">
        <f>VLOOKUP(F358,数据集标准分类!A:H,8,0)</f>
        <v>14</v>
      </c>
      <c r="I358" s="170" t="s">
        <v>1187</v>
      </c>
      <c r="J358" s="170" t="s">
        <v>1188</v>
      </c>
      <c r="K358" s="170" t="s">
        <v>1189</v>
      </c>
      <c r="L358" s="170" t="s">
        <v>1190</v>
      </c>
      <c r="M358" s="170" t="s">
        <v>1191</v>
      </c>
      <c r="N358" s="294">
        <v>13</v>
      </c>
      <c r="O358" s="170"/>
    </row>
    <row r="359" ht="15.75" customHeight="1" spans="1:15">
      <c r="A359" s="183" t="str">
        <f>VLOOKUP(F359,数据集标准分类!A:G,7,0)</f>
        <v>02</v>
      </c>
      <c r="B359" s="183" t="str">
        <f>VLOOKUP(F359,数据集标准分类!A:F,6,0)</f>
        <v>电子病历</v>
      </c>
      <c r="C359" s="183" t="str">
        <f>VLOOKUP(F359,数据集标准分类!A:E,5,0)</f>
        <v>0203</v>
      </c>
      <c r="D359" s="183" t="str">
        <f>VLOOKUP(F359,数据集标准分类!A:D,4,0)</f>
        <v>病程记录</v>
      </c>
      <c r="E359" s="183" t="str">
        <f>VLOOKUP(F359,数据集标准分类!A:C,3,0)</f>
        <v>020305</v>
      </c>
      <c r="F359" s="170" t="s">
        <v>1171</v>
      </c>
      <c r="G359" s="183" t="str">
        <f>VLOOKUP(F359,数据集标准分类!A:B,2,0)</f>
        <v>shift_changeover_record</v>
      </c>
      <c r="H359" s="294">
        <f>VLOOKUP(F359,数据集标准分类!A:H,8,0)</f>
        <v>14</v>
      </c>
      <c r="I359" s="170" t="s">
        <v>1192</v>
      </c>
      <c r="J359" s="170" t="s">
        <v>1193</v>
      </c>
      <c r="K359" s="170" t="s">
        <v>1194</v>
      </c>
      <c r="L359" s="170" t="s">
        <v>1195</v>
      </c>
      <c r="M359" s="170" t="s">
        <v>1196</v>
      </c>
      <c r="N359" s="294">
        <v>14</v>
      </c>
      <c r="O359" s="170"/>
    </row>
    <row r="360" ht="15.75" customHeight="1" spans="1:15">
      <c r="A360" s="183" t="str">
        <f>VLOOKUP(F360,数据集标准分类!A:G,7,0)</f>
        <v>02</v>
      </c>
      <c r="B360" s="183" t="str">
        <f>VLOOKUP(F360,数据集标准分类!A:F,6,0)</f>
        <v>电子病历</v>
      </c>
      <c r="C360" s="183" t="str">
        <f>VLOOKUP(F360,数据集标准分类!A:E,5,0)</f>
        <v>0203</v>
      </c>
      <c r="D360" s="183" t="str">
        <f>VLOOKUP(F360,数据集标准分类!A:D,4,0)</f>
        <v>病程记录</v>
      </c>
      <c r="E360" s="183" t="str">
        <f>VLOOKUP(F360,数据集标准分类!A:C,3,0)</f>
        <v>020305</v>
      </c>
      <c r="F360" s="170" t="s">
        <v>1171</v>
      </c>
      <c r="G360" s="183" t="str">
        <f>VLOOKUP(F360,数据集标准分类!A:B,2,0)</f>
        <v>shift_changeover_record</v>
      </c>
      <c r="H360" s="294">
        <f>VLOOKUP(F360,数据集标准分类!A:H,8,0)</f>
        <v>14</v>
      </c>
      <c r="I360" s="170" t="s">
        <v>1083</v>
      </c>
      <c r="J360" s="170" t="s">
        <v>1084</v>
      </c>
      <c r="K360" s="170" t="s">
        <v>1085</v>
      </c>
      <c r="L360" s="170" t="s">
        <v>1086</v>
      </c>
      <c r="M360" s="170" t="s">
        <v>1197</v>
      </c>
      <c r="N360" s="294">
        <v>15</v>
      </c>
      <c r="O360" s="170"/>
    </row>
    <row r="361" ht="15.75" customHeight="1" spans="1:15">
      <c r="A361" s="183" t="str">
        <f>VLOOKUP(F361,数据集标准分类!A:G,7,0)</f>
        <v>02</v>
      </c>
      <c r="B361" s="183" t="str">
        <f>VLOOKUP(F361,数据集标准分类!A:F,6,0)</f>
        <v>电子病历</v>
      </c>
      <c r="C361" s="183" t="str">
        <f>VLOOKUP(F361,数据集标准分类!A:E,5,0)</f>
        <v>0203</v>
      </c>
      <c r="D361" s="183" t="str">
        <f>VLOOKUP(F361,数据集标准分类!A:D,4,0)</f>
        <v>病程记录</v>
      </c>
      <c r="E361" s="183" t="str">
        <f>VLOOKUP(F361,数据集标准分类!A:C,3,0)</f>
        <v>020305</v>
      </c>
      <c r="F361" s="170" t="s">
        <v>1171</v>
      </c>
      <c r="G361" s="183" t="str">
        <f>VLOOKUP(F361,数据集标准分类!A:B,2,0)</f>
        <v>shift_changeover_record</v>
      </c>
      <c r="H361" s="294">
        <f>VLOOKUP(F361,数据集标准分类!A:H,8,0)</f>
        <v>14</v>
      </c>
      <c r="I361" s="170" t="s">
        <v>1198</v>
      </c>
      <c r="J361" s="170" t="s">
        <v>1199</v>
      </c>
      <c r="K361" s="170" t="s">
        <v>1200</v>
      </c>
      <c r="L361" s="170" t="s">
        <v>1201</v>
      </c>
      <c r="M361" s="170"/>
      <c r="N361" s="294">
        <v>16</v>
      </c>
      <c r="O361" s="170"/>
    </row>
    <row r="362" ht="15.75" customHeight="1" spans="1:15">
      <c r="A362" s="183" t="str">
        <f>VLOOKUP(F362,数据集标准分类!A:G,7,0)</f>
        <v>02</v>
      </c>
      <c r="B362" s="183" t="str">
        <f>VLOOKUP(F362,数据集标准分类!A:F,6,0)</f>
        <v>电子病历</v>
      </c>
      <c r="C362" s="183" t="str">
        <f>VLOOKUP(F362,数据集标准分类!A:E,5,0)</f>
        <v>0203</v>
      </c>
      <c r="D362" s="183" t="str">
        <f>VLOOKUP(F362,数据集标准分类!A:D,4,0)</f>
        <v>病程记录</v>
      </c>
      <c r="E362" s="183" t="str">
        <f>VLOOKUP(F362,数据集标准分类!A:C,3,0)</f>
        <v>020305</v>
      </c>
      <c r="F362" s="170" t="s">
        <v>1171</v>
      </c>
      <c r="G362" s="183" t="str">
        <f>VLOOKUP(F362,数据集标准分类!A:B,2,0)</f>
        <v>shift_changeover_record</v>
      </c>
      <c r="H362" s="294">
        <f>VLOOKUP(F362,数据集标准分类!A:H,8,0)</f>
        <v>14</v>
      </c>
      <c r="I362" s="170" t="s">
        <v>1202</v>
      </c>
      <c r="J362" s="170" t="s">
        <v>1203</v>
      </c>
      <c r="K362" s="170" t="s">
        <v>1204</v>
      </c>
      <c r="L362" s="170" t="s">
        <v>1205</v>
      </c>
      <c r="M362" s="170"/>
      <c r="N362" s="294">
        <v>17</v>
      </c>
      <c r="O362" s="170"/>
    </row>
    <row r="363" ht="15.75" customHeight="1" spans="1:15">
      <c r="A363" s="183" t="str">
        <f>VLOOKUP(F363,数据集标准分类!A:G,7,0)</f>
        <v>02</v>
      </c>
      <c r="B363" s="183" t="str">
        <f>VLOOKUP(F363,数据集标准分类!A:F,6,0)</f>
        <v>电子病历</v>
      </c>
      <c r="C363" s="183" t="str">
        <f>VLOOKUP(F363,数据集标准分类!A:E,5,0)</f>
        <v>0203</v>
      </c>
      <c r="D363" s="183" t="str">
        <f>VLOOKUP(F363,数据集标准分类!A:D,4,0)</f>
        <v>病程记录</v>
      </c>
      <c r="E363" s="183" t="str">
        <f>VLOOKUP(F363,数据集标准分类!A:C,3,0)</f>
        <v>020305</v>
      </c>
      <c r="F363" s="170" t="s">
        <v>1171</v>
      </c>
      <c r="G363" s="183" t="str">
        <f>VLOOKUP(F363,数据集标准分类!A:B,2,0)</f>
        <v>shift_changeover_record</v>
      </c>
      <c r="H363" s="294">
        <f>VLOOKUP(F363,数据集标准分类!A:H,8,0)</f>
        <v>14</v>
      </c>
      <c r="I363" s="170" t="s">
        <v>1206</v>
      </c>
      <c r="J363" s="170" t="s">
        <v>1207</v>
      </c>
      <c r="K363" s="170" t="s">
        <v>1208</v>
      </c>
      <c r="L363" s="170" t="s">
        <v>1209</v>
      </c>
      <c r="M363" s="170"/>
      <c r="N363" s="294">
        <v>18</v>
      </c>
      <c r="O363" s="170"/>
    </row>
    <row r="364" ht="15.75" customHeight="1" spans="1:15">
      <c r="A364" s="183" t="str">
        <f>VLOOKUP(F364,数据集标准分类!A:G,7,0)</f>
        <v>02</v>
      </c>
      <c r="B364" s="183" t="str">
        <f>VLOOKUP(F364,数据集标准分类!A:F,6,0)</f>
        <v>电子病历</v>
      </c>
      <c r="C364" s="183" t="str">
        <f>VLOOKUP(F364,数据集标准分类!A:E,5,0)</f>
        <v>0203</v>
      </c>
      <c r="D364" s="183" t="str">
        <f>VLOOKUP(F364,数据集标准分类!A:D,4,0)</f>
        <v>病程记录</v>
      </c>
      <c r="E364" s="183" t="str">
        <f>VLOOKUP(F364,数据集标准分类!A:C,3,0)</f>
        <v>020305</v>
      </c>
      <c r="F364" s="170" t="s">
        <v>1171</v>
      </c>
      <c r="G364" s="183" t="str">
        <f>VLOOKUP(F364,数据集标准分类!A:B,2,0)</f>
        <v>shift_changeover_record</v>
      </c>
      <c r="H364" s="294">
        <f>VLOOKUP(F364,数据集标准分类!A:H,8,0)</f>
        <v>14</v>
      </c>
      <c r="I364" s="170" t="s">
        <v>1210</v>
      </c>
      <c r="J364" s="170" t="s">
        <v>1211</v>
      </c>
      <c r="K364" s="170" t="s">
        <v>1212</v>
      </c>
      <c r="L364" s="170" t="s">
        <v>1213</v>
      </c>
      <c r="M364" s="170"/>
      <c r="N364" s="294">
        <v>19</v>
      </c>
      <c r="O364" s="170"/>
    </row>
    <row r="365" ht="15.75" customHeight="1" spans="1:15">
      <c r="A365" s="183" t="str">
        <f>VLOOKUP(F365,数据集标准分类!A:G,7,0)</f>
        <v>02</v>
      </c>
      <c r="B365" s="183" t="str">
        <f>VLOOKUP(F365,数据集标准分类!A:F,6,0)</f>
        <v>电子病历</v>
      </c>
      <c r="C365" s="183" t="str">
        <f>VLOOKUP(F365,数据集标准分类!A:E,5,0)</f>
        <v>0203</v>
      </c>
      <c r="D365" s="183" t="str">
        <f>VLOOKUP(F365,数据集标准分类!A:D,4,0)</f>
        <v>病程记录</v>
      </c>
      <c r="E365" s="183" t="str">
        <f>VLOOKUP(F365,数据集标准分类!A:C,3,0)</f>
        <v>020306</v>
      </c>
      <c r="F365" s="170" t="s">
        <v>1214</v>
      </c>
      <c r="G365" s="183" t="str">
        <f>VLOOKUP(F365,数据集标准分类!A:B,2,0)</f>
        <v>transfer_record</v>
      </c>
      <c r="H365" s="294">
        <f>VLOOKUP(F365,数据集标准分类!A:H,8,0)</f>
        <v>15</v>
      </c>
      <c r="I365" s="170" t="s">
        <v>152</v>
      </c>
      <c r="J365" s="170" t="s">
        <v>153</v>
      </c>
      <c r="K365" s="170" t="s">
        <v>154</v>
      </c>
      <c r="L365" s="170" t="s">
        <v>155</v>
      </c>
      <c r="M365" s="170" t="s">
        <v>156</v>
      </c>
      <c r="N365" s="294">
        <v>1</v>
      </c>
      <c r="O365" s="170"/>
    </row>
    <row r="366" ht="15.75" customHeight="1" spans="1:15">
      <c r="A366" s="183" t="str">
        <f>VLOOKUP(F366,数据集标准分类!A:G,7,0)</f>
        <v>02</v>
      </c>
      <c r="B366" s="183" t="str">
        <f>VLOOKUP(F366,数据集标准分类!A:F,6,0)</f>
        <v>电子病历</v>
      </c>
      <c r="C366" s="183" t="str">
        <f>VLOOKUP(F366,数据集标准分类!A:E,5,0)</f>
        <v>0203</v>
      </c>
      <c r="D366" s="183" t="str">
        <f>VLOOKUP(F366,数据集标准分类!A:D,4,0)</f>
        <v>病程记录</v>
      </c>
      <c r="E366" s="183" t="str">
        <f>VLOOKUP(F366,数据集标准分类!A:C,3,0)</f>
        <v>020306</v>
      </c>
      <c r="F366" s="170" t="s">
        <v>1214</v>
      </c>
      <c r="G366" s="183" t="str">
        <f>VLOOKUP(F366,数据集标准分类!A:B,2,0)</f>
        <v>transfer_record</v>
      </c>
      <c r="H366" s="294">
        <f>VLOOKUP(F366,数据集标准分类!A:H,8,0)</f>
        <v>15</v>
      </c>
      <c r="I366" s="170" t="s">
        <v>663</v>
      </c>
      <c r="J366" s="170" t="s">
        <v>664</v>
      </c>
      <c r="K366" s="170" t="s">
        <v>665</v>
      </c>
      <c r="L366" s="170" t="s">
        <v>666</v>
      </c>
      <c r="M366" s="170" t="s">
        <v>667</v>
      </c>
      <c r="N366" s="294">
        <v>2</v>
      </c>
      <c r="O366" s="170"/>
    </row>
    <row r="367" ht="15.75" customHeight="1" spans="1:15">
      <c r="A367" s="183" t="str">
        <f>VLOOKUP(F367,数据集标准分类!A:G,7,0)</f>
        <v>02</v>
      </c>
      <c r="B367" s="183" t="str">
        <f>VLOOKUP(F367,数据集标准分类!A:F,6,0)</f>
        <v>电子病历</v>
      </c>
      <c r="C367" s="183" t="str">
        <f>VLOOKUP(F367,数据集标准分类!A:E,5,0)</f>
        <v>0203</v>
      </c>
      <c r="D367" s="183" t="str">
        <f>VLOOKUP(F367,数据集标准分类!A:D,4,0)</f>
        <v>病程记录</v>
      </c>
      <c r="E367" s="183" t="str">
        <f>VLOOKUP(F367,数据集标准分类!A:C,3,0)</f>
        <v>020306</v>
      </c>
      <c r="F367" s="170" t="s">
        <v>1214</v>
      </c>
      <c r="G367" s="183" t="str">
        <f>VLOOKUP(F367,数据集标准分类!A:B,2,0)</f>
        <v>transfer_record</v>
      </c>
      <c r="H367" s="294">
        <f>VLOOKUP(F367,数据集标准分类!A:H,8,0)</f>
        <v>15</v>
      </c>
      <c r="I367" s="170" t="s">
        <v>924</v>
      </c>
      <c r="J367" s="170" t="s">
        <v>925</v>
      </c>
      <c r="K367" s="170" t="s">
        <v>926</v>
      </c>
      <c r="L367" s="170" t="s">
        <v>927</v>
      </c>
      <c r="M367" s="170" t="s">
        <v>928</v>
      </c>
      <c r="N367" s="294">
        <v>3</v>
      </c>
      <c r="O367" s="170"/>
    </row>
    <row r="368" ht="15.75" customHeight="1" spans="1:15">
      <c r="A368" s="183" t="str">
        <f>VLOOKUP(F368,数据集标准分类!A:G,7,0)</f>
        <v>02</v>
      </c>
      <c r="B368" s="183" t="str">
        <f>VLOOKUP(F368,数据集标准分类!A:F,6,0)</f>
        <v>电子病历</v>
      </c>
      <c r="C368" s="183" t="str">
        <f>VLOOKUP(F368,数据集标准分类!A:E,5,0)</f>
        <v>0203</v>
      </c>
      <c r="D368" s="183" t="str">
        <f>VLOOKUP(F368,数据集标准分类!A:D,4,0)</f>
        <v>病程记录</v>
      </c>
      <c r="E368" s="183" t="str">
        <f>VLOOKUP(F368,数据集标准分类!A:C,3,0)</f>
        <v>020306</v>
      </c>
      <c r="F368" s="170" t="s">
        <v>1214</v>
      </c>
      <c r="G368" s="183" t="str">
        <f>VLOOKUP(F368,数据集标准分类!A:B,2,0)</f>
        <v>transfer_record</v>
      </c>
      <c r="H368" s="294">
        <f>VLOOKUP(F368,数据集标准分类!A:H,8,0)</f>
        <v>15</v>
      </c>
      <c r="I368" s="170" t="s">
        <v>784</v>
      </c>
      <c r="J368" s="170" t="s">
        <v>785</v>
      </c>
      <c r="K368" s="170" t="s">
        <v>786</v>
      </c>
      <c r="L368" s="170" t="s">
        <v>787</v>
      </c>
      <c r="M368" s="170" t="s">
        <v>788</v>
      </c>
      <c r="N368" s="294">
        <v>4</v>
      </c>
      <c r="O368" s="170"/>
    </row>
    <row r="369" ht="15.75" customHeight="1" spans="1:15">
      <c r="A369" s="183" t="str">
        <f>VLOOKUP(F369,数据集标准分类!A:G,7,0)</f>
        <v>02</v>
      </c>
      <c r="B369" s="183" t="str">
        <f>VLOOKUP(F369,数据集标准分类!A:F,6,0)</f>
        <v>电子病历</v>
      </c>
      <c r="C369" s="183" t="str">
        <f>VLOOKUP(F369,数据集标准分类!A:E,5,0)</f>
        <v>0203</v>
      </c>
      <c r="D369" s="183" t="str">
        <f>VLOOKUP(F369,数据集标准分类!A:D,4,0)</f>
        <v>病程记录</v>
      </c>
      <c r="E369" s="183" t="str">
        <f>VLOOKUP(F369,数据集标准分类!A:C,3,0)</f>
        <v>020306</v>
      </c>
      <c r="F369" s="170" t="s">
        <v>1214</v>
      </c>
      <c r="G369" s="183" t="str">
        <f>VLOOKUP(F369,数据集标准分类!A:B,2,0)</f>
        <v>transfer_record</v>
      </c>
      <c r="H369" s="294">
        <f>VLOOKUP(F369,数据集标准分类!A:H,8,0)</f>
        <v>15</v>
      </c>
      <c r="I369" s="170" t="s">
        <v>943</v>
      </c>
      <c r="J369" s="170" t="s">
        <v>944</v>
      </c>
      <c r="K369" s="170" t="s">
        <v>945</v>
      </c>
      <c r="L369" s="170" t="s">
        <v>946</v>
      </c>
      <c r="M369" s="170" t="s">
        <v>947</v>
      </c>
      <c r="N369" s="294">
        <v>5</v>
      </c>
      <c r="O369" s="170"/>
    </row>
    <row r="370" ht="15.75" customHeight="1" spans="1:15">
      <c r="A370" s="183" t="str">
        <f>VLOOKUP(F370,数据集标准分类!A:G,7,0)</f>
        <v>02</v>
      </c>
      <c r="B370" s="183" t="str">
        <f>VLOOKUP(F370,数据集标准分类!A:F,6,0)</f>
        <v>电子病历</v>
      </c>
      <c r="C370" s="183" t="str">
        <f>VLOOKUP(F370,数据集标准分类!A:E,5,0)</f>
        <v>0203</v>
      </c>
      <c r="D370" s="183" t="str">
        <f>VLOOKUP(F370,数据集标准分类!A:D,4,0)</f>
        <v>病程记录</v>
      </c>
      <c r="E370" s="183" t="str">
        <f>VLOOKUP(F370,数据集标准分类!A:C,3,0)</f>
        <v>020306</v>
      </c>
      <c r="F370" s="170" t="s">
        <v>1214</v>
      </c>
      <c r="G370" s="183" t="str">
        <f>VLOOKUP(F370,数据集标准分类!A:B,2,0)</f>
        <v>transfer_record</v>
      </c>
      <c r="H370" s="294">
        <f>VLOOKUP(F370,数据集标准分类!A:H,8,0)</f>
        <v>15</v>
      </c>
      <c r="I370" s="170" t="s">
        <v>952</v>
      </c>
      <c r="J370" s="170" t="s">
        <v>953</v>
      </c>
      <c r="K370" s="170" t="s">
        <v>954</v>
      </c>
      <c r="L370" s="170" t="s">
        <v>955</v>
      </c>
      <c r="M370" s="170" t="s">
        <v>956</v>
      </c>
      <c r="N370" s="294">
        <v>6</v>
      </c>
      <c r="O370" s="170"/>
    </row>
    <row r="371" ht="15.75" customHeight="1" spans="1:15">
      <c r="A371" s="183" t="str">
        <f>VLOOKUP(F371,数据集标准分类!A:G,7,0)</f>
        <v>02</v>
      </c>
      <c r="B371" s="183" t="str">
        <f>VLOOKUP(F371,数据集标准分类!A:F,6,0)</f>
        <v>电子病历</v>
      </c>
      <c r="C371" s="183" t="str">
        <f>VLOOKUP(F371,数据集标准分类!A:E,5,0)</f>
        <v>0203</v>
      </c>
      <c r="D371" s="183" t="str">
        <f>VLOOKUP(F371,数据集标准分类!A:D,4,0)</f>
        <v>病程记录</v>
      </c>
      <c r="E371" s="183" t="str">
        <f>VLOOKUP(F371,数据集标准分类!A:C,3,0)</f>
        <v>020306</v>
      </c>
      <c r="F371" s="170" t="s">
        <v>1214</v>
      </c>
      <c r="G371" s="183" t="str">
        <f>VLOOKUP(F371,数据集标准分类!A:B,2,0)</f>
        <v>transfer_record</v>
      </c>
      <c r="H371" s="294">
        <f>VLOOKUP(F371,数据集标准分类!A:H,8,0)</f>
        <v>15</v>
      </c>
      <c r="I371" s="170" t="s">
        <v>961</v>
      </c>
      <c r="J371" s="170" t="s">
        <v>962</v>
      </c>
      <c r="K371" s="170" t="s">
        <v>963</v>
      </c>
      <c r="L371" s="170" t="s">
        <v>964</v>
      </c>
      <c r="M371" s="170" t="s">
        <v>965</v>
      </c>
      <c r="N371" s="294">
        <v>7</v>
      </c>
      <c r="O371" s="170"/>
    </row>
    <row r="372" ht="15.75" customHeight="1" spans="1:15">
      <c r="A372" s="183" t="str">
        <f>VLOOKUP(F372,数据集标准分类!A:G,7,0)</f>
        <v>02</v>
      </c>
      <c r="B372" s="183" t="str">
        <f>VLOOKUP(F372,数据集标准分类!A:F,6,0)</f>
        <v>电子病历</v>
      </c>
      <c r="C372" s="183" t="str">
        <f>VLOOKUP(F372,数据集标准分类!A:E,5,0)</f>
        <v>0203</v>
      </c>
      <c r="D372" s="183" t="str">
        <f>VLOOKUP(F372,数据集标准分类!A:D,4,0)</f>
        <v>病程记录</v>
      </c>
      <c r="E372" s="183" t="str">
        <f>VLOOKUP(F372,数据集标准分类!A:C,3,0)</f>
        <v>020306</v>
      </c>
      <c r="F372" s="170" t="s">
        <v>1214</v>
      </c>
      <c r="G372" s="183" t="str">
        <f>VLOOKUP(F372,数据集标准分类!A:B,2,0)</f>
        <v>transfer_record</v>
      </c>
      <c r="H372" s="294">
        <f>VLOOKUP(F372,数据集标准分类!A:H,8,0)</f>
        <v>15</v>
      </c>
      <c r="I372" s="170" t="s">
        <v>789</v>
      </c>
      <c r="J372" s="170" t="s">
        <v>790</v>
      </c>
      <c r="K372" s="170" t="s">
        <v>790</v>
      </c>
      <c r="L372" s="170" t="s">
        <v>791</v>
      </c>
      <c r="M372" s="170" t="s">
        <v>792</v>
      </c>
      <c r="N372" s="294">
        <v>8</v>
      </c>
      <c r="O372" s="170"/>
    </row>
    <row r="373" ht="15.75" customHeight="1" spans="1:15">
      <c r="A373" s="183" t="str">
        <f>VLOOKUP(F373,数据集标准分类!A:G,7,0)</f>
        <v>02</v>
      </c>
      <c r="B373" s="183" t="str">
        <f>VLOOKUP(F373,数据集标准分类!A:F,6,0)</f>
        <v>电子病历</v>
      </c>
      <c r="C373" s="183" t="str">
        <f>VLOOKUP(F373,数据集标准分类!A:E,5,0)</f>
        <v>0203</v>
      </c>
      <c r="D373" s="183" t="str">
        <f>VLOOKUP(F373,数据集标准分类!A:D,4,0)</f>
        <v>病程记录</v>
      </c>
      <c r="E373" s="183" t="str">
        <f>VLOOKUP(F373,数据集标准分类!A:C,3,0)</f>
        <v>020306</v>
      </c>
      <c r="F373" s="170" t="s">
        <v>1214</v>
      </c>
      <c r="G373" s="183" t="str">
        <f>VLOOKUP(F373,数据集标准分类!A:B,2,0)</f>
        <v>transfer_record</v>
      </c>
      <c r="H373" s="294">
        <f>VLOOKUP(F373,数据集标准分类!A:H,8,0)</f>
        <v>15</v>
      </c>
      <c r="I373" s="170" t="s">
        <v>966</v>
      </c>
      <c r="J373" s="170" t="s">
        <v>967</v>
      </c>
      <c r="K373" s="170" t="s">
        <v>968</v>
      </c>
      <c r="L373" s="170" t="s">
        <v>969</v>
      </c>
      <c r="M373" s="170" t="s">
        <v>970</v>
      </c>
      <c r="N373" s="294">
        <v>9</v>
      </c>
      <c r="O373" s="170"/>
    </row>
    <row r="374" ht="15.75" customHeight="1" spans="1:15">
      <c r="A374" s="183" t="str">
        <f>VLOOKUP(F374,数据集标准分类!A:G,7,0)</f>
        <v>02</v>
      </c>
      <c r="B374" s="183" t="str">
        <f>VLOOKUP(F374,数据集标准分类!A:F,6,0)</f>
        <v>电子病历</v>
      </c>
      <c r="C374" s="183" t="str">
        <f>VLOOKUP(F374,数据集标准分类!A:E,5,0)</f>
        <v>0203</v>
      </c>
      <c r="D374" s="183" t="str">
        <f>VLOOKUP(F374,数据集标准分类!A:D,4,0)</f>
        <v>病程记录</v>
      </c>
      <c r="E374" s="183" t="str">
        <f>VLOOKUP(F374,数据集标准分类!A:C,3,0)</f>
        <v>020306</v>
      </c>
      <c r="F374" s="170" t="s">
        <v>1214</v>
      </c>
      <c r="G374" s="183" t="str">
        <f>VLOOKUP(F374,数据集标准分类!A:B,2,0)</f>
        <v>transfer_record</v>
      </c>
      <c r="H374" s="294">
        <f>VLOOKUP(F374,数据集标准分类!A:H,8,0)</f>
        <v>15</v>
      </c>
      <c r="I374" s="170" t="s">
        <v>1172</v>
      </c>
      <c r="J374" s="170" t="s">
        <v>1173</v>
      </c>
      <c r="K374" s="170" t="s">
        <v>1174</v>
      </c>
      <c r="L374" s="170" t="s">
        <v>1175</v>
      </c>
      <c r="M374" s="170" t="s">
        <v>1176</v>
      </c>
      <c r="N374" s="294">
        <v>10</v>
      </c>
      <c r="O374" s="170"/>
    </row>
    <row r="375" ht="15.75" customHeight="1" spans="1:15">
      <c r="A375" s="183" t="str">
        <f>VLOOKUP(F375,数据集标准分类!A:G,7,0)</f>
        <v>02</v>
      </c>
      <c r="B375" s="183" t="str">
        <f>VLOOKUP(F375,数据集标准分类!A:F,6,0)</f>
        <v>电子病历</v>
      </c>
      <c r="C375" s="183" t="str">
        <f>VLOOKUP(F375,数据集标准分类!A:E,5,0)</f>
        <v>0203</v>
      </c>
      <c r="D375" s="183" t="str">
        <f>VLOOKUP(F375,数据集标准分类!A:D,4,0)</f>
        <v>病程记录</v>
      </c>
      <c r="E375" s="183" t="str">
        <f>VLOOKUP(F375,数据集标准分类!A:C,3,0)</f>
        <v>020306</v>
      </c>
      <c r="F375" s="170" t="s">
        <v>1214</v>
      </c>
      <c r="G375" s="183" t="str">
        <f>VLOOKUP(F375,数据集标准分类!A:B,2,0)</f>
        <v>transfer_record</v>
      </c>
      <c r="H375" s="294">
        <f>VLOOKUP(F375,数据集标准分类!A:H,8,0)</f>
        <v>15</v>
      </c>
      <c r="I375" s="170" t="s">
        <v>1177</v>
      </c>
      <c r="J375" s="170" t="s">
        <v>1178</v>
      </c>
      <c r="K375" s="170" t="s">
        <v>1179</v>
      </c>
      <c r="L375" s="170" t="s">
        <v>1180</v>
      </c>
      <c r="M375" s="170" t="s">
        <v>1215</v>
      </c>
      <c r="N375" s="294">
        <v>11</v>
      </c>
      <c r="O375" s="170"/>
    </row>
    <row r="376" ht="15.75" customHeight="1" spans="1:15">
      <c r="A376" s="183" t="str">
        <f>VLOOKUP(F376,数据集标准分类!A:G,7,0)</f>
        <v>02</v>
      </c>
      <c r="B376" s="183" t="str">
        <f>VLOOKUP(F376,数据集标准分类!A:F,6,0)</f>
        <v>电子病历</v>
      </c>
      <c r="C376" s="183" t="str">
        <f>VLOOKUP(F376,数据集标准分类!A:E,5,0)</f>
        <v>0203</v>
      </c>
      <c r="D376" s="183" t="str">
        <f>VLOOKUP(F376,数据集标准分类!A:D,4,0)</f>
        <v>病程记录</v>
      </c>
      <c r="E376" s="183" t="str">
        <f>VLOOKUP(F376,数据集标准分类!A:C,3,0)</f>
        <v>020306</v>
      </c>
      <c r="F376" s="170" t="s">
        <v>1214</v>
      </c>
      <c r="G376" s="183" t="str">
        <f>VLOOKUP(F376,数据集标准分类!A:B,2,0)</f>
        <v>transfer_record</v>
      </c>
      <c r="H376" s="294">
        <f>VLOOKUP(F376,数据集标准分类!A:H,8,0)</f>
        <v>15</v>
      </c>
      <c r="I376" s="170" t="s">
        <v>1182</v>
      </c>
      <c r="J376" s="170" t="s">
        <v>1183</v>
      </c>
      <c r="K376" s="170" t="s">
        <v>1184</v>
      </c>
      <c r="L376" s="170" t="s">
        <v>1185</v>
      </c>
      <c r="M376" s="170" t="s">
        <v>1216</v>
      </c>
      <c r="N376" s="294">
        <v>12</v>
      </c>
      <c r="O376" s="170"/>
    </row>
    <row r="377" ht="15.75" customHeight="1" spans="1:15">
      <c r="A377" s="183" t="str">
        <f>VLOOKUP(F377,数据集标准分类!A:G,7,0)</f>
        <v>02</v>
      </c>
      <c r="B377" s="183" t="str">
        <f>VLOOKUP(F377,数据集标准分类!A:F,6,0)</f>
        <v>电子病历</v>
      </c>
      <c r="C377" s="183" t="str">
        <f>VLOOKUP(F377,数据集标准分类!A:E,5,0)</f>
        <v>0203</v>
      </c>
      <c r="D377" s="183" t="str">
        <f>VLOOKUP(F377,数据集标准分类!A:D,4,0)</f>
        <v>病程记录</v>
      </c>
      <c r="E377" s="183" t="str">
        <f>VLOOKUP(F377,数据集标准分类!A:C,3,0)</f>
        <v>020306</v>
      </c>
      <c r="F377" s="170" t="s">
        <v>1214</v>
      </c>
      <c r="G377" s="183" t="str">
        <f>VLOOKUP(F377,数据集标准分类!A:B,2,0)</f>
        <v>transfer_record</v>
      </c>
      <c r="H377" s="294">
        <f>VLOOKUP(F377,数据集标准分类!A:H,8,0)</f>
        <v>15</v>
      </c>
      <c r="I377" s="170" t="s">
        <v>1187</v>
      </c>
      <c r="J377" s="170" t="s">
        <v>1188</v>
      </c>
      <c r="K377" s="170" t="s">
        <v>1189</v>
      </c>
      <c r="L377" s="170" t="s">
        <v>1190</v>
      </c>
      <c r="M377" s="170" t="s">
        <v>1217</v>
      </c>
      <c r="N377" s="294">
        <v>13</v>
      </c>
      <c r="O377" s="170"/>
    </row>
    <row r="378" ht="15.75" customHeight="1" spans="1:15">
      <c r="A378" s="183" t="str">
        <f>VLOOKUP(F378,数据集标准分类!A:G,7,0)</f>
        <v>02</v>
      </c>
      <c r="B378" s="183" t="str">
        <f>VLOOKUP(F378,数据集标准分类!A:F,6,0)</f>
        <v>电子病历</v>
      </c>
      <c r="C378" s="183" t="str">
        <f>VLOOKUP(F378,数据集标准分类!A:E,5,0)</f>
        <v>0203</v>
      </c>
      <c r="D378" s="183" t="str">
        <f>VLOOKUP(F378,数据集标准分类!A:D,4,0)</f>
        <v>病程记录</v>
      </c>
      <c r="E378" s="183" t="str">
        <f>VLOOKUP(F378,数据集标准分类!A:C,3,0)</f>
        <v>020306</v>
      </c>
      <c r="F378" s="170" t="s">
        <v>1214</v>
      </c>
      <c r="G378" s="183" t="str">
        <f>VLOOKUP(F378,数据集标准分类!A:B,2,0)</f>
        <v>transfer_record</v>
      </c>
      <c r="H378" s="294">
        <f>VLOOKUP(F378,数据集标准分类!A:H,8,0)</f>
        <v>15</v>
      </c>
      <c r="I378" s="170" t="s">
        <v>1218</v>
      </c>
      <c r="J378" s="170" t="s">
        <v>1219</v>
      </c>
      <c r="K378" s="170" t="s">
        <v>1220</v>
      </c>
      <c r="L378" s="170" t="s">
        <v>1221</v>
      </c>
      <c r="M378" s="170" t="s">
        <v>1222</v>
      </c>
      <c r="N378" s="294">
        <v>14</v>
      </c>
      <c r="O378" s="170"/>
    </row>
    <row r="379" ht="15.75" customHeight="1" spans="1:15">
      <c r="A379" s="183" t="str">
        <f>VLOOKUP(F379,数据集标准分类!A:G,7,0)</f>
        <v>02</v>
      </c>
      <c r="B379" s="183" t="str">
        <f>VLOOKUP(F379,数据集标准分类!A:F,6,0)</f>
        <v>电子病历</v>
      </c>
      <c r="C379" s="183" t="str">
        <f>VLOOKUP(F379,数据集标准分类!A:E,5,0)</f>
        <v>0203</v>
      </c>
      <c r="D379" s="183" t="str">
        <f>VLOOKUP(F379,数据集标准分类!A:D,4,0)</f>
        <v>病程记录</v>
      </c>
      <c r="E379" s="183" t="str">
        <f>VLOOKUP(F379,数据集标准分类!A:C,3,0)</f>
        <v>020306</v>
      </c>
      <c r="F379" s="170" t="s">
        <v>1214</v>
      </c>
      <c r="G379" s="183" t="str">
        <f>VLOOKUP(F379,数据集标准分类!A:B,2,0)</f>
        <v>transfer_record</v>
      </c>
      <c r="H379" s="294">
        <f>VLOOKUP(F379,数据集标准分类!A:H,8,0)</f>
        <v>15</v>
      </c>
      <c r="I379" s="170" t="s">
        <v>1083</v>
      </c>
      <c r="J379" s="170" t="s">
        <v>1084</v>
      </c>
      <c r="K379" s="170" t="s">
        <v>1085</v>
      </c>
      <c r="L379" s="170" t="s">
        <v>1086</v>
      </c>
      <c r="M379" s="170" t="s">
        <v>1223</v>
      </c>
      <c r="N379" s="294">
        <v>15</v>
      </c>
      <c r="O379" s="170"/>
    </row>
    <row r="380" ht="15.75" customHeight="1" spans="1:15">
      <c r="A380" s="183" t="str">
        <f>VLOOKUP(F380,数据集标准分类!A:G,7,0)</f>
        <v>02</v>
      </c>
      <c r="B380" s="183" t="str">
        <f>VLOOKUP(F380,数据集标准分类!A:F,6,0)</f>
        <v>电子病历</v>
      </c>
      <c r="C380" s="183" t="str">
        <f>VLOOKUP(F380,数据集标准分类!A:E,5,0)</f>
        <v>0203</v>
      </c>
      <c r="D380" s="183" t="str">
        <f>VLOOKUP(F380,数据集标准分类!A:D,4,0)</f>
        <v>病程记录</v>
      </c>
      <c r="E380" s="183" t="str">
        <f>VLOOKUP(F380,数据集标准分类!A:C,3,0)</f>
        <v>020306</v>
      </c>
      <c r="F380" s="170" t="s">
        <v>1214</v>
      </c>
      <c r="G380" s="183" t="str">
        <f>VLOOKUP(F380,数据集标准分类!A:B,2,0)</f>
        <v>transfer_record</v>
      </c>
      <c r="H380" s="294">
        <f>VLOOKUP(F380,数据集标准分类!A:H,8,0)</f>
        <v>15</v>
      </c>
      <c r="I380" s="170" t="s">
        <v>1006</v>
      </c>
      <c r="J380" s="170" t="s">
        <v>1007</v>
      </c>
      <c r="K380" s="170" t="s">
        <v>1008</v>
      </c>
      <c r="L380" s="170" t="s">
        <v>1009</v>
      </c>
      <c r="M380" s="170" t="s">
        <v>1149</v>
      </c>
      <c r="N380" s="294">
        <v>16</v>
      </c>
      <c r="O380" s="170"/>
    </row>
    <row r="381" ht="15.75" customHeight="1" spans="1:15">
      <c r="A381" s="183" t="str">
        <f>VLOOKUP(F381,数据集标准分类!A:G,7,0)</f>
        <v>02</v>
      </c>
      <c r="B381" s="183" t="str">
        <f>VLOOKUP(F381,数据集标准分类!A:F,6,0)</f>
        <v>电子病历</v>
      </c>
      <c r="C381" s="183" t="str">
        <f>VLOOKUP(F381,数据集标准分类!A:E,5,0)</f>
        <v>0203</v>
      </c>
      <c r="D381" s="183" t="str">
        <f>VLOOKUP(F381,数据集标准分类!A:D,4,0)</f>
        <v>病程记录</v>
      </c>
      <c r="E381" s="183" t="str">
        <f>VLOOKUP(F381,数据集标准分类!A:C,3,0)</f>
        <v>020306</v>
      </c>
      <c r="F381" s="170" t="s">
        <v>1214</v>
      </c>
      <c r="G381" s="183" t="str">
        <f>VLOOKUP(F381,数据集标准分类!A:B,2,0)</f>
        <v>transfer_record</v>
      </c>
      <c r="H381" s="294">
        <f>VLOOKUP(F381,数据集标准分类!A:H,8,0)</f>
        <v>15</v>
      </c>
      <c r="I381" s="170" t="s">
        <v>1109</v>
      </c>
      <c r="J381" s="170" t="s">
        <v>1110</v>
      </c>
      <c r="K381" s="170" t="s">
        <v>1111</v>
      </c>
      <c r="L381" s="170" t="s">
        <v>1112</v>
      </c>
      <c r="M381" s="170" t="s">
        <v>1113</v>
      </c>
      <c r="N381" s="294">
        <v>17</v>
      </c>
      <c r="O381" s="170"/>
    </row>
    <row r="382" ht="15.75" customHeight="1" spans="1:15">
      <c r="A382" s="183" t="str">
        <f>VLOOKUP(F382,数据集标准分类!A:G,7,0)</f>
        <v>02</v>
      </c>
      <c r="B382" s="183" t="str">
        <f>VLOOKUP(F382,数据集标准分类!A:F,6,0)</f>
        <v>电子病历</v>
      </c>
      <c r="C382" s="183" t="str">
        <f>VLOOKUP(F382,数据集标准分类!A:E,5,0)</f>
        <v>0203</v>
      </c>
      <c r="D382" s="183" t="str">
        <f>VLOOKUP(F382,数据集标准分类!A:D,4,0)</f>
        <v>病程记录</v>
      </c>
      <c r="E382" s="183" t="str">
        <f>VLOOKUP(F382,数据集标准分类!A:C,3,0)</f>
        <v>020306</v>
      </c>
      <c r="F382" s="170" t="s">
        <v>1214</v>
      </c>
      <c r="G382" s="183" t="str">
        <f>VLOOKUP(F382,数据集标准分类!A:B,2,0)</f>
        <v>transfer_record</v>
      </c>
      <c r="H382" s="294">
        <f>VLOOKUP(F382,数据集标准分类!A:H,8,0)</f>
        <v>15</v>
      </c>
      <c r="I382" s="170" t="s">
        <v>201</v>
      </c>
      <c r="J382" s="170" t="s">
        <v>202</v>
      </c>
      <c r="K382" s="170" t="s">
        <v>203</v>
      </c>
      <c r="L382" s="170" t="s">
        <v>204</v>
      </c>
      <c r="M382" s="170" t="s">
        <v>1114</v>
      </c>
      <c r="N382" s="294">
        <v>18</v>
      </c>
      <c r="O382" s="170"/>
    </row>
    <row r="383" ht="15.75" customHeight="1" spans="1:15">
      <c r="A383" s="183" t="str">
        <f>VLOOKUP(F383,数据集标准分类!A:G,7,0)</f>
        <v>02</v>
      </c>
      <c r="B383" s="183" t="str">
        <f>VLOOKUP(F383,数据集标准分类!A:F,6,0)</f>
        <v>电子病历</v>
      </c>
      <c r="C383" s="183" t="str">
        <f>VLOOKUP(F383,数据集标准分类!A:E,5,0)</f>
        <v>0203</v>
      </c>
      <c r="D383" s="183" t="str">
        <f>VLOOKUP(F383,数据集标准分类!A:D,4,0)</f>
        <v>病程记录</v>
      </c>
      <c r="E383" s="183" t="str">
        <f>VLOOKUP(F383,数据集标准分类!A:C,3,0)</f>
        <v>020306</v>
      </c>
      <c r="F383" s="170" t="s">
        <v>1214</v>
      </c>
      <c r="G383" s="183" t="str">
        <f>VLOOKUP(F383,数据集标准分类!A:B,2,0)</f>
        <v>transfer_record</v>
      </c>
      <c r="H383" s="294">
        <f>VLOOKUP(F383,数据集标准分类!A:H,8,0)</f>
        <v>15</v>
      </c>
      <c r="I383" s="170" t="s">
        <v>1192</v>
      </c>
      <c r="J383" s="170" t="s">
        <v>1193</v>
      </c>
      <c r="K383" s="170" t="s">
        <v>1194</v>
      </c>
      <c r="L383" s="170" t="s">
        <v>1195</v>
      </c>
      <c r="M383" s="170" t="s">
        <v>1196</v>
      </c>
      <c r="N383" s="294">
        <v>19</v>
      </c>
      <c r="O383" s="170"/>
    </row>
    <row r="384" ht="15.75" customHeight="1" spans="1:15">
      <c r="A384" s="183" t="str">
        <f>VLOOKUP(F384,数据集标准分类!A:G,7,0)</f>
        <v>02</v>
      </c>
      <c r="B384" s="183" t="str">
        <f>VLOOKUP(F384,数据集标准分类!A:F,6,0)</f>
        <v>电子病历</v>
      </c>
      <c r="C384" s="183" t="str">
        <f>VLOOKUP(F384,数据集标准分类!A:E,5,0)</f>
        <v>0203</v>
      </c>
      <c r="D384" s="183" t="str">
        <f>VLOOKUP(F384,数据集标准分类!A:D,4,0)</f>
        <v>病程记录</v>
      </c>
      <c r="E384" s="183" t="str">
        <f>VLOOKUP(F384,数据集标准分类!A:C,3,0)</f>
        <v>020307</v>
      </c>
      <c r="F384" s="170" t="s">
        <v>1224</v>
      </c>
      <c r="G384" s="183" t="str">
        <f>VLOOKUP(F384,数据集标准分类!A:B,2,0)</f>
        <v>stage_brief_summary</v>
      </c>
      <c r="H384" s="294">
        <f>VLOOKUP(F384,数据集标准分类!A:H,8,0)</f>
        <v>16</v>
      </c>
      <c r="I384" s="170" t="s">
        <v>569</v>
      </c>
      <c r="J384" s="170" t="s">
        <v>570</v>
      </c>
      <c r="K384" s="170" t="s">
        <v>571</v>
      </c>
      <c r="L384" s="170" t="s">
        <v>572</v>
      </c>
      <c r="M384" s="170" t="s">
        <v>1225</v>
      </c>
      <c r="N384" s="294">
        <v>1</v>
      </c>
      <c r="O384" s="170"/>
    </row>
    <row r="385" ht="15.75" customHeight="1" spans="1:15">
      <c r="A385" s="183" t="str">
        <f>VLOOKUP(F385,数据集标准分类!A:G,7,0)</f>
        <v>02</v>
      </c>
      <c r="B385" s="183" t="str">
        <f>VLOOKUP(F385,数据集标准分类!A:F,6,0)</f>
        <v>电子病历</v>
      </c>
      <c r="C385" s="183" t="str">
        <f>VLOOKUP(F385,数据集标准分类!A:E,5,0)</f>
        <v>0203</v>
      </c>
      <c r="D385" s="183" t="str">
        <f>VLOOKUP(F385,数据集标准分类!A:D,4,0)</f>
        <v>病程记录</v>
      </c>
      <c r="E385" s="183" t="str">
        <f>VLOOKUP(F385,数据集标准分类!A:C,3,0)</f>
        <v>020307</v>
      </c>
      <c r="F385" s="170" t="s">
        <v>1224</v>
      </c>
      <c r="G385" s="183" t="str">
        <f>VLOOKUP(F385,数据集标准分类!A:B,2,0)</f>
        <v>stage_brief_summary</v>
      </c>
      <c r="H385" s="294">
        <f>VLOOKUP(F385,数据集标准分类!A:H,8,0)</f>
        <v>16</v>
      </c>
      <c r="I385" s="170" t="s">
        <v>152</v>
      </c>
      <c r="J385" s="170" t="s">
        <v>153</v>
      </c>
      <c r="K385" s="170" t="s">
        <v>154</v>
      </c>
      <c r="L385" s="170" t="s">
        <v>155</v>
      </c>
      <c r="M385" s="170" t="s">
        <v>156</v>
      </c>
      <c r="N385" s="294">
        <v>2</v>
      </c>
      <c r="O385" s="170"/>
    </row>
    <row r="386" ht="15.75" customHeight="1" spans="1:15">
      <c r="A386" s="183" t="str">
        <f>VLOOKUP(F386,数据集标准分类!A:G,7,0)</f>
        <v>02</v>
      </c>
      <c r="B386" s="183" t="str">
        <f>VLOOKUP(F386,数据集标准分类!A:F,6,0)</f>
        <v>电子病历</v>
      </c>
      <c r="C386" s="183" t="str">
        <f>VLOOKUP(F386,数据集标准分类!A:E,5,0)</f>
        <v>0203</v>
      </c>
      <c r="D386" s="183" t="str">
        <f>VLOOKUP(F386,数据集标准分类!A:D,4,0)</f>
        <v>病程记录</v>
      </c>
      <c r="E386" s="183" t="str">
        <f>VLOOKUP(F386,数据集标准分类!A:C,3,0)</f>
        <v>020307</v>
      </c>
      <c r="F386" s="170" t="s">
        <v>1224</v>
      </c>
      <c r="G386" s="183" t="str">
        <f>VLOOKUP(F386,数据集标准分类!A:B,2,0)</f>
        <v>stage_brief_summary</v>
      </c>
      <c r="H386" s="294">
        <f>VLOOKUP(F386,数据集标准分类!A:H,8,0)</f>
        <v>16</v>
      </c>
      <c r="I386" s="170" t="s">
        <v>1226</v>
      </c>
      <c r="J386" s="170" t="s">
        <v>1227</v>
      </c>
      <c r="K386" s="170" t="s">
        <v>1228</v>
      </c>
      <c r="L386" s="170" t="s">
        <v>1229</v>
      </c>
      <c r="M386" s="170" t="s">
        <v>1230</v>
      </c>
      <c r="N386" s="294">
        <v>3</v>
      </c>
      <c r="O386" s="170"/>
    </row>
    <row r="387" ht="15.75" customHeight="1" spans="1:15">
      <c r="A387" s="183" t="str">
        <f>VLOOKUP(F387,数据集标准分类!A:G,7,0)</f>
        <v>02</v>
      </c>
      <c r="B387" s="183" t="str">
        <f>VLOOKUP(F387,数据集标准分类!A:F,6,0)</f>
        <v>电子病历</v>
      </c>
      <c r="C387" s="183" t="str">
        <f>VLOOKUP(F387,数据集标准分类!A:E,5,0)</f>
        <v>0203</v>
      </c>
      <c r="D387" s="183" t="str">
        <f>VLOOKUP(F387,数据集标准分类!A:D,4,0)</f>
        <v>病程记录</v>
      </c>
      <c r="E387" s="183" t="str">
        <f>VLOOKUP(F387,数据集标准分类!A:C,3,0)</f>
        <v>020307</v>
      </c>
      <c r="F387" s="170" t="s">
        <v>1224</v>
      </c>
      <c r="G387" s="183" t="str">
        <f>VLOOKUP(F387,数据集标准分类!A:B,2,0)</f>
        <v>stage_brief_summary</v>
      </c>
      <c r="H387" s="294">
        <f>VLOOKUP(F387,数据集标准分类!A:H,8,0)</f>
        <v>16</v>
      </c>
      <c r="I387" s="170" t="s">
        <v>663</v>
      </c>
      <c r="J387" s="170" t="s">
        <v>664</v>
      </c>
      <c r="K387" s="170" t="s">
        <v>665</v>
      </c>
      <c r="L387" s="170" t="s">
        <v>666</v>
      </c>
      <c r="M387" s="170" t="s">
        <v>667</v>
      </c>
      <c r="N387" s="294">
        <v>4</v>
      </c>
      <c r="O387" s="170"/>
    </row>
    <row r="388" ht="15.75" customHeight="1" spans="1:15">
      <c r="A388" s="183" t="str">
        <f>VLOOKUP(F388,数据集标准分类!A:G,7,0)</f>
        <v>02</v>
      </c>
      <c r="B388" s="183" t="str">
        <f>VLOOKUP(F388,数据集标准分类!A:F,6,0)</f>
        <v>电子病历</v>
      </c>
      <c r="C388" s="183" t="str">
        <f>VLOOKUP(F388,数据集标准分类!A:E,5,0)</f>
        <v>0203</v>
      </c>
      <c r="D388" s="183" t="str">
        <f>VLOOKUP(F388,数据集标准分类!A:D,4,0)</f>
        <v>病程记录</v>
      </c>
      <c r="E388" s="183" t="str">
        <f>VLOOKUP(F388,数据集标准分类!A:C,3,0)</f>
        <v>020307</v>
      </c>
      <c r="F388" s="170" t="s">
        <v>1224</v>
      </c>
      <c r="G388" s="183" t="str">
        <f>VLOOKUP(F388,数据集标准分类!A:B,2,0)</f>
        <v>stage_brief_summary</v>
      </c>
      <c r="H388" s="294">
        <f>VLOOKUP(F388,数据集标准分类!A:H,8,0)</f>
        <v>16</v>
      </c>
      <c r="I388" s="170" t="s">
        <v>924</v>
      </c>
      <c r="J388" s="170" t="s">
        <v>925</v>
      </c>
      <c r="K388" s="170" t="s">
        <v>926</v>
      </c>
      <c r="L388" s="170" t="s">
        <v>927</v>
      </c>
      <c r="M388" s="170" t="s">
        <v>928</v>
      </c>
      <c r="N388" s="294">
        <v>5</v>
      </c>
      <c r="O388" s="170"/>
    </row>
    <row r="389" ht="15.75" customHeight="1" spans="1:15">
      <c r="A389" s="183" t="str">
        <f>VLOOKUP(F389,数据集标准分类!A:G,7,0)</f>
        <v>02</v>
      </c>
      <c r="B389" s="183" t="str">
        <f>VLOOKUP(F389,数据集标准分类!A:F,6,0)</f>
        <v>电子病历</v>
      </c>
      <c r="C389" s="183" t="str">
        <f>VLOOKUP(F389,数据集标准分类!A:E,5,0)</f>
        <v>0203</v>
      </c>
      <c r="D389" s="183" t="str">
        <f>VLOOKUP(F389,数据集标准分类!A:D,4,0)</f>
        <v>病程记录</v>
      </c>
      <c r="E389" s="183" t="str">
        <f>VLOOKUP(F389,数据集标准分类!A:C,3,0)</f>
        <v>020307</v>
      </c>
      <c r="F389" s="170" t="s">
        <v>1224</v>
      </c>
      <c r="G389" s="183" t="str">
        <f>VLOOKUP(F389,数据集标准分类!A:B,2,0)</f>
        <v>stage_brief_summary</v>
      </c>
      <c r="H389" s="294">
        <f>VLOOKUP(F389,数据集标准分类!A:H,8,0)</f>
        <v>16</v>
      </c>
      <c r="I389" s="170" t="s">
        <v>784</v>
      </c>
      <c r="J389" s="170" t="s">
        <v>785</v>
      </c>
      <c r="K389" s="170" t="s">
        <v>786</v>
      </c>
      <c r="L389" s="170" t="s">
        <v>787</v>
      </c>
      <c r="M389" s="170" t="s">
        <v>788</v>
      </c>
      <c r="N389" s="294">
        <v>6</v>
      </c>
      <c r="O389" s="170"/>
    </row>
    <row r="390" ht="15.75" customHeight="1" spans="1:15">
      <c r="A390" s="183" t="str">
        <f>VLOOKUP(F390,数据集标准分类!A:G,7,0)</f>
        <v>02</v>
      </c>
      <c r="B390" s="183" t="str">
        <f>VLOOKUP(F390,数据集标准分类!A:F,6,0)</f>
        <v>电子病历</v>
      </c>
      <c r="C390" s="183" t="str">
        <f>VLOOKUP(F390,数据集标准分类!A:E,5,0)</f>
        <v>0203</v>
      </c>
      <c r="D390" s="183" t="str">
        <f>VLOOKUP(F390,数据集标准分类!A:D,4,0)</f>
        <v>病程记录</v>
      </c>
      <c r="E390" s="183" t="str">
        <f>VLOOKUP(F390,数据集标准分类!A:C,3,0)</f>
        <v>020307</v>
      </c>
      <c r="F390" s="170" t="s">
        <v>1224</v>
      </c>
      <c r="G390" s="183" t="str">
        <f>VLOOKUP(F390,数据集标准分类!A:B,2,0)</f>
        <v>stage_brief_summary</v>
      </c>
      <c r="H390" s="294">
        <f>VLOOKUP(F390,数据集标准分类!A:H,8,0)</f>
        <v>16</v>
      </c>
      <c r="I390" s="170" t="s">
        <v>943</v>
      </c>
      <c r="J390" s="170" t="s">
        <v>944</v>
      </c>
      <c r="K390" s="170" t="s">
        <v>945</v>
      </c>
      <c r="L390" s="170" t="s">
        <v>946</v>
      </c>
      <c r="M390" s="170" t="s">
        <v>947</v>
      </c>
      <c r="N390" s="294">
        <v>7</v>
      </c>
      <c r="O390" s="170"/>
    </row>
    <row r="391" ht="15.75" customHeight="1" spans="1:15">
      <c r="A391" s="183" t="str">
        <f>VLOOKUP(F391,数据集标准分类!A:G,7,0)</f>
        <v>02</v>
      </c>
      <c r="B391" s="183" t="str">
        <f>VLOOKUP(F391,数据集标准分类!A:F,6,0)</f>
        <v>电子病历</v>
      </c>
      <c r="C391" s="183" t="str">
        <f>VLOOKUP(F391,数据集标准分类!A:E,5,0)</f>
        <v>0203</v>
      </c>
      <c r="D391" s="183" t="str">
        <f>VLOOKUP(F391,数据集标准分类!A:D,4,0)</f>
        <v>病程记录</v>
      </c>
      <c r="E391" s="183" t="str">
        <f>VLOOKUP(F391,数据集标准分类!A:C,3,0)</f>
        <v>020307</v>
      </c>
      <c r="F391" s="170" t="s">
        <v>1224</v>
      </c>
      <c r="G391" s="183" t="str">
        <f>VLOOKUP(F391,数据集标准分类!A:B,2,0)</f>
        <v>stage_brief_summary</v>
      </c>
      <c r="H391" s="294">
        <f>VLOOKUP(F391,数据集标准分类!A:H,8,0)</f>
        <v>16</v>
      </c>
      <c r="I391" s="170" t="s">
        <v>952</v>
      </c>
      <c r="J391" s="170" t="s">
        <v>953</v>
      </c>
      <c r="K391" s="170" t="s">
        <v>954</v>
      </c>
      <c r="L391" s="170" t="s">
        <v>955</v>
      </c>
      <c r="M391" s="170" t="s">
        <v>956</v>
      </c>
      <c r="N391" s="294">
        <v>8</v>
      </c>
      <c r="O391" s="170"/>
    </row>
    <row r="392" ht="15.75" customHeight="1" spans="1:15">
      <c r="A392" s="183" t="str">
        <f>VLOOKUP(F392,数据集标准分类!A:G,7,0)</f>
        <v>02</v>
      </c>
      <c r="B392" s="183" t="str">
        <f>VLOOKUP(F392,数据集标准分类!A:F,6,0)</f>
        <v>电子病历</v>
      </c>
      <c r="C392" s="183" t="str">
        <f>VLOOKUP(F392,数据集标准分类!A:E,5,0)</f>
        <v>0203</v>
      </c>
      <c r="D392" s="183" t="str">
        <f>VLOOKUP(F392,数据集标准分类!A:D,4,0)</f>
        <v>病程记录</v>
      </c>
      <c r="E392" s="183" t="str">
        <f>VLOOKUP(F392,数据集标准分类!A:C,3,0)</f>
        <v>020307</v>
      </c>
      <c r="F392" s="170" t="s">
        <v>1224</v>
      </c>
      <c r="G392" s="183" t="str">
        <f>VLOOKUP(F392,数据集标准分类!A:B,2,0)</f>
        <v>stage_brief_summary</v>
      </c>
      <c r="H392" s="294">
        <f>VLOOKUP(F392,数据集标准分类!A:H,8,0)</f>
        <v>16</v>
      </c>
      <c r="I392" s="170" t="s">
        <v>961</v>
      </c>
      <c r="J392" s="170" t="s">
        <v>962</v>
      </c>
      <c r="K392" s="170" t="s">
        <v>963</v>
      </c>
      <c r="L392" s="170" t="s">
        <v>964</v>
      </c>
      <c r="M392" s="170" t="s">
        <v>965</v>
      </c>
      <c r="N392" s="294">
        <v>9</v>
      </c>
      <c r="O392" s="170"/>
    </row>
    <row r="393" ht="15.75" customHeight="1" spans="1:15">
      <c r="A393" s="183" t="str">
        <f>VLOOKUP(F393,数据集标准分类!A:G,7,0)</f>
        <v>02</v>
      </c>
      <c r="B393" s="183" t="str">
        <f>VLOOKUP(F393,数据集标准分类!A:F,6,0)</f>
        <v>电子病历</v>
      </c>
      <c r="C393" s="183" t="str">
        <f>VLOOKUP(F393,数据集标准分类!A:E,5,0)</f>
        <v>0203</v>
      </c>
      <c r="D393" s="183" t="str">
        <f>VLOOKUP(F393,数据集标准分类!A:D,4,0)</f>
        <v>病程记录</v>
      </c>
      <c r="E393" s="183" t="str">
        <f>VLOOKUP(F393,数据集标准分类!A:C,3,0)</f>
        <v>020307</v>
      </c>
      <c r="F393" s="170" t="s">
        <v>1224</v>
      </c>
      <c r="G393" s="183" t="str">
        <f>VLOOKUP(F393,数据集标准分类!A:B,2,0)</f>
        <v>stage_brief_summary</v>
      </c>
      <c r="H393" s="294">
        <f>VLOOKUP(F393,数据集标准分类!A:H,8,0)</f>
        <v>16</v>
      </c>
      <c r="I393" s="170" t="s">
        <v>789</v>
      </c>
      <c r="J393" s="170" t="s">
        <v>790</v>
      </c>
      <c r="K393" s="170" t="s">
        <v>790</v>
      </c>
      <c r="L393" s="170" t="s">
        <v>791</v>
      </c>
      <c r="M393" s="170" t="s">
        <v>792</v>
      </c>
      <c r="N393" s="294">
        <v>10</v>
      </c>
      <c r="O393" s="170"/>
    </row>
    <row r="394" ht="15.75" customHeight="1" spans="1:15">
      <c r="A394" s="183" t="str">
        <f>VLOOKUP(F394,数据集标准分类!A:G,7,0)</f>
        <v>02</v>
      </c>
      <c r="B394" s="183" t="str">
        <f>VLOOKUP(F394,数据集标准分类!A:F,6,0)</f>
        <v>电子病历</v>
      </c>
      <c r="C394" s="183" t="str">
        <f>VLOOKUP(F394,数据集标准分类!A:E,5,0)</f>
        <v>0203</v>
      </c>
      <c r="D394" s="183" t="str">
        <f>VLOOKUP(F394,数据集标准分类!A:D,4,0)</f>
        <v>病程记录</v>
      </c>
      <c r="E394" s="183" t="str">
        <f>VLOOKUP(F394,数据集标准分类!A:C,3,0)</f>
        <v>020307</v>
      </c>
      <c r="F394" s="170" t="s">
        <v>1224</v>
      </c>
      <c r="G394" s="183" t="str">
        <f>VLOOKUP(F394,数据集标准分类!A:B,2,0)</f>
        <v>stage_brief_summary</v>
      </c>
      <c r="H394" s="294">
        <f>VLOOKUP(F394,数据集标准分类!A:H,8,0)</f>
        <v>16</v>
      </c>
      <c r="I394" s="170" t="s">
        <v>1109</v>
      </c>
      <c r="J394" s="170" t="s">
        <v>1110</v>
      </c>
      <c r="K394" s="170" t="s">
        <v>1111</v>
      </c>
      <c r="L394" s="170" t="s">
        <v>1112</v>
      </c>
      <c r="M394" s="170" t="s">
        <v>1113</v>
      </c>
      <c r="N394" s="294">
        <v>11</v>
      </c>
      <c r="O394" s="170"/>
    </row>
    <row r="395" ht="15.75" customHeight="1" spans="1:15">
      <c r="A395" s="183" t="str">
        <f>VLOOKUP(F395,数据集标准分类!A:G,7,0)</f>
        <v>02</v>
      </c>
      <c r="B395" s="183" t="str">
        <f>VLOOKUP(F395,数据集标准分类!A:F,6,0)</f>
        <v>电子病历</v>
      </c>
      <c r="C395" s="183" t="str">
        <f>VLOOKUP(F395,数据集标准分类!A:E,5,0)</f>
        <v>0203</v>
      </c>
      <c r="D395" s="183" t="str">
        <f>VLOOKUP(F395,数据集标准分类!A:D,4,0)</f>
        <v>病程记录</v>
      </c>
      <c r="E395" s="183" t="str">
        <f>VLOOKUP(F395,数据集标准分类!A:C,3,0)</f>
        <v>020307</v>
      </c>
      <c r="F395" s="170" t="s">
        <v>1224</v>
      </c>
      <c r="G395" s="183" t="str">
        <f>VLOOKUP(F395,数据集标准分类!A:B,2,0)</f>
        <v>stage_brief_summary</v>
      </c>
      <c r="H395" s="294">
        <f>VLOOKUP(F395,数据集标准分类!A:H,8,0)</f>
        <v>16</v>
      </c>
      <c r="I395" s="170" t="s">
        <v>201</v>
      </c>
      <c r="J395" s="170" t="s">
        <v>202</v>
      </c>
      <c r="K395" s="170" t="s">
        <v>203</v>
      </c>
      <c r="L395" s="170" t="s">
        <v>204</v>
      </c>
      <c r="M395" s="170" t="s">
        <v>1114</v>
      </c>
      <c r="N395" s="294">
        <v>12</v>
      </c>
      <c r="O395" s="170"/>
    </row>
    <row r="396" ht="15.75" customHeight="1" spans="1:15">
      <c r="A396" s="183" t="str">
        <f>VLOOKUP(F396,数据集标准分类!A:G,7,0)</f>
        <v>02</v>
      </c>
      <c r="B396" s="183" t="str">
        <f>VLOOKUP(F396,数据集标准分类!A:F,6,0)</f>
        <v>电子病历</v>
      </c>
      <c r="C396" s="183" t="str">
        <f>VLOOKUP(F396,数据集标准分类!A:E,5,0)</f>
        <v>0203</v>
      </c>
      <c r="D396" s="183" t="str">
        <f>VLOOKUP(F396,数据集标准分类!A:D,4,0)</f>
        <v>病程记录</v>
      </c>
      <c r="E396" s="183" t="str">
        <f>VLOOKUP(F396,数据集标准分类!A:C,3,0)</f>
        <v>020307</v>
      </c>
      <c r="F396" s="170" t="s">
        <v>1224</v>
      </c>
      <c r="G396" s="183" t="str">
        <f>VLOOKUP(F396,数据集标准分类!A:B,2,0)</f>
        <v>stage_brief_summary</v>
      </c>
      <c r="H396" s="294">
        <f>VLOOKUP(F396,数据集标准分类!A:H,8,0)</f>
        <v>16</v>
      </c>
      <c r="I396" s="170" t="s">
        <v>1006</v>
      </c>
      <c r="J396" s="170" t="s">
        <v>1007</v>
      </c>
      <c r="K396" s="170" t="s">
        <v>1008</v>
      </c>
      <c r="L396" s="170" t="s">
        <v>1009</v>
      </c>
      <c r="M396" s="170" t="s">
        <v>1107</v>
      </c>
      <c r="N396" s="294">
        <v>13</v>
      </c>
      <c r="O396" s="170"/>
    </row>
    <row r="397" ht="15.75" customHeight="1" spans="1:15">
      <c r="A397" s="183" t="str">
        <f>VLOOKUP(F397,数据集标准分类!A:G,7,0)</f>
        <v>02</v>
      </c>
      <c r="B397" s="183" t="str">
        <f>VLOOKUP(F397,数据集标准分类!A:F,6,0)</f>
        <v>电子病历</v>
      </c>
      <c r="C397" s="183" t="str">
        <f>VLOOKUP(F397,数据集标准分类!A:E,5,0)</f>
        <v>0203</v>
      </c>
      <c r="D397" s="183" t="str">
        <f>VLOOKUP(F397,数据集标准分类!A:D,4,0)</f>
        <v>病程记录</v>
      </c>
      <c r="E397" s="183" t="str">
        <f>VLOOKUP(F397,数据集标准分类!A:C,3,0)</f>
        <v>020307</v>
      </c>
      <c r="F397" s="170" t="s">
        <v>1224</v>
      </c>
      <c r="G397" s="183" t="str">
        <f>VLOOKUP(F397,数据集标准分类!A:B,2,0)</f>
        <v>stage_brief_summary</v>
      </c>
      <c r="H397" s="294">
        <f>VLOOKUP(F397,数据集标准分类!A:H,8,0)</f>
        <v>16</v>
      </c>
      <c r="I397" s="170" t="s">
        <v>966</v>
      </c>
      <c r="J397" s="170" t="s">
        <v>967</v>
      </c>
      <c r="K397" s="170" t="s">
        <v>968</v>
      </c>
      <c r="L397" s="170" t="s">
        <v>969</v>
      </c>
      <c r="M397" s="170" t="s">
        <v>970</v>
      </c>
      <c r="N397" s="294">
        <v>14</v>
      </c>
      <c r="O397" s="170"/>
    </row>
    <row r="398" ht="15.75" customHeight="1" spans="1:15">
      <c r="A398" s="183" t="str">
        <f>VLOOKUP(F398,数据集标准分类!A:G,7,0)</f>
        <v>02</v>
      </c>
      <c r="B398" s="183" t="str">
        <f>VLOOKUP(F398,数据集标准分类!A:F,6,0)</f>
        <v>电子病历</v>
      </c>
      <c r="C398" s="183" t="str">
        <f>VLOOKUP(F398,数据集标准分类!A:E,5,0)</f>
        <v>0203</v>
      </c>
      <c r="D398" s="183" t="str">
        <f>VLOOKUP(F398,数据集标准分类!A:D,4,0)</f>
        <v>病程记录</v>
      </c>
      <c r="E398" s="183" t="str">
        <f>VLOOKUP(F398,数据集标准分类!A:C,3,0)</f>
        <v>020307</v>
      </c>
      <c r="F398" s="170" t="s">
        <v>1224</v>
      </c>
      <c r="G398" s="183" t="str">
        <f>VLOOKUP(F398,数据集标准分类!A:B,2,0)</f>
        <v>stage_brief_summary</v>
      </c>
      <c r="H398" s="294">
        <f>VLOOKUP(F398,数据集标准分类!A:H,8,0)</f>
        <v>16</v>
      </c>
      <c r="I398" s="170" t="s">
        <v>1172</v>
      </c>
      <c r="J398" s="170" t="s">
        <v>1173</v>
      </c>
      <c r="K398" s="170" t="s">
        <v>1174</v>
      </c>
      <c r="L398" s="170" t="s">
        <v>1175</v>
      </c>
      <c r="M398" s="170" t="s">
        <v>1176</v>
      </c>
      <c r="N398" s="294">
        <v>15</v>
      </c>
      <c r="O398" s="170"/>
    </row>
    <row r="399" ht="15.75" customHeight="1" spans="1:15">
      <c r="A399" s="183" t="str">
        <f>VLOOKUP(F399,数据集标准分类!A:G,7,0)</f>
        <v>02</v>
      </c>
      <c r="B399" s="183" t="str">
        <f>VLOOKUP(F399,数据集标准分类!A:F,6,0)</f>
        <v>电子病历</v>
      </c>
      <c r="C399" s="183" t="str">
        <f>VLOOKUP(F399,数据集标准分类!A:E,5,0)</f>
        <v>0203</v>
      </c>
      <c r="D399" s="183" t="str">
        <f>VLOOKUP(F399,数据集标准分类!A:D,4,0)</f>
        <v>病程记录</v>
      </c>
      <c r="E399" s="183" t="str">
        <f>VLOOKUP(F399,数据集标准分类!A:C,3,0)</f>
        <v>020307</v>
      </c>
      <c r="F399" s="170" t="s">
        <v>1224</v>
      </c>
      <c r="G399" s="183" t="str">
        <f>VLOOKUP(F399,数据集标准分类!A:B,2,0)</f>
        <v>stage_brief_summary</v>
      </c>
      <c r="H399" s="294">
        <f>VLOOKUP(F399,数据集标准分类!A:H,8,0)</f>
        <v>16</v>
      </c>
      <c r="I399" s="170" t="s">
        <v>1177</v>
      </c>
      <c r="J399" s="170" t="s">
        <v>1178</v>
      </c>
      <c r="K399" s="170" t="s">
        <v>1179</v>
      </c>
      <c r="L399" s="170" t="s">
        <v>1180</v>
      </c>
      <c r="M399" s="170" t="s">
        <v>1231</v>
      </c>
      <c r="N399" s="294">
        <v>16</v>
      </c>
      <c r="O399" s="170"/>
    </row>
    <row r="400" ht="15.75" customHeight="1" spans="1:15">
      <c r="A400" s="183" t="str">
        <f>VLOOKUP(F400,数据集标准分类!A:G,7,0)</f>
        <v>02</v>
      </c>
      <c r="B400" s="183" t="str">
        <f>VLOOKUP(F400,数据集标准分类!A:F,6,0)</f>
        <v>电子病历</v>
      </c>
      <c r="C400" s="183" t="str">
        <f>VLOOKUP(F400,数据集标准分类!A:E,5,0)</f>
        <v>0203</v>
      </c>
      <c r="D400" s="183" t="str">
        <f>VLOOKUP(F400,数据集标准分类!A:D,4,0)</f>
        <v>病程记录</v>
      </c>
      <c r="E400" s="183" t="str">
        <f>VLOOKUP(F400,数据集标准分类!A:C,3,0)</f>
        <v>020307</v>
      </c>
      <c r="F400" s="170" t="s">
        <v>1224</v>
      </c>
      <c r="G400" s="183" t="str">
        <f>VLOOKUP(F400,数据集标准分类!A:B,2,0)</f>
        <v>stage_brief_summary</v>
      </c>
      <c r="H400" s="294">
        <f>VLOOKUP(F400,数据集标准分类!A:H,8,0)</f>
        <v>16</v>
      </c>
      <c r="I400" s="170" t="s">
        <v>1182</v>
      </c>
      <c r="J400" s="170" t="s">
        <v>1183</v>
      </c>
      <c r="K400" s="170" t="s">
        <v>1184</v>
      </c>
      <c r="L400" s="170" t="s">
        <v>1185</v>
      </c>
      <c r="M400" s="170" t="s">
        <v>1232</v>
      </c>
      <c r="N400" s="294">
        <v>17</v>
      </c>
      <c r="O400" s="170"/>
    </row>
    <row r="401" ht="15.75" customHeight="1" spans="1:15">
      <c r="A401" s="183" t="str">
        <f>VLOOKUP(F401,数据集标准分类!A:G,7,0)</f>
        <v>02</v>
      </c>
      <c r="B401" s="183" t="str">
        <f>VLOOKUP(F401,数据集标准分类!A:F,6,0)</f>
        <v>电子病历</v>
      </c>
      <c r="C401" s="183" t="str">
        <f>VLOOKUP(F401,数据集标准分类!A:E,5,0)</f>
        <v>0203</v>
      </c>
      <c r="D401" s="183" t="str">
        <f>VLOOKUP(F401,数据集标准分类!A:D,4,0)</f>
        <v>病程记录</v>
      </c>
      <c r="E401" s="183" t="str">
        <f>VLOOKUP(F401,数据集标准分类!A:C,3,0)</f>
        <v>020307</v>
      </c>
      <c r="F401" s="170" t="s">
        <v>1224</v>
      </c>
      <c r="G401" s="183" t="str">
        <f>VLOOKUP(F401,数据集标准分类!A:B,2,0)</f>
        <v>stage_brief_summary</v>
      </c>
      <c r="H401" s="294">
        <f>VLOOKUP(F401,数据集标准分类!A:H,8,0)</f>
        <v>16</v>
      </c>
      <c r="I401" s="170" t="s">
        <v>1187</v>
      </c>
      <c r="J401" s="170" t="s">
        <v>1188</v>
      </c>
      <c r="K401" s="170" t="s">
        <v>1189</v>
      </c>
      <c r="L401" s="170" t="s">
        <v>1190</v>
      </c>
      <c r="M401" s="170" t="s">
        <v>1233</v>
      </c>
      <c r="N401" s="294">
        <v>18</v>
      </c>
      <c r="O401" s="170"/>
    </row>
    <row r="402" ht="15.75" customHeight="1" spans="1:15">
      <c r="A402" s="183" t="str">
        <f>VLOOKUP(F402,数据集标准分类!A:G,7,0)</f>
        <v>02</v>
      </c>
      <c r="B402" s="183" t="str">
        <f>VLOOKUP(F402,数据集标准分类!A:F,6,0)</f>
        <v>电子病历</v>
      </c>
      <c r="C402" s="183" t="str">
        <f>VLOOKUP(F402,数据集标准分类!A:E,5,0)</f>
        <v>0203</v>
      </c>
      <c r="D402" s="183" t="str">
        <f>VLOOKUP(F402,数据集标准分类!A:D,4,0)</f>
        <v>病程记录</v>
      </c>
      <c r="E402" s="183" t="str">
        <f>VLOOKUP(F402,数据集标准分类!A:C,3,0)</f>
        <v>020307</v>
      </c>
      <c r="F402" s="170" t="s">
        <v>1224</v>
      </c>
      <c r="G402" s="183" t="str">
        <f>VLOOKUP(F402,数据集标准分类!A:B,2,0)</f>
        <v>stage_brief_summary</v>
      </c>
      <c r="H402" s="294">
        <f>VLOOKUP(F402,数据集标准分类!A:H,8,0)</f>
        <v>16</v>
      </c>
      <c r="I402" s="170" t="s">
        <v>1234</v>
      </c>
      <c r="J402" s="170" t="s">
        <v>1235</v>
      </c>
      <c r="K402" s="170" t="s">
        <v>1236</v>
      </c>
      <c r="L402" s="170" t="s">
        <v>1237</v>
      </c>
      <c r="M402" s="170" t="s">
        <v>1238</v>
      </c>
      <c r="N402" s="294">
        <v>19</v>
      </c>
      <c r="O402" s="170"/>
    </row>
    <row r="403" ht="15.75" customHeight="1" spans="1:15">
      <c r="A403" s="183" t="str">
        <f>VLOOKUP(F403,数据集标准分类!A:G,7,0)</f>
        <v>02</v>
      </c>
      <c r="B403" s="183" t="str">
        <f>VLOOKUP(F403,数据集标准分类!A:F,6,0)</f>
        <v>电子病历</v>
      </c>
      <c r="C403" s="183" t="str">
        <f>VLOOKUP(F403,数据集标准分类!A:E,5,0)</f>
        <v>0203</v>
      </c>
      <c r="D403" s="183" t="str">
        <f>VLOOKUP(F403,数据集标准分类!A:D,4,0)</f>
        <v>病程记录</v>
      </c>
      <c r="E403" s="183" t="str">
        <f>VLOOKUP(F403,数据集标准分类!A:C,3,0)</f>
        <v>020308</v>
      </c>
      <c r="F403" s="170" t="s">
        <v>1239</v>
      </c>
      <c r="G403" s="183" t="str">
        <f>VLOOKUP(F403,数据集标准分类!A:B,2,0)</f>
        <v>rescue_record</v>
      </c>
      <c r="H403" s="294">
        <f>VLOOKUP(F403,数据集标准分类!A:H,8,0)</f>
        <v>17</v>
      </c>
      <c r="I403" s="170" t="s">
        <v>1240</v>
      </c>
      <c r="J403" s="170" t="s">
        <v>1241</v>
      </c>
      <c r="K403" s="170" t="s">
        <v>1242</v>
      </c>
      <c r="L403" s="170" t="s">
        <v>1243</v>
      </c>
      <c r="M403" s="170" t="s">
        <v>1244</v>
      </c>
      <c r="N403" s="294">
        <v>1</v>
      </c>
      <c r="O403" s="170"/>
    </row>
    <row r="404" ht="15.75" customHeight="1" spans="1:15">
      <c r="A404" s="183" t="str">
        <f>VLOOKUP(F404,数据集标准分类!A:G,7,0)</f>
        <v>02</v>
      </c>
      <c r="B404" s="183" t="str">
        <f>VLOOKUP(F404,数据集标准分类!A:F,6,0)</f>
        <v>电子病历</v>
      </c>
      <c r="C404" s="183" t="str">
        <f>VLOOKUP(F404,数据集标准分类!A:E,5,0)</f>
        <v>0203</v>
      </c>
      <c r="D404" s="183" t="str">
        <f>VLOOKUP(F404,数据集标准分类!A:D,4,0)</f>
        <v>病程记录</v>
      </c>
      <c r="E404" s="183" t="str">
        <f>VLOOKUP(F404,数据集标准分类!A:C,3,0)</f>
        <v>020308</v>
      </c>
      <c r="F404" s="170" t="s">
        <v>1239</v>
      </c>
      <c r="G404" s="183" t="str">
        <f>VLOOKUP(F404,数据集标准分类!A:B,2,0)</f>
        <v>rescue_record</v>
      </c>
      <c r="H404" s="294">
        <f>VLOOKUP(F404,数据集标准分类!A:H,8,0)</f>
        <v>17</v>
      </c>
      <c r="I404" s="170" t="s">
        <v>172</v>
      </c>
      <c r="J404" s="170" t="s">
        <v>173</v>
      </c>
      <c r="K404" s="170" t="s">
        <v>174</v>
      </c>
      <c r="L404" s="170" t="s">
        <v>175</v>
      </c>
      <c r="M404" s="170" t="s">
        <v>1245</v>
      </c>
      <c r="N404" s="294">
        <v>2</v>
      </c>
      <c r="O404" s="170"/>
    </row>
    <row r="405" ht="15.75" customHeight="1" spans="1:15">
      <c r="A405" s="183" t="str">
        <f>VLOOKUP(F405,数据集标准分类!A:G,7,0)</f>
        <v>02</v>
      </c>
      <c r="B405" s="183" t="str">
        <f>VLOOKUP(F405,数据集标准分类!A:F,6,0)</f>
        <v>电子病历</v>
      </c>
      <c r="C405" s="183" t="str">
        <f>VLOOKUP(F405,数据集标准分类!A:E,5,0)</f>
        <v>0203</v>
      </c>
      <c r="D405" s="183" t="str">
        <f>VLOOKUP(F405,数据集标准分类!A:D,4,0)</f>
        <v>病程记录</v>
      </c>
      <c r="E405" s="183" t="str">
        <f>VLOOKUP(F405,数据集标准分类!A:C,3,0)</f>
        <v>020308</v>
      </c>
      <c r="F405" s="170" t="s">
        <v>1239</v>
      </c>
      <c r="G405" s="183" t="str">
        <f>VLOOKUP(F405,数据集标准分类!A:B,2,0)</f>
        <v>rescue_record</v>
      </c>
      <c r="H405" s="294">
        <f>VLOOKUP(F405,数据集标准分类!A:H,8,0)</f>
        <v>17</v>
      </c>
      <c r="I405" s="170" t="s">
        <v>1246</v>
      </c>
      <c r="J405" s="170" t="s">
        <v>1247</v>
      </c>
      <c r="K405" s="170" t="s">
        <v>1248</v>
      </c>
      <c r="L405" s="170" t="s">
        <v>1249</v>
      </c>
      <c r="M405" s="170"/>
      <c r="N405" s="294">
        <v>3</v>
      </c>
      <c r="O405" s="170"/>
    </row>
    <row r="406" ht="15.75" customHeight="1" spans="1:15">
      <c r="A406" s="183" t="str">
        <f>VLOOKUP(F406,数据集标准分类!A:G,7,0)</f>
        <v>02</v>
      </c>
      <c r="B406" s="183" t="str">
        <f>VLOOKUP(F406,数据集标准分类!A:F,6,0)</f>
        <v>电子病历</v>
      </c>
      <c r="C406" s="183" t="str">
        <f>VLOOKUP(F406,数据集标准分类!A:E,5,0)</f>
        <v>0203</v>
      </c>
      <c r="D406" s="183" t="str">
        <f>VLOOKUP(F406,数据集标准分类!A:D,4,0)</f>
        <v>病程记录</v>
      </c>
      <c r="E406" s="183" t="str">
        <f>VLOOKUP(F406,数据集标准分类!A:C,3,0)</f>
        <v>020308</v>
      </c>
      <c r="F406" s="170" t="s">
        <v>1239</v>
      </c>
      <c r="G406" s="183" t="str">
        <f>VLOOKUP(F406,数据集标准分类!A:B,2,0)</f>
        <v>rescue_record</v>
      </c>
      <c r="H406" s="294">
        <f>VLOOKUP(F406,数据集标准分类!A:H,8,0)</f>
        <v>17</v>
      </c>
      <c r="I406" s="170" t="s">
        <v>1250</v>
      </c>
      <c r="J406" s="170" t="s">
        <v>1251</v>
      </c>
      <c r="K406" s="170" t="s">
        <v>1252</v>
      </c>
      <c r="L406" s="170" t="s">
        <v>1253</v>
      </c>
      <c r="M406" s="170" t="s">
        <v>1254</v>
      </c>
      <c r="N406" s="294">
        <v>4</v>
      </c>
      <c r="O406" s="170"/>
    </row>
    <row r="407" ht="15.75" customHeight="1" spans="1:15">
      <c r="A407" s="183" t="str">
        <f>VLOOKUP(F407,数据集标准分类!A:G,7,0)</f>
        <v>02</v>
      </c>
      <c r="B407" s="183" t="str">
        <f>VLOOKUP(F407,数据集标准分类!A:F,6,0)</f>
        <v>电子病历</v>
      </c>
      <c r="C407" s="183" t="str">
        <f>VLOOKUP(F407,数据集标准分类!A:E,5,0)</f>
        <v>0203</v>
      </c>
      <c r="D407" s="183" t="str">
        <f>VLOOKUP(F407,数据集标准分类!A:D,4,0)</f>
        <v>病程记录</v>
      </c>
      <c r="E407" s="183" t="str">
        <f>VLOOKUP(F407,数据集标准分类!A:C,3,0)</f>
        <v>020308</v>
      </c>
      <c r="F407" s="170" t="s">
        <v>1239</v>
      </c>
      <c r="G407" s="183" t="str">
        <f>VLOOKUP(F407,数据集标准分类!A:B,2,0)</f>
        <v>rescue_record</v>
      </c>
      <c r="H407" s="294">
        <f>VLOOKUP(F407,数据集标准分类!A:H,8,0)</f>
        <v>17</v>
      </c>
      <c r="I407" s="170" t="s">
        <v>1255</v>
      </c>
      <c r="J407" s="170" t="s">
        <v>1256</v>
      </c>
      <c r="K407" s="170" t="s">
        <v>1257</v>
      </c>
      <c r="L407" s="170" t="s">
        <v>1258</v>
      </c>
      <c r="M407" s="170" t="s">
        <v>1259</v>
      </c>
      <c r="N407" s="294">
        <v>5</v>
      </c>
      <c r="O407" s="170"/>
    </row>
    <row r="408" ht="15.75" customHeight="1" spans="1:15">
      <c r="A408" s="183" t="str">
        <f>VLOOKUP(F408,数据集标准分类!A:G,7,0)</f>
        <v>02</v>
      </c>
      <c r="B408" s="183" t="str">
        <f>VLOOKUP(F408,数据集标准分类!A:F,6,0)</f>
        <v>电子病历</v>
      </c>
      <c r="C408" s="183" t="str">
        <f>VLOOKUP(F408,数据集标准分类!A:E,5,0)</f>
        <v>0203</v>
      </c>
      <c r="D408" s="183" t="str">
        <f>VLOOKUP(F408,数据集标准分类!A:D,4,0)</f>
        <v>病程记录</v>
      </c>
      <c r="E408" s="183" t="str">
        <f>VLOOKUP(F408,数据集标准分类!A:C,3,0)</f>
        <v>020308</v>
      </c>
      <c r="F408" s="170" t="s">
        <v>1239</v>
      </c>
      <c r="G408" s="183" t="str">
        <f>VLOOKUP(F408,数据集标准分类!A:B,2,0)</f>
        <v>rescue_record</v>
      </c>
      <c r="H408" s="294">
        <f>VLOOKUP(F408,数据集标准分类!A:H,8,0)</f>
        <v>17</v>
      </c>
      <c r="I408" s="170" t="s">
        <v>192</v>
      </c>
      <c r="J408" s="170" t="s">
        <v>193</v>
      </c>
      <c r="K408" s="170" t="s">
        <v>194</v>
      </c>
      <c r="L408" s="170" t="s">
        <v>195</v>
      </c>
      <c r="M408" s="170" t="s">
        <v>385</v>
      </c>
      <c r="N408" s="294">
        <v>6</v>
      </c>
      <c r="O408" s="170"/>
    </row>
    <row r="409" ht="15.75" customHeight="1" spans="1:15">
      <c r="A409" s="183" t="str">
        <f>VLOOKUP(F409,数据集标准分类!A:G,7,0)</f>
        <v>02</v>
      </c>
      <c r="B409" s="183" t="str">
        <f>VLOOKUP(F409,数据集标准分类!A:F,6,0)</f>
        <v>电子病历</v>
      </c>
      <c r="C409" s="183" t="str">
        <f>VLOOKUP(F409,数据集标准分类!A:E,5,0)</f>
        <v>0203</v>
      </c>
      <c r="D409" s="183" t="str">
        <f>VLOOKUP(F409,数据集标准分类!A:D,4,0)</f>
        <v>病程记录</v>
      </c>
      <c r="E409" s="183" t="str">
        <f>VLOOKUP(F409,数据集标准分类!A:C,3,0)</f>
        <v>020308</v>
      </c>
      <c r="F409" s="170" t="s">
        <v>1239</v>
      </c>
      <c r="G409" s="183" t="str">
        <f>VLOOKUP(F409,数据集标准分类!A:B,2,0)</f>
        <v>rescue_record</v>
      </c>
      <c r="H409" s="294">
        <f>VLOOKUP(F409,数据集标准分类!A:H,8,0)</f>
        <v>17</v>
      </c>
      <c r="I409" s="170" t="s">
        <v>396</v>
      </c>
      <c r="J409" s="170" t="s">
        <v>397</v>
      </c>
      <c r="K409" s="170" t="s">
        <v>398</v>
      </c>
      <c r="L409" s="170" t="s">
        <v>399</v>
      </c>
      <c r="M409" s="170" t="s">
        <v>1260</v>
      </c>
      <c r="N409" s="294">
        <v>7</v>
      </c>
      <c r="O409" s="170"/>
    </row>
    <row r="410" ht="15.75" customHeight="1" spans="1:15">
      <c r="A410" s="183" t="str">
        <f>VLOOKUP(F410,数据集标准分类!A:G,7,0)</f>
        <v>02</v>
      </c>
      <c r="B410" s="183" t="str">
        <f>VLOOKUP(F410,数据集标准分类!A:F,6,0)</f>
        <v>电子病历</v>
      </c>
      <c r="C410" s="183" t="str">
        <f>VLOOKUP(F410,数据集标准分类!A:E,5,0)</f>
        <v>0203</v>
      </c>
      <c r="D410" s="183" t="str">
        <f>VLOOKUP(F410,数据集标准分类!A:D,4,0)</f>
        <v>病程记录</v>
      </c>
      <c r="E410" s="183" t="str">
        <f>VLOOKUP(F410,数据集标准分类!A:C,3,0)</f>
        <v>020308</v>
      </c>
      <c r="F410" s="170" t="s">
        <v>1239</v>
      </c>
      <c r="G410" s="183" t="str">
        <f>VLOOKUP(F410,数据集标准分类!A:B,2,0)</f>
        <v>rescue_record</v>
      </c>
      <c r="H410" s="294">
        <f>VLOOKUP(F410,数据集标准分类!A:H,8,0)</f>
        <v>17</v>
      </c>
      <c r="I410" s="170" t="s">
        <v>1261</v>
      </c>
      <c r="J410" s="170" t="s">
        <v>1262</v>
      </c>
      <c r="K410" s="170" t="s">
        <v>1263</v>
      </c>
      <c r="L410" s="170" t="s">
        <v>1264</v>
      </c>
      <c r="M410" s="170" t="s">
        <v>1265</v>
      </c>
      <c r="N410" s="294">
        <v>8</v>
      </c>
      <c r="O410" s="170"/>
    </row>
    <row r="411" ht="15.75" customHeight="1" spans="1:15">
      <c r="A411" s="183" t="str">
        <f>VLOOKUP(F411,数据集标准分类!A:G,7,0)</f>
        <v>02</v>
      </c>
      <c r="B411" s="183" t="str">
        <f>VLOOKUP(F411,数据集标准分类!A:F,6,0)</f>
        <v>电子病历</v>
      </c>
      <c r="C411" s="183" t="str">
        <f>VLOOKUP(F411,数据集标准分类!A:E,5,0)</f>
        <v>0203</v>
      </c>
      <c r="D411" s="183" t="str">
        <f>VLOOKUP(F411,数据集标准分类!A:D,4,0)</f>
        <v>病程记录</v>
      </c>
      <c r="E411" s="183" t="str">
        <f>VLOOKUP(F411,数据集标准分类!A:C,3,0)</f>
        <v>020308</v>
      </c>
      <c r="F411" s="170" t="s">
        <v>1239</v>
      </c>
      <c r="G411" s="183" t="str">
        <f>VLOOKUP(F411,数据集标准分类!A:B,2,0)</f>
        <v>rescue_record</v>
      </c>
      <c r="H411" s="294">
        <f>VLOOKUP(F411,数据集标准分类!A:H,8,0)</f>
        <v>17</v>
      </c>
      <c r="I411" s="170" t="s">
        <v>1266</v>
      </c>
      <c r="J411" s="170" t="s">
        <v>1267</v>
      </c>
      <c r="K411" s="170" t="s">
        <v>1268</v>
      </c>
      <c r="L411" s="170" t="s">
        <v>1269</v>
      </c>
      <c r="M411" s="170" t="s">
        <v>1270</v>
      </c>
      <c r="N411" s="294">
        <v>9</v>
      </c>
      <c r="O411" s="170"/>
    </row>
    <row r="412" ht="15.75" customHeight="1" spans="1:15">
      <c r="A412" s="183" t="str">
        <f>VLOOKUP(F412,数据集标准分类!A:G,7,0)</f>
        <v>02</v>
      </c>
      <c r="B412" s="183" t="str">
        <f>VLOOKUP(F412,数据集标准分类!A:F,6,0)</f>
        <v>电子病历</v>
      </c>
      <c r="C412" s="183" t="str">
        <f>VLOOKUP(F412,数据集标准分类!A:E,5,0)</f>
        <v>0203</v>
      </c>
      <c r="D412" s="183" t="str">
        <f>VLOOKUP(F412,数据集标准分类!A:D,4,0)</f>
        <v>病程记录</v>
      </c>
      <c r="E412" s="183" t="str">
        <f>VLOOKUP(F412,数据集标准分类!A:C,3,0)</f>
        <v>020308</v>
      </c>
      <c r="F412" s="170" t="s">
        <v>1239</v>
      </c>
      <c r="G412" s="183" t="str">
        <f>VLOOKUP(F412,数据集标准分类!A:B,2,0)</f>
        <v>rescue_record</v>
      </c>
      <c r="H412" s="294">
        <f>VLOOKUP(F412,数据集标准分类!A:H,8,0)</f>
        <v>17</v>
      </c>
      <c r="I412" s="170" t="s">
        <v>216</v>
      </c>
      <c r="J412" s="170" t="s">
        <v>217</v>
      </c>
      <c r="K412" s="170" t="s">
        <v>218</v>
      </c>
      <c r="L412" s="170" t="s">
        <v>219</v>
      </c>
      <c r="M412" s="170" t="s">
        <v>1271</v>
      </c>
      <c r="N412" s="294">
        <v>10</v>
      </c>
      <c r="O412" s="170"/>
    </row>
    <row r="413" ht="15.75" customHeight="1" spans="1:15">
      <c r="A413" s="183" t="str">
        <f>VLOOKUP(F413,数据集标准分类!A:G,7,0)</f>
        <v>02</v>
      </c>
      <c r="B413" s="183" t="str">
        <f>VLOOKUP(F413,数据集标准分类!A:F,6,0)</f>
        <v>电子病历</v>
      </c>
      <c r="C413" s="183" t="str">
        <f>VLOOKUP(F413,数据集标准分类!A:E,5,0)</f>
        <v>0203</v>
      </c>
      <c r="D413" s="183" t="str">
        <f>VLOOKUP(F413,数据集标准分类!A:D,4,0)</f>
        <v>病程记录</v>
      </c>
      <c r="E413" s="183" t="str">
        <f>VLOOKUP(F413,数据集标准分类!A:C,3,0)</f>
        <v>020308</v>
      </c>
      <c r="F413" s="170" t="s">
        <v>1239</v>
      </c>
      <c r="G413" s="183" t="str">
        <f>VLOOKUP(F413,数据集标准分类!A:B,2,0)</f>
        <v>rescue_record</v>
      </c>
      <c r="H413" s="294">
        <f>VLOOKUP(F413,数据集标准分类!A:H,8,0)</f>
        <v>17</v>
      </c>
      <c r="I413" s="170" t="s">
        <v>1272</v>
      </c>
      <c r="J413" s="170" t="s">
        <v>1273</v>
      </c>
      <c r="K413" s="170" t="s">
        <v>1274</v>
      </c>
      <c r="L413" s="170" t="s">
        <v>1275</v>
      </c>
      <c r="M413" s="170" t="s">
        <v>1276</v>
      </c>
      <c r="N413" s="294">
        <v>11</v>
      </c>
      <c r="O413" s="170"/>
    </row>
    <row r="414" ht="15.75" customHeight="1" spans="1:15">
      <c r="A414" s="183" t="str">
        <f>VLOOKUP(F414,数据集标准分类!A:G,7,0)</f>
        <v>02</v>
      </c>
      <c r="B414" s="183" t="str">
        <f>VLOOKUP(F414,数据集标准分类!A:F,6,0)</f>
        <v>电子病历</v>
      </c>
      <c r="C414" s="183" t="str">
        <f>VLOOKUP(F414,数据集标准分类!A:E,5,0)</f>
        <v>0203</v>
      </c>
      <c r="D414" s="183" t="str">
        <f>VLOOKUP(F414,数据集标准分类!A:D,4,0)</f>
        <v>病程记录</v>
      </c>
      <c r="E414" s="183" t="str">
        <f>VLOOKUP(F414,数据集标准分类!A:C,3,0)</f>
        <v>020308</v>
      </c>
      <c r="F414" s="170" t="s">
        <v>1239</v>
      </c>
      <c r="G414" s="183" t="str">
        <f>VLOOKUP(F414,数据集标准分类!A:B,2,0)</f>
        <v>rescue_record</v>
      </c>
      <c r="H414" s="294">
        <f>VLOOKUP(F414,数据集标准分类!A:H,8,0)</f>
        <v>17</v>
      </c>
      <c r="I414" s="170" t="s">
        <v>1277</v>
      </c>
      <c r="J414" s="170" t="s">
        <v>1278</v>
      </c>
      <c r="K414" s="170" t="s">
        <v>1279</v>
      </c>
      <c r="L414" s="170" t="s">
        <v>1280</v>
      </c>
      <c r="M414" s="170" t="s">
        <v>1281</v>
      </c>
      <c r="N414" s="294">
        <v>12</v>
      </c>
      <c r="O414" s="170"/>
    </row>
    <row r="415" ht="15.75" customHeight="1" spans="1:15">
      <c r="A415" s="183" t="str">
        <f>VLOOKUP(F415,数据集标准分类!A:G,7,0)</f>
        <v>02</v>
      </c>
      <c r="B415" s="183" t="str">
        <f>VLOOKUP(F415,数据集标准分类!A:F,6,0)</f>
        <v>电子病历</v>
      </c>
      <c r="C415" s="183" t="str">
        <f>VLOOKUP(F415,数据集标准分类!A:E,5,0)</f>
        <v>0203</v>
      </c>
      <c r="D415" s="183" t="str">
        <f>VLOOKUP(F415,数据集标准分类!A:D,4,0)</f>
        <v>病程记录</v>
      </c>
      <c r="E415" s="183" t="str">
        <f>VLOOKUP(F415,数据集标准分类!A:C,3,0)</f>
        <v>020308</v>
      </c>
      <c r="F415" s="170" t="s">
        <v>1239</v>
      </c>
      <c r="G415" s="183" t="str">
        <f>VLOOKUP(F415,数据集标准分类!A:B,2,0)</f>
        <v>rescue_record</v>
      </c>
      <c r="H415" s="294">
        <f>VLOOKUP(F415,数据集标准分类!A:H,8,0)</f>
        <v>17</v>
      </c>
      <c r="I415" s="170" t="s">
        <v>1282</v>
      </c>
      <c r="J415" s="170" t="s">
        <v>1283</v>
      </c>
      <c r="K415" s="170" t="s">
        <v>1284</v>
      </c>
      <c r="L415" s="170" t="s">
        <v>1285</v>
      </c>
      <c r="M415" s="170" t="s">
        <v>1286</v>
      </c>
      <c r="N415" s="294">
        <v>13</v>
      </c>
      <c r="O415" s="170"/>
    </row>
    <row r="416" ht="15.75" customHeight="1" spans="1:15">
      <c r="A416" s="183" t="str">
        <f>VLOOKUP(F416,数据集标准分类!A:G,7,0)</f>
        <v>02</v>
      </c>
      <c r="B416" s="183" t="str">
        <f>VLOOKUP(F416,数据集标准分类!A:F,6,0)</f>
        <v>电子病历</v>
      </c>
      <c r="C416" s="183" t="str">
        <f>VLOOKUP(F416,数据集标准分类!A:E,5,0)</f>
        <v>0203</v>
      </c>
      <c r="D416" s="183" t="str">
        <f>VLOOKUP(F416,数据集标准分类!A:D,4,0)</f>
        <v>病程记录</v>
      </c>
      <c r="E416" s="183" t="str">
        <f>VLOOKUP(F416,数据集标准分类!A:C,3,0)</f>
        <v>020308</v>
      </c>
      <c r="F416" s="170" t="s">
        <v>1239</v>
      </c>
      <c r="G416" s="183" t="str">
        <f>VLOOKUP(F416,数据集标准分类!A:B,2,0)</f>
        <v>rescue_record</v>
      </c>
      <c r="H416" s="294">
        <f>VLOOKUP(F416,数据集标准分类!A:H,8,0)</f>
        <v>17</v>
      </c>
      <c r="I416" s="170" t="s">
        <v>1287</v>
      </c>
      <c r="J416" s="170" t="s">
        <v>1288</v>
      </c>
      <c r="K416" s="170" t="s">
        <v>1289</v>
      </c>
      <c r="L416" s="170" t="s">
        <v>1290</v>
      </c>
      <c r="M416" s="170" t="s">
        <v>1291</v>
      </c>
      <c r="N416" s="294">
        <v>14</v>
      </c>
      <c r="O416" s="170"/>
    </row>
    <row r="417" ht="15.75" customHeight="1" spans="1:15">
      <c r="A417" s="183" t="str">
        <f>VLOOKUP(F417,数据集标准分类!A:G,7,0)</f>
        <v>02</v>
      </c>
      <c r="B417" s="183" t="str">
        <f>VLOOKUP(F417,数据集标准分类!A:F,6,0)</f>
        <v>电子病历</v>
      </c>
      <c r="C417" s="183" t="str">
        <f>VLOOKUP(F417,数据集标准分类!A:E,5,0)</f>
        <v>0203</v>
      </c>
      <c r="D417" s="183" t="str">
        <f>VLOOKUP(F417,数据集标准分类!A:D,4,0)</f>
        <v>病程记录</v>
      </c>
      <c r="E417" s="183" t="str">
        <f>VLOOKUP(F417,数据集标准分类!A:C,3,0)</f>
        <v>020308</v>
      </c>
      <c r="F417" s="170" t="s">
        <v>1239</v>
      </c>
      <c r="G417" s="183" t="str">
        <f>VLOOKUP(F417,数据集标准分类!A:B,2,0)</f>
        <v>rescue_record</v>
      </c>
      <c r="H417" s="294">
        <f>VLOOKUP(F417,数据集标准分类!A:H,8,0)</f>
        <v>17</v>
      </c>
      <c r="I417" s="170" t="s">
        <v>779</v>
      </c>
      <c r="J417" s="170" t="s">
        <v>780</v>
      </c>
      <c r="K417" s="170" t="s">
        <v>781</v>
      </c>
      <c r="L417" s="170" t="s">
        <v>782</v>
      </c>
      <c r="M417" s="170" t="s">
        <v>1292</v>
      </c>
      <c r="N417" s="294">
        <v>15</v>
      </c>
      <c r="O417" s="170"/>
    </row>
    <row r="418" ht="15.75" customHeight="1" spans="1:15">
      <c r="A418" s="183" t="str">
        <f>VLOOKUP(F418,数据集标准分类!A:G,7,0)</f>
        <v>02</v>
      </c>
      <c r="B418" s="183" t="str">
        <f>VLOOKUP(F418,数据集标准分类!A:F,6,0)</f>
        <v>电子病历</v>
      </c>
      <c r="C418" s="183" t="str">
        <f>VLOOKUP(F418,数据集标准分类!A:E,5,0)</f>
        <v>0203</v>
      </c>
      <c r="D418" s="183" t="str">
        <f>VLOOKUP(F418,数据集标准分类!A:D,4,0)</f>
        <v>病程记录</v>
      </c>
      <c r="E418" s="183" t="str">
        <f>VLOOKUP(F418,数据集标准分类!A:C,3,0)</f>
        <v>020308</v>
      </c>
      <c r="F418" s="170" t="s">
        <v>1239</v>
      </c>
      <c r="G418" s="183" t="str">
        <f>VLOOKUP(F418,数据集标准分类!A:B,2,0)</f>
        <v>rescue_record</v>
      </c>
      <c r="H418" s="294">
        <f>VLOOKUP(F418,数据集标准分类!A:H,8,0)</f>
        <v>17</v>
      </c>
      <c r="I418" s="170" t="s">
        <v>1293</v>
      </c>
      <c r="J418" s="170" t="s">
        <v>1294</v>
      </c>
      <c r="K418" s="170" t="s">
        <v>1295</v>
      </c>
      <c r="L418" s="170" t="s">
        <v>1296</v>
      </c>
      <c r="M418" s="170" t="s">
        <v>1297</v>
      </c>
      <c r="N418" s="294">
        <v>16</v>
      </c>
      <c r="O418" s="170"/>
    </row>
    <row r="419" ht="15.75" customHeight="1" spans="1:15">
      <c r="A419" s="183" t="str">
        <f>VLOOKUP(F419,数据集标准分类!A:G,7,0)</f>
        <v>02</v>
      </c>
      <c r="B419" s="183" t="str">
        <f>VLOOKUP(F419,数据集标准分类!A:F,6,0)</f>
        <v>电子病历</v>
      </c>
      <c r="C419" s="183" t="str">
        <f>VLOOKUP(F419,数据集标准分类!A:E,5,0)</f>
        <v>0203</v>
      </c>
      <c r="D419" s="183" t="str">
        <f>VLOOKUP(F419,数据集标准分类!A:D,4,0)</f>
        <v>病程记录</v>
      </c>
      <c r="E419" s="183" t="str">
        <f>VLOOKUP(F419,数据集标准分类!A:C,3,0)</f>
        <v>020308</v>
      </c>
      <c r="F419" s="170" t="s">
        <v>1239</v>
      </c>
      <c r="G419" s="183" t="str">
        <f>VLOOKUP(F419,数据集标准分类!A:B,2,0)</f>
        <v>rescue_record</v>
      </c>
      <c r="H419" s="294">
        <f>VLOOKUP(F419,数据集标准分类!A:H,8,0)</f>
        <v>17</v>
      </c>
      <c r="I419" s="170" t="s">
        <v>1298</v>
      </c>
      <c r="J419" s="170" t="s">
        <v>1299</v>
      </c>
      <c r="K419" s="170" t="s">
        <v>1300</v>
      </c>
      <c r="L419" s="170" t="s">
        <v>1301</v>
      </c>
      <c r="M419" s="170" t="s">
        <v>1302</v>
      </c>
      <c r="N419" s="294">
        <v>17</v>
      </c>
      <c r="O419" s="170"/>
    </row>
    <row r="420" ht="15.75" customHeight="1" spans="1:15">
      <c r="A420" s="183" t="str">
        <f>VLOOKUP(F420,数据集标准分类!A:G,7,0)</f>
        <v>02</v>
      </c>
      <c r="B420" s="183" t="str">
        <f>VLOOKUP(F420,数据集标准分类!A:F,6,0)</f>
        <v>电子病历</v>
      </c>
      <c r="C420" s="183" t="str">
        <f>VLOOKUP(F420,数据集标准分类!A:E,5,0)</f>
        <v>0203</v>
      </c>
      <c r="D420" s="183" t="str">
        <f>VLOOKUP(F420,数据集标准分类!A:D,4,0)</f>
        <v>病程记录</v>
      </c>
      <c r="E420" s="183" t="str">
        <f>VLOOKUP(F420,数据集标准分类!A:C,3,0)</f>
        <v>020308</v>
      </c>
      <c r="F420" s="170" t="s">
        <v>1239</v>
      </c>
      <c r="G420" s="183" t="str">
        <f>VLOOKUP(F420,数据集标准分类!A:B,2,0)</f>
        <v>rescue_record</v>
      </c>
      <c r="H420" s="294">
        <f>VLOOKUP(F420,数据集标准分类!A:H,8,0)</f>
        <v>17</v>
      </c>
      <c r="I420" s="170" t="s">
        <v>1192</v>
      </c>
      <c r="J420" s="170" t="s">
        <v>1193</v>
      </c>
      <c r="K420" s="170" t="s">
        <v>1194</v>
      </c>
      <c r="L420" s="170" t="s">
        <v>1195</v>
      </c>
      <c r="M420" s="170" t="s">
        <v>1196</v>
      </c>
      <c r="N420" s="294">
        <v>18</v>
      </c>
      <c r="O420" s="170"/>
    </row>
    <row r="421" ht="15.75" customHeight="1" spans="1:15">
      <c r="A421" s="183" t="str">
        <f>VLOOKUP(F421,数据集标准分类!A:G,7,0)</f>
        <v>02</v>
      </c>
      <c r="B421" s="183" t="str">
        <f>VLOOKUP(F421,数据集标准分类!A:F,6,0)</f>
        <v>电子病历</v>
      </c>
      <c r="C421" s="183" t="str">
        <f>VLOOKUP(F421,数据集标准分类!A:E,5,0)</f>
        <v>0203</v>
      </c>
      <c r="D421" s="183" t="str">
        <f>VLOOKUP(F421,数据集标准分类!A:D,4,0)</f>
        <v>病程记录</v>
      </c>
      <c r="E421" s="183" t="str">
        <f>VLOOKUP(F421,数据集标准分类!A:C,3,0)</f>
        <v>020308</v>
      </c>
      <c r="F421" s="170" t="s">
        <v>1239</v>
      </c>
      <c r="G421" s="183" t="str">
        <f>VLOOKUP(F421,数据集标准分类!A:B,2,0)</f>
        <v>rescue_record</v>
      </c>
      <c r="H421" s="294">
        <f>VLOOKUP(F421,数据集标准分类!A:H,8,0)</f>
        <v>17</v>
      </c>
      <c r="I421" s="170" t="s">
        <v>1303</v>
      </c>
      <c r="J421" s="170" t="s">
        <v>1304</v>
      </c>
      <c r="K421" s="170" t="s">
        <v>1305</v>
      </c>
      <c r="L421" s="170" t="s">
        <v>1306</v>
      </c>
      <c r="M421" s="170"/>
      <c r="N421" s="294">
        <v>19</v>
      </c>
      <c r="O421" s="170"/>
    </row>
    <row r="422" ht="15.75" customHeight="1" spans="1:15">
      <c r="A422" s="183" t="str">
        <f>VLOOKUP(F422,数据集标准分类!A:G,7,0)</f>
        <v>02</v>
      </c>
      <c r="B422" s="183" t="str">
        <f>VLOOKUP(F422,数据集标准分类!A:F,6,0)</f>
        <v>电子病历</v>
      </c>
      <c r="C422" s="183" t="str">
        <f>VLOOKUP(F422,数据集标准分类!A:E,5,0)</f>
        <v>0203</v>
      </c>
      <c r="D422" s="183" t="str">
        <f>VLOOKUP(F422,数据集标准分类!A:D,4,0)</f>
        <v>病程记录</v>
      </c>
      <c r="E422" s="183" t="str">
        <f>VLOOKUP(F422,数据集标准分类!A:C,3,0)</f>
        <v>020308</v>
      </c>
      <c r="F422" s="170" t="s">
        <v>1239</v>
      </c>
      <c r="G422" s="183" t="str">
        <f>VLOOKUP(F422,数据集标准分类!A:B,2,0)</f>
        <v>rescue_record</v>
      </c>
      <c r="H422" s="294">
        <f>VLOOKUP(F422,数据集标准分类!A:H,8,0)</f>
        <v>17</v>
      </c>
      <c r="I422" s="170" t="s">
        <v>1307</v>
      </c>
      <c r="J422" s="170" t="s">
        <v>1308</v>
      </c>
      <c r="K422" s="170" t="s">
        <v>1308</v>
      </c>
      <c r="L422" s="170" t="s">
        <v>1309</v>
      </c>
      <c r="M422" s="170"/>
      <c r="N422" s="294">
        <v>20</v>
      </c>
      <c r="O422" s="170"/>
    </row>
    <row r="423" ht="15.75" customHeight="1" spans="1:15">
      <c r="A423" s="183" t="str">
        <f>VLOOKUP(F423,数据集标准分类!A:G,7,0)</f>
        <v>02</v>
      </c>
      <c r="B423" s="183" t="str">
        <f>VLOOKUP(F423,数据集标准分类!A:F,6,0)</f>
        <v>电子病历</v>
      </c>
      <c r="C423" s="183" t="str">
        <f>VLOOKUP(F423,数据集标准分类!A:E,5,0)</f>
        <v>0203</v>
      </c>
      <c r="D423" s="183" t="str">
        <f>VLOOKUP(F423,数据集标准分类!A:D,4,0)</f>
        <v>病程记录</v>
      </c>
      <c r="E423" s="183" t="str">
        <f>VLOOKUP(F423,数据集标准分类!A:C,3,0)</f>
        <v>020308</v>
      </c>
      <c r="F423" s="170" t="s">
        <v>1239</v>
      </c>
      <c r="G423" s="183" t="str">
        <f>VLOOKUP(F423,数据集标准分类!A:B,2,0)</f>
        <v>rescue_record</v>
      </c>
      <c r="H423" s="294">
        <f>VLOOKUP(F423,数据集标准分类!A:H,8,0)</f>
        <v>17</v>
      </c>
      <c r="I423" s="170" t="s">
        <v>1310</v>
      </c>
      <c r="J423" s="170" t="s">
        <v>1311</v>
      </c>
      <c r="K423" s="170" t="s">
        <v>1312</v>
      </c>
      <c r="L423" s="170" t="s">
        <v>1313</v>
      </c>
      <c r="M423" s="170"/>
      <c r="N423" s="294">
        <v>21</v>
      </c>
      <c r="O423" s="170"/>
    </row>
    <row r="424" ht="15.75" customHeight="1" spans="1:15">
      <c r="A424" s="183" t="str">
        <f>VLOOKUP(F424,数据集标准分类!A:G,7,0)</f>
        <v>02</v>
      </c>
      <c r="B424" s="183" t="str">
        <f>VLOOKUP(F424,数据集标准分类!A:F,6,0)</f>
        <v>电子病历</v>
      </c>
      <c r="C424" s="183" t="str">
        <f>VLOOKUP(F424,数据集标准分类!A:E,5,0)</f>
        <v>0203</v>
      </c>
      <c r="D424" s="183" t="str">
        <f>VLOOKUP(F424,数据集标准分类!A:D,4,0)</f>
        <v>病程记录</v>
      </c>
      <c r="E424" s="183" t="str">
        <f>VLOOKUP(F424,数据集标准分类!A:C,3,0)</f>
        <v>020308</v>
      </c>
      <c r="F424" s="170" t="s">
        <v>1239</v>
      </c>
      <c r="G424" s="183" t="str">
        <f>VLOOKUP(F424,数据集标准分类!A:B,2,0)</f>
        <v>rescue_record</v>
      </c>
      <c r="H424" s="294">
        <f>VLOOKUP(F424,数据集标准分类!A:H,8,0)</f>
        <v>17</v>
      </c>
      <c r="I424" s="170" t="s">
        <v>1314</v>
      </c>
      <c r="J424" s="170" t="s">
        <v>1315</v>
      </c>
      <c r="K424" s="170" t="s">
        <v>1316</v>
      </c>
      <c r="L424" s="170" t="s">
        <v>1317</v>
      </c>
      <c r="M424" s="170"/>
      <c r="N424" s="294">
        <v>22</v>
      </c>
      <c r="O424" s="170"/>
    </row>
    <row r="425" ht="15.75" customHeight="1" spans="1:15">
      <c r="A425" s="183" t="str">
        <f>VLOOKUP(F425,数据集标准分类!A:G,7,0)</f>
        <v>02</v>
      </c>
      <c r="B425" s="183" t="str">
        <f>VLOOKUP(F425,数据集标准分类!A:F,6,0)</f>
        <v>电子病历</v>
      </c>
      <c r="C425" s="183" t="str">
        <f>VLOOKUP(F425,数据集标准分类!A:E,5,0)</f>
        <v>0203</v>
      </c>
      <c r="D425" s="183" t="str">
        <f>VLOOKUP(F425,数据集标准分类!A:D,4,0)</f>
        <v>病程记录</v>
      </c>
      <c r="E425" s="183" t="str">
        <f>VLOOKUP(F425,数据集标准分类!A:C,3,0)</f>
        <v>020308</v>
      </c>
      <c r="F425" s="170" t="s">
        <v>1239</v>
      </c>
      <c r="G425" s="183" t="str">
        <f>VLOOKUP(F425,数据集标准分类!A:B,2,0)</f>
        <v>rescue_record</v>
      </c>
      <c r="H425" s="294">
        <f>VLOOKUP(F425,数据集标准分类!A:H,8,0)</f>
        <v>17</v>
      </c>
      <c r="I425" s="170" t="s">
        <v>1318</v>
      </c>
      <c r="J425" s="170" t="s">
        <v>1319</v>
      </c>
      <c r="K425" s="170" t="s">
        <v>1320</v>
      </c>
      <c r="L425" s="170" t="s">
        <v>1321</v>
      </c>
      <c r="M425" s="170"/>
      <c r="N425" s="294">
        <v>23</v>
      </c>
      <c r="O425" s="170"/>
    </row>
    <row r="426" ht="15.75" customHeight="1" spans="1:15">
      <c r="A426" s="183" t="str">
        <f>VLOOKUP(F426,数据集标准分类!A:G,7,0)</f>
        <v>02</v>
      </c>
      <c r="B426" s="183" t="str">
        <f>VLOOKUP(F426,数据集标准分类!A:F,6,0)</f>
        <v>电子病历</v>
      </c>
      <c r="C426" s="183" t="str">
        <f>VLOOKUP(F426,数据集标准分类!A:E,5,0)</f>
        <v>0203</v>
      </c>
      <c r="D426" s="183" t="str">
        <f>VLOOKUP(F426,数据集标准分类!A:D,4,0)</f>
        <v>病程记录</v>
      </c>
      <c r="E426" s="183" t="str">
        <f>VLOOKUP(F426,数据集标准分类!A:C,3,0)</f>
        <v>020309</v>
      </c>
      <c r="F426" s="170" t="s">
        <v>1322</v>
      </c>
      <c r="G426" s="183" t="str">
        <f>VLOOKUP(F426,数据集标准分类!A:B,2,0)</f>
        <v>blood_transfusion_record</v>
      </c>
      <c r="H426" s="294">
        <f>VLOOKUP(F426,数据集标准分类!A:H,8,0)</f>
        <v>18</v>
      </c>
      <c r="I426" s="170" t="s">
        <v>77</v>
      </c>
      <c r="J426" s="170" t="s">
        <v>78</v>
      </c>
      <c r="K426" s="170" t="s">
        <v>79</v>
      </c>
      <c r="L426" s="170" t="s">
        <v>80</v>
      </c>
      <c r="M426" s="170" t="s">
        <v>310</v>
      </c>
      <c r="N426" s="294">
        <v>1</v>
      </c>
      <c r="O426" s="170"/>
    </row>
    <row r="427" ht="15.75" customHeight="1" spans="1:15">
      <c r="A427" s="183" t="str">
        <f>VLOOKUP(F427,数据集标准分类!A:G,7,0)</f>
        <v>02</v>
      </c>
      <c r="B427" s="183" t="str">
        <f>VLOOKUP(F427,数据集标准分类!A:F,6,0)</f>
        <v>电子病历</v>
      </c>
      <c r="C427" s="183" t="str">
        <f>VLOOKUP(F427,数据集标准分类!A:E,5,0)</f>
        <v>0203</v>
      </c>
      <c r="D427" s="183" t="str">
        <f>VLOOKUP(F427,数据集标准分类!A:D,4,0)</f>
        <v>病程记录</v>
      </c>
      <c r="E427" s="183" t="str">
        <f>VLOOKUP(F427,数据集标准分类!A:C,3,0)</f>
        <v>020309</v>
      </c>
      <c r="F427" s="170" t="s">
        <v>1322</v>
      </c>
      <c r="G427" s="183" t="str">
        <f>VLOOKUP(F427,数据集标准分类!A:B,2,0)</f>
        <v>blood_transfusion_record</v>
      </c>
      <c r="H427" s="294">
        <f>VLOOKUP(F427,数据集标准分类!A:H,8,0)</f>
        <v>18</v>
      </c>
      <c r="I427" s="170" t="s">
        <v>82</v>
      </c>
      <c r="J427" s="170" t="s">
        <v>83</v>
      </c>
      <c r="K427" s="170" t="s">
        <v>84</v>
      </c>
      <c r="L427" s="170" t="s">
        <v>85</v>
      </c>
      <c r="M427" s="170" t="s">
        <v>311</v>
      </c>
      <c r="N427" s="294">
        <v>2</v>
      </c>
      <c r="O427" s="170"/>
    </row>
    <row r="428" ht="15.75" customHeight="1" spans="1:15">
      <c r="A428" s="183" t="str">
        <f>VLOOKUP(F428,数据集标准分类!A:G,7,0)</f>
        <v>02</v>
      </c>
      <c r="B428" s="183" t="str">
        <f>VLOOKUP(F428,数据集标准分类!A:F,6,0)</f>
        <v>电子病历</v>
      </c>
      <c r="C428" s="183" t="str">
        <f>VLOOKUP(F428,数据集标准分类!A:E,5,0)</f>
        <v>0203</v>
      </c>
      <c r="D428" s="183" t="str">
        <f>VLOOKUP(F428,数据集标准分类!A:D,4,0)</f>
        <v>病程记录</v>
      </c>
      <c r="E428" s="183" t="str">
        <f>VLOOKUP(F428,数据集标准分类!A:C,3,0)</f>
        <v>020309</v>
      </c>
      <c r="F428" s="170" t="s">
        <v>1322</v>
      </c>
      <c r="G428" s="183" t="str">
        <f>VLOOKUP(F428,数据集标准分类!A:B,2,0)</f>
        <v>blood_transfusion_record</v>
      </c>
      <c r="H428" s="294">
        <f>VLOOKUP(F428,数据集标准分类!A:H,8,0)</f>
        <v>18</v>
      </c>
      <c r="I428" s="170" t="s">
        <v>1323</v>
      </c>
      <c r="J428" s="170" t="s">
        <v>1324</v>
      </c>
      <c r="K428" s="170" t="s">
        <v>1325</v>
      </c>
      <c r="L428" s="170" t="s">
        <v>1326</v>
      </c>
      <c r="M428" s="170" t="s">
        <v>1327</v>
      </c>
      <c r="N428" s="294">
        <v>3</v>
      </c>
      <c r="O428" s="170"/>
    </row>
    <row r="429" ht="15.75" customHeight="1" spans="1:15">
      <c r="A429" s="183" t="str">
        <f>VLOOKUP(F429,数据集标准分类!A:G,7,0)</f>
        <v>02</v>
      </c>
      <c r="B429" s="183" t="str">
        <f>VLOOKUP(F429,数据集标准分类!A:F,6,0)</f>
        <v>电子病历</v>
      </c>
      <c r="C429" s="183" t="str">
        <f>VLOOKUP(F429,数据集标准分类!A:E,5,0)</f>
        <v>0203</v>
      </c>
      <c r="D429" s="183" t="str">
        <f>VLOOKUP(F429,数据集标准分类!A:D,4,0)</f>
        <v>病程记录</v>
      </c>
      <c r="E429" s="183" t="str">
        <f>VLOOKUP(F429,数据集标准分类!A:C,3,0)</f>
        <v>020309</v>
      </c>
      <c r="F429" s="170" t="s">
        <v>1322</v>
      </c>
      <c r="G429" s="183" t="str">
        <f>VLOOKUP(F429,数据集标准分类!A:B,2,0)</f>
        <v>blood_transfusion_record</v>
      </c>
      <c r="H429" s="294">
        <f>VLOOKUP(F429,数据集标准分类!A:H,8,0)</f>
        <v>18</v>
      </c>
      <c r="I429" s="170" t="s">
        <v>172</v>
      </c>
      <c r="J429" s="170" t="s">
        <v>173</v>
      </c>
      <c r="K429" s="170" t="s">
        <v>174</v>
      </c>
      <c r="L429" s="170" t="s">
        <v>175</v>
      </c>
      <c r="M429" s="170" t="s">
        <v>1245</v>
      </c>
      <c r="N429" s="294">
        <v>4</v>
      </c>
      <c r="O429" s="170"/>
    </row>
    <row r="430" ht="15.75" customHeight="1" spans="1:15">
      <c r="A430" s="183" t="str">
        <f>VLOOKUP(F430,数据集标准分类!A:G,7,0)</f>
        <v>02</v>
      </c>
      <c r="B430" s="183" t="str">
        <f>VLOOKUP(F430,数据集标准分类!A:F,6,0)</f>
        <v>电子病历</v>
      </c>
      <c r="C430" s="183" t="str">
        <f>VLOOKUP(F430,数据集标准分类!A:E,5,0)</f>
        <v>0203</v>
      </c>
      <c r="D430" s="183" t="str">
        <f>VLOOKUP(F430,数据集标准分类!A:D,4,0)</f>
        <v>病程记录</v>
      </c>
      <c r="E430" s="183" t="str">
        <f>VLOOKUP(F430,数据集标准分类!A:C,3,0)</f>
        <v>020309</v>
      </c>
      <c r="F430" s="170" t="s">
        <v>1322</v>
      </c>
      <c r="G430" s="183" t="str">
        <f>VLOOKUP(F430,数据集标准分类!A:B,2,0)</f>
        <v>blood_transfusion_record</v>
      </c>
      <c r="H430" s="294">
        <f>VLOOKUP(F430,数据集标准分类!A:H,8,0)</f>
        <v>18</v>
      </c>
      <c r="I430" s="170" t="s">
        <v>1328</v>
      </c>
      <c r="J430" s="170" t="s">
        <v>1329</v>
      </c>
      <c r="K430" s="170" t="s">
        <v>1330</v>
      </c>
      <c r="L430" s="170" t="s">
        <v>1331</v>
      </c>
      <c r="M430" s="170" t="s">
        <v>1332</v>
      </c>
      <c r="N430" s="294">
        <v>5</v>
      </c>
      <c r="O430" s="170"/>
    </row>
    <row r="431" ht="15.75" customHeight="1" spans="1:15">
      <c r="A431" s="183" t="str">
        <f>VLOOKUP(F431,数据集标准分类!A:G,7,0)</f>
        <v>02</v>
      </c>
      <c r="B431" s="183" t="str">
        <f>VLOOKUP(F431,数据集标准分类!A:F,6,0)</f>
        <v>电子病历</v>
      </c>
      <c r="C431" s="183" t="str">
        <f>VLOOKUP(F431,数据集标准分类!A:E,5,0)</f>
        <v>0203</v>
      </c>
      <c r="D431" s="183" t="str">
        <f>VLOOKUP(F431,数据集标准分类!A:D,4,0)</f>
        <v>病程记录</v>
      </c>
      <c r="E431" s="183" t="str">
        <f>VLOOKUP(F431,数据集标准分类!A:C,3,0)</f>
        <v>020309</v>
      </c>
      <c r="F431" s="170" t="s">
        <v>1322</v>
      </c>
      <c r="G431" s="183" t="str">
        <f>VLOOKUP(F431,数据集标准分类!A:B,2,0)</f>
        <v>blood_transfusion_record</v>
      </c>
      <c r="H431" s="294">
        <f>VLOOKUP(F431,数据集标准分类!A:H,8,0)</f>
        <v>18</v>
      </c>
      <c r="I431" s="170" t="s">
        <v>1333</v>
      </c>
      <c r="J431" s="170" t="s">
        <v>1334</v>
      </c>
      <c r="K431" s="170" t="s">
        <v>1335</v>
      </c>
      <c r="L431" s="170" t="s">
        <v>1336</v>
      </c>
      <c r="M431" s="170" t="s">
        <v>1337</v>
      </c>
      <c r="N431" s="294">
        <v>6</v>
      </c>
      <c r="O431" s="170"/>
    </row>
    <row r="432" ht="15.75" customHeight="1" spans="1:15">
      <c r="A432" s="183" t="str">
        <f>VLOOKUP(F432,数据集标准分类!A:G,7,0)</f>
        <v>02</v>
      </c>
      <c r="B432" s="183" t="str">
        <f>VLOOKUP(F432,数据集标准分类!A:F,6,0)</f>
        <v>电子病历</v>
      </c>
      <c r="C432" s="183" t="str">
        <f>VLOOKUP(F432,数据集标准分类!A:E,5,0)</f>
        <v>0203</v>
      </c>
      <c r="D432" s="183" t="str">
        <f>VLOOKUP(F432,数据集标准分类!A:D,4,0)</f>
        <v>病程记录</v>
      </c>
      <c r="E432" s="183" t="str">
        <f>VLOOKUP(F432,数据集标准分类!A:C,3,0)</f>
        <v>020309</v>
      </c>
      <c r="F432" s="170" t="s">
        <v>1322</v>
      </c>
      <c r="G432" s="183" t="str">
        <f>VLOOKUP(F432,数据集标准分类!A:B,2,0)</f>
        <v>blood_transfusion_record</v>
      </c>
      <c r="H432" s="294">
        <f>VLOOKUP(F432,数据集标准分类!A:H,8,0)</f>
        <v>18</v>
      </c>
      <c r="I432" s="170" t="s">
        <v>1338</v>
      </c>
      <c r="J432" s="170" t="s">
        <v>1339</v>
      </c>
      <c r="K432" s="170" t="s">
        <v>1340</v>
      </c>
      <c r="L432" s="170" t="s">
        <v>1341</v>
      </c>
      <c r="M432" s="170" t="s">
        <v>1342</v>
      </c>
      <c r="N432" s="294">
        <v>7</v>
      </c>
      <c r="O432" s="170"/>
    </row>
    <row r="433" ht="15.75" customHeight="1" spans="1:15">
      <c r="A433" s="183" t="str">
        <f>VLOOKUP(F433,数据集标准分类!A:G,7,0)</f>
        <v>02</v>
      </c>
      <c r="B433" s="183" t="str">
        <f>VLOOKUP(F433,数据集标准分类!A:F,6,0)</f>
        <v>电子病历</v>
      </c>
      <c r="C433" s="183" t="str">
        <f>VLOOKUP(F433,数据集标准分类!A:E,5,0)</f>
        <v>0203</v>
      </c>
      <c r="D433" s="183" t="str">
        <f>VLOOKUP(F433,数据集标准分类!A:D,4,0)</f>
        <v>病程记录</v>
      </c>
      <c r="E433" s="183" t="str">
        <f>VLOOKUP(F433,数据集标准分类!A:C,3,0)</f>
        <v>020309</v>
      </c>
      <c r="F433" s="170" t="s">
        <v>1322</v>
      </c>
      <c r="G433" s="183" t="str">
        <f>VLOOKUP(F433,数据集标准分类!A:B,2,0)</f>
        <v>blood_transfusion_record</v>
      </c>
      <c r="H433" s="294">
        <f>VLOOKUP(F433,数据集标准分类!A:H,8,0)</f>
        <v>18</v>
      </c>
      <c r="I433" s="170" t="s">
        <v>1343</v>
      </c>
      <c r="J433" s="170" t="s">
        <v>1344</v>
      </c>
      <c r="K433" s="170" t="s">
        <v>1345</v>
      </c>
      <c r="L433" s="170" t="s">
        <v>1346</v>
      </c>
      <c r="M433" s="170" t="s">
        <v>1347</v>
      </c>
      <c r="N433" s="294">
        <v>8</v>
      </c>
      <c r="O433" s="170"/>
    </row>
    <row r="434" ht="15.75" customHeight="1" spans="1:15">
      <c r="A434" s="183" t="str">
        <f>VLOOKUP(F434,数据集标准分类!A:G,7,0)</f>
        <v>02</v>
      </c>
      <c r="B434" s="183" t="str">
        <f>VLOOKUP(F434,数据集标准分类!A:F,6,0)</f>
        <v>电子病历</v>
      </c>
      <c r="C434" s="183" t="str">
        <f>VLOOKUP(F434,数据集标准分类!A:E,5,0)</f>
        <v>0203</v>
      </c>
      <c r="D434" s="183" t="str">
        <f>VLOOKUP(F434,数据集标准分类!A:D,4,0)</f>
        <v>病程记录</v>
      </c>
      <c r="E434" s="183" t="str">
        <f>VLOOKUP(F434,数据集标准分类!A:C,3,0)</f>
        <v>020309</v>
      </c>
      <c r="F434" s="170" t="s">
        <v>1322</v>
      </c>
      <c r="G434" s="183" t="str">
        <f>VLOOKUP(F434,数据集标准分类!A:B,2,0)</f>
        <v>blood_transfusion_record</v>
      </c>
      <c r="H434" s="294">
        <f>VLOOKUP(F434,数据集标准分类!A:H,8,0)</f>
        <v>18</v>
      </c>
      <c r="I434" s="170" t="s">
        <v>1133</v>
      </c>
      <c r="J434" s="170" t="s">
        <v>1134</v>
      </c>
      <c r="K434" s="170" t="s">
        <v>1135</v>
      </c>
      <c r="L434" s="170" t="s">
        <v>1136</v>
      </c>
      <c r="M434" s="170" t="s">
        <v>1348</v>
      </c>
      <c r="N434" s="294">
        <v>9</v>
      </c>
      <c r="O434" s="170"/>
    </row>
    <row r="435" ht="15.75" customHeight="1" spans="1:15">
      <c r="A435" s="183" t="str">
        <f>VLOOKUP(F435,数据集标准分类!A:G,7,0)</f>
        <v>02</v>
      </c>
      <c r="B435" s="183" t="str">
        <f>VLOOKUP(F435,数据集标准分类!A:F,6,0)</f>
        <v>电子病历</v>
      </c>
      <c r="C435" s="183" t="str">
        <f>VLOOKUP(F435,数据集标准分类!A:E,5,0)</f>
        <v>0203</v>
      </c>
      <c r="D435" s="183" t="str">
        <f>VLOOKUP(F435,数据集标准分类!A:D,4,0)</f>
        <v>病程记录</v>
      </c>
      <c r="E435" s="183" t="str">
        <f>VLOOKUP(F435,数据集标准分类!A:C,3,0)</f>
        <v>020309</v>
      </c>
      <c r="F435" s="170" t="s">
        <v>1322</v>
      </c>
      <c r="G435" s="183" t="str">
        <f>VLOOKUP(F435,数据集标准分类!A:B,2,0)</f>
        <v>blood_transfusion_record</v>
      </c>
      <c r="H435" s="294">
        <f>VLOOKUP(F435,数据集标准分类!A:H,8,0)</f>
        <v>18</v>
      </c>
      <c r="I435" s="170" t="s">
        <v>1349</v>
      </c>
      <c r="J435" s="170" t="s">
        <v>1350</v>
      </c>
      <c r="K435" s="170" t="s">
        <v>1351</v>
      </c>
      <c r="L435" s="170" t="s">
        <v>1352</v>
      </c>
      <c r="M435" s="170" t="s">
        <v>1353</v>
      </c>
      <c r="N435" s="294">
        <v>10</v>
      </c>
      <c r="O435" s="170"/>
    </row>
    <row r="436" ht="15.75" customHeight="1" spans="1:15">
      <c r="A436" s="183" t="str">
        <f>VLOOKUP(F436,数据集标准分类!A:G,7,0)</f>
        <v>02</v>
      </c>
      <c r="B436" s="183" t="str">
        <f>VLOOKUP(F436,数据集标准分类!A:F,6,0)</f>
        <v>电子病历</v>
      </c>
      <c r="C436" s="183" t="str">
        <f>VLOOKUP(F436,数据集标准分类!A:E,5,0)</f>
        <v>0203</v>
      </c>
      <c r="D436" s="183" t="str">
        <f>VLOOKUP(F436,数据集标准分类!A:D,4,0)</f>
        <v>病程记录</v>
      </c>
      <c r="E436" s="183" t="str">
        <f>VLOOKUP(F436,数据集标准分类!A:C,3,0)</f>
        <v>020309</v>
      </c>
      <c r="F436" s="170" t="s">
        <v>1322</v>
      </c>
      <c r="G436" s="183" t="str">
        <f>VLOOKUP(F436,数据集标准分类!A:B,2,0)</f>
        <v>blood_transfusion_record</v>
      </c>
      <c r="H436" s="294">
        <f>VLOOKUP(F436,数据集标准分类!A:H,8,0)</f>
        <v>18</v>
      </c>
      <c r="I436" s="170" t="s">
        <v>1354</v>
      </c>
      <c r="J436" s="170" t="s">
        <v>1355</v>
      </c>
      <c r="K436" s="170" t="s">
        <v>1356</v>
      </c>
      <c r="L436" s="170" t="s">
        <v>1357</v>
      </c>
      <c r="M436" s="170" t="s">
        <v>1358</v>
      </c>
      <c r="N436" s="294">
        <v>11</v>
      </c>
      <c r="O436" s="170"/>
    </row>
    <row r="437" ht="15.75" customHeight="1" spans="1:15">
      <c r="A437" s="183" t="str">
        <f>VLOOKUP(F437,数据集标准分类!A:G,7,0)</f>
        <v>02</v>
      </c>
      <c r="B437" s="183" t="str">
        <f>VLOOKUP(F437,数据集标准分类!A:F,6,0)</f>
        <v>电子病历</v>
      </c>
      <c r="C437" s="183" t="str">
        <f>VLOOKUP(F437,数据集标准分类!A:E,5,0)</f>
        <v>0203</v>
      </c>
      <c r="D437" s="183" t="str">
        <f>VLOOKUP(F437,数据集标准分类!A:D,4,0)</f>
        <v>病程记录</v>
      </c>
      <c r="E437" s="183" t="str">
        <f>VLOOKUP(F437,数据集标准分类!A:C,3,0)</f>
        <v>020309</v>
      </c>
      <c r="F437" s="170" t="s">
        <v>1322</v>
      </c>
      <c r="G437" s="183" t="str">
        <f>VLOOKUP(F437,数据集标准分类!A:B,2,0)</f>
        <v>blood_transfusion_record</v>
      </c>
      <c r="H437" s="294">
        <f>VLOOKUP(F437,数据集标准分类!A:H,8,0)</f>
        <v>18</v>
      </c>
      <c r="I437" s="170" t="s">
        <v>1359</v>
      </c>
      <c r="J437" s="170" t="s">
        <v>1360</v>
      </c>
      <c r="K437" s="170" t="s">
        <v>1361</v>
      </c>
      <c r="L437" s="170" t="s">
        <v>1362</v>
      </c>
      <c r="M437" s="170" t="s">
        <v>1363</v>
      </c>
      <c r="N437" s="294">
        <v>12</v>
      </c>
      <c r="O437" s="170"/>
    </row>
    <row r="438" ht="15.75" customHeight="1" spans="1:15">
      <c r="A438" s="183" t="str">
        <f>VLOOKUP(F438,数据集标准分类!A:G,7,0)</f>
        <v>02</v>
      </c>
      <c r="B438" s="183" t="str">
        <f>VLOOKUP(F438,数据集标准分类!A:F,6,0)</f>
        <v>电子病历</v>
      </c>
      <c r="C438" s="183" t="str">
        <f>VLOOKUP(F438,数据集标准分类!A:E,5,0)</f>
        <v>0203</v>
      </c>
      <c r="D438" s="183" t="str">
        <f>VLOOKUP(F438,数据集标准分类!A:D,4,0)</f>
        <v>病程记录</v>
      </c>
      <c r="E438" s="183" t="str">
        <f>VLOOKUP(F438,数据集标准分类!A:C,3,0)</f>
        <v>020309</v>
      </c>
      <c r="F438" s="170" t="s">
        <v>1322</v>
      </c>
      <c r="G438" s="183" t="str">
        <f>VLOOKUP(F438,数据集标准分类!A:B,2,0)</f>
        <v>blood_transfusion_record</v>
      </c>
      <c r="H438" s="294">
        <f>VLOOKUP(F438,数据集标准分类!A:H,8,0)</f>
        <v>18</v>
      </c>
      <c r="I438" s="170" t="s">
        <v>1364</v>
      </c>
      <c r="J438" s="170" t="s">
        <v>1365</v>
      </c>
      <c r="K438" s="170" t="s">
        <v>1366</v>
      </c>
      <c r="L438" s="170" t="s">
        <v>1367</v>
      </c>
      <c r="M438" s="170" t="s">
        <v>1368</v>
      </c>
      <c r="N438" s="294">
        <v>13</v>
      </c>
      <c r="O438" s="170"/>
    </row>
    <row r="439" ht="15.75" customHeight="1" spans="1:15">
      <c r="A439" s="183" t="str">
        <f>VLOOKUP(F439,数据集标准分类!A:G,7,0)</f>
        <v>02</v>
      </c>
      <c r="B439" s="183" t="str">
        <f>VLOOKUP(F439,数据集标准分类!A:F,6,0)</f>
        <v>电子病历</v>
      </c>
      <c r="C439" s="183" t="str">
        <f>VLOOKUP(F439,数据集标准分类!A:E,5,0)</f>
        <v>0203</v>
      </c>
      <c r="D439" s="183" t="str">
        <f>VLOOKUP(F439,数据集标准分类!A:D,4,0)</f>
        <v>病程记录</v>
      </c>
      <c r="E439" s="183" t="str">
        <f>VLOOKUP(F439,数据集标准分类!A:C,3,0)</f>
        <v>020309</v>
      </c>
      <c r="F439" s="170" t="s">
        <v>1322</v>
      </c>
      <c r="G439" s="183" t="str">
        <f>VLOOKUP(F439,数据集标准分类!A:B,2,0)</f>
        <v>blood_transfusion_record</v>
      </c>
      <c r="H439" s="294">
        <f>VLOOKUP(F439,数据集标准分类!A:H,8,0)</f>
        <v>18</v>
      </c>
      <c r="I439" s="170" t="s">
        <v>1369</v>
      </c>
      <c r="J439" s="170" t="s">
        <v>1370</v>
      </c>
      <c r="K439" s="170" t="s">
        <v>1371</v>
      </c>
      <c r="L439" s="170" t="s">
        <v>1372</v>
      </c>
      <c r="M439" s="170" t="s">
        <v>1373</v>
      </c>
      <c r="N439" s="294">
        <v>14</v>
      </c>
      <c r="O439" s="170"/>
    </row>
    <row r="440" ht="15.75" customHeight="1" spans="1:15">
      <c r="A440" s="183" t="str">
        <f>VLOOKUP(F440,数据集标准分类!A:G,7,0)</f>
        <v>02</v>
      </c>
      <c r="B440" s="183" t="str">
        <f>VLOOKUP(F440,数据集标准分类!A:F,6,0)</f>
        <v>电子病历</v>
      </c>
      <c r="C440" s="183" t="str">
        <f>VLOOKUP(F440,数据集标准分类!A:E,5,0)</f>
        <v>0203</v>
      </c>
      <c r="D440" s="183" t="str">
        <f>VLOOKUP(F440,数据集标准分类!A:D,4,0)</f>
        <v>病程记录</v>
      </c>
      <c r="E440" s="183" t="str">
        <f>VLOOKUP(F440,数据集标准分类!A:C,3,0)</f>
        <v>020309</v>
      </c>
      <c r="F440" s="170" t="s">
        <v>1322</v>
      </c>
      <c r="G440" s="183" t="str">
        <f>VLOOKUP(F440,数据集标准分类!A:B,2,0)</f>
        <v>blood_transfusion_record</v>
      </c>
      <c r="H440" s="294">
        <f>VLOOKUP(F440,数据集标准分类!A:H,8,0)</f>
        <v>18</v>
      </c>
      <c r="I440" s="170" t="s">
        <v>1374</v>
      </c>
      <c r="J440" s="170" t="s">
        <v>1375</v>
      </c>
      <c r="K440" s="170" t="s">
        <v>1376</v>
      </c>
      <c r="L440" s="170" t="s">
        <v>1377</v>
      </c>
      <c r="M440" s="170" t="s">
        <v>1378</v>
      </c>
      <c r="N440" s="294">
        <v>15</v>
      </c>
      <c r="O440" s="170"/>
    </row>
    <row r="441" ht="15.75" customHeight="1" spans="1:15">
      <c r="A441" s="183" t="str">
        <f>VLOOKUP(F441,数据集标准分类!A:G,7,0)</f>
        <v>02</v>
      </c>
      <c r="B441" s="183" t="str">
        <f>VLOOKUP(F441,数据集标准分类!A:F,6,0)</f>
        <v>电子病历</v>
      </c>
      <c r="C441" s="183" t="str">
        <f>VLOOKUP(F441,数据集标准分类!A:E,5,0)</f>
        <v>0203</v>
      </c>
      <c r="D441" s="183" t="str">
        <f>VLOOKUP(F441,数据集标准分类!A:D,4,0)</f>
        <v>病程记录</v>
      </c>
      <c r="E441" s="183" t="str">
        <f>VLOOKUP(F441,数据集标准分类!A:C,3,0)</f>
        <v>020309</v>
      </c>
      <c r="F441" s="170" t="s">
        <v>1322</v>
      </c>
      <c r="G441" s="183" t="str">
        <f>VLOOKUP(F441,数据集标准分类!A:B,2,0)</f>
        <v>blood_transfusion_record</v>
      </c>
      <c r="H441" s="294">
        <f>VLOOKUP(F441,数据集标准分类!A:H,8,0)</f>
        <v>18</v>
      </c>
      <c r="I441" s="170" t="s">
        <v>1379</v>
      </c>
      <c r="J441" s="170" t="s">
        <v>1380</v>
      </c>
      <c r="K441" s="170" t="s">
        <v>1381</v>
      </c>
      <c r="L441" s="170" t="s">
        <v>1382</v>
      </c>
      <c r="M441" s="170" t="s">
        <v>1383</v>
      </c>
      <c r="N441" s="294">
        <v>16</v>
      </c>
      <c r="O441" s="170"/>
    </row>
    <row r="442" ht="15.75" customHeight="1" spans="1:15">
      <c r="A442" s="183" t="str">
        <f>VLOOKUP(F442,数据集标准分类!A:G,7,0)</f>
        <v>02</v>
      </c>
      <c r="B442" s="183" t="str">
        <f>VLOOKUP(F442,数据集标准分类!A:F,6,0)</f>
        <v>电子病历</v>
      </c>
      <c r="C442" s="183" t="str">
        <f>VLOOKUP(F442,数据集标准分类!A:E,5,0)</f>
        <v>0203</v>
      </c>
      <c r="D442" s="183" t="str">
        <f>VLOOKUP(F442,数据集标准分类!A:D,4,0)</f>
        <v>病程记录</v>
      </c>
      <c r="E442" s="183" t="str">
        <f>VLOOKUP(F442,数据集标准分类!A:C,3,0)</f>
        <v>020309</v>
      </c>
      <c r="F442" s="170" t="s">
        <v>1322</v>
      </c>
      <c r="G442" s="183" t="str">
        <f>VLOOKUP(F442,数据集标准分类!A:B,2,0)</f>
        <v>blood_transfusion_record</v>
      </c>
      <c r="H442" s="294">
        <f>VLOOKUP(F442,数据集标准分类!A:H,8,0)</f>
        <v>18</v>
      </c>
      <c r="I442" s="170" t="s">
        <v>1384</v>
      </c>
      <c r="J442" s="170" t="s">
        <v>1385</v>
      </c>
      <c r="K442" s="170" t="s">
        <v>1386</v>
      </c>
      <c r="L442" s="170" t="s">
        <v>1387</v>
      </c>
      <c r="M442" s="170" t="s">
        <v>1388</v>
      </c>
      <c r="N442" s="294">
        <v>17</v>
      </c>
      <c r="O442" s="170"/>
    </row>
    <row r="443" ht="15.75" customHeight="1" spans="1:15">
      <c r="A443" s="183" t="str">
        <f>VLOOKUP(F443,数据集标准分类!A:G,7,0)</f>
        <v>02</v>
      </c>
      <c r="B443" s="183" t="str">
        <f>VLOOKUP(F443,数据集标准分类!A:F,6,0)</f>
        <v>电子病历</v>
      </c>
      <c r="C443" s="183" t="str">
        <f>VLOOKUP(F443,数据集标准分类!A:E,5,0)</f>
        <v>0203</v>
      </c>
      <c r="D443" s="183" t="str">
        <f>VLOOKUP(F443,数据集标准分类!A:D,4,0)</f>
        <v>病程记录</v>
      </c>
      <c r="E443" s="183" t="str">
        <f>VLOOKUP(F443,数据集标准分类!A:C,3,0)</f>
        <v>020309</v>
      </c>
      <c r="F443" s="170" t="s">
        <v>1322</v>
      </c>
      <c r="G443" s="183" t="str">
        <f>VLOOKUP(F443,数据集标准分类!A:B,2,0)</f>
        <v>blood_transfusion_record</v>
      </c>
      <c r="H443" s="294">
        <f>VLOOKUP(F443,数据集标准分类!A:H,8,0)</f>
        <v>18</v>
      </c>
      <c r="I443" s="170" t="s">
        <v>1389</v>
      </c>
      <c r="J443" s="170" t="s">
        <v>1390</v>
      </c>
      <c r="K443" s="170" t="s">
        <v>1391</v>
      </c>
      <c r="L443" s="170" t="s">
        <v>1392</v>
      </c>
      <c r="M443" s="170" t="s">
        <v>1393</v>
      </c>
      <c r="N443" s="294">
        <v>18</v>
      </c>
      <c r="O443" s="170"/>
    </row>
    <row r="444" ht="15.75" customHeight="1" spans="1:15">
      <c r="A444" s="183" t="str">
        <f>VLOOKUP(F444,数据集标准分类!A:G,7,0)</f>
        <v>02</v>
      </c>
      <c r="B444" s="183" t="str">
        <f>VLOOKUP(F444,数据集标准分类!A:F,6,0)</f>
        <v>电子病历</v>
      </c>
      <c r="C444" s="183" t="str">
        <f>VLOOKUP(F444,数据集标准分类!A:E,5,0)</f>
        <v>0203</v>
      </c>
      <c r="D444" s="183" t="str">
        <f>VLOOKUP(F444,数据集标准分类!A:D,4,0)</f>
        <v>病程记录</v>
      </c>
      <c r="E444" s="183" t="str">
        <f>VLOOKUP(F444,数据集标准分类!A:C,3,0)</f>
        <v>020309</v>
      </c>
      <c r="F444" s="170" t="s">
        <v>1322</v>
      </c>
      <c r="G444" s="183" t="str">
        <f>VLOOKUP(F444,数据集标准分类!A:B,2,0)</f>
        <v>blood_transfusion_record</v>
      </c>
      <c r="H444" s="294">
        <f>VLOOKUP(F444,数据集标准分类!A:H,8,0)</f>
        <v>18</v>
      </c>
      <c r="I444" s="170" t="s">
        <v>1394</v>
      </c>
      <c r="J444" s="170" t="s">
        <v>1395</v>
      </c>
      <c r="K444" s="170" t="s">
        <v>1396</v>
      </c>
      <c r="L444" s="170" t="s">
        <v>1397</v>
      </c>
      <c r="M444" s="170" t="s">
        <v>1398</v>
      </c>
      <c r="N444" s="294">
        <v>19</v>
      </c>
      <c r="O444" s="170"/>
    </row>
    <row r="445" ht="15.75" customHeight="1" spans="1:15">
      <c r="A445" s="183" t="str">
        <f>VLOOKUP(F445,数据集标准分类!A:G,7,0)</f>
        <v>02</v>
      </c>
      <c r="B445" s="183" t="str">
        <f>VLOOKUP(F445,数据集标准分类!A:F,6,0)</f>
        <v>电子病历</v>
      </c>
      <c r="C445" s="183" t="str">
        <f>VLOOKUP(F445,数据集标准分类!A:E,5,0)</f>
        <v>0203</v>
      </c>
      <c r="D445" s="183" t="str">
        <f>VLOOKUP(F445,数据集标准分类!A:D,4,0)</f>
        <v>病程记录</v>
      </c>
      <c r="E445" s="183" t="str">
        <f>VLOOKUP(F445,数据集标准分类!A:C,3,0)</f>
        <v>020309</v>
      </c>
      <c r="F445" s="170" t="s">
        <v>1322</v>
      </c>
      <c r="G445" s="183" t="str">
        <f>VLOOKUP(F445,数据集标准分类!A:B,2,0)</f>
        <v>blood_transfusion_record</v>
      </c>
      <c r="H445" s="294">
        <f>VLOOKUP(F445,数据集标准分类!A:H,8,0)</f>
        <v>18</v>
      </c>
      <c r="I445" s="170" t="s">
        <v>1399</v>
      </c>
      <c r="J445" s="170" t="s">
        <v>1400</v>
      </c>
      <c r="K445" s="170" t="s">
        <v>1401</v>
      </c>
      <c r="L445" s="170" t="s">
        <v>1402</v>
      </c>
      <c r="M445" s="153"/>
      <c r="N445" s="298">
        <v>20</v>
      </c>
      <c r="O445" s="299"/>
    </row>
    <row r="446" ht="15.75" customHeight="1" spans="1:15">
      <c r="A446" s="183" t="str">
        <f>VLOOKUP(F446,数据集标准分类!A:G,7,0)</f>
        <v>02</v>
      </c>
      <c r="B446" s="183" t="str">
        <f>VLOOKUP(F446,数据集标准分类!A:F,6,0)</f>
        <v>电子病历</v>
      </c>
      <c r="C446" s="183" t="str">
        <f>VLOOKUP(F446,数据集标准分类!A:E,5,0)</f>
        <v>0203</v>
      </c>
      <c r="D446" s="183" t="str">
        <f>VLOOKUP(F446,数据集标准分类!A:D,4,0)</f>
        <v>病程记录</v>
      </c>
      <c r="E446" s="183" t="str">
        <f>VLOOKUP(F446,数据集标准分类!A:C,3,0)</f>
        <v>020310</v>
      </c>
      <c r="F446" s="170" t="s">
        <v>1403</v>
      </c>
      <c r="G446" s="183" t="str">
        <f>VLOOKUP(F446,数据集标准分类!A:B,2,0)</f>
        <v>death_case_discuss_rec</v>
      </c>
      <c r="H446" s="294">
        <f>VLOOKUP(F446,数据集标准分类!A:H,8,0)</f>
        <v>19</v>
      </c>
      <c r="I446" s="170" t="s">
        <v>245</v>
      </c>
      <c r="J446" s="170" t="s">
        <v>246</v>
      </c>
      <c r="K446" s="170" t="s">
        <v>247</v>
      </c>
      <c r="L446" s="170" t="s">
        <v>248</v>
      </c>
      <c r="M446" s="170" t="s">
        <v>1404</v>
      </c>
      <c r="N446" s="294">
        <v>1</v>
      </c>
      <c r="O446" s="170"/>
    </row>
    <row r="447" ht="15.75" customHeight="1" spans="1:15">
      <c r="A447" s="183" t="str">
        <f>VLOOKUP(F447,数据集标准分类!A:G,7,0)</f>
        <v>02</v>
      </c>
      <c r="B447" s="183" t="str">
        <f>VLOOKUP(F447,数据集标准分类!A:F,6,0)</f>
        <v>电子病历</v>
      </c>
      <c r="C447" s="183" t="str">
        <f>VLOOKUP(F447,数据集标准分类!A:E,5,0)</f>
        <v>0203</v>
      </c>
      <c r="D447" s="183" t="str">
        <f>VLOOKUP(F447,数据集标准分类!A:D,4,0)</f>
        <v>病程记录</v>
      </c>
      <c r="E447" s="183" t="str">
        <f>VLOOKUP(F447,数据集标准分类!A:C,3,0)</f>
        <v>020310</v>
      </c>
      <c r="F447" s="170" t="s">
        <v>1403</v>
      </c>
      <c r="G447" s="183" t="str">
        <f>VLOOKUP(F447,数据集标准分类!A:B,2,0)</f>
        <v>death_case_discuss_rec</v>
      </c>
      <c r="H447" s="294">
        <f>VLOOKUP(F447,数据集标准分类!A:H,8,0)</f>
        <v>19</v>
      </c>
      <c r="I447" s="170" t="s">
        <v>1405</v>
      </c>
      <c r="J447" s="170" t="s">
        <v>1406</v>
      </c>
      <c r="K447" s="170" t="s">
        <v>1407</v>
      </c>
      <c r="L447" s="170" t="s">
        <v>1408</v>
      </c>
      <c r="M447" s="170" t="s">
        <v>1409</v>
      </c>
      <c r="N447" s="294">
        <v>2</v>
      </c>
      <c r="O447" s="170"/>
    </row>
    <row r="448" ht="15.75" customHeight="1" spans="1:15">
      <c r="A448" s="183" t="str">
        <f>VLOOKUP(F448,数据集标准分类!A:G,7,0)</f>
        <v>02</v>
      </c>
      <c r="B448" s="183" t="str">
        <f>VLOOKUP(F448,数据集标准分类!A:F,6,0)</f>
        <v>电子病历</v>
      </c>
      <c r="C448" s="183" t="str">
        <f>VLOOKUP(F448,数据集标准分类!A:E,5,0)</f>
        <v>0203</v>
      </c>
      <c r="D448" s="183" t="str">
        <f>VLOOKUP(F448,数据集标准分类!A:D,4,0)</f>
        <v>病程记录</v>
      </c>
      <c r="E448" s="183" t="str">
        <f>VLOOKUP(F448,数据集标准分类!A:C,3,0)</f>
        <v>020310</v>
      </c>
      <c r="F448" s="170" t="s">
        <v>1403</v>
      </c>
      <c r="G448" s="183" t="str">
        <f>VLOOKUP(F448,数据集标准分类!A:B,2,0)</f>
        <v>death_case_discuss_rec</v>
      </c>
      <c r="H448" s="294">
        <f>VLOOKUP(F448,数据集标准分类!A:H,8,0)</f>
        <v>19</v>
      </c>
      <c r="I448" s="170" t="s">
        <v>1410</v>
      </c>
      <c r="J448" s="170" t="s">
        <v>1411</v>
      </c>
      <c r="K448" s="170" t="s">
        <v>1412</v>
      </c>
      <c r="L448" s="170" t="s">
        <v>1413</v>
      </c>
      <c r="M448" s="170" t="s">
        <v>1414</v>
      </c>
      <c r="N448" s="294">
        <v>3</v>
      </c>
      <c r="O448" s="170"/>
    </row>
    <row r="449" ht="15.75" customHeight="1" spans="1:15">
      <c r="A449" s="183" t="str">
        <f>VLOOKUP(F449,数据集标准分类!A:G,7,0)</f>
        <v>02</v>
      </c>
      <c r="B449" s="183" t="str">
        <f>VLOOKUP(F449,数据集标准分类!A:F,6,0)</f>
        <v>电子病历</v>
      </c>
      <c r="C449" s="183" t="str">
        <f>VLOOKUP(F449,数据集标准分类!A:E,5,0)</f>
        <v>0203</v>
      </c>
      <c r="D449" s="183" t="str">
        <f>VLOOKUP(F449,数据集标准分类!A:D,4,0)</f>
        <v>病程记录</v>
      </c>
      <c r="E449" s="183" t="str">
        <f>VLOOKUP(F449,数据集标准分类!A:C,3,0)</f>
        <v>020310</v>
      </c>
      <c r="F449" s="170" t="s">
        <v>1403</v>
      </c>
      <c r="G449" s="183" t="str">
        <f>VLOOKUP(F449,数据集标准分类!A:B,2,0)</f>
        <v>death_case_discuss_rec</v>
      </c>
      <c r="H449" s="294">
        <f>VLOOKUP(F449,数据集标准分类!A:H,8,0)</f>
        <v>19</v>
      </c>
      <c r="I449" s="170" t="s">
        <v>1027</v>
      </c>
      <c r="J449" s="170" t="s">
        <v>1028</v>
      </c>
      <c r="K449" s="170" t="s">
        <v>1029</v>
      </c>
      <c r="L449" s="170" t="s">
        <v>1030</v>
      </c>
      <c r="M449" s="170" t="s">
        <v>1415</v>
      </c>
      <c r="N449" s="294">
        <v>4</v>
      </c>
      <c r="O449" s="170"/>
    </row>
    <row r="450" ht="15.75" customHeight="1" spans="1:15">
      <c r="A450" s="183" t="str">
        <f>VLOOKUP(F450,数据集标准分类!A:G,7,0)</f>
        <v>02</v>
      </c>
      <c r="B450" s="183" t="str">
        <f>VLOOKUP(F450,数据集标准分类!A:F,6,0)</f>
        <v>电子病历</v>
      </c>
      <c r="C450" s="183" t="str">
        <f>VLOOKUP(F450,数据集标准分类!A:E,5,0)</f>
        <v>0203</v>
      </c>
      <c r="D450" s="183" t="str">
        <f>VLOOKUP(F450,数据集标准分类!A:D,4,0)</f>
        <v>病程记录</v>
      </c>
      <c r="E450" s="183" t="str">
        <f>VLOOKUP(F450,数据集标准分类!A:C,3,0)</f>
        <v>020310</v>
      </c>
      <c r="F450" s="170" t="s">
        <v>1403</v>
      </c>
      <c r="G450" s="183" t="str">
        <f>VLOOKUP(F450,数据集标准分类!A:B,2,0)</f>
        <v>death_case_discuss_rec</v>
      </c>
      <c r="H450" s="294">
        <f>VLOOKUP(F450,数据集标准分类!A:H,8,0)</f>
        <v>19</v>
      </c>
      <c r="I450" s="170" t="s">
        <v>1032</v>
      </c>
      <c r="J450" s="170" t="s">
        <v>1033</v>
      </c>
      <c r="K450" s="170" t="s">
        <v>1034</v>
      </c>
      <c r="L450" s="170" t="s">
        <v>1035</v>
      </c>
      <c r="M450" s="170" t="s">
        <v>1416</v>
      </c>
      <c r="N450" s="294">
        <v>5</v>
      </c>
      <c r="O450" s="170"/>
    </row>
    <row r="451" ht="15.75" customHeight="1" spans="1:15">
      <c r="A451" s="183" t="str">
        <f>VLOOKUP(F451,数据集标准分类!A:G,7,0)</f>
        <v>02</v>
      </c>
      <c r="B451" s="183" t="str">
        <f>VLOOKUP(F451,数据集标准分类!A:F,6,0)</f>
        <v>电子病历</v>
      </c>
      <c r="C451" s="183" t="str">
        <f>VLOOKUP(F451,数据集标准分类!A:E,5,0)</f>
        <v>0203</v>
      </c>
      <c r="D451" s="183" t="str">
        <f>VLOOKUP(F451,数据集标准分类!A:D,4,0)</f>
        <v>病程记录</v>
      </c>
      <c r="E451" s="183" t="str">
        <f>VLOOKUP(F451,数据集标准分类!A:C,3,0)</f>
        <v>020310</v>
      </c>
      <c r="F451" s="170" t="s">
        <v>1403</v>
      </c>
      <c r="G451" s="183" t="str">
        <f>VLOOKUP(F451,数据集标准分类!A:B,2,0)</f>
        <v>death_case_discuss_rec</v>
      </c>
      <c r="H451" s="294">
        <f>VLOOKUP(F451,数据集标准分类!A:H,8,0)</f>
        <v>19</v>
      </c>
      <c r="I451" s="170" t="s">
        <v>1133</v>
      </c>
      <c r="J451" s="170" t="s">
        <v>1134</v>
      </c>
      <c r="K451" s="170" t="s">
        <v>1135</v>
      </c>
      <c r="L451" s="170" t="s">
        <v>1136</v>
      </c>
      <c r="M451" s="170" t="s">
        <v>1417</v>
      </c>
      <c r="N451" s="294">
        <v>6</v>
      </c>
      <c r="O451" s="170"/>
    </row>
    <row r="452" ht="15.75" customHeight="1" spans="1:15">
      <c r="A452" s="183" t="str">
        <f>VLOOKUP(F452,数据集标准分类!A:G,7,0)</f>
        <v>02</v>
      </c>
      <c r="B452" s="183" t="str">
        <f>VLOOKUP(F452,数据集标准分类!A:F,6,0)</f>
        <v>电子病历</v>
      </c>
      <c r="C452" s="183" t="str">
        <f>VLOOKUP(F452,数据集标准分类!A:E,5,0)</f>
        <v>0203</v>
      </c>
      <c r="D452" s="183" t="str">
        <f>VLOOKUP(F452,数据集标准分类!A:D,4,0)</f>
        <v>病程记录</v>
      </c>
      <c r="E452" s="183" t="str">
        <f>VLOOKUP(F452,数据集标准分类!A:C,3,0)</f>
        <v>020310</v>
      </c>
      <c r="F452" s="170" t="s">
        <v>1403</v>
      </c>
      <c r="G452" s="183" t="str">
        <f>VLOOKUP(F452,数据集标准分类!A:B,2,0)</f>
        <v>death_case_discuss_rec</v>
      </c>
      <c r="H452" s="294">
        <f>VLOOKUP(F452,数据集标准分类!A:H,8,0)</f>
        <v>19</v>
      </c>
      <c r="I452" s="170" t="s">
        <v>1418</v>
      </c>
      <c r="J452" s="170" t="s">
        <v>1419</v>
      </c>
      <c r="K452" s="170" t="s">
        <v>1420</v>
      </c>
      <c r="L452" s="170" t="s">
        <v>1421</v>
      </c>
      <c r="M452" s="170" t="s">
        <v>1422</v>
      </c>
      <c r="N452" s="294">
        <v>7</v>
      </c>
      <c r="O452" s="170"/>
    </row>
    <row r="453" ht="15.75" customHeight="1" spans="1:15">
      <c r="A453" s="183" t="str">
        <f>VLOOKUP(F453,数据集标准分类!A:G,7,0)</f>
        <v>02</v>
      </c>
      <c r="B453" s="183" t="str">
        <f>VLOOKUP(F453,数据集标准分类!A:F,6,0)</f>
        <v>电子病历</v>
      </c>
      <c r="C453" s="183" t="str">
        <f>VLOOKUP(F453,数据集标准分类!A:E,5,0)</f>
        <v>0203</v>
      </c>
      <c r="D453" s="183" t="str">
        <f>VLOOKUP(F453,数据集标准分类!A:D,4,0)</f>
        <v>病程记录</v>
      </c>
      <c r="E453" s="183" t="str">
        <f>VLOOKUP(F453,数据集标准分类!A:C,3,0)</f>
        <v>020311</v>
      </c>
      <c r="F453" s="170" t="s">
        <v>1423</v>
      </c>
      <c r="G453" s="183" t="str">
        <f>VLOOKUP(F453,数据集标准分类!A:B,2,0)</f>
        <v>po_1st_crs_rec</v>
      </c>
      <c r="H453" s="294">
        <f>VLOOKUP(F453,数据集标准分类!A:H,8,0)</f>
        <v>20</v>
      </c>
      <c r="I453" s="170" t="s">
        <v>1424</v>
      </c>
      <c r="J453" s="170" t="s">
        <v>1425</v>
      </c>
      <c r="K453" s="170" t="s">
        <v>1426</v>
      </c>
      <c r="L453" s="170" t="s">
        <v>1427</v>
      </c>
      <c r="M453" s="170" t="s">
        <v>1428</v>
      </c>
      <c r="N453" s="294">
        <v>1</v>
      </c>
      <c r="O453" s="170"/>
    </row>
    <row r="454" ht="15.75" customHeight="1" spans="1:15">
      <c r="A454" s="183" t="str">
        <f>VLOOKUP(F454,数据集标准分类!A:G,7,0)</f>
        <v>02</v>
      </c>
      <c r="B454" s="183" t="str">
        <f>VLOOKUP(F454,数据集标准分类!A:F,6,0)</f>
        <v>电子病历</v>
      </c>
      <c r="C454" s="183" t="str">
        <f>VLOOKUP(F454,数据集标准分类!A:E,5,0)</f>
        <v>0203</v>
      </c>
      <c r="D454" s="183" t="str">
        <f>VLOOKUP(F454,数据集标准分类!A:D,4,0)</f>
        <v>病程记录</v>
      </c>
      <c r="E454" s="183" t="str">
        <f>VLOOKUP(F454,数据集标准分类!A:C,3,0)</f>
        <v>020311</v>
      </c>
      <c r="F454" s="170" t="s">
        <v>1423</v>
      </c>
      <c r="G454" s="183" t="str">
        <f>VLOOKUP(F454,数据集标准分类!A:B,2,0)</f>
        <v>po_1st_crs_rec</v>
      </c>
      <c r="H454" s="294">
        <f>VLOOKUP(F454,数据集标准分类!A:H,8,0)</f>
        <v>20</v>
      </c>
      <c r="I454" s="170" t="s">
        <v>192</v>
      </c>
      <c r="J454" s="170" t="s">
        <v>193</v>
      </c>
      <c r="K454" s="170" t="s">
        <v>194</v>
      </c>
      <c r="L454" s="170" t="s">
        <v>195</v>
      </c>
      <c r="M454" s="170" t="s">
        <v>385</v>
      </c>
      <c r="N454" s="294">
        <v>2</v>
      </c>
      <c r="O454" s="170"/>
    </row>
    <row r="455" ht="15.75" customHeight="1" spans="1:15">
      <c r="A455" s="183" t="str">
        <f>VLOOKUP(F455,数据集标准分类!A:G,7,0)</f>
        <v>02</v>
      </c>
      <c r="B455" s="183" t="str">
        <f>VLOOKUP(F455,数据集标准分类!A:F,6,0)</f>
        <v>电子病历</v>
      </c>
      <c r="C455" s="183" t="str">
        <f>VLOOKUP(F455,数据集标准分类!A:E,5,0)</f>
        <v>0203</v>
      </c>
      <c r="D455" s="183" t="str">
        <f>VLOOKUP(F455,数据集标准分类!A:D,4,0)</f>
        <v>病程记录</v>
      </c>
      <c r="E455" s="183" t="str">
        <f>VLOOKUP(F455,数据集标准分类!A:C,3,0)</f>
        <v>020311</v>
      </c>
      <c r="F455" s="170" t="s">
        <v>1423</v>
      </c>
      <c r="G455" s="183" t="str">
        <f>VLOOKUP(F455,数据集标准分类!A:B,2,0)</f>
        <v>po_1st_crs_rec</v>
      </c>
      <c r="H455" s="294">
        <f>VLOOKUP(F455,数据集标准分类!A:H,8,0)</f>
        <v>20</v>
      </c>
      <c r="I455" s="170" t="s">
        <v>396</v>
      </c>
      <c r="J455" s="170" t="s">
        <v>397</v>
      </c>
      <c r="K455" s="170" t="s">
        <v>398</v>
      </c>
      <c r="L455" s="170" t="s">
        <v>399</v>
      </c>
      <c r="M455" s="170" t="s">
        <v>1260</v>
      </c>
      <c r="N455" s="294">
        <v>3</v>
      </c>
      <c r="O455" s="170"/>
    </row>
    <row r="456" ht="15.75" customHeight="1" spans="1:15">
      <c r="A456" s="183" t="str">
        <f>VLOOKUP(F456,数据集标准分类!A:G,7,0)</f>
        <v>02</v>
      </c>
      <c r="B456" s="183" t="str">
        <f>VLOOKUP(F456,数据集标准分类!A:F,6,0)</f>
        <v>电子病历</v>
      </c>
      <c r="C456" s="183" t="str">
        <f>VLOOKUP(F456,数据集标准分类!A:E,5,0)</f>
        <v>0203</v>
      </c>
      <c r="D456" s="183" t="str">
        <f>VLOOKUP(F456,数据集标准分类!A:D,4,0)</f>
        <v>病程记录</v>
      </c>
      <c r="E456" s="183" t="str">
        <f>VLOOKUP(F456,数据集标准分类!A:C,3,0)</f>
        <v>020311</v>
      </c>
      <c r="F456" s="170" t="s">
        <v>1423</v>
      </c>
      <c r="G456" s="183" t="str">
        <f>VLOOKUP(F456,数据集标准分类!A:B,2,0)</f>
        <v>po_1st_crs_rec</v>
      </c>
      <c r="H456" s="294">
        <f>VLOOKUP(F456,数据集标准分类!A:H,8,0)</f>
        <v>20</v>
      </c>
      <c r="I456" s="170" t="s">
        <v>1261</v>
      </c>
      <c r="J456" s="170" t="s">
        <v>1262</v>
      </c>
      <c r="K456" s="170" t="s">
        <v>1263</v>
      </c>
      <c r="L456" s="170" t="s">
        <v>1264</v>
      </c>
      <c r="M456" s="170" t="s">
        <v>1429</v>
      </c>
      <c r="N456" s="294">
        <v>4</v>
      </c>
      <c r="O456" s="170"/>
    </row>
    <row r="457" ht="15.75" customHeight="1" spans="1:15">
      <c r="A457" s="183" t="str">
        <f>VLOOKUP(F457,数据集标准分类!A:G,7,0)</f>
        <v>02</v>
      </c>
      <c r="B457" s="183" t="str">
        <f>VLOOKUP(F457,数据集标准分类!A:F,6,0)</f>
        <v>电子病历</v>
      </c>
      <c r="C457" s="183" t="str">
        <f>VLOOKUP(F457,数据集标准分类!A:E,5,0)</f>
        <v>0203</v>
      </c>
      <c r="D457" s="183" t="str">
        <f>VLOOKUP(F457,数据集标准分类!A:D,4,0)</f>
        <v>病程记录</v>
      </c>
      <c r="E457" s="183" t="str">
        <f>VLOOKUP(F457,数据集标准分类!A:C,3,0)</f>
        <v>020311</v>
      </c>
      <c r="F457" s="170" t="s">
        <v>1423</v>
      </c>
      <c r="G457" s="183" t="str">
        <f>VLOOKUP(F457,数据集标准分类!A:B,2,0)</f>
        <v>po_1st_crs_rec</v>
      </c>
      <c r="H457" s="294">
        <f>VLOOKUP(F457,数据集标准分类!A:H,8,0)</f>
        <v>20</v>
      </c>
      <c r="I457" s="170" t="s">
        <v>1430</v>
      </c>
      <c r="J457" s="170" t="s">
        <v>1431</v>
      </c>
      <c r="K457" s="170" t="s">
        <v>1432</v>
      </c>
      <c r="L457" s="170" t="s">
        <v>1433</v>
      </c>
      <c r="M457" s="170" t="s">
        <v>1434</v>
      </c>
      <c r="N457" s="294">
        <v>5</v>
      </c>
      <c r="O457" s="170"/>
    </row>
    <row r="458" ht="15.75" customHeight="1" spans="1:15">
      <c r="A458" s="183" t="str">
        <f>VLOOKUP(F458,数据集标准分类!A:G,7,0)</f>
        <v>02</v>
      </c>
      <c r="B458" s="183" t="str">
        <f>VLOOKUP(F458,数据集标准分类!A:F,6,0)</f>
        <v>电子病历</v>
      </c>
      <c r="C458" s="183" t="str">
        <f>VLOOKUP(F458,数据集标准分类!A:E,5,0)</f>
        <v>0203</v>
      </c>
      <c r="D458" s="183" t="str">
        <f>VLOOKUP(F458,数据集标准分类!A:D,4,0)</f>
        <v>病程记录</v>
      </c>
      <c r="E458" s="183" t="str">
        <f>VLOOKUP(F458,数据集标准分类!A:C,3,0)</f>
        <v>020311</v>
      </c>
      <c r="F458" s="170" t="s">
        <v>1423</v>
      </c>
      <c r="G458" s="183" t="str">
        <f>VLOOKUP(F458,数据集标准分类!A:B,2,0)</f>
        <v>po_1st_crs_rec</v>
      </c>
      <c r="H458" s="294">
        <f>VLOOKUP(F458,数据集标准分类!A:H,8,0)</f>
        <v>20</v>
      </c>
      <c r="I458" s="170" t="s">
        <v>421</v>
      </c>
      <c r="J458" s="170" t="s">
        <v>422</v>
      </c>
      <c r="K458" s="170" t="s">
        <v>423</v>
      </c>
      <c r="L458" s="170" t="s">
        <v>424</v>
      </c>
      <c r="M458" s="170" t="s">
        <v>425</v>
      </c>
      <c r="N458" s="294">
        <v>6</v>
      </c>
      <c r="O458" s="170"/>
    </row>
    <row r="459" ht="15.75" customHeight="1" spans="1:15">
      <c r="A459" s="183" t="str">
        <f>VLOOKUP(F459,数据集标准分类!A:G,7,0)</f>
        <v>02</v>
      </c>
      <c r="B459" s="183" t="str">
        <f>VLOOKUP(F459,数据集标准分类!A:F,6,0)</f>
        <v>电子病历</v>
      </c>
      <c r="C459" s="183" t="str">
        <f>VLOOKUP(F459,数据集标准分类!A:E,5,0)</f>
        <v>0203</v>
      </c>
      <c r="D459" s="183" t="str">
        <f>VLOOKUP(F459,数据集标准分类!A:D,4,0)</f>
        <v>病程记录</v>
      </c>
      <c r="E459" s="183" t="str">
        <f>VLOOKUP(F459,数据集标准分类!A:C,3,0)</f>
        <v>020311</v>
      </c>
      <c r="F459" s="170" t="s">
        <v>1423</v>
      </c>
      <c r="G459" s="183" t="str">
        <f>VLOOKUP(F459,数据集标准分类!A:B,2,0)</f>
        <v>po_1st_crs_rec</v>
      </c>
      <c r="H459" s="294">
        <f>VLOOKUP(F459,数据集标准分类!A:H,8,0)</f>
        <v>20</v>
      </c>
      <c r="I459" s="170" t="s">
        <v>1435</v>
      </c>
      <c r="J459" s="170" t="s">
        <v>1436</v>
      </c>
      <c r="K459" s="170" t="s">
        <v>1437</v>
      </c>
      <c r="L459" s="170" t="s">
        <v>1438</v>
      </c>
      <c r="M459" s="170" t="s">
        <v>1439</v>
      </c>
      <c r="N459" s="294">
        <v>7</v>
      </c>
      <c r="O459" s="170"/>
    </row>
    <row r="460" ht="15.75" customHeight="1" spans="1:15">
      <c r="A460" s="183" t="str">
        <f>VLOOKUP(F460,数据集标准分类!A:G,7,0)</f>
        <v>02</v>
      </c>
      <c r="B460" s="183" t="str">
        <f>VLOOKUP(F460,数据集标准分类!A:F,6,0)</f>
        <v>电子病历</v>
      </c>
      <c r="C460" s="183" t="str">
        <f>VLOOKUP(F460,数据集标准分类!A:E,5,0)</f>
        <v>0203</v>
      </c>
      <c r="D460" s="183" t="str">
        <f>VLOOKUP(F460,数据集标准分类!A:D,4,0)</f>
        <v>病程记录</v>
      </c>
      <c r="E460" s="183" t="str">
        <f>VLOOKUP(F460,数据集标准分类!A:C,3,0)</f>
        <v>020311</v>
      </c>
      <c r="F460" s="170" t="s">
        <v>1423</v>
      </c>
      <c r="G460" s="183" t="str">
        <f>VLOOKUP(F460,数据集标准分类!A:B,2,0)</f>
        <v>po_1st_crs_rec</v>
      </c>
      <c r="H460" s="294">
        <f>VLOOKUP(F460,数据集标准分类!A:H,8,0)</f>
        <v>20</v>
      </c>
      <c r="I460" s="170" t="s">
        <v>1440</v>
      </c>
      <c r="J460" s="170" t="s">
        <v>1441</v>
      </c>
      <c r="K460" s="170" t="s">
        <v>1442</v>
      </c>
      <c r="L460" s="170" t="s">
        <v>1443</v>
      </c>
      <c r="M460" s="170" t="s">
        <v>1444</v>
      </c>
      <c r="N460" s="294">
        <v>8</v>
      </c>
      <c r="O460" s="170"/>
    </row>
    <row r="461" ht="15.75" customHeight="1" spans="1:15">
      <c r="A461" s="183" t="str">
        <f>VLOOKUP(F461,数据集标准分类!A:G,7,0)</f>
        <v>02</v>
      </c>
      <c r="B461" s="183" t="str">
        <f>VLOOKUP(F461,数据集标准分类!A:F,6,0)</f>
        <v>电子病历</v>
      </c>
      <c r="C461" s="183" t="str">
        <f>VLOOKUP(F461,数据集标准分类!A:E,5,0)</f>
        <v>0203</v>
      </c>
      <c r="D461" s="183" t="str">
        <f>VLOOKUP(F461,数据集标准分类!A:D,4,0)</f>
        <v>病程记录</v>
      </c>
      <c r="E461" s="183" t="str">
        <f>VLOOKUP(F461,数据集标准分类!A:C,3,0)</f>
        <v>020311</v>
      </c>
      <c r="F461" s="170" t="s">
        <v>1423</v>
      </c>
      <c r="G461" s="183" t="str">
        <f>VLOOKUP(F461,数据集标准分类!A:B,2,0)</f>
        <v>po_1st_crs_rec</v>
      </c>
      <c r="H461" s="294">
        <f>VLOOKUP(F461,数据集标准分类!A:H,8,0)</f>
        <v>20</v>
      </c>
      <c r="I461" s="170" t="s">
        <v>172</v>
      </c>
      <c r="J461" s="170" t="s">
        <v>173</v>
      </c>
      <c r="K461" s="170" t="s">
        <v>174</v>
      </c>
      <c r="L461" s="170" t="s">
        <v>175</v>
      </c>
      <c r="M461" s="170" t="s">
        <v>1445</v>
      </c>
      <c r="N461" s="294">
        <v>9</v>
      </c>
      <c r="O461" s="170"/>
    </row>
    <row r="462" ht="15.75" customHeight="1" spans="1:15">
      <c r="A462" s="183" t="str">
        <f>VLOOKUP(F462,数据集标准分类!A:G,7,0)</f>
        <v>02</v>
      </c>
      <c r="B462" s="183" t="str">
        <f>VLOOKUP(F462,数据集标准分类!A:F,6,0)</f>
        <v>电子病历</v>
      </c>
      <c r="C462" s="183" t="str">
        <f>VLOOKUP(F462,数据集标准分类!A:E,5,0)</f>
        <v>0203</v>
      </c>
      <c r="D462" s="183" t="str">
        <f>VLOOKUP(F462,数据集标准分类!A:D,4,0)</f>
        <v>病程记录</v>
      </c>
      <c r="E462" s="183" t="str">
        <f>VLOOKUP(F462,数据集标准分类!A:C,3,0)</f>
        <v>020311</v>
      </c>
      <c r="F462" s="170" t="s">
        <v>1423</v>
      </c>
      <c r="G462" s="183" t="str">
        <f>VLOOKUP(F462,数据集标准分类!A:B,2,0)</f>
        <v>po_1st_crs_rec</v>
      </c>
      <c r="H462" s="294">
        <f>VLOOKUP(F462,数据集标准分类!A:H,8,0)</f>
        <v>20</v>
      </c>
      <c r="I462" s="170" t="s">
        <v>1063</v>
      </c>
      <c r="J462" s="170" t="s">
        <v>1064</v>
      </c>
      <c r="K462" s="170" t="s">
        <v>1065</v>
      </c>
      <c r="L462" s="170" t="s">
        <v>1066</v>
      </c>
      <c r="M462" s="170" t="s">
        <v>1067</v>
      </c>
      <c r="N462" s="294">
        <v>10</v>
      </c>
      <c r="O462" s="170"/>
    </row>
    <row r="463" ht="15.75" customHeight="1" spans="1:15">
      <c r="A463" s="183" t="str">
        <f>VLOOKUP(F463,数据集标准分类!A:G,7,0)</f>
        <v>02</v>
      </c>
      <c r="B463" s="183" t="str">
        <f>VLOOKUP(F463,数据集标准分类!A:F,6,0)</f>
        <v>电子病历</v>
      </c>
      <c r="C463" s="183" t="str">
        <f>VLOOKUP(F463,数据集标准分类!A:E,5,0)</f>
        <v>0203</v>
      </c>
      <c r="D463" s="183" t="str">
        <f>VLOOKUP(F463,数据集标准分类!A:D,4,0)</f>
        <v>病程记录</v>
      </c>
      <c r="E463" s="183" t="str">
        <f>VLOOKUP(F463,数据集标准分类!A:C,3,0)</f>
        <v>020311</v>
      </c>
      <c r="F463" s="170" t="s">
        <v>1423</v>
      </c>
      <c r="G463" s="183" t="str">
        <f>VLOOKUP(F463,数据集标准分类!A:B,2,0)</f>
        <v>po_1st_crs_rec</v>
      </c>
      <c r="H463" s="294">
        <f>VLOOKUP(F463,数据集标准分类!A:H,8,0)</f>
        <v>20</v>
      </c>
      <c r="I463" s="170" t="s">
        <v>1446</v>
      </c>
      <c r="J463" s="170" t="s">
        <v>1447</v>
      </c>
      <c r="K463" s="170" t="s">
        <v>1448</v>
      </c>
      <c r="L463" s="170" t="s">
        <v>1449</v>
      </c>
      <c r="M463" s="170" t="s">
        <v>1196</v>
      </c>
      <c r="N463" s="294">
        <v>11</v>
      </c>
      <c r="O463" s="170"/>
    </row>
    <row r="464" ht="15.75" customHeight="1" spans="1:15">
      <c r="A464" s="183" t="str">
        <f>VLOOKUP(F464,数据集标准分类!A:G,7,0)</f>
        <v>02</v>
      </c>
      <c r="B464" s="183" t="str">
        <f>VLOOKUP(F464,数据集标准分类!A:F,6,0)</f>
        <v>电子病历</v>
      </c>
      <c r="C464" s="183" t="str">
        <f>VLOOKUP(F464,数据集标准分类!A:E,5,0)</f>
        <v>0203</v>
      </c>
      <c r="D464" s="183" t="str">
        <f>VLOOKUP(F464,数据集标准分类!A:D,4,0)</f>
        <v>病程记录</v>
      </c>
      <c r="E464" s="183" t="str">
        <f>VLOOKUP(F464,数据集标准分类!A:C,3,0)</f>
        <v>020311</v>
      </c>
      <c r="F464" s="170" t="s">
        <v>1423</v>
      </c>
      <c r="G464" s="183" t="str">
        <f>VLOOKUP(F464,数据集标准分类!A:B,2,0)</f>
        <v>po_1st_crs_rec</v>
      </c>
      <c r="H464" s="294">
        <f>VLOOKUP(F464,数据集标准分类!A:H,8,0)</f>
        <v>20</v>
      </c>
      <c r="I464" s="170" t="s">
        <v>1192</v>
      </c>
      <c r="J464" s="170" t="s">
        <v>1193</v>
      </c>
      <c r="K464" s="170" t="s">
        <v>1194</v>
      </c>
      <c r="L464" s="170" t="s">
        <v>1195</v>
      </c>
      <c r="M464" s="170"/>
      <c r="N464" s="294">
        <v>12</v>
      </c>
      <c r="O464" s="170"/>
    </row>
    <row r="465" ht="15.75" customHeight="1" spans="1:15">
      <c r="A465" s="183" t="str">
        <f>VLOOKUP(F465,数据集标准分类!A:G,7,0)</f>
        <v>02</v>
      </c>
      <c r="B465" s="183" t="str">
        <f>VLOOKUP(F465,数据集标准分类!A:F,6,0)</f>
        <v>电子病历</v>
      </c>
      <c r="C465" s="183" t="str">
        <f>VLOOKUP(F465,数据集标准分类!A:E,5,0)</f>
        <v>0203</v>
      </c>
      <c r="D465" s="183" t="str">
        <f>VLOOKUP(F465,数据集标准分类!A:D,4,0)</f>
        <v>病程记录</v>
      </c>
      <c r="E465" s="183" t="str">
        <f>VLOOKUP(F465,数据集标准分类!A:C,3,0)</f>
        <v>020311</v>
      </c>
      <c r="F465" s="170" t="s">
        <v>1423</v>
      </c>
      <c r="G465" s="183" t="str">
        <f>VLOOKUP(F465,数据集标准分类!A:B,2,0)</f>
        <v>po_1st_crs_rec</v>
      </c>
      <c r="H465" s="294">
        <f>VLOOKUP(F465,数据集标准分类!A:H,8,0)</f>
        <v>20</v>
      </c>
      <c r="I465" s="170" t="s">
        <v>1088</v>
      </c>
      <c r="J465" s="170" t="s">
        <v>1089</v>
      </c>
      <c r="K465" s="170" t="s">
        <v>1090</v>
      </c>
      <c r="L465" s="170" t="s">
        <v>1091</v>
      </c>
      <c r="M465" s="170"/>
      <c r="N465" s="294">
        <v>13</v>
      </c>
      <c r="O465" s="170"/>
    </row>
    <row r="466" ht="15.75" customHeight="1" spans="1:15">
      <c r="A466" s="183" t="str">
        <f>VLOOKUP(F466,数据集标准分类!A:G,7,0)</f>
        <v>02</v>
      </c>
      <c r="B466" s="183" t="str">
        <f>VLOOKUP(F466,数据集标准分类!A:F,6,0)</f>
        <v>电子病历</v>
      </c>
      <c r="C466" s="183" t="str">
        <f>VLOOKUP(F466,数据集标准分类!A:E,5,0)</f>
        <v>0203</v>
      </c>
      <c r="D466" s="183" t="str">
        <f>VLOOKUP(F466,数据集标准分类!A:D,4,0)</f>
        <v>病程记录</v>
      </c>
      <c r="E466" s="183" t="str">
        <f>VLOOKUP(F466,数据集标准分类!A:C,3,0)</f>
        <v>020311</v>
      </c>
      <c r="F466" s="170" t="s">
        <v>1423</v>
      </c>
      <c r="G466" s="183" t="str">
        <f>VLOOKUP(F466,数据集标准分类!A:B,2,0)</f>
        <v>po_1st_crs_rec</v>
      </c>
      <c r="H466" s="294">
        <f>VLOOKUP(F466,数据集标准分类!A:H,8,0)</f>
        <v>20</v>
      </c>
      <c r="I466" s="170" t="s">
        <v>1307</v>
      </c>
      <c r="J466" s="170" t="s">
        <v>1308</v>
      </c>
      <c r="K466" s="170" t="s">
        <v>1308</v>
      </c>
      <c r="L466" s="170" t="s">
        <v>1309</v>
      </c>
      <c r="M466" s="170"/>
      <c r="N466" s="294">
        <v>14</v>
      </c>
      <c r="O466" s="170"/>
    </row>
    <row r="467" ht="15.75" customHeight="1" spans="1:15">
      <c r="A467" s="183" t="str">
        <f>VLOOKUP(F467,数据集标准分类!A:G,7,0)</f>
        <v>02</v>
      </c>
      <c r="B467" s="183" t="str">
        <f>VLOOKUP(F467,数据集标准分类!A:F,6,0)</f>
        <v>电子病历</v>
      </c>
      <c r="C467" s="183" t="str">
        <f>VLOOKUP(F467,数据集标准分类!A:E,5,0)</f>
        <v>0203</v>
      </c>
      <c r="D467" s="183" t="str">
        <f>VLOOKUP(F467,数据集标准分类!A:D,4,0)</f>
        <v>病程记录</v>
      </c>
      <c r="E467" s="183" t="str">
        <f>VLOOKUP(F467,数据集标准分类!A:C,3,0)</f>
        <v>020312</v>
      </c>
      <c r="F467" s="170" t="s">
        <v>1450</v>
      </c>
      <c r="G467" s="183" t="str">
        <f>VLOOKUP(F467,数据集标准分类!A:B,2,0)</f>
        <v>rfrl_ht_record</v>
      </c>
      <c r="H467" s="294">
        <f>VLOOKUP(F467,数据集标准分类!A:H,8,0)</f>
        <v>21</v>
      </c>
      <c r="I467" s="170" t="s">
        <v>508</v>
      </c>
      <c r="J467" s="170" t="s">
        <v>509</v>
      </c>
      <c r="K467" s="170" t="s">
        <v>510</v>
      </c>
      <c r="L467" s="170" t="s">
        <v>511</v>
      </c>
      <c r="M467" s="170" t="s">
        <v>116</v>
      </c>
      <c r="N467" s="294">
        <v>1</v>
      </c>
      <c r="O467" s="170"/>
    </row>
    <row r="468" ht="15.75" customHeight="1" spans="1:15">
      <c r="A468" s="183" t="str">
        <f>VLOOKUP(F468,数据集标准分类!A:G,7,0)</f>
        <v>02</v>
      </c>
      <c r="B468" s="183" t="str">
        <f>VLOOKUP(F468,数据集标准分类!A:F,6,0)</f>
        <v>电子病历</v>
      </c>
      <c r="C468" s="183" t="str">
        <f>VLOOKUP(F468,数据集标准分类!A:E,5,0)</f>
        <v>0203</v>
      </c>
      <c r="D468" s="183" t="str">
        <f>VLOOKUP(F468,数据集标准分类!A:D,4,0)</f>
        <v>病程记录</v>
      </c>
      <c r="E468" s="183" t="str">
        <f>VLOOKUP(F468,数据集标准分类!A:C,3,0)</f>
        <v>020312</v>
      </c>
      <c r="F468" s="170" t="s">
        <v>1450</v>
      </c>
      <c r="G468" s="183" t="str">
        <f>VLOOKUP(F468,数据集标准分类!A:B,2,0)</f>
        <v>rfrl_ht_record</v>
      </c>
      <c r="H468" s="294">
        <f>VLOOKUP(F468,数据集标准分类!A:H,8,0)</f>
        <v>21</v>
      </c>
      <c r="I468" s="170" t="s">
        <v>87</v>
      </c>
      <c r="J468" s="170" t="s">
        <v>88</v>
      </c>
      <c r="K468" s="170" t="s">
        <v>89</v>
      </c>
      <c r="L468" s="170" t="s">
        <v>90</v>
      </c>
      <c r="M468" s="170" t="s">
        <v>91</v>
      </c>
      <c r="N468" s="294">
        <v>2</v>
      </c>
      <c r="O468" s="170"/>
    </row>
    <row r="469" ht="15.75" customHeight="1" spans="1:15">
      <c r="A469" s="183" t="str">
        <f>VLOOKUP(F469,数据集标准分类!A:G,7,0)</f>
        <v>02</v>
      </c>
      <c r="B469" s="183" t="str">
        <f>VLOOKUP(F469,数据集标准分类!A:F,6,0)</f>
        <v>电子病历</v>
      </c>
      <c r="C469" s="183" t="str">
        <f>VLOOKUP(F469,数据集标准分类!A:E,5,0)</f>
        <v>0203</v>
      </c>
      <c r="D469" s="183" t="str">
        <f>VLOOKUP(F469,数据集标准分类!A:D,4,0)</f>
        <v>病程记录</v>
      </c>
      <c r="E469" s="183" t="str">
        <f>VLOOKUP(F469,数据集标准分类!A:C,3,0)</f>
        <v>020312</v>
      </c>
      <c r="F469" s="170" t="s">
        <v>1450</v>
      </c>
      <c r="G469" s="183" t="str">
        <f>VLOOKUP(F469,数据集标准分类!A:B,2,0)</f>
        <v>rfrl_ht_record</v>
      </c>
      <c r="H469" s="294">
        <f>VLOOKUP(F469,数据集标准分类!A:H,8,0)</f>
        <v>21</v>
      </c>
      <c r="I469" s="170" t="s">
        <v>97</v>
      </c>
      <c r="J469" s="170" t="s">
        <v>98</v>
      </c>
      <c r="K469" s="170" t="s">
        <v>99</v>
      </c>
      <c r="L469" s="170" t="s">
        <v>100</v>
      </c>
      <c r="M469" s="170" t="s">
        <v>106</v>
      </c>
      <c r="N469" s="294">
        <v>3</v>
      </c>
      <c r="O469" s="170"/>
    </row>
    <row r="470" ht="15.75" customHeight="1" spans="1:15">
      <c r="A470" s="183" t="str">
        <f>VLOOKUP(F470,数据集标准分类!A:G,7,0)</f>
        <v>02</v>
      </c>
      <c r="B470" s="183" t="str">
        <f>VLOOKUP(F470,数据集标准分类!A:F,6,0)</f>
        <v>电子病历</v>
      </c>
      <c r="C470" s="183" t="str">
        <f>VLOOKUP(F470,数据集标准分类!A:E,5,0)</f>
        <v>0203</v>
      </c>
      <c r="D470" s="183" t="str">
        <f>VLOOKUP(F470,数据集标准分类!A:D,4,0)</f>
        <v>病程记录</v>
      </c>
      <c r="E470" s="183" t="str">
        <f>VLOOKUP(F470,数据集标准分类!A:C,3,0)</f>
        <v>020312</v>
      </c>
      <c r="F470" s="170" t="s">
        <v>1450</v>
      </c>
      <c r="G470" s="183" t="str">
        <f>VLOOKUP(F470,数据集标准分类!A:B,2,0)</f>
        <v>rfrl_ht_record</v>
      </c>
      <c r="H470" s="294">
        <f>VLOOKUP(F470,数据集标准分类!A:H,8,0)</f>
        <v>21</v>
      </c>
      <c r="I470" s="170" t="s">
        <v>1451</v>
      </c>
      <c r="J470" s="170" t="s">
        <v>1452</v>
      </c>
      <c r="K470" s="170" t="s">
        <v>1453</v>
      </c>
      <c r="L470" s="170" t="s">
        <v>1454</v>
      </c>
      <c r="M470" s="170" t="s">
        <v>1455</v>
      </c>
      <c r="N470" s="294">
        <v>4</v>
      </c>
      <c r="O470" s="170"/>
    </row>
    <row r="471" ht="15.75" customHeight="1" spans="1:15">
      <c r="A471" s="183" t="str">
        <f>VLOOKUP(F471,数据集标准分类!A:G,7,0)</f>
        <v>02</v>
      </c>
      <c r="B471" s="183" t="str">
        <f>VLOOKUP(F471,数据集标准分类!A:F,6,0)</f>
        <v>电子病历</v>
      </c>
      <c r="C471" s="183" t="str">
        <f>VLOOKUP(F471,数据集标准分类!A:E,5,0)</f>
        <v>0203</v>
      </c>
      <c r="D471" s="183" t="str">
        <f>VLOOKUP(F471,数据集标准分类!A:D,4,0)</f>
        <v>病程记录</v>
      </c>
      <c r="E471" s="183" t="str">
        <f>VLOOKUP(F471,数据集标准分类!A:C,3,0)</f>
        <v>020312</v>
      </c>
      <c r="F471" s="170" t="s">
        <v>1450</v>
      </c>
      <c r="G471" s="183" t="str">
        <f>VLOOKUP(F471,数据集标准分类!A:B,2,0)</f>
        <v>rfrl_ht_record</v>
      </c>
      <c r="H471" s="294">
        <f>VLOOKUP(F471,数据集标准分类!A:H,8,0)</f>
        <v>21</v>
      </c>
      <c r="I471" s="170" t="s">
        <v>1456</v>
      </c>
      <c r="J471" s="170" t="s">
        <v>1457</v>
      </c>
      <c r="K471" s="170" t="s">
        <v>1458</v>
      </c>
      <c r="L471" s="170" t="s">
        <v>1459</v>
      </c>
      <c r="M471" s="170" t="s">
        <v>1460</v>
      </c>
      <c r="N471" s="294">
        <v>5</v>
      </c>
      <c r="O471" s="170"/>
    </row>
    <row r="472" ht="15.75" customHeight="1" spans="1:15">
      <c r="A472" s="183" t="str">
        <f>VLOOKUP(F472,数据集标准分类!A:G,7,0)</f>
        <v>02</v>
      </c>
      <c r="B472" s="183" t="str">
        <f>VLOOKUP(F472,数据集标准分类!A:F,6,0)</f>
        <v>电子病历</v>
      </c>
      <c r="C472" s="183" t="str">
        <f>VLOOKUP(F472,数据集标准分类!A:E,5,0)</f>
        <v>0203</v>
      </c>
      <c r="D472" s="183" t="str">
        <f>VLOOKUP(F472,数据集标准分类!A:D,4,0)</f>
        <v>病程记录</v>
      </c>
      <c r="E472" s="183" t="str">
        <f>VLOOKUP(F472,数据集标准分类!A:C,3,0)</f>
        <v>020312</v>
      </c>
      <c r="F472" s="170" t="s">
        <v>1450</v>
      </c>
      <c r="G472" s="183" t="str">
        <f>VLOOKUP(F472,数据集标准分类!A:B,2,0)</f>
        <v>rfrl_ht_record</v>
      </c>
      <c r="H472" s="294">
        <f>VLOOKUP(F472,数据集标准分类!A:H,8,0)</f>
        <v>21</v>
      </c>
      <c r="I472" s="170" t="s">
        <v>1133</v>
      </c>
      <c r="J472" s="170" t="s">
        <v>1134</v>
      </c>
      <c r="K472" s="170" t="s">
        <v>1135</v>
      </c>
      <c r="L472" s="170" t="s">
        <v>1136</v>
      </c>
      <c r="M472" s="170" t="s">
        <v>1461</v>
      </c>
      <c r="N472" s="294">
        <v>6</v>
      </c>
      <c r="O472" s="170"/>
    </row>
    <row r="473" ht="15.75" customHeight="1" spans="1:15">
      <c r="A473" s="183" t="str">
        <f>VLOOKUP(F473,数据集标准分类!A:G,7,0)</f>
        <v>02</v>
      </c>
      <c r="B473" s="183" t="str">
        <f>VLOOKUP(F473,数据集标准分类!A:F,6,0)</f>
        <v>电子病历</v>
      </c>
      <c r="C473" s="183" t="str">
        <f>VLOOKUP(F473,数据集标准分类!A:E,5,0)</f>
        <v>0203</v>
      </c>
      <c r="D473" s="183" t="str">
        <f>VLOOKUP(F473,数据集标准分类!A:D,4,0)</f>
        <v>病程记录</v>
      </c>
      <c r="E473" s="183" t="str">
        <f>VLOOKUP(F473,数据集标准分类!A:C,3,0)</f>
        <v>020312</v>
      </c>
      <c r="F473" s="170" t="s">
        <v>1450</v>
      </c>
      <c r="G473" s="183" t="str">
        <f>VLOOKUP(F473,数据集标准分类!A:B,2,0)</f>
        <v>rfrl_ht_record</v>
      </c>
      <c r="H473" s="294">
        <f>VLOOKUP(F473,数据集标准分类!A:H,8,0)</f>
        <v>21</v>
      </c>
      <c r="I473" s="170" t="s">
        <v>245</v>
      </c>
      <c r="J473" s="170" t="s">
        <v>246</v>
      </c>
      <c r="K473" s="170" t="s">
        <v>247</v>
      </c>
      <c r="L473" s="170" t="s">
        <v>248</v>
      </c>
      <c r="M473" s="170" t="s">
        <v>1462</v>
      </c>
      <c r="N473" s="294">
        <v>7</v>
      </c>
      <c r="O473" s="170"/>
    </row>
    <row r="474" ht="15.75" customHeight="1" spans="1:15">
      <c r="A474" s="183" t="str">
        <f>VLOOKUP(F474,数据集标准分类!A:G,7,0)</f>
        <v>02</v>
      </c>
      <c r="B474" s="183" t="str">
        <f>VLOOKUP(F474,数据集标准分类!A:F,6,0)</f>
        <v>电子病历</v>
      </c>
      <c r="C474" s="183" t="str">
        <f>VLOOKUP(F474,数据集标准分类!A:E,5,0)</f>
        <v>0203</v>
      </c>
      <c r="D474" s="183" t="str">
        <f>VLOOKUP(F474,数据集标准分类!A:D,4,0)</f>
        <v>病程记录</v>
      </c>
      <c r="E474" s="183" t="str">
        <f>VLOOKUP(F474,数据集标准分类!A:C,3,0)</f>
        <v>020312</v>
      </c>
      <c r="F474" s="170" t="s">
        <v>1450</v>
      </c>
      <c r="G474" s="183" t="str">
        <f>VLOOKUP(F474,数据集标准分类!A:B,2,0)</f>
        <v>rfrl_ht_record</v>
      </c>
      <c r="H474" s="294">
        <f>VLOOKUP(F474,数据集标准分类!A:H,8,0)</f>
        <v>21</v>
      </c>
      <c r="I474" s="170" t="s">
        <v>172</v>
      </c>
      <c r="J474" s="170" t="s">
        <v>173</v>
      </c>
      <c r="K474" s="170" t="s">
        <v>174</v>
      </c>
      <c r="L474" s="170" t="s">
        <v>175</v>
      </c>
      <c r="M474" s="170" t="s">
        <v>1245</v>
      </c>
      <c r="N474" s="294">
        <v>8</v>
      </c>
      <c r="O474" s="170"/>
    </row>
    <row r="475" ht="15.75" customHeight="1" spans="1:15">
      <c r="A475" s="183" t="str">
        <f>VLOOKUP(F475,数据集标准分类!A:G,7,0)</f>
        <v>02</v>
      </c>
      <c r="B475" s="183" t="str">
        <f>VLOOKUP(F475,数据集标准分类!A:F,6,0)</f>
        <v>电子病历</v>
      </c>
      <c r="C475" s="183" t="str">
        <f>VLOOKUP(F475,数据集标准分类!A:E,5,0)</f>
        <v>0203</v>
      </c>
      <c r="D475" s="183" t="str">
        <f>VLOOKUP(F475,数据集标准分类!A:D,4,0)</f>
        <v>病程记录</v>
      </c>
      <c r="E475" s="183" t="str">
        <f>VLOOKUP(F475,数据集标准分类!A:C,3,0)</f>
        <v>020312</v>
      </c>
      <c r="F475" s="170" t="s">
        <v>1450</v>
      </c>
      <c r="G475" s="183" t="str">
        <f>VLOOKUP(F475,数据集标准分类!A:B,2,0)</f>
        <v>rfrl_ht_record</v>
      </c>
      <c r="H475" s="294">
        <f>VLOOKUP(F475,数据集标准分类!A:H,8,0)</f>
        <v>21</v>
      </c>
      <c r="I475" s="170" t="s">
        <v>1463</v>
      </c>
      <c r="J475" s="170" t="s">
        <v>1464</v>
      </c>
      <c r="K475" s="170" t="s">
        <v>1465</v>
      </c>
      <c r="L475" s="170" t="s">
        <v>1466</v>
      </c>
      <c r="M475" s="170" t="s">
        <v>1467</v>
      </c>
      <c r="N475" s="294">
        <v>9</v>
      </c>
      <c r="O475" s="170"/>
    </row>
    <row r="476" ht="15.75" customHeight="1" spans="1:15">
      <c r="A476" s="183" t="str">
        <f>VLOOKUP(F476,数据集标准分类!A:G,7,0)</f>
        <v>02</v>
      </c>
      <c r="B476" s="183" t="str">
        <f>VLOOKUP(F476,数据集标准分类!A:F,6,0)</f>
        <v>电子病历</v>
      </c>
      <c r="C476" s="183" t="str">
        <f>VLOOKUP(F476,数据集标准分类!A:E,5,0)</f>
        <v>0203</v>
      </c>
      <c r="D476" s="183" t="str">
        <f>VLOOKUP(F476,数据集标准分类!A:D,4,0)</f>
        <v>病程记录</v>
      </c>
      <c r="E476" s="183" t="str">
        <f>VLOOKUP(F476,数据集标准分类!A:C,3,0)</f>
        <v>020312</v>
      </c>
      <c r="F476" s="170" t="s">
        <v>1450</v>
      </c>
      <c r="G476" s="183" t="str">
        <f>VLOOKUP(F476,数据集标准分类!A:B,2,0)</f>
        <v>rfrl_ht_record</v>
      </c>
      <c r="H476" s="294">
        <f>VLOOKUP(F476,数据集标准分类!A:H,8,0)</f>
        <v>21</v>
      </c>
      <c r="I476" s="170" t="s">
        <v>934</v>
      </c>
      <c r="J476" s="170" t="s">
        <v>935</v>
      </c>
      <c r="K476" s="170" t="s">
        <v>936</v>
      </c>
      <c r="L476" s="170" t="s">
        <v>937</v>
      </c>
      <c r="M476" s="170" t="s">
        <v>1468</v>
      </c>
      <c r="N476" s="294">
        <v>10</v>
      </c>
      <c r="O476" s="170"/>
    </row>
    <row r="477" ht="15.75" customHeight="1" spans="1:15">
      <c r="A477" s="183" t="str">
        <f>VLOOKUP(F477,数据集标准分类!A:G,7,0)</f>
        <v>02</v>
      </c>
      <c r="B477" s="183" t="str">
        <f>VLOOKUP(F477,数据集标准分类!A:F,6,0)</f>
        <v>电子病历</v>
      </c>
      <c r="C477" s="183" t="str">
        <f>VLOOKUP(F477,数据集标准分类!A:E,5,0)</f>
        <v>0203</v>
      </c>
      <c r="D477" s="183" t="str">
        <f>VLOOKUP(F477,数据集标准分类!A:D,4,0)</f>
        <v>病程记录</v>
      </c>
      <c r="E477" s="183" t="str">
        <f>VLOOKUP(F477,数据集标准分类!A:C,3,0)</f>
        <v>020312</v>
      </c>
      <c r="F477" s="170" t="s">
        <v>1450</v>
      </c>
      <c r="G477" s="183" t="str">
        <f>VLOOKUP(F477,数据集标准分类!A:B,2,0)</f>
        <v>rfrl_ht_record</v>
      </c>
      <c r="H477" s="294">
        <f>VLOOKUP(F477,数据集标准分类!A:H,8,0)</f>
        <v>21</v>
      </c>
      <c r="I477" s="170" t="s">
        <v>1469</v>
      </c>
      <c r="J477" s="170" t="s">
        <v>1470</v>
      </c>
      <c r="K477" s="170" t="s">
        <v>1471</v>
      </c>
      <c r="L477" s="170" t="s">
        <v>1472</v>
      </c>
      <c r="M477" s="170" t="s">
        <v>1473</v>
      </c>
      <c r="N477" s="294">
        <v>11</v>
      </c>
      <c r="O477" s="170"/>
    </row>
    <row r="478" ht="15.75" customHeight="1" spans="1:15">
      <c r="A478" s="183" t="str">
        <f>VLOOKUP(F478,数据集标准分类!A:G,7,0)</f>
        <v>02</v>
      </c>
      <c r="B478" s="183" t="str">
        <f>VLOOKUP(F478,数据集标准分类!A:F,6,0)</f>
        <v>电子病历</v>
      </c>
      <c r="C478" s="183" t="str">
        <f>VLOOKUP(F478,数据集标准分类!A:E,5,0)</f>
        <v>0203</v>
      </c>
      <c r="D478" s="183" t="str">
        <f>VLOOKUP(F478,数据集标准分类!A:D,4,0)</f>
        <v>病程记录</v>
      </c>
      <c r="E478" s="183" t="str">
        <f>VLOOKUP(F478,数据集标准分类!A:C,3,0)</f>
        <v>020312</v>
      </c>
      <c r="F478" s="170" t="s">
        <v>1450</v>
      </c>
      <c r="G478" s="183" t="str">
        <f>VLOOKUP(F478,数据集标准分类!A:B,2,0)</f>
        <v>rfrl_ht_record</v>
      </c>
      <c r="H478" s="294">
        <f>VLOOKUP(F478,数据集标准分类!A:H,8,0)</f>
        <v>21</v>
      </c>
      <c r="I478" s="170" t="s">
        <v>779</v>
      </c>
      <c r="J478" s="170" t="s">
        <v>780</v>
      </c>
      <c r="K478" s="170" t="s">
        <v>781</v>
      </c>
      <c r="L478" s="170" t="s">
        <v>782</v>
      </c>
      <c r="M478" s="170" t="s">
        <v>783</v>
      </c>
      <c r="N478" s="294">
        <v>12</v>
      </c>
      <c r="O478" s="170"/>
    </row>
    <row r="479" ht="15.75" customHeight="1" spans="1:15">
      <c r="A479" s="183" t="str">
        <f>VLOOKUP(F479,数据集标准分类!A:G,7,0)</f>
        <v>02</v>
      </c>
      <c r="B479" s="183" t="str">
        <f>VLOOKUP(F479,数据集标准分类!A:F,6,0)</f>
        <v>电子病历</v>
      </c>
      <c r="C479" s="183" t="str">
        <f>VLOOKUP(F479,数据集标准分类!A:E,5,0)</f>
        <v>0203</v>
      </c>
      <c r="D479" s="183" t="str">
        <f>VLOOKUP(F479,数据集标准分类!A:D,4,0)</f>
        <v>病程记录</v>
      </c>
      <c r="E479" s="183" t="str">
        <f>VLOOKUP(F479,数据集标准分类!A:C,3,0)</f>
        <v>020312</v>
      </c>
      <c r="F479" s="170" t="s">
        <v>1450</v>
      </c>
      <c r="G479" s="183" t="str">
        <f>VLOOKUP(F479,数据集标准分类!A:B,2,0)</f>
        <v>rfrl_ht_record</v>
      </c>
      <c r="H479" s="294">
        <f>VLOOKUP(F479,数据集标准分类!A:H,8,0)</f>
        <v>21</v>
      </c>
      <c r="I479" s="170" t="s">
        <v>192</v>
      </c>
      <c r="J479" s="170" t="s">
        <v>193</v>
      </c>
      <c r="K479" s="170" t="s">
        <v>194</v>
      </c>
      <c r="L479" s="170" t="s">
        <v>195</v>
      </c>
      <c r="M479" s="170" t="s">
        <v>385</v>
      </c>
      <c r="N479" s="294">
        <v>13</v>
      </c>
      <c r="O479" s="170"/>
    </row>
    <row r="480" ht="15.75" customHeight="1" spans="1:15">
      <c r="A480" s="183" t="str">
        <f>VLOOKUP(F480,数据集标准分类!A:G,7,0)</f>
        <v>02</v>
      </c>
      <c r="B480" s="183" t="str">
        <f>VLOOKUP(F480,数据集标准分类!A:F,6,0)</f>
        <v>电子病历</v>
      </c>
      <c r="C480" s="183" t="str">
        <f>VLOOKUP(F480,数据集标准分类!A:E,5,0)</f>
        <v>0203</v>
      </c>
      <c r="D480" s="183" t="str">
        <f>VLOOKUP(F480,数据集标准分类!A:D,4,0)</f>
        <v>病程记录</v>
      </c>
      <c r="E480" s="183" t="str">
        <f>VLOOKUP(F480,数据集标准分类!A:C,3,0)</f>
        <v>020312</v>
      </c>
      <c r="F480" s="170" t="s">
        <v>1450</v>
      </c>
      <c r="G480" s="183" t="str">
        <f>VLOOKUP(F480,数据集标准分类!A:B,2,0)</f>
        <v>rfrl_ht_record</v>
      </c>
      <c r="H480" s="294">
        <f>VLOOKUP(F480,数据集标准分类!A:H,8,0)</f>
        <v>21</v>
      </c>
      <c r="I480" s="170" t="s">
        <v>1474</v>
      </c>
      <c r="J480" s="170" t="s">
        <v>1475</v>
      </c>
      <c r="K480" s="170" t="s">
        <v>1476</v>
      </c>
      <c r="L480" s="170" t="s">
        <v>1477</v>
      </c>
      <c r="M480" s="170" t="s">
        <v>1478</v>
      </c>
      <c r="N480" s="294">
        <v>14</v>
      </c>
      <c r="O480" s="170"/>
    </row>
    <row r="481" ht="15.75" customHeight="1" spans="1:15">
      <c r="A481" s="183" t="str">
        <f>VLOOKUP(F481,数据集标准分类!A:G,7,0)</f>
        <v>02</v>
      </c>
      <c r="B481" s="183" t="str">
        <f>VLOOKUP(F481,数据集标准分类!A:F,6,0)</f>
        <v>电子病历</v>
      </c>
      <c r="C481" s="183" t="str">
        <f>VLOOKUP(F481,数据集标准分类!A:E,5,0)</f>
        <v>0203</v>
      </c>
      <c r="D481" s="183" t="str">
        <f>VLOOKUP(F481,数据集标准分类!A:D,4,0)</f>
        <v>病程记录</v>
      </c>
      <c r="E481" s="183" t="str">
        <f>VLOOKUP(F481,数据集标准分类!A:C,3,0)</f>
        <v>020312</v>
      </c>
      <c r="F481" s="170" t="s">
        <v>1450</v>
      </c>
      <c r="G481" s="183" t="str">
        <f>VLOOKUP(F481,数据集标准分类!A:B,2,0)</f>
        <v>rfrl_ht_record</v>
      </c>
      <c r="H481" s="294">
        <f>VLOOKUP(F481,数据集标准分类!A:H,8,0)</f>
        <v>21</v>
      </c>
      <c r="I481" s="170" t="s">
        <v>1234</v>
      </c>
      <c r="J481" s="170" t="s">
        <v>1235</v>
      </c>
      <c r="K481" s="170" t="s">
        <v>1236</v>
      </c>
      <c r="L481" s="170" t="s">
        <v>1237</v>
      </c>
      <c r="M481" s="170" t="s">
        <v>1479</v>
      </c>
      <c r="N481" s="294">
        <v>15</v>
      </c>
      <c r="O481" s="170"/>
    </row>
    <row r="482" ht="15.75" customHeight="1" spans="1:15">
      <c r="A482" s="183" t="str">
        <f>VLOOKUP(F482,数据集标准分类!A:G,7,0)</f>
        <v>02</v>
      </c>
      <c r="B482" s="183" t="str">
        <f>VLOOKUP(F482,数据集标准分类!A:F,6,0)</f>
        <v>电子病历</v>
      </c>
      <c r="C482" s="183" t="str">
        <f>VLOOKUP(F482,数据集标准分类!A:E,5,0)</f>
        <v>0203</v>
      </c>
      <c r="D482" s="183" t="str">
        <f>VLOOKUP(F482,数据集标准分类!A:D,4,0)</f>
        <v>病程记录</v>
      </c>
      <c r="E482" s="183" t="str">
        <f>VLOOKUP(F482,数据集标准分类!A:C,3,0)</f>
        <v>020312</v>
      </c>
      <c r="F482" s="170" t="s">
        <v>1450</v>
      </c>
      <c r="G482" s="183" t="str">
        <f>VLOOKUP(F482,数据集标准分类!A:B,2,0)</f>
        <v>rfrl_ht_record</v>
      </c>
      <c r="H482" s="294">
        <f>VLOOKUP(F482,数据集标准分类!A:H,8,0)</f>
        <v>21</v>
      </c>
      <c r="I482" s="170" t="s">
        <v>1480</v>
      </c>
      <c r="J482" s="170" t="s">
        <v>1481</v>
      </c>
      <c r="K482" s="170" t="s">
        <v>1482</v>
      </c>
      <c r="L482" s="170" t="s">
        <v>1483</v>
      </c>
      <c r="M482" s="170" t="s">
        <v>1484</v>
      </c>
      <c r="N482" s="294">
        <v>16</v>
      </c>
      <c r="O482" s="170"/>
    </row>
    <row r="483" ht="15.75" customHeight="1" spans="1:15">
      <c r="A483" s="183" t="str">
        <f>VLOOKUP(F483,数据集标准分类!A:G,7,0)</f>
        <v>02</v>
      </c>
      <c r="B483" s="183" t="str">
        <f>VLOOKUP(F483,数据集标准分类!A:F,6,0)</f>
        <v>电子病历</v>
      </c>
      <c r="C483" s="183" t="str">
        <f>VLOOKUP(F483,数据集标准分类!A:E,5,0)</f>
        <v>0203</v>
      </c>
      <c r="D483" s="183" t="str">
        <f>VLOOKUP(F483,数据集标准分类!A:D,4,0)</f>
        <v>病程记录</v>
      </c>
      <c r="E483" s="183" t="str">
        <f>VLOOKUP(F483,数据集标准分类!A:C,3,0)</f>
        <v>020312</v>
      </c>
      <c r="F483" s="170" t="s">
        <v>1450</v>
      </c>
      <c r="G483" s="183" t="str">
        <f>VLOOKUP(F483,数据集标准分类!A:B,2,0)</f>
        <v>rfrl_ht_record</v>
      </c>
      <c r="H483" s="294">
        <f>VLOOKUP(F483,数据集标准分类!A:H,8,0)</f>
        <v>21</v>
      </c>
      <c r="I483" s="170" t="s">
        <v>1485</v>
      </c>
      <c r="J483" s="170" t="s">
        <v>1486</v>
      </c>
      <c r="K483" s="170" t="s">
        <v>1487</v>
      </c>
      <c r="L483" s="170" t="s">
        <v>1488</v>
      </c>
      <c r="M483" s="170" t="s">
        <v>1489</v>
      </c>
      <c r="N483" s="294">
        <v>17</v>
      </c>
      <c r="O483" s="170"/>
    </row>
    <row r="484" ht="15.75" customHeight="1" spans="1:15">
      <c r="A484" s="183" t="str">
        <f>VLOOKUP(F484,数据集标准分类!A:G,7,0)</f>
        <v>02</v>
      </c>
      <c r="B484" s="183" t="str">
        <f>VLOOKUP(F484,数据集标准分类!A:F,6,0)</f>
        <v>电子病历</v>
      </c>
      <c r="C484" s="183" t="str">
        <f>VLOOKUP(F484,数据集标准分类!A:E,5,0)</f>
        <v>0203</v>
      </c>
      <c r="D484" s="183" t="str">
        <f>VLOOKUP(F484,数据集标准分类!A:D,4,0)</f>
        <v>病程记录</v>
      </c>
      <c r="E484" s="183" t="str">
        <f>VLOOKUP(F484,数据集标准分类!A:C,3,0)</f>
        <v>020312</v>
      </c>
      <c r="F484" s="170" t="s">
        <v>1450</v>
      </c>
      <c r="G484" s="183" t="str">
        <f>VLOOKUP(F484,数据集标准分类!A:B,2,0)</f>
        <v>rfrl_ht_record</v>
      </c>
      <c r="H484" s="294">
        <f>VLOOKUP(F484,数据集标准分类!A:H,8,0)</f>
        <v>21</v>
      </c>
      <c r="I484" s="170" t="s">
        <v>1490</v>
      </c>
      <c r="J484" s="170" t="s">
        <v>1491</v>
      </c>
      <c r="K484" s="170" t="s">
        <v>1492</v>
      </c>
      <c r="L484" s="170" t="s">
        <v>1493</v>
      </c>
      <c r="M484" s="170" t="s">
        <v>1494</v>
      </c>
      <c r="N484" s="294">
        <v>18</v>
      </c>
      <c r="O484" s="170"/>
    </row>
    <row r="485" ht="15.75" customHeight="1" spans="1:15">
      <c r="A485" s="183" t="str">
        <f>VLOOKUP(F485,数据集标准分类!A:G,7,0)</f>
        <v>02</v>
      </c>
      <c r="B485" s="183" t="str">
        <f>VLOOKUP(F485,数据集标准分类!A:F,6,0)</f>
        <v>电子病历</v>
      </c>
      <c r="C485" s="183" t="str">
        <f>VLOOKUP(F485,数据集标准分类!A:E,5,0)</f>
        <v>0203</v>
      </c>
      <c r="D485" s="183" t="str">
        <f>VLOOKUP(F485,数据集标准分类!A:D,4,0)</f>
        <v>病程记录</v>
      </c>
      <c r="E485" s="183" t="str">
        <f>VLOOKUP(F485,数据集标准分类!A:C,3,0)</f>
        <v>020313</v>
      </c>
      <c r="F485" s="101" t="s">
        <v>1495</v>
      </c>
      <c r="G485" s="183" t="str">
        <f>VLOOKUP(F485,数据集标准分类!A:B,2,0)</f>
        <v>crusade_bleeding_score</v>
      </c>
      <c r="H485" s="294">
        <f>VLOOKUP(F485,数据集标准分类!A:H,8,0)</f>
        <v>22</v>
      </c>
      <c r="I485" s="170" t="s">
        <v>1496</v>
      </c>
      <c r="J485" s="170" t="s">
        <v>1497</v>
      </c>
      <c r="K485" s="170" t="s">
        <v>1498</v>
      </c>
      <c r="L485" s="170" t="s">
        <v>1499</v>
      </c>
      <c r="M485" s="170"/>
      <c r="N485" s="294">
        <v>1</v>
      </c>
      <c r="O485" s="170"/>
    </row>
    <row r="486" ht="15.75" customHeight="1" spans="1:15">
      <c r="A486" s="183" t="str">
        <f>VLOOKUP(F486,数据集标准分类!A:G,7,0)</f>
        <v>02</v>
      </c>
      <c r="B486" s="183" t="str">
        <f>VLOOKUP(F486,数据集标准分类!A:F,6,0)</f>
        <v>电子病历</v>
      </c>
      <c r="C486" s="183" t="str">
        <f>VLOOKUP(F486,数据集标准分类!A:E,5,0)</f>
        <v>0203</v>
      </c>
      <c r="D486" s="183" t="str">
        <f>VLOOKUP(F486,数据集标准分类!A:D,4,0)</f>
        <v>病程记录</v>
      </c>
      <c r="E486" s="183" t="str">
        <f>VLOOKUP(F486,数据集标准分类!A:C,3,0)</f>
        <v>020313</v>
      </c>
      <c r="F486" s="101" t="s">
        <v>1495</v>
      </c>
      <c r="G486" s="183" t="str">
        <f>VLOOKUP(F486,数据集标准分类!A:B,2,0)</f>
        <v>crusade_bleeding_score</v>
      </c>
      <c r="H486" s="294">
        <f>VLOOKUP(F486,数据集标准分类!A:H,8,0)</f>
        <v>22</v>
      </c>
      <c r="I486" s="170" t="s">
        <v>1500</v>
      </c>
      <c r="J486" s="170" t="s">
        <v>1501</v>
      </c>
      <c r="K486" s="170" t="s">
        <v>1502</v>
      </c>
      <c r="L486" s="170" t="s">
        <v>1503</v>
      </c>
      <c r="M486" s="170"/>
      <c r="N486" s="294">
        <v>2</v>
      </c>
      <c r="O486" s="170"/>
    </row>
    <row r="487" ht="15.75" customHeight="1" spans="1:15">
      <c r="A487" s="183" t="str">
        <f>VLOOKUP(F487,数据集标准分类!A:G,7,0)</f>
        <v>02</v>
      </c>
      <c r="B487" s="183" t="str">
        <f>VLOOKUP(F487,数据集标准分类!A:F,6,0)</f>
        <v>电子病历</v>
      </c>
      <c r="C487" s="183" t="str">
        <f>VLOOKUP(F487,数据集标准分类!A:E,5,0)</f>
        <v>0203</v>
      </c>
      <c r="D487" s="183" t="str">
        <f>VLOOKUP(F487,数据集标准分类!A:D,4,0)</f>
        <v>病程记录</v>
      </c>
      <c r="E487" s="183" t="str">
        <f>VLOOKUP(F487,数据集标准分类!A:C,3,0)</f>
        <v>020313</v>
      </c>
      <c r="F487" s="101" t="s">
        <v>1495</v>
      </c>
      <c r="G487" s="183" t="str">
        <f>VLOOKUP(F487,数据集标准分类!A:B,2,0)</f>
        <v>crusade_bleeding_score</v>
      </c>
      <c r="H487" s="294">
        <f>VLOOKUP(F487,数据集标准分类!A:H,8,0)</f>
        <v>22</v>
      </c>
      <c r="I487" s="170" t="s">
        <v>1504</v>
      </c>
      <c r="J487" s="170" t="s">
        <v>1505</v>
      </c>
      <c r="K487" s="170" t="s">
        <v>1506</v>
      </c>
      <c r="L487" s="170" t="s">
        <v>1507</v>
      </c>
      <c r="M487" s="170"/>
      <c r="N487" s="294">
        <v>3</v>
      </c>
      <c r="O487" s="170"/>
    </row>
    <row r="488" ht="15.75" customHeight="1" spans="1:15">
      <c r="A488" s="183" t="str">
        <f>VLOOKUP(F488,数据集标准分类!A:G,7,0)</f>
        <v>02</v>
      </c>
      <c r="B488" s="183" t="str">
        <f>VLOOKUP(F488,数据集标准分类!A:F,6,0)</f>
        <v>电子病历</v>
      </c>
      <c r="C488" s="183" t="str">
        <f>VLOOKUP(F488,数据集标准分类!A:E,5,0)</f>
        <v>0204</v>
      </c>
      <c r="D488" s="183" t="str">
        <f>VLOOKUP(F488,数据集标准分类!A:D,4,0)</f>
        <v>会诊记录</v>
      </c>
      <c r="E488" s="183" t="str">
        <f>VLOOKUP(F488,数据集标准分类!A:C,3,0)</f>
        <v>020401</v>
      </c>
      <c r="F488" s="170" t="s">
        <v>1508</v>
      </c>
      <c r="G488" s="183" t="str">
        <f>VLOOKUP(F488,数据集标准分类!A:B,2,0)</f>
        <v>consultation_record</v>
      </c>
      <c r="H488" s="294">
        <f>VLOOKUP(F488,数据集标准分类!A:H,8,0)</f>
        <v>23</v>
      </c>
      <c r="I488" s="170" t="s">
        <v>1509</v>
      </c>
      <c r="J488" s="170" t="s">
        <v>1510</v>
      </c>
      <c r="K488" s="170" t="s">
        <v>1511</v>
      </c>
      <c r="L488" s="170" t="s">
        <v>1512</v>
      </c>
      <c r="M488" s="170" t="s">
        <v>1513</v>
      </c>
      <c r="N488" s="294">
        <v>1</v>
      </c>
      <c r="O488" s="170"/>
    </row>
    <row r="489" ht="15.75" customHeight="1" spans="1:15">
      <c r="A489" s="183" t="str">
        <f>VLOOKUP(F489,数据集标准分类!A:G,7,0)</f>
        <v>02</v>
      </c>
      <c r="B489" s="183" t="str">
        <f>VLOOKUP(F489,数据集标准分类!A:F,6,0)</f>
        <v>电子病历</v>
      </c>
      <c r="C489" s="183" t="str">
        <f>VLOOKUP(F489,数据集标准分类!A:E,5,0)</f>
        <v>0204</v>
      </c>
      <c r="D489" s="183" t="str">
        <f>VLOOKUP(F489,数据集标准分类!A:D,4,0)</f>
        <v>会诊记录</v>
      </c>
      <c r="E489" s="183" t="str">
        <f>VLOOKUP(F489,数据集标准分类!A:C,3,0)</f>
        <v>020401</v>
      </c>
      <c r="F489" s="170" t="s">
        <v>1508</v>
      </c>
      <c r="G489" s="183" t="str">
        <f>VLOOKUP(F489,数据集标准分类!A:B,2,0)</f>
        <v>consultation_record</v>
      </c>
      <c r="H489" s="294">
        <f>VLOOKUP(F489,数据集标准分类!A:H,8,0)</f>
        <v>23</v>
      </c>
      <c r="I489" s="170" t="s">
        <v>779</v>
      </c>
      <c r="J489" s="170" t="s">
        <v>780</v>
      </c>
      <c r="K489" s="170" t="s">
        <v>781</v>
      </c>
      <c r="L489" s="170" t="s">
        <v>782</v>
      </c>
      <c r="M489" s="170" t="s">
        <v>783</v>
      </c>
      <c r="N489" s="294">
        <v>2</v>
      </c>
      <c r="O489" s="170"/>
    </row>
    <row r="490" ht="15.75" customHeight="1" spans="1:15">
      <c r="A490" s="183" t="str">
        <f>VLOOKUP(F490,数据集标准分类!A:G,7,0)</f>
        <v>02</v>
      </c>
      <c r="B490" s="183" t="str">
        <f>VLOOKUP(F490,数据集标准分类!A:F,6,0)</f>
        <v>电子病历</v>
      </c>
      <c r="C490" s="183" t="str">
        <f>VLOOKUP(F490,数据集标准分类!A:E,5,0)</f>
        <v>0204</v>
      </c>
      <c r="D490" s="183" t="str">
        <f>VLOOKUP(F490,数据集标准分类!A:D,4,0)</f>
        <v>会诊记录</v>
      </c>
      <c r="E490" s="183" t="str">
        <f>VLOOKUP(F490,数据集标准分类!A:C,3,0)</f>
        <v>020401</v>
      </c>
      <c r="F490" s="170" t="s">
        <v>1508</v>
      </c>
      <c r="G490" s="183" t="str">
        <f>VLOOKUP(F490,数据集标准分类!A:B,2,0)</f>
        <v>consultation_record</v>
      </c>
      <c r="H490" s="294">
        <f>VLOOKUP(F490,数据集标准分类!A:H,8,0)</f>
        <v>23</v>
      </c>
      <c r="I490" s="170" t="s">
        <v>784</v>
      </c>
      <c r="J490" s="170" t="s">
        <v>785</v>
      </c>
      <c r="K490" s="170" t="s">
        <v>786</v>
      </c>
      <c r="L490" s="170" t="s">
        <v>787</v>
      </c>
      <c r="M490" s="170" t="s">
        <v>788</v>
      </c>
      <c r="N490" s="294">
        <v>3</v>
      </c>
      <c r="O490" s="170"/>
    </row>
    <row r="491" ht="15.75" customHeight="1" spans="1:15">
      <c r="A491" s="183" t="str">
        <f>VLOOKUP(F491,数据集标准分类!A:G,7,0)</f>
        <v>02</v>
      </c>
      <c r="B491" s="183" t="str">
        <f>VLOOKUP(F491,数据集标准分类!A:F,6,0)</f>
        <v>电子病历</v>
      </c>
      <c r="C491" s="183" t="str">
        <f>VLOOKUP(F491,数据集标准分类!A:E,5,0)</f>
        <v>0204</v>
      </c>
      <c r="D491" s="183" t="str">
        <f>VLOOKUP(F491,数据集标准分类!A:D,4,0)</f>
        <v>会诊记录</v>
      </c>
      <c r="E491" s="183" t="str">
        <f>VLOOKUP(F491,数据集标准分类!A:C,3,0)</f>
        <v>020401</v>
      </c>
      <c r="F491" s="170" t="s">
        <v>1508</v>
      </c>
      <c r="G491" s="183" t="str">
        <f>VLOOKUP(F491,数据集标准分类!A:B,2,0)</f>
        <v>consultation_record</v>
      </c>
      <c r="H491" s="294">
        <f>VLOOKUP(F491,数据集标准分类!A:H,8,0)</f>
        <v>23</v>
      </c>
      <c r="I491" s="170" t="s">
        <v>1240</v>
      </c>
      <c r="J491" s="170" t="s">
        <v>1241</v>
      </c>
      <c r="K491" s="170" t="s">
        <v>1242</v>
      </c>
      <c r="L491" s="170" t="s">
        <v>1243</v>
      </c>
      <c r="M491" s="170" t="s">
        <v>1244</v>
      </c>
      <c r="N491" s="294">
        <v>4</v>
      </c>
      <c r="O491" s="170"/>
    </row>
    <row r="492" ht="15.75" customHeight="1" spans="1:15">
      <c r="A492" s="183" t="str">
        <f>VLOOKUP(F492,数据集标准分类!A:G,7,0)</f>
        <v>02</v>
      </c>
      <c r="B492" s="183" t="str">
        <f>VLOOKUP(F492,数据集标准分类!A:F,6,0)</f>
        <v>电子病历</v>
      </c>
      <c r="C492" s="183" t="str">
        <f>VLOOKUP(F492,数据集标准分类!A:E,5,0)</f>
        <v>0204</v>
      </c>
      <c r="D492" s="183" t="str">
        <f>VLOOKUP(F492,数据集标准分类!A:D,4,0)</f>
        <v>会诊记录</v>
      </c>
      <c r="E492" s="183" t="str">
        <f>VLOOKUP(F492,数据集标准分类!A:C,3,0)</f>
        <v>020401</v>
      </c>
      <c r="F492" s="170" t="s">
        <v>1508</v>
      </c>
      <c r="G492" s="183" t="str">
        <f>VLOOKUP(F492,数据集标准分类!A:B,2,0)</f>
        <v>consultation_record</v>
      </c>
      <c r="H492" s="294">
        <f>VLOOKUP(F492,数据集标准分类!A:H,8,0)</f>
        <v>23</v>
      </c>
      <c r="I492" s="170" t="s">
        <v>172</v>
      </c>
      <c r="J492" s="170" t="s">
        <v>173</v>
      </c>
      <c r="K492" s="170" t="s">
        <v>174</v>
      </c>
      <c r="L492" s="170" t="s">
        <v>175</v>
      </c>
      <c r="M492" s="170" t="s">
        <v>176</v>
      </c>
      <c r="N492" s="294">
        <v>5</v>
      </c>
      <c r="O492" s="170"/>
    </row>
    <row r="493" ht="15.75" customHeight="1" spans="1:15">
      <c r="A493" s="183" t="str">
        <f>VLOOKUP(F493,数据集标准分类!A:G,7,0)</f>
        <v>02</v>
      </c>
      <c r="B493" s="183" t="str">
        <f>VLOOKUP(F493,数据集标准分类!A:F,6,0)</f>
        <v>电子病历</v>
      </c>
      <c r="C493" s="183" t="str">
        <f>VLOOKUP(F493,数据集标准分类!A:E,5,0)</f>
        <v>0204</v>
      </c>
      <c r="D493" s="183" t="str">
        <f>VLOOKUP(F493,数据集标准分类!A:D,4,0)</f>
        <v>会诊记录</v>
      </c>
      <c r="E493" s="183" t="str">
        <f>VLOOKUP(F493,数据集标准分类!A:C,3,0)</f>
        <v>020401</v>
      </c>
      <c r="F493" s="170" t="s">
        <v>1508</v>
      </c>
      <c r="G493" s="183" t="str">
        <f>VLOOKUP(F493,数据集标准分类!A:B,2,0)</f>
        <v>consultation_record</v>
      </c>
      <c r="H493" s="294">
        <f>VLOOKUP(F493,数据集标准分类!A:H,8,0)</f>
        <v>23</v>
      </c>
      <c r="I493" s="170" t="s">
        <v>1514</v>
      </c>
      <c r="J493" s="170" t="s">
        <v>1515</v>
      </c>
      <c r="K493" s="170" t="s">
        <v>1516</v>
      </c>
      <c r="L493" s="170" t="s">
        <v>1517</v>
      </c>
      <c r="M493" s="170" t="s">
        <v>1518</v>
      </c>
      <c r="N493" s="294">
        <v>6</v>
      </c>
      <c r="O493" s="170"/>
    </row>
    <row r="494" ht="15.75" customHeight="1" spans="1:15">
      <c r="A494" s="183" t="str">
        <f>VLOOKUP(F494,数据集标准分类!A:G,7,0)</f>
        <v>02</v>
      </c>
      <c r="B494" s="183" t="str">
        <f>VLOOKUP(F494,数据集标准分类!A:F,6,0)</f>
        <v>电子病历</v>
      </c>
      <c r="C494" s="183" t="str">
        <f>VLOOKUP(F494,数据集标准分类!A:E,5,0)</f>
        <v>0204</v>
      </c>
      <c r="D494" s="183" t="str">
        <f>VLOOKUP(F494,数据集标准分类!A:D,4,0)</f>
        <v>会诊记录</v>
      </c>
      <c r="E494" s="183" t="str">
        <f>VLOOKUP(F494,数据集标准分类!A:C,3,0)</f>
        <v>020401</v>
      </c>
      <c r="F494" s="170" t="s">
        <v>1508</v>
      </c>
      <c r="G494" s="183" t="str">
        <f>VLOOKUP(F494,数据集标准分类!A:B,2,0)</f>
        <v>consultation_record</v>
      </c>
      <c r="H494" s="294">
        <f>VLOOKUP(F494,数据集标准分类!A:H,8,0)</f>
        <v>23</v>
      </c>
      <c r="I494" s="170" t="s">
        <v>177</v>
      </c>
      <c r="J494" s="170" t="s">
        <v>178</v>
      </c>
      <c r="K494" s="170" t="s">
        <v>179</v>
      </c>
      <c r="L494" s="170" t="s">
        <v>180</v>
      </c>
      <c r="M494" s="170" t="s">
        <v>181</v>
      </c>
      <c r="N494" s="294">
        <v>7</v>
      </c>
      <c r="O494" s="170"/>
    </row>
    <row r="495" ht="15.75" customHeight="1" spans="1:15">
      <c r="A495" s="183" t="str">
        <f>VLOOKUP(F495,数据集标准分类!A:G,7,0)</f>
        <v>02</v>
      </c>
      <c r="B495" s="183" t="str">
        <f>VLOOKUP(F495,数据集标准分类!A:F,6,0)</f>
        <v>电子病历</v>
      </c>
      <c r="C495" s="183" t="str">
        <f>VLOOKUP(F495,数据集标准分类!A:E,5,0)</f>
        <v>0204</v>
      </c>
      <c r="D495" s="183" t="str">
        <f>VLOOKUP(F495,数据集标准分类!A:D,4,0)</f>
        <v>会诊记录</v>
      </c>
      <c r="E495" s="183" t="str">
        <f>VLOOKUP(F495,数据集标准分类!A:C,3,0)</f>
        <v>020401</v>
      </c>
      <c r="F495" s="170" t="s">
        <v>1508</v>
      </c>
      <c r="G495" s="183" t="str">
        <f>VLOOKUP(F495,数据集标准分类!A:B,2,0)</f>
        <v>consultation_record</v>
      </c>
      <c r="H495" s="294">
        <f>VLOOKUP(F495,数据集标准分类!A:H,8,0)</f>
        <v>23</v>
      </c>
      <c r="I495" s="170" t="s">
        <v>1519</v>
      </c>
      <c r="J495" s="170" t="s">
        <v>1520</v>
      </c>
      <c r="K495" s="170" t="s">
        <v>1521</v>
      </c>
      <c r="L495" s="170" t="s">
        <v>1522</v>
      </c>
      <c r="M495" s="170" t="s">
        <v>1523</v>
      </c>
      <c r="N495" s="294">
        <v>8</v>
      </c>
      <c r="O495" s="170"/>
    </row>
    <row r="496" ht="15.75" customHeight="1" spans="1:15">
      <c r="A496" s="183" t="str">
        <f>VLOOKUP(F496,数据集标准分类!A:G,7,0)</f>
        <v>02</v>
      </c>
      <c r="B496" s="183" t="str">
        <f>VLOOKUP(F496,数据集标准分类!A:F,6,0)</f>
        <v>电子病历</v>
      </c>
      <c r="C496" s="183" t="str">
        <f>VLOOKUP(F496,数据集标准分类!A:E,5,0)</f>
        <v>0204</v>
      </c>
      <c r="D496" s="183" t="str">
        <f>VLOOKUP(F496,数据集标准分类!A:D,4,0)</f>
        <v>会诊记录</v>
      </c>
      <c r="E496" s="183" t="str">
        <f>VLOOKUP(F496,数据集标准分类!A:C,3,0)</f>
        <v>020401</v>
      </c>
      <c r="F496" s="170" t="s">
        <v>1508</v>
      </c>
      <c r="G496" s="183" t="str">
        <f>VLOOKUP(F496,数据集标准分类!A:B,2,0)</f>
        <v>consultation_record</v>
      </c>
      <c r="H496" s="294">
        <f>VLOOKUP(F496,数据集标准分类!A:H,8,0)</f>
        <v>23</v>
      </c>
      <c r="I496" s="170" t="s">
        <v>182</v>
      </c>
      <c r="J496" s="170" t="s">
        <v>183</v>
      </c>
      <c r="K496" s="170" t="s">
        <v>184</v>
      </c>
      <c r="L496" s="170" t="s">
        <v>185</v>
      </c>
      <c r="M496" s="170" t="s">
        <v>186</v>
      </c>
      <c r="N496" s="294">
        <v>9</v>
      </c>
      <c r="O496" s="170"/>
    </row>
    <row r="497" ht="15.75" customHeight="1" spans="1:15">
      <c r="A497" s="183" t="str">
        <f>VLOOKUP(F497,数据集标准分类!A:G,7,0)</f>
        <v>02</v>
      </c>
      <c r="B497" s="183" t="str">
        <f>VLOOKUP(F497,数据集标准分类!A:F,6,0)</f>
        <v>电子病历</v>
      </c>
      <c r="C497" s="183" t="str">
        <f>VLOOKUP(F497,数据集标准分类!A:E,5,0)</f>
        <v>0204</v>
      </c>
      <c r="D497" s="183" t="str">
        <f>VLOOKUP(F497,数据集标准分类!A:D,4,0)</f>
        <v>会诊记录</v>
      </c>
      <c r="E497" s="183" t="str">
        <f>VLOOKUP(F497,数据集标准分类!A:C,3,0)</f>
        <v>020401</v>
      </c>
      <c r="F497" s="170" t="s">
        <v>1508</v>
      </c>
      <c r="G497" s="183" t="str">
        <f>VLOOKUP(F497,数据集标准分类!A:B,2,0)</f>
        <v>consultation_record</v>
      </c>
      <c r="H497" s="294">
        <f>VLOOKUP(F497,数据集标准分类!A:H,8,0)</f>
        <v>23</v>
      </c>
      <c r="I497" s="170" t="s">
        <v>789</v>
      </c>
      <c r="J497" s="170" t="s">
        <v>790</v>
      </c>
      <c r="K497" s="170" t="s">
        <v>790</v>
      </c>
      <c r="L497" s="170" t="s">
        <v>791</v>
      </c>
      <c r="M497" s="170" t="s">
        <v>792</v>
      </c>
      <c r="N497" s="294">
        <v>10</v>
      </c>
      <c r="O497" s="170"/>
    </row>
    <row r="498" ht="15.75" customHeight="1" spans="1:15">
      <c r="A498" s="183" t="str">
        <f>VLOOKUP(F498,数据集标准分类!A:G,7,0)</f>
        <v>02</v>
      </c>
      <c r="B498" s="183" t="str">
        <f>VLOOKUP(F498,数据集标准分类!A:F,6,0)</f>
        <v>电子病历</v>
      </c>
      <c r="C498" s="183" t="str">
        <f>VLOOKUP(F498,数据集标准分类!A:E,5,0)</f>
        <v>0204</v>
      </c>
      <c r="D498" s="183" t="str">
        <f>VLOOKUP(F498,数据集标准分类!A:D,4,0)</f>
        <v>会诊记录</v>
      </c>
      <c r="E498" s="183" t="str">
        <f>VLOOKUP(F498,数据集标准分类!A:C,3,0)</f>
        <v>020401</v>
      </c>
      <c r="F498" s="170" t="s">
        <v>1508</v>
      </c>
      <c r="G498" s="183" t="str">
        <f>VLOOKUP(F498,数据集标准分类!A:B,2,0)</f>
        <v>consultation_record</v>
      </c>
      <c r="H498" s="294">
        <f>VLOOKUP(F498,数据集标准分类!A:H,8,0)</f>
        <v>23</v>
      </c>
      <c r="I498" s="170" t="s">
        <v>1524</v>
      </c>
      <c r="J498" s="170" t="s">
        <v>1525</v>
      </c>
      <c r="K498" s="170" t="s">
        <v>1526</v>
      </c>
      <c r="L498" s="170" t="s">
        <v>1527</v>
      </c>
      <c r="M498" s="170" t="s">
        <v>1528</v>
      </c>
      <c r="N498" s="294">
        <v>11</v>
      </c>
      <c r="O498" s="170"/>
    </row>
    <row r="499" ht="15.75" customHeight="1" spans="1:15">
      <c r="A499" s="183" t="str">
        <f>VLOOKUP(F499,数据集标准分类!A:G,7,0)</f>
        <v>02</v>
      </c>
      <c r="B499" s="183" t="str">
        <f>VLOOKUP(F499,数据集标准分类!A:F,6,0)</f>
        <v>电子病历</v>
      </c>
      <c r="C499" s="183" t="str">
        <f>VLOOKUP(F499,数据集标准分类!A:E,5,0)</f>
        <v>0204</v>
      </c>
      <c r="D499" s="183" t="str">
        <f>VLOOKUP(F499,数据集标准分类!A:D,4,0)</f>
        <v>会诊记录</v>
      </c>
      <c r="E499" s="183" t="str">
        <f>VLOOKUP(F499,数据集标准分类!A:C,3,0)</f>
        <v>020401</v>
      </c>
      <c r="F499" s="170" t="s">
        <v>1508</v>
      </c>
      <c r="G499" s="183" t="str">
        <f>VLOOKUP(F499,数据集标准分类!A:B,2,0)</f>
        <v>consultation_record</v>
      </c>
      <c r="H499" s="294">
        <f>VLOOKUP(F499,数据集标准分类!A:H,8,0)</f>
        <v>23</v>
      </c>
      <c r="I499" s="170" t="s">
        <v>966</v>
      </c>
      <c r="J499" s="170" t="s">
        <v>967</v>
      </c>
      <c r="K499" s="170" t="s">
        <v>968</v>
      </c>
      <c r="L499" s="170" t="s">
        <v>969</v>
      </c>
      <c r="M499" s="170" t="s">
        <v>970</v>
      </c>
      <c r="N499" s="294">
        <v>12</v>
      </c>
      <c r="O499" s="170"/>
    </row>
    <row r="500" ht="15.75" customHeight="1" spans="1:15">
      <c r="A500" s="183" t="str">
        <f>VLOOKUP(F500,数据集标准分类!A:G,7,0)</f>
        <v>02</v>
      </c>
      <c r="B500" s="183" t="str">
        <f>VLOOKUP(F500,数据集标准分类!A:F,6,0)</f>
        <v>电子病历</v>
      </c>
      <c r="C500" s="183" t="str">
        <f>VLOOKUP(F500,数据集标准分类!A:E,5,0)</f>
        <v>0204</v>
      </c>
      <c r="D500" s="183" t="str">
        <f>VLOOKUP(F500,数据集标准分类!A:D,4,0)</f>
        <v>会诊记录</v>
      </c>
      <c r="E500" s="183" t="str">
        <f>VLOOKUP(F500,数据集标准分类!A:C,3,0)</f>
        <v>020401</v>
      </c>
      <c r="F500" s="170" t="s">
        <v>1508</v>
      </c>
      <c r="G500" s="183" t="str">
        <f>VLOOKUP(F500,数据集标准分类!A:B,2,0)</f>
        <v>consultation_record</v>
      </c>
      <c r="H500" s="294">
        <f>VLOOKUP(F500,数据集标准分类!A:H,8,0)</f>
        <v>23</v>
      </c>
      <c r="I500" s="170" t="s">
        <v>1529</v>
      </c>
      <c r="J500" s="170" t="s">
        <v>1530</v>
      </c>
      <c r="K500" s="170" t="s">
        <v>1531</v>
      </c>
      <c r="L500" s="170" t="s">
        <v>1532</v>
      </c>
      <c r="M500" s="170" t="s">
        <v>1533</v>
      </c>
      <c r="N500" s="294">
        <v>13</v>
      </c>
      <c r="O500" s="170"/>
    </row>
    <row r="501" ht="15.75" customHeight="1" spans="1:15">
      <c r="A501" s="183" t="str">
        <f>VLOOKUP(F501,数据集标准分类!A:G,7,0)</f>
        <v>02</v>
      </c>
      <c r="B501" s="183" t="str">
        <f>VLOOKUP(F501,数据集标准分类!A:F,6,0)</f>
        <v>电子病历</v>
      </c>
      <c r="C501" s="183" t="str">
        <f>VLOOKUP(F501,数据集标准分类!A:E,5,0)</f>
        <v>0204</v>
      </c>
      <c r="D501" s="183" t="str">
        <f>VLOOKUP(F501,数据集标准分类!A:D,4,0)</f>
        <v>会诊记录</v>
      </c>
      <c r="E501" s="183" t="str">
        <f>VLOOKUP(F501,数据集标准分类!A:C,3,0)</f>
        <v>020401</v>
      </c>
      <c r="F501" s="170" t="s">
        <v>1508</v>
      </c>
      <c r="G501" s="183" t="str">
        <f>VLOOKUP(F501,数据集标准分类!A:B,2,0)</f>
        <v>consultation_record</v>
      </c>
      <c r="H501" s="294">
        <f>VLOOKUP(F501,数据集标准分类!A:H,8,0)</f>
        <v>23</v>
      </c>
      <c r="I501" s="170" t="s">
        <v>1534</v>
      </c>
      <c r="J501" s="170" t="s">
        <v>1535</v>
      </c>
      <c r="K501" s="170" t="s">
        <v>1536</v>
      </c>
      <c r="L501" s="170" t="s">
        <v>1537</v>
      </c>
      <c r="M501" s="170" t="s">
        <v>1538</v>
      </c>
      <c r="N501" s="294">
        <v>14</v>
      </c>
      <c r="O501" s="170"/>
    </row>
    <row r="502" ht="15.75" customHeight="1" spans="1:15">
      <c r="A502" s="183" t="str">
        <f>VLOOKUP(F502,数据集标准分类!A:G,7,0)</f>
        <v>02</v>
      </c>
      <c r="B502" s="183" t="str">
        <f>VLOOKUP(F502,数据集标准分类!A:F,6,0)</f>
        <v>电子病历</v>
      </c>
      <c r="C502" s="183" t="str">
        <f>VLOOKUP(F502,数据集标准分类!A:E,5,0)</f>
        <v>0204</v>
      </c>
      <c r="D502" s="183" t="str">
        <f>VLOOKUP(F502,数据集标准分类!A:D,4,0)</f>
        <v>会诊记录</v>
      </c>
      <c r="E502" s="183" t="str">
        <f>VLOOKUP(F502,数据集标准分类!A:C,3,0)</f>
        <v>020401</v>
      </c>
      <c r="F502" s="170" t="s">
        <v>1508</v>
      </c>
      <c r="G502" s="183" t="str">
        <f>VLOOKUP(F502,数据集标准分类!A:B,2,0)</f>
        <v>consultation_record</v>
      </c>
      <c r="H502" s="294">
        <f>VLOOKUP(F502,数据集标准分类!A:H,8,0)</f>
        <v>23</v>
      </c>
      <c r="I502" s="170" t="s">
        <v>1539</v>
      </c>
      <c r="J502" s="170" t="s">
        <v>1540</v>
      </c>
      <c r="K502" s="170" t="s">
        <v>1541</v>
      </c>
      <c r="L502" s="170" t="s">
        <v>1542</v>
      </c>
      <c r="M502" s="170" t="s">
        <v>1543</v>
      </c>
      <c r="N502" s="294">
        <v>15</v>
      </c>
      <c r="O502" s="170"/>
    </row>
    <row r="503" ht="15.75" customHeight="1" spans="1:15">
      <c r="A503" s="183" t="str">
        <f>VLOOKUP(F503,数据集标准分类!A:G,7,0)</f>
        <v>02</v>
      </c>
      <c r="B503" s="183" t="str">
        <f>VLOOKUP(F503,数据集标准分类!A:F,6,0)</f>
        <v>电子病历</v>
      </c>
      <c r="C503" s="183" t="str">
        <f>VLOOKUP(F503,数据集标准分类!A:E,5,0)</f>
        <v>0204</v>
      </c>
      <c r="D503" s="183" t="str">
        <f>VLOOKUP(F503,数据集标准分类!A:D,4,0)</f>
        <v>会诊记录</v>
      </c>
      <c r="E503" s="183" t="str">
        <f>VLOOKUP(F503,数据集标准分类!A:C,3,0)</f>
        <v>020401</v>
      </c>
      <c r="F503" s="170" t="s">
        <v>1508</v>
      </c>
      <c r="G503" s="183" t="str">
        <f>VLOOKUP(F503,数据集标准分类!A:B,2,0)</f>
        <v>consultation_record</v>
      </c>
      <c r="H503" s="294">
        <f>VLOOKUP(F503,数据集标准分类!A:H,8,0)</f>
        <v>23</v>
      </c>
      <c r="I503" s="170" t="s">
        <v>1544</v>
      </c>
      <c r="J503" s="170" t="s">
        <v>1545</v>
      </c>
      <c r="K503" s="170" t="s">
        <v>1546</v>
      </c>
      <c r="L503" s="170" t="s">
        <v>1547</v>
      </c>
      <c r="M503" s="170" t="s">
        <v>1548</v>
      </c>
      <c r="N503" s="294">
        <v>16</v>
      </c>
      <c r="O503" s="170"/>
    </row>
    <row r="504" ht="15.75" customHeight="1" spans="1:15">
      <c r="A504" s="183" t="str">
        <f>VLOOKUP(F504,数据集标准分类!A:G,7,0)</f>
        <v>02</v>
      </c>
      <c r="B504" s="183" t="str">
        <f>VLOOKUP(F504,数据集标准分类!A:F,6,0)</f>
        <v>电子病历</v>
      </c>
      <c r="C504" s="183" t="str">
        <f>VLOOKUP(F504,数据集标准分类!A:E,5,0)</f>
        <v>0204</v>
      </c>
      <c r="D504" s="183" t="str">
        <f>VLOOKUP(F504,数据集标准分类!A:D,4,0)</f>
        <v>会诊记录</v>
      </c>
      <c r="E504" s="183" t="str">
        <f>VLOOKUP(F504,数据集标准分类!A:C,3,0)</f>
        <v>020401</v>
      </c>
      <c r="F504" s="170" t="s">
        <v>1508</v>
      </c>
      <c r="G504" s="183" t="str">
        <f>VLOOKUP(F504,数据集标准分类!A:B,2,0)</f>
        <v>consultation_record</v>
      </c>
      <c r="H504" s="294">
        <f>VLOOKUP(F504,数据集标准分类!A:H,8,0)</f>
        <v>23</v>
      </c>
      <c r="I504" s="170" t="s">
        <v>1549</v>
      </c>
      <c r="J504" s="170" t="s">
        <v>1550</v>
      </c>
      <c r="K504" s="170" t="s">
        <v>1551</v>
      </c>
      <c r="L504" s="170" t="s">
        <v>1552</v>
      </c>
      <c r="M504" s="170" t="s">
        <v>1553</v>
      </c>
      <c r="N504" s="294">
        <v>17</v>
      </c>
      <c r="O504" s="170"/>
    </row>
    <row r="505" ht="15.75" customHeight="1" spans="1:15">
      <c r="A505" s="183" t="str">
        <f>VLOOKUP(F505,数据集标准分类!A:G,7,0)</f>
        <v>02</v>
      </c>
      <c r="B505" s="183" t="str">
        <f>VLOOKUP(F505,数据集标准分类!A:F,6,0)</f>
        <v>电子病历</v>
      </c>
      <c r="C505" s="183" t="str">
        <f>VLOOKUP(F505,数据集标准分类!A:E,5,0)</f>
        <v>0204</v>
      </c>
      <c r="D505" s="183" t="str">
        <f>VLOOKUP(F505,数据集标准分类!A:D,4,0)</f>
        <v>会诊记录</v>
      </c>
      <c r="E505" s="183" t="str">
        <f>VLOOKUP(F505,数据集标准分类!A:C,3,0)</f>
        <v>020401</v>
      </c>
      <c r="F505" s="170" t="s">
        <v>1508</v>
      </c>
      <c r="G505" s="183" t="str">
        <f>VLOOKUP(F505,数据集标准分类!A:B,2,0)</f>
        <v>consultation_record</v>
      </c>
      <c r="H505" s="294">
        <f>VLOOKUP(F505,数据集标准分类!A:H,8,0)</f>
        <v>23</v>
      </c>
      <c r="I505" s="170" t="s">
        <v>1115</v>
      </c>
      <c r="J505" s="170" t="s">
        <v>1116</v>
      </c>
      <c r="K505" s="170" t="s">
        <v>1117</v>
      </c>
      <c r="L505" s="170" t="s">
        <v>1118</v>
      </c>
      <c r="M505" s="170" t="s">
        <v>1554</v>
      </c>
      <c r="N505" s="294">
        <v>18</v>
      </c>
      <c r="O505" s="170"/>
    </row>
    <row r="506" ht="15.75" customHeight="1" spans="1:15">
      <c r="A506" s="183" t="str">
        <f>VLOOKUP(F506,数据集标准分类!A:G,7,0)</f>
        <v>02</v>
      </c>
      <c r="B506" s="183" t="str">
        <f>VLOOKUP(F506,数据集标准分类!A:F,6,0)</f>
        <v>电子病历</v>
      </c>
      <c r="C506" s="183" t="str">
        <f>VLOOKUP(F506,数据集标准分类!A:E,5,0)</f>
        <v>0204</v>
      </c>
      <c r="D506" s="183" t="str">
        <f>VLOOKUP(F506,数据集标准分类!A:D,4,0)</f>
        <v>会诊记录</v>
      </c>
      <c r="E506" s="183" t="str">
        <f>VLOOKUP(F506,数据集标准分类!A:C,3,0)</f>
        <v>020401</v>
      </c>
      <c r="F506" s="170" t="s">
        <v>1508</v>
      </c>
      <c r="G506" s="183" t="str">
        <f>VLOOKUP(F506,数据集标准分类!A:B,2,0)</f>
        <v>consultation_record</v>
      </c>
      <c r="H506" s="294">
        <f>VLOOKUP(F506,数据集标准分类!A:H,8,0)</f>
        <v>23</v>
      </c>
      <c r="I506" s="170" t="s">
        <v>1418</v>
      </c>
      <c r="J506" s="170" t="s">
        <v>1419</v>
      </c>
      <c r="K506" s="170" t="s">
        <v>1420</v>
      </c>
      <c r="L506" s="170" t="s">
        <v>1421</v>
      </c>
      <c r="M506" s="170" t="s">
        <v>1555</v>
      </c>
      <c r="N506" s="294">
        <v>19</v>
      </c>
      <c r="O506" s="170"/>
    </row>
    <row r="507" ht="15.75" customHeight="1" spans="1:15">
      <c r="A507" s="183" t="str">
        <f>VLOOKUP(F507,数据集标准分类!A:G,7,0)</f>
        <v>02</v>
      </c>
      <c r="B507" s="183" t="str">
        <f>VLOOKUP(F507,数据集标准分类!A:F,6,0)</f>
        <v>电子病历</v>
      </c>
      <c r="C507" s="183" t="str">
        <f>VLOOKUP(F507,数据集标准分类!A:E,5,0)</f>
        <v>0204</v>
      </c>
      <c r="D507" s="183" t="str">
        <f>VLOOKUP(F507,数据集标准分类!A:D,4,0)</f>
        <v>会诊记录</v>
      </c>
      <c r="E507" s="183" t="str">
        <f>VLOOKUP(F507,数据集标准分类!A:C,3,0)</f>
        <v>020401</v>
      </c>
      <c r="F507" s="170" t="s">
        <v>1508</v>
      </c>
      <c r="G507" s="183" t="str">
        <f>VLOOKUP(F507,数据集标准分类!A:B,2,0)</f>
        <v>consultation_record</v>
      </c>
      <c r="H507" s="294">
        <f>VLOOKUP(F507,数据集标准分类!A:H,8,0)</f>
        <v>23</v>
      </c>
      <c r="I507" s="170" t="s">
        <v>1556</v>
      </c>
      <c r="J507" s="170" t="s">
        <v>1557</v>
      </c>
      <c r="K507" s="170" t="s">
        <v>1558</v>
      </c>
      <c r="L507" s="170" t="s">
        <v>1559</v>
      </c>
      <c r="M507" s="170" t="s">
        <v>1559</v>
      </c>
      <c r="N507" s="294">
        <v>20</v>
      </c>
      <c r="O507" s="170"/>
    </row>
    <row r="508" ht="15.75" customHeight="1" spans="1:15">
      <c r="A508" s="183" t="str">
        <f>VLOOKUP(F508,数据集标准分类!A:G,7,0)</f>
        <v>02</v>
      </c>
      <c r="B508" s="183" t="str">
        <f>VLOOKUP(F508,数据集标准分类!A:F,6,0)</f>
        <v>电子病历</v>
      </c>
      <c r="C508" s="183" t="str">
        <f>VLOOKUP(F508,数据集标准分类!A:E,5,0)</f>
        <v>0205</v>
      </c>
      <c r="D508" s="183" t="str">
        <f>VLOOKUP(F508,数据集标准分类!A:D,4,0)</f>
        <v>出院记录</v>
      </c>
      <c r="E508" s="183" t="str">
        <f>VLOOKUP(F508,数据集标准分类!A:C,3,0)</f>
        <v>020501</v>
      </c>
      <c r="F508" s="170" t="s">
        <v>1560</v>
      </c>
      <c r="G508" s="183" t="str">
        <f>VLOOKUP(F508,数据集标准分类!A:B,2,0)</f>
        <v>discharge_record</v>
      </c>
      <c r="H508" s="294">
        <f>VLOOKUP(F508,数据集标准分类!A:H,8,0)</f>
        <v>24</v>
      </c>
      <c r="I508" s="170" t="s">
        <v>152</v>
      </c>
      <c r="J508" s="170" t="s">
        <v>153</v>
      </c>
      <c r="K508" s="170" t="s">
        <v>154</v>
      </c>
      <c r="L508" s="170" t="s">
        <v>155</v>
      </c>
      <c r="M508" s="170" t="s">
        <v>156</v>
      </c>
      <c r="N508" s="294">
        <v>1</v>
      </c>
      <c r="O508" s="170"/>
    </row>
    <row r="509" ht="15.75" customHeight="1" spans="1:15">
      <c r="A509" s="183" t="str">
        <f>VLOOKUP(F509,数据集标准分类!A:G,7,0)</f>
        <v>02</v>
      </c>
      <c r="B509" s="183" t="str">
        <f>VLOOKUP(F509,数据集标准分类!A:F,6,0)</f>
        <v>电子病历</v>
      </c>
      <c r="C509" s="183" t="str">
        <f>VLOOKUP(F509,数据集标准分类!A:E,5,0)</f>
        <v>0205</v>
      </c>
      <c r="D509" s="183" t="str">
        <f>VLOOKUP(F509,数据集标准分类!A:D,4,0)</f>
        <v>出院记录</v>
      </c>
      <c r="E509" s="183" t="str">
        <f>VLOOKUP(F509,数据集标准分类!A:C,3,0)</f>
        <v>020501</v>
      </c>
      <c r="F509" s="170" t="s">
        <v>1560</v>
      </c>
      <c r="G509" s="183" t="str">
        <f>VLOOKUP(F509,数据集标准分类!A:B,2,0)</f>
        <v>discharge_record</v>
      </c>
      <c r="H509" s="294">
        <f>VLOOKUP(F509,数据集标准分类!A:H,8,0)</f>
        <v>24</v>
      </c>
      <c r="I509" s="170" t="s">
        <v>924</v>
      </c>
      <c r="J509" s="170" t="s">
        <v>925</v>
      </c>
      <c r="K509" s="170" t="s">
        <v>926</v>
      </c>
      <c r="L509" s="170" t="s">
        <v>927</v>
      </c>
      <c r="M509" s="170" t="s">
        <v>928</v>
      </c>
      <c r="N509" s="294">
        <v>2</v>
      </c>
      <c r="O509" s="170"/>
    </row>
    <row r="510" ht="15.75" customHeight="1" spans="1:15">
      <c r="A510" s="183" t="str">
        <f>VLOOKUP(F510,数据集标准分类!A:G,7,0)</f>
        <v>02</v>
      </c>
      <c r="B510" s="183" t="str">
        <f>VLOOKUP(F510,数据集标准分类!A:F,6,0)</f>
        <v>电子病历</v>
      </c>
      <c r="C510" s="183" t="str">
        <f>VLOOKUP(F510,数据集标准分类!A:E,5,0)</f>
        <v>0205</v>
      </c>
      <c r="D510" s="183" t="str">
        <f>VLOOKUP(F510,数据集标准分类!A:D,4,0)</f>
        <v>出院记录</v>
      </c>
      <c r="E510" s="183" t="str">
        <f>VLOOKUP(F510,数据集标准分类!A:C,3,0)</f>
        <v>020501</v>
      </c>
      <c r="F510" s="170" t="s">
        <v>1560</v>
      </c>
      <c r="G510" s="183" t="str">
        <f>VLOOKUP(F510,数据集标准分类!A:B,2,0)</f>
        <v>discharge_record</v>
      </c>
      <c r="H510" s="294">
        <f>VLOOKUP(F510,数据集标准分类!A:H,8,0)</f>
        <v>24</v>
      </c>
      <c r="I510" s="170" t="s">
        <v>943</v>
      </c>
      <c r="J510" s="170" t="s">
        <v>944</v>
      </c>
      <c r="K510" s="170" t="s">
        <v>945</v>
      </c>
      <c r="L510" s="170" t="s">
        <v>946</v>
      </c>
      <c r="M510" s="170" t="s">
        <v>1561</v>
      </c>
      <c r="N510" s="294">
        <v>3</v>
      </c>
      <c r="O510" s="170"/>
    </row>
    <row r="511" ht="15.75" customHeight="1" spans="1:15">
      <c r="A511" s="183" t="str">
        <f>VLOOKUP(F511,数据集标准分类!A:G,7,0)</f>
        <v>02</v>
      </c>
      <c r="B511" s="183" t="str">
        <f>VLOOKUP(F511,数据集标准分类!A:F,6,0)</f>
        <v>电子病历</v>
      </c>
      <c r="C511" s="183" t="str">
        <f>VLOOKUP(F511,数据集标准分类!A:E,5,0)</f>
        <v>0205</v>
      </c>
      <c r="D511" s="183" t="str">
        <f>VLOOKUP(F511,数据集标准分类!A:D,4,0)</f>
        <v>出院记录</v>
      </c>
      <c r="E511" s="183" t="str">
        <f>VLOOKUP(F511,数据集标准分类!A:C,3,0)</f>
        <v>020501</v>
      </c>
      <c r="F511" s="170" t="s">
        <v>1560</v>
      </c>
      <c r="G511" s="183" t="str">
        <f>VLOOKUP(F511,数据集标准分类!A:B,2,0)</f>
        <v>discharge_record</v>
      </c>
      <c r="H511" s="294">
        <f>VLOOKUP(F511,数据集标准分类!A:H,8,0)</f>
        <v>24</v>
      </c>
      <c r="I511" s="170" t="s">
        <v>779</v>
      </c>
      <c r="J511" s="170" t="s">
        <v>780</v>
      </c>
      <c r="K511" s="170" t="s">
        <v>781</v>
      </c>
      <c r="L511" s="170" t="s">
        <v>782</v>
      </c>
      <c r="M511" s="170" t="s">
        <v>1562</v>
      </c>
      <c r="N511" s="294">
        <v>4</v>
      </c>
      <c r="O511" s="170"/>
    </row>
    <row r="512" ht="15.75" customHeight="1" spans="1:15">
      <c r="A512" s="183" t="str">
        <f>VLOOKUP(F512,数据集标准分类!A:G,7,0)</f>
        <v>02</v>
      </c>
      <c r="B512" s="183" t="str">
        <f>VLOOKUP(F512,数据集标准分类!A:F,6,0)</f>
        <v>电子病历</v>
      </c>
      <c r="C512" s="183" t="str">
        <f>VLOOKUP(F512,数据集标准分类!A:E,5,0)</f>
        <v>0205</v>
      </c>
      <c r="D512" s="183" t="str">
        <f>VLOOKUP(F512,数据集标准分类!A:D,4,0)</f>
        <v>出院记录</v>
      </c>
      <c r="E512" s="183" t="str">
        <f>VLOOKUP(F512,数据集标准分类!A:C,3,0)</f>
        <v>020501</v>
      </c>
      <c r="F512" s="170" t="s">
        <v>1560</v>
      </c>
      <c r="G512" s="183" t="str">
        <f>VLOOKUP(F512,数据集标准分类!A:B,2,0)</f>
        <v>discharge_record</v>
      </c>
      <c r="H512" s="294">
        <f>VLOOKUP(F512,数据集标准分类!A:H,8,0)</f>
        <v>24</v>
      </c>
      <c r="I512" s="170" t="s">
        <v>803</v>
      </c>
      <c r="J512" s="170" t="s">
        <v>804</v>
      </c>
      <c r="K512" s="170" t="s">
        <v>805</v>
      </c>
      <c r="L512" s="170" t="s">
        <v>806</v>
      </c>
      <c r="M512" s="170" t="s">
        <v>788</v>
      </c>
      <c r="N512" s="294">
        <v>5</v>
      </c>
      <c r="O512" s="170"/>
    </row>
    <row r="513" ht="15.75" customHeight="1" spans="1:15">
      <c r="A513" s="183" t="str">
        <f>VLOOKUP(F513,数据集标准分类!A:G,7,0)</f>
        <v>02</v>
      </c>
      <c r="B513" s="183" t="str">
        <f>VLOOKUP(F513,数据集标准分类!A:F,6,0)</f>
        <v>电子病历</v>
      </c>
      <c r="C513" s="183" t="str">
        <f>VLOOKUP(F513,数据集标准分类!A:E,5,0)</f>
        <v>0205</v>
      </c>
      <c r="D513" s="183" t="str">
        <f>VLOOKUP(F513,数据集标准分类!A:D,4,0)</f>
        <v>出院记录</v>
      </c>
      <c r="E513" s="183" t="str">
        <f>VLOOKUP(F513,数据集标准分类!A:C,3,0)</f>
        <v>020501</v>
      </c>
      <c r="F513" s="170" t="s">
        <v>1560</v>
      </c>
      <c r="G513" s="183" t="str">
        <f>VLOOKUP(F513,数据集标准分类!A:B,2,0)</f>
        <v>discharge_record</v>
      </c>
      <c r="H513" s="294">
        <f>VLOOKUP(F513,数据集标准分类!A:H,8,0)</f>
        <v>24</v>
      </c>
      <c r="I513" s="170" t="s">
        <v>1092</v>
      </c>
      <c r="J513" s="170" t="s">
        <v>1093</v>
      </c>
      <c r="K513" s="170" t="s">
        <v>1094</v>
      </c>
      <c r="L513" s="170" t="s">
        <v>1095</v>
      </c>
      <c r="M513" s="170" t="s">
        <v>792</v>
      </c>
      <c r="N513" s="294">
        <v>6</v>
      </c>
      <c r="O513" s="170"/>
    </row>
    <row r="514" ht="15.75" customHeight="1" spans="1:15">
      <c r="A514" s="183" t="str">
        <f>VLOOKUP(F514,数据集标准分类!A:G,7,0)</f>
        <v>02</v>
      </c>
      <c r="B514" s="183" t="str">
        <f>VLOOKUP(F514,数据集标准分类!A:F,6,0)</f>
        <v>电子病历</v>
      </c>
      <c r="C514" s="183" t="str">
        <f>VLOOKUP(F514,数据集标准分类!A:E,5,0)</f>
        <v>0205</v>
      </c>
      <c r="D514" s="183" t="str">
        <f>VLOOKUP(F514,数据集标准分类!A:D,4,0)</f>
        <v>出院记录</v>
      </c>
      <c r="E514" s="183" t="str">
        <f>VLOOKUP(F514,数据集标准分类!A:C,3,0)</f>
        <v>020501</v>
      </c>
      <c r="F514" s="170" t="s">
        <v>1560</v>
      </c>
      <c r="G514" s="183" t="str">
        <f>VLOOKUP(F514,数据集标准分类!A:B,2,0)</f>
        <v>discharge_record</v>
      </c>
      <c r="H514" s="294">
        <f>VLOOKUP(F514,数据集标准分类!A:H,8,0)</f>
        <v>24</v>
      </c>
      <c r="I514" s="170" t="s">
        <v>966</v>
      </c>
      <c r="J514" s="170" t="s">
        <v>967</v>
      </c>
      <c r="K514" s="170" t="s">
        <v>968</v>
      </c>
      <c r="L514" s="170" t="s">
        <v>969</v>
      </c>
      <c r="M514" s="170" t="s">
        <v>970</v>
      </c>
      <c r="N514" s="294">
        <v>7</v>
      </c>
      <c r="O514" s="170"/>
    </row>
    <row r="515" ht="15.75" customHeight="1" spans="1:15">
      <c r="A515" s="183" t="str">
        <f>VLOOKUP(F515,数据集标准分类!A:G,7,0)</f>
        <v>02</v>
      </c>
      <c r="B515" s="183" t="str">
        <f>VLOOKUP(F515,数据集标准分类!A:F,6,0)</f>
        <v>电子病历</v>
      </c>
      <c r="C515" s="183" t="str">
        <f>VLOOKUP(F515,数据集标准分类!A:E,5,0)</f>
        <v>0205</v>
      </c>
      <c r="D515" s="183" t="str">
        <f>VLOOKUP(F515,数据集标准分类!A:D,4,0)</f>
        <v>出院记录</v>
      </c>
      <c r="E515" s="183" t="s">
        <v>1563</v>
      </c>
      <c r="F515" s="170" t="s">
        <v>1560</v>
      </c>
      <c r="G515" s="183" t="str">
        <f>VLOOKUP(F515,数据集标准分类!A:B,2,0)</f>
        <v>discharge_record</v>
      </c>
      <c r="H515" s="294">
        <f>VLOOKUP(F515,数据集标准分类!A:H,8,0)</f>
        <v>24</v>
      </c>
      <c r="I515" s="170" t="s">
        <v>1109</v>
      </c>
      <c r="J515" s="170" t="s">
        <v>1110</v>
      </c>
      <c r="K515" s="170" t="s">
        <v>1111</v>
      </c>
      <c r="L515" s="170" t="s">
        <v>1112</v>
      </c>
      <c r="M515" s="170" t="s">
        <v>1113</v>
      </c>
      <c r="N515" s="294">
        <v>8</v>
      </c>
      <c r="O515" s="170"/>
    </row>
    <row r="516" ht="15.75" customHeight="1" spans="1:15">
      <c r="A516" s="183" t="str">
        <f>VLOOKUP(F516,数据集标准分类!A:G,7,0)</f>
        <v>02</v>
      </c>
      <c r="B516" s="183" t="str">
        <f>VLOOKUP(F516,数据集标准分类!A:F,6,0)</f>
        <v>电子病历</v>
      </c>
      <c r="C516" s="183" t="str">
        <f>VLOOKUP(F516,数据集标准分类!A:E,5,0)</f>
        <v>0205</v>
      </c>
      <c r="D516" s="183" t="str">
        <f>VLOOKUP(F516,数据集标准分类!A:D,4,0)</f>
        <v>出院记录</v>
      </c>
      <c r="E516" s="183" t="str">
        <f>VLOOKUP(F516,数据集标准分类!A:C,3,0)</f>
        <v>020501</v>
      </c>
      <c r="F516" s="170" t="s">
        <v>1560</v>
      </c>
      <c r="G516" s="183" t="str">
        <f>VLOOKUP(F516,数据集标准分类!A:B,2,0)</f>
        <v>discharge_record</v>
      </c>
      <c r="H516" s="294">
        <f>VLOOKUP(F516,数据集标准分类!A:H,8,0)</f>
        <v>24</v>
      </c>
      <c r="I516" s="170" t="s">
        <v>201</v>
      </c>
      <c r="J516" s="170" t="s">
        <v>202</v>
      </c>
      <c r="K516" s="170" t="s">
        <v>203</v>
      </c>
      <c r="L516" s="170" t="s">
        <v>204</v>
      </c>
      <c r="M516" s="170" t="s">
        <v>1114</v>
      </c>
      <c r="N516" s="294">
        <v>9</v>
      </c>
      <c r="O516" s="170"/>
    </row>
    <row r="517" ht="15.75" customHeight="1" spans="1:15">
      <c r="A517" s="183" t="str">
        <f>VLOOKUP(F517,数据集标准分类!A:G,7,0)</f>
        <v>02</v>
      </c>
      <c r="B517" s="183" t="str">
        <f>VLOOKUP(F517,数据集标准分类!A:F,6,0)</f>
        <v>电子病历</v>
      </c>
      <c r="C517" s="183" t="str">
        <f>VLOOKUP(F517,数据集标准分类!A:E,5,0)</f>
        <v>0205</v>
      </c>
      <c r="D517" s="183" t="str">
        <f>VLOOKUP(F517,数据集标准分类!A:D,4,0)</f>
        <v>出院记录</v>
      </c>
      <c r="E517" s="183" t="str">
        <f>VLOOKUP(F517,数据集标准分类!A:C,3,0)</f>
        <v>020501</v>
      </c>
      <c r="F517" s="170" t="s">
        <v>1560</v>
      </c>
      <c r="G517" s="183" t="str">
        <f>VLOOKUP(F517,数据集标准分类!A:B,2,0)</f>
        <v>discharge_record</v>
      </c>
      <c r="H517" s="294">
        <f>VLOOKUP(F517,数据集标准分类!A:H,8,0)</f>
        <v>24</v>
      </c>
      <c r="I517" s="170" t="s">
        <v>1172</v>
      </c>
      <c r="J517" s="170" t="s">
        <v>1173</v>
      </c>
      <c r="K517" s="170" t="s">
        <v>1174</v>
      </c>
      <c r="L517" s="170" t="s">
        <v>1175</v>
      </c>
      <c r="M517" s="170" t="s">
        <v>975</v>
      </c>
      <c r="N517" s="294">
        <v>10</v>
      </c>
      <c r="O517" s="170"/>
    </row>
    <row r="518" ht="15.75" customHeight="1" spans="1:15">
      <c r="A518" s="183" t="str">
        <f>VLOOKUP(F518,数据集标准分类!A:G,7,0)</f>
        <v>02</v>
      </c>
      <c r="B518" s="183" t="str">
        <f>VLOOKUP(F518,数据集标准分类!A:F,6,0)</f>
        <v>电子病历</v>
      </c>
      <c r="C518" s="183" t="str">
        <f>VLOOKUP(F518,数据集标准分类!A:E,5,0)</f>
        <v>0205</v>
      </c>
      <c r="D518" s="183" t="str">
        <f>VLOOKUP(F518,数据集标准分类!A:D,4,0)</f>
        <v>出院记录</v>
      </c>
      <c r="E518" s="183" t="str">
        <f>VLOOKUP(F518,数据集标准分类!A:C,3,0)</f>
        <v>020501</v>
      </c>
      <c r="F518" s="170" t="s">
        <v>1560</v>
      </c>
      <c r="G518" s="183" t="str">
        <f>VLOOKUP(F518,数据集标准分类!A:B,2,0)</f>
        <v>discharge_record</v>
      </c>
      <c r="H518" s="294">
        <f>VLOOKUP(F518,数据集标准分类!A:H,8,0)</f>
        <v>24</v>
      </c>
      <c r="I518" s="170" t="s">
        <v>157</v>
      </c>
      <c r="J518" s="170" t="s">
        <v>158</v>
      </c>
      <c r="K518" s="170" t="s">
        <v>159</v>
      </c>
      <c r="L518" s="170" t="s">
        <v>160</v>
      </c>
      <c r="M518" s="170" t="s">
        <v>161</v>
      </c>
      <c r="N518" s="294">
        <v>11</v>
      </c>
      <c r="O518" s="170"/>
    </row>
    <row r="519" ht="15.75" customHeight="1" spans="1:15">
      <c r="A519" s="183" t="str">
        <f>VLOOKUP(F519,数据集标准分类!A:G,7,0)</f>
        <v>02</v>
      </c>
      <c r="B519" s="183" t="str">
        <f>VLOOKUP(F519,数据集标准分类!A:F,6,0)</f>
        <v>电子病历</v>
      </c>
      <c r="C519" s="183" t="str">
        <f>VLOOKUP(F519,数据集标准分类!A:E,5,0)</f>
        <v>0205</v>
      </c>
      <c r="D519" s="183" t="str">
        <f>VLOOKUP(F519,数据集标准分类!A:D,4,0)</f>
        <v>出院记录</v>
      </c>
      <c r="E519" s="183" t="str">
        <f>VLOOKUP(F519,数据集标准分类!A:C,3,0)</f>
        <v>020501</v>
      </c>
      <c r="F519" s="170" t="s">
        <v>1560</v>
      </c>
      <c r="G519" s="183" t="str">
        <f>VLOOKUP(F519,数据集标准分类!A:B,2,0)</f>
        <v>discharge_record</v>
      </c>
      <c r="H519" s="294">
        <f>VLOOKUP(F519,数据集标准分类!A:H,8,0)</f>
        <v>24</v>
      </c>
      <c r="I519" s="170" t="s">
        <v>976</v>
      </c>
      <c r="J519" s="170" t="s">
        <v>977</v>
      </c>
      <c r="K519" s="170" t="s">
        <v>978</v>
      </c>
      <c r="L519" s="170" t="s">
        <v>979</v>
      </c>
      <c r="M519" s="170" t="s">
        <v>1564</v>
      </c>
      <c r="N519" s="294">
        <v>12</v>
      </c>
      <c r="O519" s="170"/>
    </row>
    <row r="520" ht="15.75" customHeight="1" spans="1:15">
      <c r="A520" s="183" t="str">
        <f>VLOOKUP(F520,数据集标准分类!A:G,7,0)</f>
        <v>02</v>
      </c>
      <c r="B520" s="183" t="str">
        <f>VLOOKUP(F520,数据集标准分类!A:F,6,0)</f>
        <v>电子病历</v>
      </c>
      <c r="C520" s="183" t="str">
        <f>VLOOKUP(F520,数据集标准分类!A:E,5,0)</f>
        <v>0205</v>
      </c>
      <c r="D520" s="183" t="str">
        <f>VLOOKUP(F520,数据集标准分类!A:D,4,0)</f>
        <v>出院记录</v>
      </c>
      <c r="E520" s="183" t="str">
        <f>VLOOKUP(F520,数据集标准分类!A:C,3,0)</f>
        <v>020501</v>
      </c>
      <c r="F520" s="170" t="s">
        <v>1560</v>
      </c>
      <c r="G520" s="183" t="str">
        <f>VLOOKUP(F520,数据集标准分类!A:B,2,0)</f>
        <v>discharge_record</v>
      </c>
      <c r="H520" s="294">
        <f>VLOOKUP(F520,数据集标准分类!A:H,8,0)</f>
        <v>24</v>
      </c>
      <c r="I520" s="170" t="s">
        <v>981</v>
      </c>
      <c r="J520" s="170" t="s">
        <v>982</v>
      </c>
      <c r="K520" s="170" t="s">
        <v>983</v>
      </c>
      <c r="L520" s="170" t="s">
        <v>984</v>
      </c>
      <c r="M520" s="170" t="s">
        <v>985</v>
      </c>
      <c r="N520" s="294">
        <v>13</v>
      </c>
      <c r="O520" s="170"/>
    </row>
    <row r="521" ht="15.75" customHeight="1" spans="1:15">
      <c r="A521" s="183" t="str">
        <f>VLOOKUP(F521,数据集标准分类!A:G,7,0)</f>
        <v>02</v>
      </c>
      <c r="B521" s="183" t="str">
        <f>VLOOKUP(F521,数据集标准分类!A:F,6,0)</f>
        <v>电子病历</v>
      </c>
      <c r="C521" s="183" t="str">
        <f>VLOOKUP(F521,数据集标准分类!A:E,5,0)</f>
        <v>0205</v>
      </c>
      <c r="D521" s="183" t="str">
        <f>VLOOKUP(F521,数据集标准分类!A:D,4,0)</f>
        <v>出院记录</v>
      </c>
      <c r="E521" s="183" t="str">
        <f>VLOOKUP(F521,数据集标准分类!A:C,3,0)</f>
        <v>020501</v>
      </c>
      <c r="F521" s="170" t="s">
        <v>1560</v>
      </c>
      <c r="G521" s="183" t="str">
        <f>VLOOKUP(F521,数据集标准分类!A:B,2,0)</f>
        <v>discharge_record</v>
      </c>
      <c r="H521" s="294">
        <f>VLOOKUP(F521,数据集标准分类!A:H,8,0)</f>
        <v>24</v>
      </c>
      <c r="I521" s="170" t="s">
        <v>986</v>
      </c>
      <c r="J521" s="170" t="s">
        <v>987</v>
      </c>
      <c r="K521" s="170" t="s">
        <v>988</v>
      </c>
      <c r="L521" s="170" t="s">
        <v>989</v>
      </c>
      <c r="M521" s="170" t="s">
        <v>627</v>
      </c>
      <c r="N521" s="294">
        <v>14</v>
      </c>
      <c r="O521" s="170"/>
    </row>
    <row r="522" ht="15.75" customHeight="1" spans="1:15">
      <c r="A522" s="183" t="str">
        <f>VLOOKUP(F522,数据集标准分类!A:G,7,0)</f>
        <v>02</v>
      </c>
      <c r="B522" s="183" t="str">
        <f>VLOOKUP(F522,数据集标准分类!A:F,6,0)</f>
        <v>电子病历</v>
      </c>
      <c r="C522" s="183" t="str">
        <f>VLOOKUP(F522,数据集标准分类!A:E,5,0)</f>
        <v>0205</v>
      </c>
      <c r="D522" s="183" t="str">
        <f>VLOOKUP(F522,数据集标准分类!A:D,4,0)</f>
        <v>出院记录</v>
      </c>
      <c r="E522" s="183" t="str">
        <f>VLOOKUP(F522,数据集标准分类!A:C,3,0)</f>
        <v>020501</v>
      </c>
      <c r="F522" s="170" t="s">
        <v>1560</v>
      </c>
      <c r="G522" s="183" t="str">
        <f>VLOOKUP(F522,数据集标准分类!A:B,2,0)</f>
        <v>discharge_record</v>
      </c>
      <c r="H522" s="294">
        <f>VLOOKUP(F522,数据集标准分类!A:H,8,0)</f>
        <v>24</v>
      </c>
      <c r="I522" s="170" t="s">
        <v>991</v>
      </c>
      <c r="J522" s="170" t="s">
        <v>992</v>
      </c>
      <c r="K522" s="170" t="s">
        <v>993</v>
      </c>
      <c r="L522" s="170" t="s">
        <v>994</v>
      </c>
      <c r="M522" s="170" t="s">
        <v>995</v>
      </c>
      <c r="N522" s="294">
        <v>15</v>
      </c>
      <c r="O522" s="170"/>
    </row>
    <row r="523" ht="15.75" customHeight="1" spans="1:15">
      <c r="A523" s="183" t="str">
        <f>VLOOKUP(F523,数据集标准分类!A:G,7,0)</f>
        <v>02</v>
      </c>
      <c r="B523" s="183" t="str">
        <f>VLOOKUP(F523,数据集标准分类!A:F,6,0)</f>
        <v>电子病历</v>
      </c>
      <c r="C523" s="183" t="str">
        <f>VLOOKUP(F523,数据集标准分类!A:E,5,0)</f>
        <v>0205</v>
      </c>
      <c r="D523" s="183" t="str">
        <f>VLOOKUP(F523,数据集标准分类!A:D,4,0)</f>
        <v>出院记录</v>
      </c>
      <c r="E523" s="183" t="str">
        <f>VLOOKUP(F523,数据集标准分类!A:C,3,0)</f>
        <v>020501</v>
      </c>
      <c r="F523" s="170" t="s">
        <v>1560</v>
      </c>
      <c r="G523" s="183" t="str">
        <f>VLOOKUP(F523,数据集标准分类!A:B,2,0)</f>
        <v>discharge_record</v>
      </c>
      <c r="H523" s="294">
        <f>VLOOKUP(F523,数据集标准分类!A:H,8,0)</f>
        <v>24</v>
      </c>
      <c r="I523" s="170" t="s">
        <v>996</v>
      </c>
      <c r="J523" s="170" t="s">
        <v>997</v>
      </c>
      <c r="K523" s="170" t="s">
        <v>998</v>
      </c>
      <c r="L523" s="170" t="s">
        <v>999</v>
      </c>
      <c r="M523" s="170" t="s">
        <v>1565</v>
      </c>
      <c r="N523" s="294">
        <v>16</v>
      </c>
      <c r="O523" s="170"/>
    </row>
    <row r="524" ht="15.75" customHeight="1" spans="1:15">
      <c r="A524" s="183" t="str">
        <f>VLOOKUP(F524,数据集标准分类!A:G,7,0)</f>
        <v>02</v>
      </c>
      <c r="B524" s="183" t="str">
        <f>VLOOKUP(F524,数据集标准分类!A:F,6,0)</f>
        <v>电子病历</v>
      </c>
      <c r="C524" s="183" t="str">
        <f>VLOOKUP(F524,数据集标准分类!A:E,5,0)</f>
        <v>0205</v>
      </c>
      <c r="D524" s="183" t="str">
        <f>VLOOKUP(F524,数据集标准分类!A:D,4,0)</f>
        <v>出院记录</v>
      </c>
      <c r="E524" s="183" t="str">
        <f>VLOOKUP(F524,数据集标准分类!A:C,3,0)</f>
        <v>020501</v>
      </c>
      <c r="F524" s="170" t="s">
        <v>1560</v>
      </c>
      <c r="G524" s="183" t="str">
        <f>VLOOKUP(F524,数据集标准分类!A:B,2,0)</f>
        <v>discharge_record</v>
      </c>
      <c r="H524" s="294">
        <f>VLOOKUP(F524,数据集标准分类!A:H,8,0)</f>
        <v>24</v>
      </c>
      <c r="I524" s="170" t="s">
        <v>1001</v>
      </c>
      <c r="J524" s="170" t="s">
        <v>1002</v>
      </c>
      <c r="K524" s="170" t="s">
        <v>1003</v>
      </c>
      <c r="L524" s="170" t="s">
        <v>1004</v>
      </c>
      <c r="M524" s="170" t="s">
        <v>1005</v>
      </c>
      <c r="N524" s="294">
        <v>17</v>
      </c>
      <c r="O524" s="170"/>
    </row>
    <row r="525" ht="15.75" customHeight="1" spans="1:15">
      <c r="A525" s="183" t="str">
        <f>VLOOKUP(F525,数据集标准分类!A:G,7,0)</f>
        <v>02</v>
      </c>
      <c r="B525" s="183" t="str">
        <f>VLOOKUP(F525,数据集标准分类!A:F,6,0)</f>
        <v>电子病历</v>
      </c>
      <c r="C525" s="183" t="str">
        <f>VLOOKUP(F525,数据集标准分类!A:E,5,0)</f>
        <v>0205</v>
      </c>
      <c r="D525" s="183" t="str">
        <f>VLOOKUP(F525,数据集标准分类!A:D,4,0)</f>
        <v>出院记录</v>
      </c>
      <c r="E525" s="183" t="str">
        <f>VLOOKUP(F525,数据集标准分类!A:C,3,0)</f>
        <v>020501</v>
      </c>
      <c r="F525" s="170" t="s">
        <v>1560</v>
      </c>
      <c r="G525" s="183" t="str">
        <f>VLOOKUP(F525,数据集标准分类!A:B,2,0)</f>
        <v>discharge_record</v>
      </c>
      <c r="H525" s="294">
        <f>VLOOKUP(F525,数据集标准分类!A:H,8,0)</f>
        <v>24</v>
      </c>
      <c r="I525" s="170" t="s">
        <v>1566</v>
      </c>
      <c r="J525" s="170" t="s">
        <v>1567</v>
      </c>
      <c r="K525" s="170" t="s">
        <v>1568</v>
      </c>
      <c r="L525" s="170" t="s">
        <v>1569</v>
      </c>
      <c r="M525" s="170" t="s">
        <v>1570</v>
      </c>
      <c r="N525" s="294">
        <v>18</v>
      </c>
      <c r="O525" s="170"/>
    </row>
    <row r="526" ht="15.75" customHeight="1" spans="1:15">
      <c r="A526" s="183" t="str">
        <f>VLOOKUP(F526,数据集标准分类!A:G,7,0)</f>
        <v>02</v>
      </c>
      <c r="B526" s="183" t="str">
        <f>VLOOKUP(F526,数据集标准分类!A:F,6,0)</f>
        <v>电子病历</v>
      </c>
      <c r="C526" s="183" t="str">
        <f>VLOOKUP(F526,数据集标准分类!A:E,5,0)</f>
        <v>0205</v>
      </c>
      <c r="D526" s="183" t="str">
        <f>VLOOKUP(F526,数据集标准分类!A:D,4,0)</f>
        <v>出院记录</v>
      </c>
      <c r="E526" s="183" t="str">
        <f>VLOOKUP(F526,数据集标准分类!A:C,3,0)</f>
        <v>020501</v>
      </c>
      <c r="F526" s="170" t="s">
        <v>1560</v>
      </c>
      <c r="G526" s="183" t="str">
        <f>VLOOKUP(F526,数据集标准分类!A:B,2,0)</f>
        <v>discharge_record</v>
      </c>
      <c r="H526" s="294">
        <f>VLOOKUP(F526,数据集标准分类!A:H,8,0)</f>
        <v>24</v>
      </c>
      <c r="I526" s="170" t="s">
        <v>1006</v>
      </c>
      <c r="J526" s="170" t="s">
        <v>1007</v>
      </c>
      <c r="K526" s="170" t="s">
        <v>1008</v>
      </c>
      <c r="L526" s="170" t="s">
        <v>1009</v>
      </c>
      <c r="M526" s="170" t="s">
        <v>1010</v>
      </c>
      <c r="N526" s="294">
        <v>19</v>
      </c>
      <c r="O526" s="170"/>
    </row>
    <row r="527" ht="15.75" customHeight="1" spans="1:15">
      <c r="A527" s="183" t="str">
        <f>VLOOKUP(F527,数据集标准分类!A:G,7,0)</f>
        <v>02</v>
      </c>
      <c r="B527" s="183" t="str">
        <f>VLOOKUP(F527,数据集标准分类!A:F,6,0)</f>
        <v>电子病历</v>
      </c>
      <c r="C527" s="183" t="str">
        <f>VLOOKUP(F527,数据集标准分类!A:E,5,0)</f>
        <v>0205</v>
      </c>
      <c r="D527" s="183" t="str">
        <f>VLOOKUP(F527,数据集标准分类!A:D,4,0)</f>
        <v>出院记录</v>
      </c>
      <c r="E527" s="183" t="str">
        <f>VLOOKUP(F527,数据集标准分类!A:C,3,0)</f>
        <v>020502</v>
      </c>
      <c r="F527" s="170" t="s">
        <v>1571</v>
      </c>
      <c r="G527" s="183" t="str">
        <f>VLOOKUP(F527,数据集标准分类!A:B,2,0)</f>
        <v>discharge_brief_summary</v>
      </c>
      <c r="H527" s="294">
        <f>VLOOKUP(F527,数据集标准分类!A:H,8,0)</f>
        <v>25</v>
      </c>
      <c r="I527" s="170" t="s">
        <v>152</v>
      </c>
      <c r="J527" s="170" t="s">
        <v>153</v>
      </c>
      <c r="K527" s="170" t="s">
        <v>154</v>
      </c>
      <c r="L527" s="170" t="s">
        <v>155</v>
      </c>
      <c r="M527" s="170" t="s">
        <v>156</v>
      </c>
      <c r="N527" s="294">
        <v>1</v>
      </c>
      <c r="O527" s="170"/>
    </row>
    <row r="528" ht="15.75" customHeight="1" spans="1:15">
      <c r="A528" s="183" t="str">
        <f>VLOOKUP(F528,数据集标准分类!A:G,7,0)</f>
        <v>02</v>
      </c>
      <c r="B528" s="183" t="str">
        <f>VLOOKUP(F528,数据集标准分类!A:F,6,0)</f>
        <v>电子病历</v>
      </c>
      <c r="C528" s="183" t="str">
        <f>VLOOKUP(F528,数据集标准分类!A:E,5,0)</f>
        <v>0205</v>
      </c>
      <c r="D528" s="183" t="str">
        <f>VLOOKUP(F528,数据集标准分类!A:D,4,0)</f>
        <v>出院记录</v>
      </c>
      <c r="E528" s="183" t="str">
        <f>VLOOKUP(F528,数据集标准分类!A:C,3,0)</f>
        <v>020502</v>
      </c>
      <c r="F528" s="170" t="s">
        <v>1571</v>
      </c>
      <c r="G528" s="183" t="str">
        <f>VLOOKUP(F528,数据集标准分类!A:B,2,0)</f>
        <v>discharge_brief_summary</v>
      </c>
      <c r="H528" s="294">
        <f>VLOOKUP(F528,数据集标准分类!A:H,8,0)</f>
        <v>25</v>
      </c>
      <c r="I528" s="170" t="s">
        <v>157</v>
      </c>
      <c r="J528" s="170" t="s">
        <v>158</v>
      </c>
      <c r="K528" s="170" t="s">
        <v>159</v>
      </c>
      <c r="L528" s="170" t="s">
        <v>160</v>
      </c>
      <c r="M528" s="170" t="s">
        <v>161</v>
      </c>
      <c r="N528" s="294">
        <v>2</v>
      </c>
      <c r="O528" s="170"/>
    </row>
    <row r="529" ht="15.75" customHeight="1" spans="1:15">
      <c r="A529" s="183" t="str">
        <f>VLOOKUP(F529,数据集标准分类!A:G,7,0)</f>
        <v>02</v>
      </c>
      <c r="B529" s="183" t="str">
        <f>VLOOKUP(F529,数据集标准分类!A:F,6,0)</f>
        <v>电子病历</v>
      </c>
      <c r="C529" s="183" t="str">
        <f>VLOOKUP(F529,数据集标准分类!A:E,5,0)</f>
        <v>0205</v>
      </c>
      <c r="D529" s="183" t="str">
        <f>VLOOKUP(F529,数据集标准分类!A:D,4,0)</f>
        <v>出院记录</v>
      </c>
      <c r="E529" s="183" t="str">
        <f>VLOOKUP(F529,数据集标准分类!A:C,3,0)</f>
        <v>020502</v>
      </c>
      <c r="F529" s="170" t="s">
        <v>1571</v>
      </c>
      <c r="G529" s="183" t="str">
        <f>VLOOKUP(F529,数据集标准分类!A:B,2,0)</f>
        <v>discharge_brief_summary</v>
      </c>
      <c r="H529" s="294">
        <f>VLOOKUP(F529,数据集标准分类!A:H,8,0)</f>
        <v>25</v>
      </c>
      <c r="I529" s="170" t="s">
        <v>574</v>
      </c>
      <c r="J529" s="170" t="s">
        <v>575</v>
      </c>
      <c r="K529" s="170" t="s">
        <v>576</v>
      </c>
      <c r="L529" s="170" t="s">
        <v>577</v>
      </c>
      <c r="M529" s="170" t="s">
        <v>578</v>
      </c>
      <c r="N529" s="294">
        <v>3</v>
      </c>
      <c r="O529" s="170"/>
    </row>
    <row r="530" ht="15.75" customHeight="1" spans="1:15">
      <c r="A530" s="183" t="str">
        <f>VLOOKUP(F530,数据集标准分类!A:G,7,0)</f>
        <v>02</v>
      </c>
      <c r="B530" s="183" t="str">
        <f>VLOOKUP(F530,数据集标准分类!A:F,6,0)</f>
        <v>电子病历</v>
      </c>
      <c r="C530" s="183" t="str">
        <f>VLOOKUP(F530,数据集标准分类!A:E,5,0)</f>
        <v>0205</v>
      </c>
      <c r="D530" s="183" t="str">
        <f>VLOOKUP(F530,数据集标准分类!A:D,4,0)</f>
        <v>出院记录</v>
      </c>
      <c r="E530" s="183" t="str">
        <f>VLOOKUP(F530,数据集标准分类!A:C,3,0)</f>
        <v>020502</v>
      </c>
      <c r="F530" s="170" t="s">
        <v>1571</v>
      </c>
      <c r="G530" s="183" t="str">
        <f>VLOOKUP(F530,数据集标准分类!A:B,2,0)</f>
        <v>discharge_brief_summary</v>
      </c>
      <c r="H530" s="294">
        <f>VLOOKUP(F530,数据集标准分类!A:H,8,0)</f>
        <v>25</v>
      </c>
      <c r="I530" s="170" t="s">
        <v>924</v>
      </c>
      <c r="J530" s="170" t="s">
        <v>925</v>
      </c>
      <c r="K530" s="170" t="s">
        <v>926</v>
      </c>
      <c r="L530" s="170" t="s">
        <v>927</v>
      </c>
      <c r="M530" s="170" t="s">
        <v>928</v>
      </c>
      <c r="N530" s="294">
        <v>4</v>
      </c>
      <c r="O530" s="170"/>
    </row>
    <row r="531" ht="15.75" customHeight="1" spans="1:15">
      <c r="A531" s="183" t="str">
        <f>VLOOKUP(F531,数据集标准分类!A:G,7,0)</f>
        <v>02</v>
      </c>
      <c r="B531" s="183" t="str">
        <f>VLOOKUP(F531,数据集标准分类!A:F,6,0)</f>
        <v>电子病历</v>
      </c>
      <c r="C531" s="183" t="str">
        <f>VLOOKUP(F531,数据集标准分类!A:E,5,0)</f>
        <v>0205</v>
      </c>
      <c r="D531" s="183" t="str">
        <f>VLOOKUP(F531,数据集标准分类!A:D,4,0)</f>
        <v>出院记录</v>
      </c>
      <c r="E531" s="183" t="str">
        <f>VLOOKUP(F531,数据集标准分类!A:C,3,0)</f>
        <v>020502</v>
      </c>
      <c r="F531" s="170" t="s">
        <v>1571</v>
      </c>
      <c r="G531" s="183" t="str">
        <f>VLOOKUP(F531,数据集标准分类!A:B,2,0)</f>
        <v>discharge_brief_summary</v>
      </c>
      <c r="H531" s="294">
        <f>VLOOKUP(F531,数据集标准分类!A:H,8,0)</f>
        <v>25</v>
      </c>
      <c r="I531" s="170" t="s">
        <v>1572</v>
      </c>
      <c r="J531" s="170" t="s">
        <v>1573</v>
      </c>
      <c r="K531" s="170" t="s">
        <v>1574</v>
      </c>
      <c r="L531" s="170" t="s">
        <v>1575</v>
      </c>
      <c r="M531" s="170" t="s">
        <v>1562</v>
      </c>
      <c r="N531" s="294">
        <v>5</v>
      </c>
      <c r="O531" s="170"/>
    </row>
    <row r="532" ht="15.75" customHeight="1" spans="1:15">
      <c r="A532" s="183" t="str">
        <f>VLOOKUP(F532,数据集标准分类!A:G,7,0)</f>
        <v>02</v>
      </c>
      <c r="B532" s="183" t="str">
        <f>VLOOKUP(F532,数据集标准分类!A:F,6,0)</f>
        <v>电子病历</v>
      </c>
      <c r="C532" s="183" t="str">
        <f>VLOOKUP(F532,数据集标准分类!A:E,5,0)</f>
        <v>0205</v>
      </c>
      <c r="D532" s="183" t="str">
        <f>VLOOKUP(F532,数据集标准分类!A:D,4,0)</f>
        <v>出院记录</v>
      </c>
      <c r="E532" s="183" t="str">
        <f>VLOOKUP(F532,数据集标准分类!A:C,3,0)</f>
        <v>020502</v>
      </c>
      <c r="F532" s="170" t="s">
        <v>1571</v>
      </c>
      <c r="G532" s="183" t="str">
        <f>VLOOKUP(F532,数据集标准分类!A:B,2,0)</f>
        <v>discharge_brief_summary</v>
      </c>
      <c r="H532" s="294">
        <f>VLOOKUP(F532,数据集标准分类!A:H,8,0)</f>
        <v>25</v>
      </c>
      <c r="I532" s="170" t="s">
        <v>784</v>
      </c>
      <c r="J532" s="170" t="s">
        <v>785</v>
      </c>
      <c r="K532" s="170" t="s">
        <v>786</v>
      </c>
      <c r="L532" s="170" t="s">
        <v>787</v>
      </c>
      <c r="M532" s="170" t="s">
        <v>788</v>
      </c>
      <c r="N532" s="294">
        <v>6</v>
      </c>
      <c r="O532" s="170"/>
    </row>
    <row r="533" ht="15.75" customHeight="1" spans="1:15">
      <c r="A533" s="183" t="str">
        <f>VLOOKUP(F533,数据集标准分类!A:G,7,0)</f>
        <v>02</v>
      </c>
      <c r="B533" s="183" t="str">
        <f>VLOOKUP(F533,数据集标准分类!A:F,6,0)</f>
        <v>电子病历</v>
      </c>
      <c r="C533" s="183" t="str">
        <f>VLOOKUP(F533,数据集标准分类!A:E,5,0)</f>
        <v>0205</v>
      </c>
      <c r="D533" s="183" t="str">
        <f>VLOOKUP(F533,数据集标准分类!A:D,4,0)</f>
        <v>出院记录</v>
      </c>
      <c r="E533" s="183" t="str">
        <f>VLOOKUP(F533,数据集标准分类!A:C,3,0)</f>
        <v>020502</v>
      </c>
      <c r="F533" s="170" t="s">
        <v>1571</v>
      </c>
      <c r="G533" s="183" t="str">
        <f>VLOOKUP(F533,数据集标准分类!A:B,2,0)</f>
        <v>discharge_brief_summary</v>
      </c>
      <c r="H533" s="294">
        <f>VLOOKUP(F533,数据集标准分类!A:H,8,0)</f>
        <v>25</v>
      </c>
      <c r="I533" s="170" t="s">
        <v>943</v>
      </c>
      <c r="J533" s="170" t="s">
        <v>944</v>
      </c>
      <c r="K533" s="170" t="s">
        <v>945</v>
      </c>
      <c r="L533" s="170" t="s">
        <v>946</v>
      </c>
      <c r="M533" s="170" t="s">
        <v>947</v>
      </c>
      <c r="N533" s="294">
        <v>7</v>
      </c>
      <c r="O533" s="170"/>
    </row>
    <row r="534" ht="15.75" customHeight="1" spans="1:15">
      <c r="A534" s="183" t="str">
        <f>VLOOKUP(F534,数据集标准分类!A:G,7,0)</f>
        <v>02</v>
      </c>
      <c r="B534" s="183" t="str">
        <f>VLOOKUP(F534,数据集标准分类!A:F,6,0)</f>
        <v>电子病历</v>
      </c>
      <c r="C534" s="183" t="str">
        <f>VLOOKUP(F534,数据集标准分类!A:E,5,0)</f>
        <v>0205</v>
      </c>
      <c r="D534" s="183" t="str">
        <f>VLOOKUP(F534,数据集标准分类!A:D,4,0)</f>
        <v>出院记录</v>
      </c>
      <c r="E534" s="183" t="str">
        <f>VLOOKUP(F534,数据集标准分类!A:C,3,0)</f>
        <v>020502</v>
      </c>
      <c r="F534" s="170" t="s">
        <v>1571</v>
      </c>
      <c r="G534" s="183" t="str">
        <f>VLOOKUP(F534,数据集标准分类!A:B,2,0)</f>
        <v>discharge_brief_summary</v>
      </c>
      <c r="H534" s="294">
        <f>VLOOKUP(F534,数据集标准分类!A:H,8,0)</f>
        <v>25</v>
      </c>
      <c r="I534" s="170" t="s">
        <v>952</v>
      </c>
      <c r="J534" s="170" t="s">
        <v>953</v>
      </c>
      <c r="K534" s="170" t="s">
        <v>954</v>
      </c>
      <c r="L534" s="170" t="s">
        <v>955</v>
      </c>
      <c r="M534" s="170" t="s">
        <v>956</v>
      </c>
      <c r="N534" s="294">
        <v>8</v>
      </c>
      <c r="O534" s="170"/>
    </row>
    <row r="535" ht="15.75" customHeight="1" spans="1:15">
      <c r="A535" s="183" t="str">
        <f>VLOOKUP(F535,数据集标准分类!A:G,7,0)</f>
        <v>02</v>
      </c>
      <c r="B535" s="183" t="str">
        <f>VLOOKUP(F535,数据集标准分类!A:F,6,0)</f>
        <v>电子病历</v>
      </c>
      <c r="C535" s="183" t="str">
        <f>VLOOKUP(F535,数据集标准分类!A:E,5,0)</f>
        <v>0205</v>
      </c>
      <c r="D535" s="183" t="str">
        <f>VLOOKUP(F535,数据集标准分类!A:D,4,0)</f>
        <v>出院记录</v>
      </c>
      <c r="E535" s="183" t="str">
        <f>VLOOKUP(F535,数据集标准分类!A:C,3,0)</f>
        <v>020502</v>
      </c>
      <c r="F535" s="170" t="s">
        <v>1571</v>
      </c>
      <c r="G535" s="183" t="str">
        <f>VLOOKUP(F535,数据集标准分类!A:B,2,0)</f>
        <v>discharge_brief_summary</v>
      </c>
      <c r="H535" s="294">
        <f>VLOOKUP(F535,数据集标准分类!A:H,8,0)</f>
        <v>25</v>
      </c>
      <c r="I535" s="170" t="s">
        <v>961</v>
      </c>
      <c r="J535" s="170" t="s">
        <v>962</v>
      </c>
      <c r="K535" s="170" t="s">
        <v>963</v>
      </c>
      <c r="L535" s="170" t="s">
        <v>964</v>
      </c>
      <c r="M535" s="170" t="s">
        <v>965</v>
      </c>
      <c r="N535" s="294">
        <v>9</v>
      </c>
      <c r="O535" s="170"/>
    </row>
    <row r="536" ht="15.75" customHeight="1" spans="1:15">
      <c r="A536" s="183" t="str">
        <f>VLOOKUP(F536,数据集标准分类!A:G,7,0)</f>
        <v>02</v>
      </c>
      <c r="B536" s="183" t="str">
        <f>VLOOKUP(F536,数据集标准分类!A:F,6,0)</f>
        <v>电子病历</v>
      </c>
      <c r="C536" s="183" t="str">
        <f>VLOOKUP(F536,数据集标准分类!A:E,5,0)</f>
        <v>0205</v>
      </c>
      <c r="D536" s="183" t="str">
        <f>VLOOKUP(F536,数据集标准分类!A:D,4,0)</f>
        <v>出院记录</v>
      </c>
      <c r="E536" s="183" t="str">
        <f>VLOOKUP(F536,数据集标准分类!A:C,3,0)</f>
        <v>020502</v>
      </c>
      <c r="F536" s="170" t="s">
        <v>1571</v>
      </c>
      <c r="G536" s="183" t="str">
        <f>VLOOKUP(F536,数据集标准分类!A:B,2,0)</f>
        <v>discharge_brief_summary</v>
      </c>
      <c r="H536" s="294">
        <f>VLOOKUP(F536,数据集标准分类!A:H,8,0)</f>
        <v>25</v>
      </c>
      <c r="I536" s="170" t="s">
        <v>981</v>
      </c>
      <c r="J536" s="170" t="s">
        <v>982</v>
      </c>
      <c r="K536" s="170" t="s">
        <v>983</v>
      </c>
      <c r="L536" s="170" t="s">
        <v>984</v>
      </c>
      <c r="M536" s="170" t="s">
        <v>985</v>
      </c>
      <c r="N536" s="294">
        <v>10</v>
      </c>
      <c r="O536" s="170"/>
    </row>
    <row r="537" ht="15.75" customHeight="1" spans="1:15">
      <c r="A537" s="183" t="str">
        <f>VLOOKUP(F537,数据集标准分类!A:G,7,0)</f>
        <v>02</v>
      </c>
      <c r="B537" s="183" t="str">
        <f>VLOOKUP(F537,数据集标准分类!A:F,6,0)</f>
        <v>电子病历</v>
      </c>
      <c r="C537" s="183" t="str">
        <f>VLOOKUP(F537,数据集标准分类!A:E,5,0)</f>
        <v>0205</v>
      </c>
      <c r="D537" s="183" t="str">
        <f>VLOOKUP(F537,数据集标准分类!A:D,4,0)</f>
        <v>出院记录</v>
      </c>
      <c r="E537" s="183" t="str">
        <f>VLOOKUP(F537,数据集标准分类!A:C,3,0)</f>
        <v>020502</v>
      </c>
      <c r="F537" s="170" t="s">
        <v>1571</v>
      </c>
      <c r="G537" s="183" t="str">
        <f>VLOOKUP(F537,数据集标准分类!A:B,2,0)</f>
        <v>discharge_brief_summary</v>
      </c>
      <c r="H537" s="294">
        <f>VLOOKUP(F537,数据集标准分类!A:H,8,0)</f>
        <v>25</v>
      </c>
      <c r="I537" s="170" t="s">
        <v>991</v>
      </c>
      <c r="J537" s="170" t="s">
        <v>992</v>
      </c>
      <c r="K537" s="170" t="s">
        <v>993</v>
      </c>
      <c r="L537" s="170" t="s">
        <v>994</v>
      </c>
      <c r="M537" s="170" t="s">
        <v>995</v>
      </c>
      <c r="N537" s="294">
        <v>11</v>
      </c>
      <c r="O537" s="170"/>
    </row>
    <row r="538" ht="15.75" customHeight="1" spans="1:15">
      <c r="A538" s="183" t="str">
        <f>VLOOKUP(F538,数据集标准分类!A:G,7,0)</f>
        <v>02</v>
      </c>
      <c r="B538" s="183" t="str">
        <f>VLOOKUP(F538,数据集标准分类!A:F,6,0)</f>
        <v>电子病历</v>
      </c>
      <c r="C538" s="183" t="str">
        <f>VLOOKUP(F538,数据集标准分类!A:E,5,0)</f>
        <v>0205</v>
      </c>
      <c r="D538" s="183" t="str">
        <f>VLOOKUP(F538,数据集标准分类!A:D,4,0)</f>
        <v>出院记录</v>
      </c>
      <c r="E538" s="183" t="str">
        <f>VLOOKUP(F538,数据集标准分类!A:C,3,0)</f>
        <v>020502</v>
      </c>
      <c r="F538" s="170" t="s">
        <v>1571</v>
      </c>
      <c r="G538" s="183" t="str">
        <f>VLOOKUP(F538,数据集标准分类!A:B,2,0)</f>
        <v>discharge_brief_summary</v>
      </c>
      <c r="H538" s="294">
        <f>VLOOKUP(F538,数据集标准分类!A:H,8,0)</f>
        <v>25</v>
      </c>
      <c r="I538" s="170" t="s">
        <v>1001</v>
      </c>
      <c r="J538" s="170" t="s">
        <v>1002</v>
      </c>
      <c r="K538" s="170" t="s">
        <v>1003</v>
      </c>
      <c r="L538" s="170" t="s">
        <v>1004</v>
      </c>
      <c r="M538" s="170" t="s">
        <v>1005</v>
      </c>
      <c r="N538" s="294">
        <v>12</v>
      </c>
      <c r="O538" s="170"/>
    </row>
    <row r="539" ht="15.75" customHeight="1" spans="1:15">
      <c r="A539" s="183" t="str">
        <f>VLOOKUP(F539,数据集标准分类!A:G,7,0)</f>
        <v>02</v>
      </c>
      <c r="B539" s="183" t="str">
        <f>VLOOKUP(F539,数据集标准分类!A:F,6,0)</f>
        <v>电子病历</v>
      </c>
      <c r="C539" s="183" t="str">
        <f>VLOOKUP(F539,数据集标准分类!A:E,5,0)</f>
        <v>0205</v>
      </c>
      <c r="D539" s="183" t="str">
        <f>VLOOKUP(F539,数据集标准分类!A:D,4,0)</f>
        <v>出院记录</v>
      </c>
      <c r="E539" s="183" t="str">
        <f>VLOOKUP(F539,数据集标准分类!A:C,3,0)</f>
        <v>020502</v>
      </c>
      <c r="F539" s="170" t="s">
        <v>1571</v>
      </c>
      <c r="G539" s="183" t="str">
        <f>VLOOKUP(F539,数据集标准分类!A:B,2,0)</f>
        <v>discharge_brief_summary</v>
      </c>
      <c r="H539" s="294">
        <f>VLOOKUP(F539,数据集标准分类!A:H,8,0)</f>
        <v>25</v>
      </c>
      <c r="I539" s="170" t="s">
        <v>411</v>
      </c>
      <c r="J539" s="170" t="s">
        <v>412</v>
      </c>
      <c r="K539" s="170" t="s">
        <v>413</v>
      </c>
      <c r="L539" s="170" t="s">
        <v>414</v>
      </c>
      <c r="M539" s="170" t="s">
        <v>415</v>
      </c>
      <c r="N539" s="294">
        <v>13</v>
      </c>
      <c r="O539" s="170"/>
    </row>
    <row r="540" ht="15.75" customHeight="1" spans="1:15">
      <c r="A540" s="183" t="str">
        <f>VLOOKUP(F540,数据集标准分类!A:G,7,0)</f>
        <v>02</v>
      </c>
      <c r="B540" s="183" t="str">
        <f>VLOOKUP(F540,数据集标准分类!A:F,6,0)</f>
        <v>电子病历</v>
      </c>
      <c r="C540" s="183" t="str">
        <f>VLOOKUP(F540,数据集标准分类!A:E,5,0)</f>
        <v>0205</v>
      </c>
      <c r="D540" s="183" t="str">
        <f>VLOOKUP(F540,数据集标准分类!A:D,4,0)</f>
        <v>出院记录</v>
      </c>
      <c r="E540" s="183" t="str">
        <f>VLOOKUP(F540,数据集标准分类!A:C,3,0)</f>
        <v>020502</v>
      </c>
      <c r="F540" s="170" t="s">
        <v>1571</v>
      </c>
      <c r="G540" s="183" t="str">
        <f>VLOOKUP(F540,数据集标准分类!A:B,2,0)</f>
        <v>discharge_brief_summary</v>
      </c>
      <c r="H540" s="294">
        <f>VLOOKUP(F540,数据集标准分类!A:H,8,0)</f>
        <v>25</v>
      </c>
      <c r="I540" s="170" t="s">
        <v>416</v>
      </c>
      <c r="J540" s="170" t="s">
        <v>417</v>
      </c>
      <c r="K540" s="170" t="s">
        <v>418</v>
      </c>
      <c r="L540" s="170" t="s">
        <v>419</v>
      </c>
      <c r="M540" s="170" t="s">
        <v>420</v>
      </c>
      <c r="N540" s="294">
        <v>14</v>
      </c>
      <c r="O540" s="170"/>
    </row>
    <row r="541" ht="15.75" customHeight="1" spans="1:15">
      <c r="A541" s="183" t="str">
        <f>VLOOKUP(F541,数据集标准分类!A:G,7,0)</f>
        <v>02</v>
      </c>
      <c r="B541" s="183" t="str">
        <f>VLOOKUP(F541,数据集标准分类!A:F,6,0)</f>
        <v>电子病历</v>
      </c>
      <c r="C541" s="183" t="str">
        <f>VLOOKUP(F541,数据集标准分类!A:E,5,0)</f>
        <v>0205</v>
      </c>
      <c r="D541" s="183" t="str">
        <f>VLOOKUP(F541,数据集标准分类!A:D,4,0)</f>
        <v>出院记录</v>
      </c>
      <c r="E541" s="183" t="str">
        <f>VLOOKUP(F541,数据集标准分类!A:C,3,0)</f>
        <v>020502</v>
      </c>
      <c r="F541" s="170" t="s">
        <v>1571</v>
      </c>
      <c r="G541" s="183" t="str">
        <f>VLOOKUP(F541,数据集标准分类!A:B,2,0)</f>
        <v>discharge_brief_summary</v>
      </c>
      <c r="H541" s="294">
        <f>VLOOKUP(F541,数据集标准分类!A:H,8,0)</f>
        <v>25</v>
      </c>
      <c r="I541" s="170" t="s">
        <v>192</v>
      </c>
      <c r="J541" s="170" t="s">
        <v>193</v>
      </c>
      <c r="K541" s="170" t="s">
        <v>194</v>
      </c>
      <c r="L541" s="170" t="s">
        <v>195</v>
      </c>
      <c r="M541" s="170" t="s">
        <v>385</v>
      </c>
      <c r="N541" s="294">
        <v>15</v>
      </c>
      <c r="O541" s="170"/>
    </row>
    <row r="542" ht="15.75" customHeight="1" spans="1:15">
      <c r="A542" s="183" t="str">
        <f>VLOOKUP(F542,数据集标准分类!A:G,7,0)</f>
        <v>02</v>
      </c>
      <c r="B542" s="183" t="str">
        <f>VLOOKUP(F542,数据集标准分类!A:F,6,0)</f>
        <v>电子病历</v>
      </c>
      <c r="C542" s="183" t="str">
        <f>VLOOKUP(F542,数据集标准分类!A:E,5,0)</f>
        <v>0205</v>
      </c>
      <c r="D542" s="183" t="str">
        <f>VLOOKUP(F542,数据集标准分类!A:D,4,0)</f>
        <v>出院记录</v>
      </c>
      <c r="E542" s="183" t="str">
        <f>VLOOKUP(F542,数据集标准分类!A:C,3,0)</f>
        <v>020502</v>
      </c>
      <c r="F542" s="170" t="s">
        <v>1571</v>
      </c>
      <c r="G542" s="183" t="str">
        <f>VLOOKUP(F542,数据集标准分类!A:B,2,0)</f>
        <v>discharge_brief_summary</v>
      </c>
      <c r="H542" s="294">
        <f>VLOOKUP(F542,数据集标准分类!A:H,8,0)</f>
        <v>25</v>
      </c>
      <c r="I542" s="170" t="s">
        <v>1474</v>
      </c>
      <c r="J542" s="170" t="s">
        <v>1475</v>
      </c>
      <c r="K542" s="170" t="s">
        <v>1476</v>
      </c>
      <c r="L542" s="170" t="s">
        <v>1477</v>
      </c>
      <c r="M542" s="170" t="s">
        <v>1478</v>
      </c>
      <c r="N542" s="294">
        <v>16</v>
      </c>
      <c r="O542" s="170"/>
    </row>
    <row r="543" ht="15.75" customHeight="1" spans="1:15">
      <c r="A543" s="183" t="str">
        <f>VLOOKUP(F543,数据集标准分类!A:G,7,0)</f>
        <v>02</v>
      </c>
      <c r="B543" s="183" t="str">
        <f>VLOOKUP(F543,数据集标准分类!A:F,6,0)</f>
        <v>电子病历</v>
      </c>
      <c r="C543" s="183" t="str">
        <f>VLOOKUP(F543,数据集标准分类!A:E,5,0)</f>
        <v>0205</v>
      </c>
      <c r="D543" s="183" t="str">
        <f>VLOOKUP(F543,数据集标准分类!A:D,4,0)</f>
        <v>出院记录</v>
      </c>
      <c r="E543" s="183" t="str">
        <f>VLOOKUP(F543,数据集标准分类!A:C,3,0)</f>
        <v>020502</v>
      </c>
      <c r="F543" s="170" t="s">
        <v>1571</v>
      </c>
      <c r="G543" s="183" t="str">
        <f>VLOOKUP(F543,数据集标准分类!A:B,2,0)</f>
        <v>discharge_brief_summary</v>
      </c>
      <c r="H543" s="294">
        <f>VLOOKUP(F543,数据集标准分类!A:H,8,0)</f>
        <v>25</v>
      </c>
      <c r="I543" s="170" t="s">
        <v>421</v>
      </c>
      <c r="J543" s="170" t="s">
        <v>422</v>
      </c>
      <c r="K543" s="170" t="s">
        <v>423</v>
      </c>
      <c r="L543" s="170" t="s">
        <v>424</v>
      </c>
      <c r="M543" s="170" t="s">
        <v>425</v>
      </c>
      <c r="N543" s="294">
        <v>17</v>
      </c>
      <c r="O543" s="170"/>
    </row>
    <row r="544" ht="15.75" customHeight="1" spans="1:15">
      <c r="A544" s="183" t="str">
        <f>VLOOKUP(F544,数据集标准分类!A:G,7,0)</f>
        <v>02</v>
      </c>
      <c r="B544" s="183" t="str">
        <f>VLOOKUP(F544,数据集标准分类!A:F,6,0)</f>
        <v>电子病历</v>
      </c>
      <c r="C544" s="183" t="str">
        <f>VLOOKUP(F544,数据集标准分类!A:E,5,0)</f>
        <v>0205</v>
      </c>
      <c r="D544" s="183" t="str">
        <f>VLOOKUP(F544,数据集标准分类!A:D,4,0)</f>
        <v>出院记录</v>
      </c>
      <c r="E544" s="183" t="str">
        <f>VLOOKUP(F544,数据集标准分类!A:C,3,0)</f>
        <v>020502</v>
      </c>
      <c r="F544" s="170" t="s">
        <v>1571</v>
      </c>
      <c r="G544" s="183" t="str">
        <f>VLOOKUP(F544,数据集标准分类!A:B,2,0)</f>
        <v>discharge_brief_summary</v>
      </c>
      <c r="H544" s="294">
        <f>VLOOKUP(F544,数据集标准分类!A:H,8,0)</f>
        <v>25</v>
      </c>
      <c r="I544" s="170" t="s">
        <v>1435</v>
      </c>
      <c r="J544" s="170" t="s">
        <v>1436</v>
      </c>
      <c r="K544" s="170" t="s">
        <v>1437</v>
      </c>
      <c r="L544" s="170" t="s">
        <v>1438</v>
      </c>
      <c r="M544" s="170" t="s">
        <v>1439</v>
      </c>
      <c r="N544" s="294">
        <v>18</v>
      </c>
      <c r="O544" s="170"/>
    </row>
    <row r="545" ht="15.75" customHeight="1" spans="1:15">
      <c r="A545" s="183" t="str">
        <f>VLOOKUP(F545,数据集标准分类!A:G,7,0)</f>
        <v>02</v>
      </c>
      <c r="B545" s="183" t="str">
        <f>VLOOKUP(F545,数据集标准分类!A:F,6,0)</f>
        <v>电子病历</v>
      </c>
      <c r="C545" s="183" t="str">
        <f>VLOOKUP(F545,数据集标准分类!A:E,5,0)</f>
        <v>0205</v>
      </c>
      <c r="D545" s="183" t="str">
        <f>VLOOKUP(F545,数据集标准分类!A:D,4,0)</f>
        <v>出院记录</v>
      </c>
      <c r="E545" s="183" t="str">
        <f>VLOOKUP(F545,数据集标准分类!A:C,3,0)</f>
        <v>020502</v>
      </c>
      <c r="F545" s="170" t="s">
        <v>1571</v>
      </c>
      <c r="G545" s="183" t="str">
        <f>VLOOKUP(F545,数据集标准分类!A:B,2,0)</f>
        <v>discharge_brief_summary</v>
      </c>
      <c r="H545" s="294">
        <f>VLOOKUP(F545,数据集标准分类!A:H,8,0)</f>
        <v>25</v>
      </c>
      <c r="I545" s="170" t="s">
        <v>789</v>
      </c>
      <c r="J545" s="170" t="s">
        <v>790</v>
      </c>
      <c r="K545" s="170" t="s">
        <v>790</v>
      </c>
      <c r="L545" s="170" t="s">
        <v>791</v>
      </c>
      <c r="M545" s="170" t="s">
        <v>792</v>
      </c>
      <c r="N545" s="294">
        <v>19</v>
      </c>
      <c r="O545" s="170"/>
    </row>
    <row r="546" ht="15.75" customHeight="1" spans="1:15">
      <c r="A546" s="183" t="str">
        <f>VLOOKUP(F546,数据集标准分类!A:G,7,0)</f>
        <v>02</v>
      </c>
      <c r="B546" s="183" t="str">
        <f>VLOOKUP(F546,数据集标准分类!A:F,6,0)</f>
        <v>电子病历</v>
      </c>
      <c r="C546" s="183" t="str">
        <f>VLOOKUP(F546,数据集标准分类!A:E,5,0)</f>
        <v>0205</v>
      </c>
      <c r="D546" s="183" t="str">
        <f>VLOOKUP(F546,数据集标准分类!A:D,4,0)</f>
        <v>出院记录</v>
      </c>
      <c r="E546" s="183" t="str">
        <f>VLOOKUP(F546,数据集标准分类!A:C,3,0)</f>
        <v>020502</v>
      </c>
      <c r="F546" s="170" t="s">
        <v>1571</v>
      </c>
      <c r="G546" s="183" t="str">
        <f>VLOOKUP(F546,数据集标准分类!A:B,2,0)</f>
        <v>discharge_brief_summary</v>
      </c>
      <c r="H546" s="294">
        <f>VLOOKUP(F546,数据集标准分类!A:H,8,0)</f>
        <v>25</v>
      </c>
      <c r="I546" s="170" t="s">
        <v>1109</v>
      </c>
      <c r="J546" s="170" t="s">
        <v>1110</v>
      </c>
      <c r="K546" s="170" t="s">
        <v>1111</v>
      </c>
      <c r="L546" s="170" t="s">
        <v>1112</v>
      </c>
      <c r="M546" s="170" t="s">
        <v>1113</v>
      </c>
      <c r="N546" s="294">
        <v>20</v>
      </c>
      <c r="O546" s="170"/>
    </row>
    <row r="547" ht="15.75" customHeight="1" spans="1:15">
      <c r="A547" s="183" t="str">
        <f>VLOOKUP(F547,数据集标准分类!A:G,7,0)</f>
        <v>02</v>
      </c>
      <c r="B547" s="183" t="str">
        <f>VLOOKUP(F547,数据集标准分类!A:F,6,0)</f>
        <v>电子病历</v>
      </c>
      <c r="C547" s="183" t="str">
        <f>VLOOKUP(F547,数据集标准分类!A:E,5,0)</f>
        <v>0205</v>
      </c>
      <c r="D547" s="183" t="str">
        <f>VLOOKUP(F547,数据集标准分类!A:D,4,0)</f>
        <v>出院记录</v>
      </c>
      <c r="E547" s="183" t="str">
        <f>VLOOKUP(F547,数据集标准分类!A:C,3,0)</f>
        <v>020502</v>
      </c>
      <c r="F547" s="170" t="s">
        <v>1571</v>
      </c>
      <c r="G547" s="183" t="str">
        <f>VLOOKUP(F547,数据集标准分类!A:B,2,0)</f>
        <v>discharge_brief_summary</v>
      </c>
      <c r="H547" s="294">
        <f>VLOOKUP(F547,数据集标准分类!A:H,8,0)</f>
        <v>25</v>
      </c>
      <c r="I547" s="170" t="s">
        <v>201</v>
      </c>
      <c r="J547" s="170" t="s">
        <v>202</v>
      </c>
      <c r="K547" s="170" t="s">
        <v>203</v>
      </c>
      <c r="L547" s="170" t="s">
        <v>204</v>
      </c>
      <c r="M547" s="170" t="s">
        <v>1114</v>
      </c>
      <c r="N547" s="294">
        <v>21</v>
      </c>
      <c r="O547" s="170"/>
    </row>
    <row r="548" ht="15.75" customHeight="1" spans="1:15">
      <c r="A548" s="183" t="str">
        <f>VLOOKUP(F548,数据集标准分类!A:G,7,0)</f>
        <v>02</v>
      </c>
      <c r="B548" s="183" t="str">
        <f>VLOOKUP(F548,数据集标准分类!A:F,6,0)</f>
        <v>电子病历</v>
      </c>
      <c r="C548" s="183" t="str">
        <f>VLOOKUP(F548,数据集标准分类!A:E,5,0)</f>
        <v>0205</v>
      </c>
      <c r="D548" s="183" t="str">
        <f>VLOOKUP(F548,数据集标准分类!A:D,4,0)</f>
        <v>出院记录</v>
      </c>
      <c r="E548" s="183" t="str">
        <f>VLOOKUP(F548,数据集标准分类!A:C,3,0)</f>
        <v>020502</v>
      </c>
      <c r="F548" s="170" t="s">
        <v>1571</v>
      </c>
      <c r="G548" s="183" t="str">
        <f>VLOOKUP(F548,数据集标准分类!A:B,2,0)</f>
        <v>discharge_brief_summary</v>
      </c>
      <c r="H548" s="294">
        <f>VLOOKUP(F548,数据集标准分类!A:H,8,0)</f>
        <v>25</v>
      </c>
      <c r="I548" s="170" t="s">
        <v>966</v>
      </c>
      <c r="J548" s="170" t="s">
        <v>967</v>
      </c>
      <c r="K548" s="170" t="s">
        <v>968</v>
      </c>
      <c r="L548" s="170" t="s">
        <v>969</v>
      </c>
      <c r="M548" s="170" t="s">
        <v>970</v>
      </c>
      <c r="N548" s="294">
        <v>22</v>
      </c>
      <c r="O548" s="170"/>
    </row>
    <row r="549" ht="15.75" customHeight="1" spans="1:15">
      <c r="A549" s="183" t="str">
        <f>VLOOKUP(F549,数据集标准分类!A:G,7,0)</f>
        <v>02</v>
      </c>
      <c r="B549" s="183" t="str">
        <f>VLOOKUP(F549,数据集标准分类!A:F,6,0)</f>
        <v>电子病历</v>
      </c>
      <c r="C549" s="183" t="str">
        <f>VLOOKUP(F549,数据集标准分类!A:E,5,0)</f>
        <v>0205</v>
      </c>
      <c r="D549" s="183" t="str">
        <f>VLOOKUP(F549,数据集标准分类!A:D,4,0)</f>
        <v>出院记录</v>
      </c>
      <c r="E549" s="183" t="str">
        <f>VLOOKUP(F549,数据集标准分类!A:C,3,0)</f>
        <v>020502</v>
      </c>
      <c r="F549" s="170" t="s">
        <v>1571</v>
      </c>
      <c r="G549" s="183" t="str">
        <f>VLOOKUP(F549,数据集标准分类!A:B,2,0)</f>
        <v>discharge_brief_summary</v>
      </c>
      <c r="H549" s="294">
        <f>VLOOKUP(F549,数据集标准分类!A:H,8,0)</f>
        <v>25</v>
      </c>
      <c r="I549" s="170" t="s">
        <v>971</v>
      </c>
      <c r="J549" s="170" t="s">
        <v>972</v>
      </c>
      <c r="K549" s="170" t="s">
        <v>973</v>
      </c>
      <c r="L549" s="170" t="s">
        <v>974</v>
      </c>
      <c r="M549" s="170" t="s">
        <v>975</v>
      </c>
      <c r="N549" s="294">
        <v>23</v>
      </c>
      <c r="O549" s="170"/>
    </row>
    <row r="550" ht="15.75" customHeight="1" spans="1:15">
      <c r="A550" s="183" t="str">
        <f>VLOOKUP(F550,数据集标准分类!A:G,7,0)</f>
        <v>02</v>
      </c>
      <c r="B550" s="183" t="str">
        <f>VLOOKUP(F550,数据集标准分类!A:F,6,0)</f>
        <v>电子病历</v>
      </c>
      <c r="C550" s="183" t="str">
        <f>VLOOKUP(F550,数据集标准分类!A:E,5,0)</f>
        <v>0205</v>
      </c>
      <c r="D550" s="183" t="str">
        <f>VLOOKUP(F550,数据集标准分类!A:D,4,0)</f>
        <v>出院记录</v>
      </c>
      <c r="E550" s="183" t="str">
        <f>VLOOKUP(F550,数据集标准分类!A:C,3,0)</f>
        <v>020502</v>
      </c>
      <c r="F550" s="170" t="s">
        <v>1571</v>
      </c>
      <c r="G550" s="183" t="str">
        <f>VLOOKUP(F550,数据集标准分类!A:B,2,0)</f>
        <v>discharge_brief_summary</v>
      </c>
      <c r="H550" s="294">
        <f>VLOOKUP(F550,数据集标准分类!A:H,8,0)</f>
        <v>25</v>
      </c>
      <c r="I550" s="170" t="s">
        <v>934</v>
      </c>
      <c r="J550" s="170" t="s">
        <v>935</v>
      </c>
      <c r="K550" s="170" t="s">
        <v>936</v>
      </c>
      <c r="L550" s="170" t="s">
        <v>937</v>
      </c>
      <c r="M550" s="170" t="s">
        <v>1570</v>
      </c>
      <c r="N550" s="294">
        <v>24</v>
      </c>
      <c r="O550" s="170"/>
    </row>
    <row r="551" ht="15.75" customHeight="1" spans="1:15">
      <c r="A551" s="183" t="str">
        <f>VLOOKUP(F551,数据集标准分类!A:G,7,0)</f>
        <v>02</v>
      </c>
      <c r="B551" s="183" t="str">
        <f>VLOOKUP(F551,数据集标准分类!A:F,6,0)</f>
        <v>电子病历</v>
      </c>
      <c r="C551" s="183" t="str">
        <f>VLOOKUP(F551,数据集标准分类!A:E,5,0)</f>
        <v>0205</v>
      </c>
      <c r="D551" s="183" t="str">
        <f>VLOOKUP(F551,数据集标准分类!A:D,4,0)</f>
        <v>出院记录</v>
      </c>
      <c r="E551" s="183" t="str">
        <f>VLOOKUP(F551,数据集标准分类!A:C,3,0)</f>
        <v>020502</v>
      </c>
      <c r="F551" s="170" t="s">
        <v>1571</v>
      </c>
      <c r="G551" s="183" t="str">
        <f>VLOOKUP(F551,数据集标准分类!A:B,2,0)</f>
        <v>discharge_brief_summary</v>
      </c>
      <c r="H551" s="294">
        <f>VLOOKUP(F551,数据集标准分类!A:H,8,0)</f>
        <v>25</v>
      </c>
      <c r="I551" s="170" t="s">
        <v>1006</v>
      </c>
      <c r="J551" s="170" t="s">
        <v>1007</v>
      </c>
      <c r="K551" s="170" t="s">
        <v>1008</v>
      </c>
      <c r="L551" s="170" t="s">
        <v>1009</v>
      </c>
      <c r="M551" s="170" t="s">
        <v>1010</v>
      </c>
      <c r="N551" s="294">
        <v>25</v>
      </c>
      <c r="O551" s="170"/>
    </row>
    <row r="552" ht="15.75" customHeight="1" spans="1:15">
      <c r="A552" s="183" t="str">
        <f>VLOOKUP(F552,数据集标准分类!A:G,7,0)</f>
        <v>02</v>
      </c>
      <c r="B552" s="183" t="str">
        <f>VLOOKUP(F552,数据集标准分类!A:F,6,0)</f>
        <v>电子病历</v>
      </c>
      <c r="C552" s="183" t="str">
        <f>VLOOKUP(F552,数据集标准分类!A:E,5,0)</f>
        <v>0205</v>
      </c>
      <c r="D552" s="183" t="str">
        <f>VLOOKUP(F552,数据集标准分类!A:D,4,0)</f>
        <v>出院记录</v>
      </c>
      <c r="E552" s="183" t="str">
        <f>VLOOKUP(F552,数据集标准分类!A:C,3,0)</f>
        <v>020502</v>
      </c>
      <c r="F552" s="170" t="s">
        <v>1571</v>
      </c>
      <c r="G552" s="183" t="str">
        <f>VLOOKUP(F552,数据集标准分类!A:B,2,0)</f>
        <v>discharge_brief_summary</v>
      </c>
      <c r="H552" s="294">
        <f>VLOOKUP(F552,数据集标准分类!A:H,8,0)</f>
        <v>25</v>
      </c>
      <c r="I552" s="170" t="s">
        <v>227</v>
      </c>
      <c r="J552" s="170" t="s">
        <v>228</v>
      </c>
      <c r="K552" s="170" t="s">
        <v>229</v>
      </c>
      <c r="L552" s="170" t="s">
        <v>230</v>
      </c>
      <c r="M552" s="170" t="s">
        <v>231</v>
      </c>
      <c r="N552" s="294">
        <v>26</v>
      </c>
      <c r="O552" s="170"/>
    </row>
    <row r="553" ht="15.75" customHeight="1" spans="1:15">
      <c r="A553" s="183" t="str">
        <f>VLOOKUP(F553,数据集标准分类!A:G,7,0)</f>
        <v>02</v>
      </c>
      <c r="B553" s="183" t="str">
        <f>VLOOKUP(F553,数据集标准分类!A:F,6,0)</f>
        <v>电子病历</v>
      </c>
      <c r="C553" s="183" t="str">
        <f>VLOOKUP(F553,数据集标准分类!A:E,5,0)</f>
        <v>0205</v>
      </c>
      <c r="D553" s="183" t="str">
        <f>VLOOKUP(F553,数据集标准分类!A:D,4,0)</f>
        <v>出院记录</v>
      </c>
      <c r="E553" s="183" t="str">
        <f>VLOOKUP(F553,数据集标准分类!A:C,3,0)</f>
        <v>020503</v>
      </c>
      <c r="F553" s="170" t="s">
        <v>1576</v>
      </c>
      <c r="G553" s="183" t="str">
        <f>VLOOKUP(F553,数据集标准分类!A:B,2,0)</f>
        <v>death_record</v>
      </c>
      <c r="H553" s="294">
        <f>VLOOKUP(F553,数据集标准分类!A:H,8,0)</f>
        <v>26</v>
      </c>
      <c r="I553" s="170" t="s">
        <v>152</v>
      </c>
      <c r="J553" s="170" t="s">
        <v>153</v>
      </c>
      <c r="K553" s="170" t="s">
        <v>154</v>
      </c>
      <c r="L553" s="170" t="s">
        <v>155</v>
      </c>
      <c r="M553" s="170" t="s">
        <v>156</v>
      </c>
      <c r="N553" s="294">
        <v>1</v>
      </c>
      <c r="O553" s="170"/>
    </row>
    <row r="554" ht="15.75" customHeight="1" spans="1:15">
      <c r="A554" s="183" t="str">
        <f>VLOOKUP(F554,数据集标准分类!A:G,7,0)</f>
        <v>02</v>
      </c>
      <c r="B554" s="183" t="str">
        <f>VLOOKUP(F554,数据集标准分类!A:F,6,0)</f>
        <v>电子病历</v>
      </c>
      <c r="C554" s="183" t="str">
        <f>VLOOKUP(F554,数据集标准分类!A:E,5,0)</f>
        <v>0205</v>
      </c>
      <c r="D554" s="183" t="str">
        <f>VLOOKUP(F554,数据集标准分类!A:D,4,0)</f>
        <v>出院记录</v>
      </c>
      <c r="E554" s="183" t="str">
        <f>VLOOKUP(F554,数据集标准分类!A:C,3,0)</f>
        <v>020503</v>
      </c>
      <c r="F554" s="170" t="s">
        <v>1576</v>
      </c>
      <c r="G554" s="183" t="str">
        <f>VLOOKUP(F554,数据集标准分类!A:B,2,0)</f>
        <v>death_record</v>
      </c>
      <c r="H554" s="294">
        <f>VLOOKUP(F554,数据集标准分类!A:H,8,0)</f>
        <v>26</v>
      </c>
      <c r="I554" s="170" t="s">
        <v>943</v>
      </c>
      <c r="J554" s="170" t="s">
        <v>944</v>
      </c>
      <c r="K554" s="170" t="s">
        <v>945</v>
      </c>
      <c r="L554" s="170" t="s">
        <v>946</v>
      </c>
      <c r="M554" s="170" t="s">
        <v>1561</v>
      </c>
      <c r="N554" s="294">
        <v>2</v>
      </c>
      <c r="O554" s="170"/>
    </row>
    <row r="555" ht="15.75" customHeight="1" spans="1:15">
      <c r="A555" s="183" t="str">
        <f>VLOOKUP(F555,数据集标准分类!A:G,7,0)</f>
        <v>02</v>
      </c>
      <c r="B555" s="183" t="str">
        <f>VLOOKUP(F555,数据集标准分类!A:F,6,0)</f>
        <v>电子病历</v>
      </c>
      <c r="C555" s="183" t="str">
        <f>VLOOKUP(F555,数据集标准分类!A:E,5,0)</f>
        <v>0205</v>
      </c>
      <c r="D555" s="183" t="str">
        <f>VLOOKUP(F555,数据集标准分类!A:D,4,0)</f>
        <v>出院记录</v>
      </c>
      <c r="E555" s="183" t="str">
        <f>VLOOKUP(F555,数据集标准分类!A:C,3,0)</f>
        <v>020503</v>
      </c>
      <c r="F555" s="170" t="s">
        <v>1576</v>
      </c>
      <c r="G555" s="183" t="str">
        <f>VLOOKUP(F555,数据集标准分类!A:B,2,0)</f>
        <v>death_record</v>
      </c>
      <c r="H555" s="294">
        <f>VLOOKUP(F555,数据集标准分类!A:H,8,0)</f>
        <v>26</v>
      </c>
      <c r="I555" s="170" t="s">
        <v>924</v>
      </c>
      <c r="J555" s="170" t="s">
        <v>925</v>
      </c>
      <c r="K555" s="170" t="s">
        <v>926</v>
      </c>
      <c r="L555" s="170" t="s">
        <v>927</v>
      </c>
      <c r="M555" s="170" t="s">
        <v>928</v>
      </c>
      <c r="N555" s="294">
        <v>3</v>
      </c>
      <c r="O555" s="170"/>
    </row>
    <row r="556" ht="15.75" customHeight="1" spans="1:15">
      <c r="A556" s="183" t="str">
        <f>VLOOKUP(F556,数据集标准分类!A:G,7,0)</f>
        <v>02</v>
      </c>
      <c r="B556" s="183" t="str">
        <f>VLOOKUP(F556,数据集标准分类!A:F,6,0)</f>
        <v>电子病历</v>
      </c>
      <c r="C556" s="183" t="str">
        <f>VLOOKUP(F556,数据集标准分类!A:E,5,0)</f>
        <v>0205</v>
      </c>
      <c r="D556" s="183" t="str">
        <f>VLOOKUP(F556,数据集标准分类!A:D,4,0)</f>
        <v>出院记录</v>
      </c>
      <c r="E556" s="183" t="str">
        <f>VLOOKUP(F556,数据集标准分类!A:C,3,0)</f>
        <v>020503</v>
      </c>
      <c r="F556" s="170" t="s">
        <v>1576</v>
      </c>
      <c r="G556" s="183" t="str">
        <f>VLOOKUP(F556,数据集标准分类!A:B,2,0)</f>
        <v>death_record</v>
      </c>
      <c r="H556" s="294">
        <f>VLOOKUP(F556,数据集标准分类!A:H,8,0)</f>
        <v>26</v>
      </c>
      <c r="I556" s="170" t="s">
        <v>966</v>
      </c>
      <c r="J556" s="170" t="s">
        <v>967</v>
      </c>
      <c r="K556" s="170" t="s">
        <v>968</v>
      </c>
      <c r="L556" s="170" t="s">
        <v>969</v>
      </c>
      <c r="M556" s="170" t="s">
        <v>970</v>
      </c>
      <c r="N556" s="294">
        <v>4</v>
      </c>
      <c r="O556" s="170"/>
    </row>
    <row r="557" ht="15.75" customHeight="1" spans="1:15">
      <c r="A557" s="183" t="str">
        <f>VLOOKUP(F557,数据集标准分类!A:G,7,0)</f>
        <v>02</v>
      </c>
      <c r="B557" s="183" t="str">
        <f>VLOOKUP(F557,数据集标准分类!A:F,6,0)</f>
        <v>电子病历</v>
      </c>
      <c r="C557" s="183" t="str">
        <f>VLOOKUP(F557,数据集标准分类!A:E,5,0)</f>
        <v>0205</v>
      </c>
      <c r="D557" s="183" t="str">
        <f>VLOOKUP(F557,数据集标准分类!A:D,4,0)</f>
        <v>出院记录</v>
      </c>
      <c r="E557" s="183" t="str">
        <f>VLOOKUP(F557,数据集标准分类!A:C,3,0)</f>
        <v>020503</v>
      </c>
      <c r="F557" s="170" t="s">
        <v>1576</v>
      </c>
      <c r="G557" s="183" t="str">
        <f>VLOOKUP(F557,数据集标准分类!A:B,2,0)</f>
        <v>death_record</v>
      </c>
      <c r="H557" s="294">
        <f>VLOOKUP(F557,数据集标准分类!A:H,8,0)</f>
        <v>26</v>
      </c>
      <c r="I557" s="170" t="s">
        <v>1017</v>
      </c>
      <c r="J557" s="170" t="s">
        <v>1018</v>
      </c>
      <c r="K557" s="170" t="s">
        <v>1019</v>
      </c>
      <c r="L557" s="170" t="s">
        <v>1020</v>
      </c>
      <c r="M557" s="170" t="s">
        <v>1021</v>
      </c>
      <c r="N557" s="294">
        <v>5</v>
      </c>
      <c r="O557" s="170"/>
    </row>
    <row r="558" ht="15.75" customHeight="1" spans="1:15">
      <c r="A558" s="183" t="str">
        <f>VLOOKUP(F558,数据集标准分类!A:G,7,0)</f>
        <v>02</v>
      </c>
      <c r="B558" s="183" t="str">
        <f>VLOOKUP(F558,数据集标准分类!A:F,6,0)</f>
        <v>电子病历</v>
      </c>
      <c r="C558" s="183" t="str">
        <f>VLOOKUP(F558,数据集标准分类!A:E,5,0)</f>
        <v>0205</v>
      </c>
      <c r="D558" s="183" t="str">
        <f>VLOOKUP(F558,数据集标准分类!A:D,4,0)</f>
        <v>出院记录</v>
      </c>
      <c r="E558" s="183" t="str">
        <f>VLOOKUP(F558,数据集标准分类!A:C,3,0)</f>
        <v>020503</v>
      </c>
      <c r="F558" s="170" t="s">
        <v>1576</v>
      </c>
      <c r="G558" s="183" t="str">
        <f>VLOOKUP(F558,数据集标准分类!A:B,2,0)</f>
        <v>death_record</v>
      </c>
      <c r="H558" s="294">
        <f>VLOOKUP(F558,数据集标准分类!A:H,8,0)</f>
        <v>26</v>
      </c>
      <c r="I558" s="170" t="s">
        <v>1405</v>
      </c>
      <c r="J558" s="170" t="s">
        <v>1406</v>
      </c>
      <c r="K558" s="170" t="s">
        <v>1407</v>
      </c>
      <c r="L558" s="170" t="s">
        <v>1408</v>
      </c>
      <c r="M558" s="170" t="s">
        <v>1409</v>
      </c>
      <c r="N558" s="294">
        <v>6</v>
      </c>
      <c r="O558" s="170"/>
    </row>
    <row r="559" ht="15.75" customHeight="1" spans="1:15">
      <c r="A559" s="183" t="str">
        <f>VLOOKUP(F559,数据集标准分类!A:G,7,0)</f>
        <v>02</v>
      </c>
      <c r="B559" s="183" t="str">
        <f>VLOOKUP(F559,数据集标准分类!A:F,6,0)</f>
        <v>电子病历</v>
      </c>
      <c r="C559" s="183" t="str">
        <f>VLOOKUP(F559,数据集标准分类!A:E,5,0)</f>
        <v>0205</v>
      </c>
      <c r="D559" s="183" t="str">
        <f>VLOOKUP(F559,数据集标准分类!A:D,4,0)</f>
        <v>出院记录</v>
      </c>
      <c r="E559" s="183" t="str">
        <f>VLOOKUP(F559,数据集标准分类!A:C,3,0)</f>
        <v>020503</v>
      </c>
      <c r="F559" s="170" t="s">
        <v>1576</v>
      </c>
      <c r="G559" s="183" t="str">
        <f>VLOOKUP(F559,数据集标准分类!A:B,2,0)</f>
        <v>death_record</v>
      </c>
      <c r="H559" s="294">
        <f>VLOOKUP(F559,数据集标准分类!A:H,8,0)</f>
        <v>26</v>
      </c>
      <c r="I559" s="170" t="s">
        <v>1410</v>
      </c>
      <c r="J559" s="170" t="s">
        <v>1411</v>
      </c>
      <c r="K559" s="170" t="s">
        <v>1412</v>
      </c>
      <c r="L559" s="170" t="s">
        <v>1413</v>
      </c>
      <c r="M559" s="170" t="s">
        <v>1414</v>
      </c>
      <c r="N559" s="294">
        <v>7</v>
      </c>
      <c r="O559" s="170"/>
    </row>
    <row r="560" ht="15.75" customHeight="1" spans="1:15">
      <c r="A560" s="183" t="str">
        <f>VLOOKUP(F560,数据集标准分类!A:G,7,0)</f>
        <v>02</v>
      </c>
      <c r="B560" s="183" t="str">
        <f>VLOOKUP(F560,数据集标准分类!A:F,6,0)</f>
        <v>电子病历</v>
      </c>
      <c r="C560" s="183" t="str">
        <f>VLOOKUP(F560,数据集标准分类!A:E,5,0)</f>
        <v>0205</v>
      </c>
      <c r="D560" s="183" t="str">
        <f>VLOOKUP(F560,数据集标准分类!A:D,4,0)</f>
        <v>出院记录</v>
      </c>
      <c r="E560" s="183" t="str">
        <f>VLOOKUP(F560,数据集标准分类!A:C,3,0)</f>
        <v>020503</v>
      </c>
      <c r="F560" s="170" t="s">
        <v>1576</v>
      </c>
      <c r="G560" s="183" t="str">
        <f>VLOOKUP(F560,数据集标准分类!A:B,2,0)</f>
        <v>death_record</v>
      </c>
      <c r="H560" s="294">
        <f>VLOOKUP(F560,数据集标准分类!A:H,8,0)</f>
        <v>26</v>
      </c>
      <c r="I560" s="170" t="s">
        <v>1027</v>
      </c>
      <c r="J560" s="170" t="s">
        <v>1028</v>
      </c>
      <c r="K560" s="170" t="s">
        <v>1029</v>
      </c>
      <c r="L560" s="170" t="s">
        <v>1030</v>
      </c>
      <c r="M560" s="170" t="s">
        <v>1415</v>
      </c>
      <c r="N560" s="294">
        <v>8</v>
      </c>
      <c r="O560" s="170"/>
    </row>
    <row r="561" ht="15.75" customHeight="1" spans="1:15">
      <c r="A561" s="183" t="str">
        <f>VLOOKUP(F561,数据集标准分类!A:G,7,0)</f>
        <v>02</v>
      </c>
      <c r="B561" s="183" t="str">
        <f>VLOOKUP(F561,数据集标准分类!A:F,6,0)</f>
        <v>电子病历</v>
      </c>
      <c r="C561" s="183" t="str">
        <f>VLOOKUP(F561,数据集标准分类!A:E,5,0)</f>
        <v>0205</v>
      </c>
      <c r="D561" s="183" t="str">
        <f>VLOOKUP(F561,数据集标准分类!A:D,4,0)</f>
        <v>出院记录</v>
      </c>
      <c r="E561" s="183" t="str">
        <f>VLOOKUP(F561,数据集标准分类!A:C,3,0)</f>
        <v>020503</v>
      </c>
      <c r="F561" s="170" t="s">
        <v>1576</v>
      </c>
      <c r="G561" s="183" t="str">
        <f>VLOOKUP(F561,数据集标准分类!A:B,2,0)</f>
        <v>death_record</v>
      </c>
      <c r="H561" s="294">
        <f>VLOOKUP(F561,数据集标准分类!A:H,8,0)</f>
        <v>26</v>
      </c>
      <c r="I561" s="170" t="s">
        <v>1032</v>
      </c>
      <c r="J561" s="170" t="s">
        <v>1033</v>
      </c>
      <c r="K561" s="170" t="s">
        <v>1034</v>
      </c>
      <c r="L561" s="170" t="s">
        <v>1035</v>
      </c>
      <c r="M561" s="170" t="s">
        <v>1416</v>
      </c>
      <c r="N561" s="294">
        <v>9</v>
      </c>
      <c r="O561" s="170"/>
    </row>
    <row r="562" ht="15.75" customHeight="1" spans="1:15">
      <c r="A562" s="183" t="str">
        <f>VLOOKUP(F562,数据集标准分类!A:G,7,0)</f>
        <v>02</v>
      </c>
      <c r="B562" s="183" t="str">
        <f>VLOOKUP(F562,数据集标准分类!A:F,6,0)</f>
        <v>电子病历</v>
      </c>
      <c r="C562" s="183" t="str">
        <f>VLOOKUP(F562,数据集标准分类!A:E,5,0)</f>
        <v>0205</v>
      </c>
      <c r="D562" s="183" t="str">
        <f>VLOOKUP(F562,数据集标准分类!A:D,4,0)</f>
        <v>出院记录</v>
      </c>
      <c r="E562" s="183" t="str">
        <f>VLOOKUP(F562,数据集标准分类!A:C,3,0)</f>
        <v>020503</v>
      </c>
      <c r="F562" s="170" t="s">
        <v>1576</v>
      </c>
      <c r="G562" s="183" t="str">
        <f>VLOOKUP(F562,数据集标准分类!A:B,2,0)</f>
        <v>death_record</v>
      </c>
      <c r="H562" s="294">
        <f>VLOOKUP(F562,数据集标准分类!A:H,8,0)</f>
        <v>26</v>
      </c>
      <c r="I562" s="170" t="s">
        <v>1577</v>
      </c>
      <c r="J562" s="170" t="s">
        <v>1578</v>
      </c>
      <c r="K562" s="170" t="s">
        <v>1579</v>
      </c>
      <c r="L562" s="170" t="s">
        <v>1580</v>
      </c>
      <c r="M562" s="170" t="s">
        <v>1581</v>
      </c>
      <c r="N562" s="294">
        <v>10</v>
      </c>
      <c r="O562" s="170"/>
    </row>
    <row r="563" ht="15.75" customHeight="1" spans="1:15">
      <c r="A563" s="183" t="str">
        <f>VLOOKUP(F563,数据集标准分类!A:G,7,0)</f>
        <v>02</v>
      </c>
      <c r="B563" s="183" t="str">
        <f>VLOOKUP(F563,数据集标准分类!A:F,6,0)</f>
        <v>电子病历</v>
      </c>
      <c r="C563" s="183" t="str">
        <f>VLOOKUP(F563,数据集标准分类!A:E,5,0)</f>
        <v>0206</v>
      </c>
      <c r="D563" s="183" t="str">
        <f>VLOOKUP(F563,数据集标准分类!A:D,4,0)</f>
        <v>手术麻醉记录</v>
      </c>
      <c r="E563" s="183" t="str">
        <f>VLOOKUP(F563,数据集标准分类!A:C,3,0)</f>
        <v>020601</v>
      </c>
      <c r="F563" s="170" t="s">
        <v>1582</v>
      </c>
      <c r="G563" s="183" t="str">
        <f>VLOOKUP(F563,数据集标准分类!A:B,2,0)</f>
        <v>general_operation_record</v>
      </c>
      <c r="H563" s="294">
        <f>VLOOKUP(F563,数据集标准分类!A:H,8,0)</f>
        <v>27</v>
      </c>
      <c r="I563" s="170" t="s">
        <v>1583</v>
      </c>
      <c r="J563" s="170" t="s">
        <v>1584</v>
      </c>
      <c r="K563" s="170" t="s">
        <v>1585</v>
      </c>
      <c r="L563" s="170" t="s">
        <v>1586</v>
      </c>
      <c r="M563" s="170" t="s">
        <v>1587</v>
      </c>
      <c r="N563" s="294">
        <v>1</v>
      </c>
      <c r="O563" s="170"/>
    </row>
    <row r="564" ht="15.75" customHeight="1" spans="1:15">
      <c r="A564" s="183" t="str">
        <f>VLOOKUP(F564,数据集标准分类!A:G,7,0)</f>
        <v>02</v>
      </c>
      <c r="B564" s="183" t="str">
        <f>VLOOKUP(F564,数据集标准分类!A:F,6,0)</f>
        <v>电子病历</v>
      </c>
      <c r="C564" s="183" t="str">
        <f>VLOOKUP(F564,数据集标准分类!A:E,5,0)</f>
        <v>0206</v>
      </c>
      <c r="D564" s="183" t="str">
        <f>VLOOKUP(F564,数据集标准分类!A:D,4,0)</f>
        <v>手术麻醉记录</v>
      </c>
      <c r="E564" s="183" t="str">
        <f>VLOOKUP(F564,数据集标准分类!A:C,3,0)</f>
        <v>020601</v>
      </c>
      <c r="F564" s="170" t="s">
        <v>1582</v>
      </c>
      <c r="G564" s="183" t="str">
        <f>VLOOKUP(F564,数据集标准分类!A:B,2,0)</f>
        <v>general_operation_record</v>
      </c>
      <c r="H564" s="294">
        <f>VLOOKUP(F564,数据集标准分类!A:H,8,0)</f>
        <v>27</v>
      </c>
      <c r="I564" s="170" t="s">
        <v>1588</v>
      </c>
      <c r="J564" s="170" t="s">
        <v>1589</v>
      </c>
      <c r="K564" s="170" t="s">
        <v>1590</v>
      </c>
      <c r="L564" s="170" t="s">
        <v>1591</v>
      </c>
      <c r="M564" s="170" t="s">
        <v>1445</v>
      </c>
      <c r="N564" s="294">
        <v>2</v>
      </c>
      <c r="O564" s="170"/>
    </row>
    <row r="565" ht="15.75" customHeight="1" spans="1:15">
      <c r="A565" s="183" t="str">
        <f>VLOOKUP(F565,数据集标准分类!A:G,7,0)</f>
        <v>02</v>
      </c>
      <c r="B565" s="183" t="str">
        <f>VLOOKUP(F565,数据集标准分类!A:F,6,0)</f>
        <v>电子病历</v>
      </c>
      <c r="C565" s="183" t="str">
        <f>VLOOKUP(F565,数据集标准分类!A:E,5,0)</f>
        <v>0206</v>
      </c>
      <c r="D565" s="183" t="str">
        <f>VLOOKUP(F565,数据集标准分类!A:D,4,0)</f>
        <v>手术麻醉记录</v>
      </c>
      <c r="E565" s="183" t="str">
        <f>VLOOKUP(F565,数据集标准分类!A:C,3,0)</f>
        <v>020601</v>
      </c>
      <c r="F565" s="170" t="s">
        <v>1582</v>
      </c>
      <c r="G565" s="183" t="str">
        <f>VLOOKUP(F565,数据集标准分类!A:B,2,0)</f>
        <v>general_operation_record</v>
      </c>
      <c r="H565" s="294">
        <f>VLOOKUP(F565,数据集标准分类!A:H,8,0)</f>
        <v>27</v>
      </c>
      <c r="I565" s="170" t="s">
        <v>1592</v>
      </c>
      <c r="J565" s="170" t="s">
        <v>1593</v>
      </c>
      <c r="K565" s="170" t="s">
        <v>1594</v>
      </c>
      <c r="L565" s="170" t="s">
        <v>1595</v>
      </c>
      <c r="M565" s="170" t="s">
        <v>1596</v>
      </c>
      <c r="N565" s="294">
        <v>3</v>
      </c>
      <c r="O565" s="170"/>
    </row>
    <row r="566" ht="15.75" customHeight="1" spans="1:15">
      <c r="A566" s="183" t="str">
        <f>VLOOKUP(F566,数据集标准分类!A:G,7,0)</f>
        <v>02</v>
      </c>
      <c r="B566" s="183" t="str">
        <f>VLOOKUP(F566,数据集标准分类!A:F,6,0)</f>
        <v>电子病历</v>
      </c>
      <c r="C566" s="183" t="str">
        <f>VLOOKUP(F566,数据集标准分类!A:E,5,0)</f>
        <v>0206</v>
      </c>
      <c r="D566" s="183" t="str">
        <f>VLOOKUP(F566,数据集标准分类!A:D,4,0)</f>
        <v>手术麻醉记录</v>
      </c>
      <c r="E566" s="183" t="str">
        <f>VLOOKUP(F566,数据集标准分类!A:C,3,0)</f>
        <v>020601</v>
      </c>
      <c r="F566" s="170" t="s">
        <v>1582</v>
      </c>
      <c r="G566" s="183" t="str">
        <f>VLOOKUP(F566,数据集标准分类!A:B,2,0)</f>
        <v>general_operation_record</v>
      </c>
      <c r="H566" s="294">
        <f>VLOOKUP(F566,数据集标准分类!A:H,8,0)</f>
        <v>27</v>
      </c>
      <c r="I566" s="170" t="s">
        <v>1597</v>
      </c>
      <c r="J566" s="170" t="s">
        <v>1598</v>
      </c>
      <c r="K566" s="170" t="s">
        <v>1599</v>
      </c>
      <c r="L566" s="170" t="s">
        <v>1600</v>
      </c>
      <c r="M566" s="170" t="s">
        <v>1601</v>
      </c>
      <c r="N566" s="294">
        <v>4</v>
      </c>
      <c r="O566" s="170"/>
    </row>
    <row r="567" ht="15.75" customHeight="1" spans="1:15">
      <c r="A567" s="183" t="str">
        <f>VLOOKUP(F567,数据集标准分类!A:G,7,0)</f>
        <v>02</v>
      </c>
      <c r="B567" s="183" t="str">
        <f>VLOOKUP(F567,数据集标准分类!A:F,6,0)</f>
        <v>电子病历</v>
      </c>
      <c r="C567" s="183" t="str">
        <f>VLOOKUP(F567,数据集标准分类!A:E,5,0)</f>
        <v>0206</v>
      </c>
      <c r="D567" s="183" t="str">
        <f>VLOOKUP(F567,数据集标准分类!A:D,4,0)</f>
        <v>手术麻醉记录</v>
      </c>
      <c r="E567" s="183" t="str">
        <f>VLOOKUP(F567,数据集标准分类!A:C,3,0)</f>
        <v>020601</v>
      </c>
      <c r="F567" s="170" t="s">
        <v>1582</v>
      </c>
      <c r="G567" s="183" t="str">
        <f>VLOOKUP(F567,数据集标准分类!A:B,2,0)</f>
        <v>general_operation_record</v>
      </c>
      <c r="H567" s="294">
        <f>VLOOKUP(F567,数据集标准分类!A:H,8,0)</f>
        <v>27</v>
      </c>
      <c r="I567" s="170" t="s">
        <v>192</v>
      </c>
      <c r="J567" s="170" t="s">
        <v>193</v>
      </c>
      <c r="K567" s="170" t="s">
        <v>194</v>
      </c>
      <c r="L567" s="170" t="s">
        <v>195</v>
      </c>
      <c r="M567" s="170" t="s">
        <v>385</v>
      </c>
      <c r="N567" s="294">
        <v>5</v>
      </c>
      <c r="O567" s="170"/>
    </row>
    <row r="568" ht="15.75" customHeight="1" spans="1:15">
      <c r="A568" s="183" t="str">
        <f>VLOOKUP(F568,数据集标准分类!A:G,7,0)</f>
        <v>02</v>
      </c>
      <c r="B568" s="183" t="str">
        <f>VLOOKUP(F568,数据集标准分类!A:F,6,0)</f>
        <v>电子病历</v>
      </c>
      <c r="C568" s="183" t="str">
        <f>VLOOKUP(F568,数据集标准分类!A:E,5,0)</f>
        <v>0206</v>
      </c>
      <c r="D568" s="183" t="str">
        <f>VLOOKUP(F568,数据集标准分类!A:D,4,0)</f>
        <v>手术麻醉记录</v>
      </c>
      <c r="E568" s="183" t="str">
        <f>VLOOKUP(F568,数据集标准分类!A:C,3,0)</f>
        <v>020601</v>
      </c>
      <c r="F568" s="170" t="s">
        <v>1582</v>
      </c>
      <c r="G568" s="183" t="str">
        <f>VLOOKUP(F568,数据集标准分类!A:B,2,0)</f>
        <v>general_operation_record</v>
      </c>
      <c r="H568" s="294">
        <f>VLOOKUP(F568,数据集标准分类!A:H,8,0)</f>
        <v>27</v>
      </c>
      <c r="I568" s="170" t="s">
        <v>396</v>
      </c>
      <c r="J568" s="170" t="s">
        <v>397</v>
      </c>
      <c r="K568" s="170" t="s">
        <v>398</v>
      </c>
      <c r="L568" s="170" t="s">
        <v>399</v>
      </c>
      <c r="M568" s="170" t="s">
        <v>1260</v>
      </c>
      <c r="N568" s="294">
        <v>6</v>
      </c>
      <c r="O568" s="170"/>
    </row>
    <row r="569" ht="15.75" customHeight="1" spans="1:15">
      <c r="A569" s="183" t="str">
        <f>VLOOKUP(F569,数据集标准分类!A:G,7,0)</f>
        <v>02</v>
      </c>
      <c r="B569" s="183" t="str">
        <f>VLOOKUP(F569,数据集标准分类!A:F,6,0)</f>
        <v>电子病历</v>
      </c>
      <c r="C569" s="183" t="str">
        <f>VLOOKUP(F569,数据集标准分类!A:E,5,0)</f>
        <v>0206</v>
      </c>
      <c r="D569" s="183" t="str">
        <f>VLOOKUP(F569,数据集标准分类!A:D,4,0)</f>
        <v>手术麻醉记录</v>
      </c>
      <c r="E569" s="183" t="str">
        <f>VLOOKUP(F569,数据集标准分类!A:C,3,0)</f>
        <v>020601</v>
      </c>
      <c r="F569" s="170" t="s">
        <v>1582</v>
      </c>
      <c r="G569" s="183" t="str">
        <f>VLOOKUP(F569,数据集标准分类!A:B,2,0)</f>
        <v>general_operation_record</v>
      </c>
      <c r="H569" s="294">
        <f>VLOOKUP(F569,数据集标准分类!A:H,8,0)</f>
        <v>27</v>
      </c>
      <c r="I569" s="170" t="s">
        <v>391</v>
      </c>
      <c r="J569" s="170" t="s">
        <v>392</v>
      </c>
      <c r="K569" s="170" t="s">
        <v>393</v>
      </c>
      <c r="L569" s="170" t="s">
        <v>394</v>
      </c>
      <c r="M569" s="170" t="s">
        <v>395</v>
      </c>
      <c r="N569" s="294">
        <v>7</v>
      </c>
      <c r="O569" s="170"/>
    </row>
    <row r="570" ht="15.75" customHeight="1" spans="1:15">
      <c r="A570" s="183" t="str">
        <f>VLOOKUP(F570,数据集标准分类!A:G,7,0)</f>
        <v>02</v>
      </c>
      <c r="B570" s="183" t="str">
        <f>VLOOKUP(F570,数据集标准分类!A:F,6,0)</f>
        <v>电子病历</v>
      </c>
      <c r="C570" s="183" t="str">
        <f>VLOOKUP(F570,数据集标准分类!A:E,5,0)</f>
        <v>0206</v>
      </c>
      <c r="D570" s="183" t="str">
        <f>VLOOKUP(F570,数据集标准分类!A:D,4,0)</f>
        <v>手术麻醉记录</v>
      </c>
      <c r="E570" s="183" t="str">
        <f>VLOOKUP(F570,数据集标准分类!A:C,3,0)</f>
        <v>020601</v>
      </c>
      <c r="F570" s="170" t="s">
        <v>1582</v>
      </c>
      <c r="G570" s="183" t="str">
        <f>VLOOKUP(F570,数据集标准分类!A:B,2,0)</f>
        <v>general_operation_record</v>
      </c>
      <c r="H570" s="294">
        <f>VLOOKUP(F570,数据集标准分类!A:H,8,0)</f>
        <v>27</v>
      </c>
      <c r="I570" s="170" t="s">
        <v>1261</v>
      </c>
      <c r="J570" s="170" t="s">
        <v>1262</v>
      </c>
      <c r="K570" s="170" t="s">
        <v>1263</v>
      </c>
      <c r="L570" s="170" t="s">
        <v>1264</v>
      </c>
      <c r="M570" s="170" t="s">
        <v>1429</v>
      </c>
      <c r="N570" s="294">
        <v>8</v>
      </c>
      <c r="O570" s="170"/>
    </row>
    <row r="571" ht="15.75" customHeight="1" spans="1:15">
      <c r="A571" s="183" t="str">
        <f>VLOOKUP(F571,数据集标准分类!A:G,7,0)</f>
        <v>02</v>
      </c>
      <c r="B571" s="183" t="str">
        <f>VLOOKUP(F571,数据集标准分类!A:F,6,0)</f>
        <v>电子病历</v>
      </c>
      <c r="C571" s="183" t="str">
        <f>VLOOKUP(F571,数据集标准分类!A:E,5,0)</f>
        <v>0206</v>
      </c>
      <c r="D571" s="183" t="str">
        <f>VLOOKUP(F571,数据集标准分类!A:D,4,0)</f>
        <v>手术麻醉记录</v>
      </c>
      <c r="E571" s="183" t="str">
        <f>VLOOKUP(F571,数据集标准分类!A:C,3,0)</f>
        <v>020601</v>
      </c>
      <c r="F571" s="170" t="s">
        <v>1582</v>
      </c>
      <c r="G571" s="183" t="str">
        <f>VLOOKUP(F571,数据集标准分类!A:B,2,0)</f>
        <v>general_operation_record</v>
      </c>
      <c r="H571" s="294">
        <f>VLOOKUP(F571,数据集标准分类!A:H,8,0)</f>
        <v>27</v>
      </c>
      <c r="I571" s="170" t="s">
        <v>1266</v>
      </c>
      <c r="J571" s="170" t="s">
        <v>1267</v>
      </c>
      <c r="K571" s="170" t="s">
        <v>1268</v>
      </c>
      <c r="L571" s="170" t="s">
        <v>1269</v>
      </c>
      <c r="M571" s="170" t="s">
        <v>1270</v>
      </c>
      <c r="N571" s="294">
        <v>9</v>
      </c>
      <c r="O571" s="170"/>
    </row>
    <row r="572" ht="15.75" customHeight="1" spans="1:15">
      <c r="A572" s="183" t="str">
        <f>VLOOKUP(F572,数据集标准分类!A:G,7,0)</f>
        <v>02</v>
      </c>
      <c r="B572" s="183" t="str">
        <f>VLOOKUP(F572,数据集标准分类!A:F,6,0)</f>
        <v>电子病历</v>
      </c>
      <c r="C572" s="183" t="str">
        <f>VLOOKUP(F572,数据集标准分类!A:E,5,0)</f>
        <v>0206</v>
      </c>
      <c r="D572" s="183" t="str">
        <f>VLOOKUP(F572,数据集标准分类!A:D,4,0)</f>
        <v>手术麻醉记录</v>
      </c>
      <c r="E572" s="183" t="str">
        <f>VLOOKUP(F572,数据集标准分类!A:C,3,0)</f>
        <v>020601</v>
      </c>
      <c r="F572" s="170" t="s">
        <v>1582</v>
      </c>
      <c r="G572" s="183" t="str">
        <f>VLOOKUP(F572,数据集标准分类!A:B,2,0)</f>
        <v>general_operation_record</v>
      </c>
      <c r="H572" s="294">
        <f>VLOOKUP(F572,数据集标准分类!A:H,8,0)</f>
        <v>27</v>
      </c>
      <c r="I572" s="170" t="s">
        <v>1602</v>
      </c>
      <c r="J572" s="170" t="s">
        <v>1603</v>
      </c>
      <c r="K572" s="170" t="s">
        <v>1604</v>
      </c>
      <c r="L572" s="170" t="s">
        <v>1605</v>
      </c>
      <c r="M572" s="170" t="s">
        <v>1606</v>
      </c>
      <c r="N572" s="294">
        <v>10</v>
      </c>
      <c r="O572" s="170"/>
    </row>
    <row r="573" ht="15.75" customHeight="1" spans="1:15">
      <c r="A573" s="183" t="str">
        <f>VLOOKUP(F573,数据集标准分类!A:G,7,0)</f>
        <v>02</v>
      </c>
      <c r="B573" s="183" t="str">
        <f>VLOOKUP(F573,数据集标准分类!A:F,6,0)</f>
        <v>电子病历</v>
      </c>
      <c r="C573" s="183" t="str">
        <f>VLOOKUP(F573,数据集标准分类!A:E,5,0)</f>
        <v>0206</v>
      </c>
      <c r="D573" s="183" t="str">
        <f>VLOOKUP(F573,数据集标准分类!A:D,4,0)</f>
        <v>手术麻醉记录</v>
      </c>
      <c r="E573" s="183" t="str">
        <f>VLOOKUP(F573,数据集标准分类!A:C,3,0)</f>
        <v>020601</v>
      </c>
      <c r="F573" s="170" t="s">
        <v>1582</v>
      </c>
      <c r="G573" s="183" t="str">
        <f>VLOOKUP(F573,数据集标准分类!A:B,2,0)</f>
        <v>general_operation_record</v>
      </c>
      <c r="H573" s="294">
        <f>VLOOKUP(F573,数据集标准分类!A:H,8,0)</f>
        <v>27</v>
      </c>
      <c r="I573" s="170" t="s">
        <v>1435</v>
      </c>
      <c r="J573" s="170" t="s">
        <v>1436</v>
      </c>
      <c r="K573" s="170" t="s">
        <v>1437</v>
      </c>
      <c r="L573" s="170" t="s">
        <v>1438</v>
      </c>
      <c r="M573" s="170" t="s">
        <v>1439</v>
      </c>
      <c r="N573" s="294">
        <v>11</v>
      </c>
      <c r="O573" s="170"/>
    </row>
    <row r="574" ht="15.75" customHeight="1" spans="1:15">
      <c r="A574" s="183" t="str">
        <f>VLOOKUP(F574,数据集标准分类!A:G,7,0)</f>
        <v>02</v>
      </c>
      <c r="B574" s="183" t="str">
        <f>VLOOKUP(F574,数据集标准分类!A:F,6,0)</f>
        <v>电子病历</v>
      </c>
      <c r="C574" s="183" t="str">
        <f>VLOOKUP(F574,数据集标准分类!A:E,5,0)</f>
        <v>0206</v>
      </c>
      <c r="D574" s="183" t="str">
        <f>VLOOKUP(F574,数据集标准分类!A:D,4,0)</f>
        <v>手术麻醉记录</v>
      </c>
      <c r="E574" s="183" t="str">
        <f>VLOOKUP(F574,数据集标准分类!A:C,3,0)</f>
        <v>020601</v>
      </c>
      <c r="F574" s="170" t="s">
        <v>1582</v>
      </c>
      <c r="G574" s="183" t="str">
        <f>VLOOKUP(F574,数据集标准分类!A:B,2,0)</f>
        <v>general_operation_record</v>
      </c>
      <c r="H574" s="294">
        <f>VLOOKUP(F574,数据集标准分类!A:H,8,0)</f>
        <v>27</v>
      </c>
      <c r="I574" s="170" t="s">
        <v>1607</v>
      </c>
      <c r="J574" s="170" t="s">
        <v>1608</v>
      </c>
      <c r="K574" s="170" t="s">
        <v>1609</v>
      </c>
      <c r="L574" s="170" t="s">
        <v>1610</v>
      </c>
      <c r="M574" s="170" t="s">
        <v>1611</v>
      </c>
      <c r="N574" s="294">
        <v>12</v>
      </c>
      <c r="O574" s="170"/>
    </row>
    <row r="575" ht="15.75" customHeight="1" spans="1:15">
      <c r="A575" s="183" t="str">
        <f>VLOOKUP(F575,数据集标准分类!A:G,7,0)</f>
        <v>02</v>
      </c>
      <c r="B575" s="183" t="str">
        <f>VLOOKUP(F575,数据集标准分类!A:F,6,0)</f>
        <v>电子病历</v>
      </c>
      <c r="C575" s="183" t="str">
        <f>VLOOKUP(F575,数据集标准分类!A:E,5,0)</f>
        <v>0206</v>
      </c>
      <c r="D575" s="183" t="str">
        <f>VLOOKUP(F575,数据集标准分类!A:D,4,0)</f>
        <v>手术麻醉记录</v>
      </c>
      <c r="E575" s="183" t="str">
        <f>VLOOKUP(F575,数据集标准分类!A:C,3,0)</f>
        <v>020601</v>
      </c>
      <c r="F575" s="170" t="s">
        <v>1582</v>
      </c>
      <c r="G575" s="183" t="str">
        <f>VLOOKUP(F575,数据集标准分类!A:B,2,0)</f>
        <v>general_operation_record</v>
      </c>
      <c r="H575" s="294">
        <f>VLOOKUP(F575,数据集标准分类!A:H,8,0)</f>
        <v>27</v>
      </c>
      <c r="I575" s="170" t="s">
        <v>1612</v>
      </c>
      <c r="J575" s="170" t="s">
        <v>1613</v>
      </c>
      <c r="K575" s="170" t="s">
        <v>1614</v>
      </c>
      <c r="L575" s="170" t="s">
        <v>1615</v>
      </c>
      <c r="M575" s="170" t="s">
        <v>1616</v>
      </c>
      <c r="N575" s="294">
        <v>13</v>
      </c>
      <c r="O575" s="170"/>
    </row>
    <row r="576" ht="15.75" customHeight="1" spans="1:15">
      <c r="A576" s="183" t="str">
        <f>VLOOKUP(F576,数据集标准分类!A:G,7,0)</f>
        <v>02</v>
      </c>
      <c r="B576" s="183" t="str">
        <f>VLOOKUP(F576,数据集标准分类!A:F,6,0)</f>
        <v>电子病历</v>
      </c>
      <c r="C576" s="183" t="str">
        <f>VLOOKUP(F576,数据集标准分类!A:E,5,0)</f>
        <v>0206</v>
      </c>
      <c r="D576" s="183" t="str">
        <f>VLOOKUP(F576,数据集标准分类!A:D,4,0)</f>
        <v>手术麻醉记录</v>
      </c>
      <c r="E576" s="183" t="str">
        <f>VLOOKUP(F576,数据集标准分类!A:C,3,0)</f>
        <v>020601</v>
      </c>
      <c r="F576" s="170" t="s">
        <v>1582</v>
      </c>
      <c r="G576" s="183" t="str">
        <f>VLOOKUP(F576,数据集标准分类!A:B,2,0)</f>
        <v>general_operation_record</v>
      </c>
      <c r="H576" s="294">
        <f>VLOOKUP(F576,数据集标准分类!A:H,8,0)</f>
        <v>27</v>
      </c>
      <c r="I576" s="170" t="s">
        <v>1617</v>
      </c>
      <c r="J576" s="170" t="s">
        <v>1618</v>
      </c>
      <c r="K576" s="170" t="s">
        <v>1619</v>
      </c>
      <c r="L576" s="170" t="s">
        <v>1620</v>
      </c>
      <c r="M576" s="170" t="s">
        <v>1621</v>
      </c>
      <c r="N576" s="294">
        <v>14</v>
      </c>
      <c r="O576" s="170"/>
    </row>
    <row r="577" ht="15.75" customHeight="1" spans="1:15">
      <c r="A577" s="183" t="str">
        <f>VLOOKUP(F577,数据集标准分类!A:G,7,0)</f>
        <v>02</v>
      </c>
      <c r="B577" s="183" t="str">
        <f>VLOOKUP(F577,数据集标准分类!A:F,6,0)</f>
        <v>电子病历</v>
      </c>
      <c r="C577" s="183" t="str">
        <f>VLOOKUP(F577,数据集标准分类!A:E,5,0)</f>
        <v>0206</v>
      </c>
      <c r="D577" s="183" t="str">
        <f>VLOOKUP(F577,数据集标准分类!A:D,4,0)</f>
        <v>手术麻醉记录</v>
      </c>
      <c r="E577" s="183" t="str">
        <f>VLOOKUP(F577,数据集标准分类!A:C,3,0)</f>
        <v>020601</v>
      </c>
      <c r="F577" s="170" t="s">
        <v>1582</v>
      </c>
      <c r="G577" s="183" t="str">
        <f>VLOOKUP(F577,数据集标准分类!A:B,2,0)</f>
        <v>general_operation_record</v>
      </c>
      <c r="H577" s="294">
        <f>VLOOKUP(F577,数据集标准分类!A:H,8,0)</f>
        <v>27</v>
      </c>
      <c r="I577" s="170" t="s">
        <v>1622</v>
      </c>
      <c r="J577" s="170" t="s">
        <v>1623</v>
      </c>
      <c r="K577" s="170" t="s">
        <v>1624</v>
      </c>
      <c r="L577" s="170" t="s">
        <v>1625</v>
      </c>
      <c r="M577" s="170" t="s">
        <v>1626</v>
      </c>
      <c r="N577" s="294">
        <v>15</v>
      </c>
      <c r="O577" s="170"/>
    </row>
    <row r="578" ht="15.75" customHeight="1" spans="1:15">
      <c r="A578" s="183" t="str">
        <f>VLOOKUP(F578,数据集标准分类!A:G,7,0)</f>
        <v>02</v>
      </c>
      <c r="B578" s="183" t="str">
        <f>VLOOKUP(F578,数据集标准分类!A:F,6,0)</f>
        <v>电子病历</v>
      </c>
      <c r="C578" s="183" t="str">
        <f>VLOOKUP(F578,数据集标准分类!A:E,5,0)</f>
        <v>0206</v>
      </c>
      <c r="D578" s="183" t="str">
        <f>VLOOKUP(F578,数据集标准分类!A:D,4,0)</f>
        <v>手术麻醉记录</v>
      </c>
      <c r="E578" s="183" t="str">
        <f>VLOOKUP(F578,数据集标准分类!A:C,3,0)</f>
        <v>020601</v>
      </c>
      <c r="F578" s="170" t="s">
        <v>1582</v>
      </c>
      <c r="G578" s="183" t="str">
        <f>VLOOKUP(F578,数据集标准分类!A:B,2,0)</f>
        <v>general_operation_record</v>
      </c>
      <c r="H578" s="294">
        <f>VLOOKUP(F578,数据集标准分类!A:H,8,0)</f>
        <v>27</v>
      </c>
      <c r="I578" s="170" t="s">
        <v>1627</v>
      </c>
      <c r="J578" s="170" t="s">
        <v>1628</v>
      </c>
      <c r="K578" s="170" t="s">
        <v>1629</v>
      </c>
      <c r="L578" s="170" t="s">
        <v>1630</v>
      </c>
      <c r="M578" s="170" t="s">
        <v>1631</v>
      </c>
      <c r="N578" s="294">
        <v>16</v>
      </c>
      <c r="O578" s="170"/>
    </row>
    <row r="579" ht="15.75" customHeight="1" spans="1:15">
      <c r="A579" s="183" t="str">
        <f>VLOOKUP(F579,数据集标准分类!A:G,7,0)</f>
        <v>02</v>
      </c>
      <c r="B579" s="183" t="str">
        <f>VLOOKUP(F579,数据集标准分类!A:F,6,0)</f>
        <v>电子病历</v>
      </c>
      <c r="C579" s="183" t="str">
        <f>VLOOKUP(F579,数据集标准分类!A:E,5,0)</f>
        <v>0206</v>
      </c>
      <c r="D579" s="183" t="str">
        <f>VLOOKUP(F579,数据集标准分类!A:D,4,0)</f>
        <v>手术麻醉记录</v>
      </c>
      <c r="E579" s="183" t="str">
        <f>VLOOKUP(F579,数据集标准分类!A:C,3,0)</f>
        <v>020601</v>
      </c>
      <c r="F579" s="170" t="s">
        <v>1582</v>
      </c>
      <c r="G579" s="183" t="str">
        <f>VLOOKUP(F579,数据集标准分类!A:B,2,0)</f>
        <v>general_operation_record</v>
      </c>
      <c r="H579" s="294">
        <f>VLOOKUP(F579,数据集标准分类!A:H,8,0)</f>
        <v>27</v>
      </c>
      <c r="I579" s="170" t="s">
        <v>1632</v>
      </c>
      <c r="J579" s="170" t="s">
        <v>1633</v>
      </c>
      <c r="K579" s="170" t="s">
        <v>1634</v>
      </c>
      <c r="L579" s="170" t="s">
        <v>1635</v>
      </c>
      <c r="M579" s="170" t="s">
        <v>1636</v>
      </c>
      <c r="N579" s="294">
        <v>17</v>
      </c>
      <c r="O579" s="170"/>
    </row>
    <row r="580" ht="15.75" customHeight="1" spans="1:15">
      <c r="A580" s="183" t="str">
        <f>VLOOKUP(F580,数据集标准分类!A:G,7,0)</f>
        <v>02</v>
      </c>
      <c r="B580" s="183" t="str">
        <f>VLOOKUP(F580,数据集标准分类!A:F,6,0)</f>
        <v>电子病历</v>
      </c>
      <c r="C580" s="183" t="str">
        <f>VLOOKUP(F580,数据集标准分类!A:E,5,0)</f>
        <v>0206</v>
      </c>
      <c r="D580" s="183" t="str">
        <f>VLOOKUP(F580,数据集标准分类!A:D,4,0)</f>
        <v>手术麻醉记录</v>
      </c>
      <c r="E580" s="183" t="str">
        <f>VLOOKUP(F580,数据集标准分类!A:C,3,0)</f>
        <v>020601</v>
      </c>
      <c r="F580" s="170" t="s">
        <v>1582</v>
      </c>
      <c r="G580" s="183" t="str">
        <f>VLOOKUP(F580,数据集标准分类!A:B,2,0)</f>
        <v>general_operation_record</v>
      </c>
      <c r="H580" s="294">
        <f>VLOOKUP(F580,数据集标准分类!A:H,8,0)</f>
        <v>27</v>
      </c>
      <c r="I580" s="170" t="s">
        <v>1359</v>
      </c>
      <c r="J580" s="170" t="s">
        <v>1360</v>
      </c>
      <c r="K580" s="170" t="s">
        <v>1361</v>
      </c>
      <c r="L580" s="170" t="s">
        <v>1362</v>
      </c>
      <c r="M580" s="170" t="s">
        <v>1363</v>
      </c>
      <c r="N580" s="294">
        <v>18</v>
      </c>
      <c r="O580" s="170"/>
    </row>
    <row r="581" ht="15.75" customHeight="1" spans="1:15">
      <c r="A581" s="183" t="str">
        <f>VLOOKUP(F581,数据集标准分类!A:G,7,0)</f>
        <v>02</v>
      </c>
      <c r="B581" s="183" t="str">
        <f>VLOOKUP(F581,数据集标准分类!A:F,6,0)</f>
        <v>电子病历</v>
      </c>
      <c r="C581" s="183" t="str">
        <f>VLOOKUP(F581,数据集标准分类!A:E,5,0)</f>
        <v>0206</v>
      </c>
      <c r="D581" s="183" t="str">
        <f>VLOOKUP(F581,数据集标准分类!A:D,4,0)</f>
        <v>手术麻醉记录</v>
      </c>
      <c r="E581" s="183" t="str">
        <f>VLOOKUP(F581,数据集标准分类!A:C,3,0)</f>
        <v>020601</v>
      </c>
      <c r="F581" s="170" t="s">
        <v>1582</v>
      </c>
      <c r="G581" s="183" t="str">
        <f>VLOOKUP(F581,数据集标准分类!A:B,2,0)</f>
        <v>general_operation_record</v>
      </c>
      <c r="H581" s="294">
        <f>VLOOKUP(F581,数据集标准分类!A:H,8,0)</f>
        <v>27</v>
      </c>
      <c r="I581" s="170" t="s">
        <v>1637</v>
      </c>
      <c r="J581" s="170" t="s">
        <v>1638</v>
      </c>
      <c r="K581" s="170" t="s">
        <v>1639</v>
      </c>
      <c r="L581" s="170" t="s">
        <v>1640</v>
      </c>
      <c r="M581" s="170" t="s">
        <v>1641</v>
      </c>
      <c r="N581" s="294">
        <v>19</v>
      </c>
      <c r="O581" s="170"/>
    </row>
    <row r="582" ht="15.75" customHeight="1" spans="1:15">
      <c r="A582" s="183" t="str">
        <f>VLOOKUP(F582,数据集标准分类!A:G,7,0)</f>
        <v>02</v>
      </c>
      <c r="B582" s="183" t="str">
        <f>VLOOKUP(F582,数据集标准分类!A:F,6,0)</f>
        <v>电子病历</v>
      </c>
      <c r="C582" s="183" t="str">
        <f>VLOOKUP(F582,数据集标准分类!A:E,5,0)</f>
        <v>0206</v>
      </c>
      <c r="D582" s="183" t="str">
        <f>VLOOKUP(F582,数据集标准分类!A:D,4,0)</f>
        <v>手术麻醉记录</v>
      </c>
      <c r="E582" s="183" t="str">
        <f>VLOOKUP(F582,数据集标准分类!A:C,3,0)</f>
        <v>020601</v>
      </c>
      <c r="F582" s="170" t="s">
        <v>1582</v>
      </c>
      <c r="G582" s="183" t="str">
        <f>VLOOKUP(F582,数据集标准分类!A:B,2,0)</f>
        <v>general_operation_record</v>
      </c>
      <c r="H582" s="294">
        <f>VLOOKUP(F582,数据集标准分类!A:H,8,0)</f>
        <v>27</v>
      </c>
      <c r="I582" s="170" t="s">
        <v>1642</v>
      </c>
      <c r="J582" s="170" t="s">
        <v>1643</v>
      </c>
      <c r="K582" s="170" t="s">
        <v>1644</v>
      </c>
      <c r="L582" s="170" t="s">
        <v>1645</v>
      </c>
      <c r="M582" s="170" t="s">
        <v>1646</v>
      </c>
      <c r="N582" s="294">
        <v>20</v>
      </c>
      <c r="O582" s="170"/>
    </row>
    <row r="583" ht="15.75" customHeight="1" spans="1:15">
      <c r="A583" s="183" t="str">
        <f>VLOOKUP(F583,数据集标准分类!A:G,7,0)</f>
        <v>02</v>
      </c>
      <c r="B583" s="183" t="str">
        <f>VLOOKUP(F583,数据集标准分类!A:F,6,0)</f>
        <v>电子病历</v>
      </c>
      <c r="C583" s="183" t="str">
        <f>VLOOKUP(F583,数据集标准分类!A:E,5,0)</f>
        <v>0206</v>
      </c>
      <c r="D583" s="183" t="str">
        <f>VLOOKUP(F583,数据集标准分类!A:D,4,0)</f>
        <v>手术麻醉记录</v>
      </c>
      <c r="E583" s="183" t="str">
        <f>VLOOKUP(F583,数据集标准分类!A:C,3,0)</f>
        <v>020601</v>
      </c>
      <c r="F583" s="170" t="s">
        <v>1582</v>
      </c>
      <c r="G583" s="183" t="str">
        <f>VLOOKUP(F583,数据集标准分类!A:B,2,0)</f>
        <v>general_operation_record</v>
      </c>
      <c r="H583" s="294">
        <f>VLOOKUP(F583,数据集标准分类!A:H,8,0)</f>
        <v>27</v>
      </c>
      <c r="I583" s="170" t="s">
        <v>1647</v>
      </c>
      <c r="J583" s="170" t="s">
        <v>1648</v>
      </c>
      <c r="K583" s="170" t="s">
        <v>1649</v>
      </c>
      <c r="L583" s="170" t="s">
        <v>1650</v>
      </c>
      <c r="M583" s="170" t="s">
        <v>1651</v>
      </c>
      <c r="N583" s="294">
        <v>21</v>
      </c>
      <c r="O583" s="170"/>
    </row>
    <row r="584" ht="15.75" customHeight="1" spans="1:15">
      <c r="A584" s="183" t="str">
        <f>VLOOKUP(F584,数据集标准分类!A:G,7,0)</f>
        <v>02</v>
      </c>
      <c r="B584" s="183" t="str">
        <f>VLOOKUP(F584,数据集标准分类!A:F,6,0)</f>
        <v>电子病历</v>
      </c>
      <c r="C584" s="183" t="str">
        <f>VLOOKUP(F584,数据集标准分类!A:E,5,0)</f>
        <v>0206</v>
      </c>
      <c r="D584" s="183" t="str">
        <f>VLOOKUP(F584,数据集标准分类!A:D,4,0)</f>
        <v>手术麻醉记录</v>
      </c>
      <c r="E584" s="183" t="str">
        <f>VLOOKUP(F584,数据集标准分类!A:C,3,0)</f>
        <v>020601</v>
      </c>
      <c r="F584" s="170" t="s">
        <v>1582</v>
      </c>
      <c r="G584" s="183" t="str">
        <f>VLOOKUP(F584,数据集标准分类!A:B,2,0)</f>
        <v>general_operation_record</v>
      </c>
      <c r="H584" s="294">
        <f>VLOOKUP(F584,数据集标准分类!A:H,8,0)</f>
        <v>27</v>
      </c>
      <c r="I584" s="170" t="s">
        <v>1652</v>
      </c>
      <c r="J584" s="170" t="s">
        <v>1653</v>
      </c>
      <c r="K584" s="170" t="s">
        <v>1654</v>
      </c>
      <c r="L584" s="170" t="s">
        <v>1655</v>
      </c>
      <c r="M584" s="170" t="s">
        <v>1656</v>
      </c>
      <c r="N584" s="294">
        <v>22</v>
      </c>
      <c r="O584" s="170"/>
    </row>
    <row r="585" ht="15.75" customHeight="1" spans="1:15">
      <c r="A585" s="183" t="str">
        <f>VLOOKUP(F585,数据集标准分类!A:G,7,0)</f>
        <v>02</v>
      </c>
      <c r="B585" s="183" t="str">
        <f>VLOOKUP(F585,数据集标准分类!A:F,6,0)</f>
        <v>电子病历</v>
      </c>
      <c r="C585" s="183" t="str">
        <f>VLOOKUP(F585,数据集标准分类!A:E,5,0)</f>
        <v>0206</v>
      </c>
      <c r="D585" s="183" t="str">
        <f>VLOOKUP(F585,数据集标准分类!A:D,4,0)</f>
        <v>手术麻醉记录</v>
      </c>
      <c r="E585" s="183" t="str">
        <f>VLOOKUP(F585,数据集标准分类!A:C,3,0)</f>
        <v>020601</v>
      </c>
      <c r="F585" s="170" t="s">
        <v>1582</v>
      </c>
      <c r="G585" s="183" t="str">
        <f>VLOOKUP(F585,数据集标准分类!A:B,2,0)</f>
        <v>general_operation_record</v>
      </c>
      <c r="H585" s="294">
        <f>VLOOKUP(F585,数据集标准分类!A:H,8,0)</f>
        <v>27</v>
      </c>
      <c r="I585" s="170" t="s">
        <v>1657</v>
      </c>
      <c r="J585" s="170" t="s">
        <v>1658</v>
      </c>
      <c r="K585" s="170" t="s">
        <v>1659</v>
      </c>
      <c r="L585" s="170" t="s">
        <v>1660</v>
      </c>
      <c r="M585" s="170" t="s">
        <v>1661</v>
      </c>
      <c r="N585" s="294">
        <v>23</v>
      </c>
      <c r="O585" s="170"/>
    </row>
    <row r="586" ht="15.75" customHeight="1" spans="1:15">
      <c r="A586" s="183" t="str">
        <f>VLOOKUP(F586,数据集标准分类!A:G,7,0)</f>
        <v>02</v>
      </c>
      <c r="B586" s="183" t="str">
        <f>VLOOKUP(F586,数据集标准分类!A:F,6,0)</f>
        <v>电子病历</v>
      </c>
      <c r="C586" s="183" t="str">
        <f>VLOOKUP(F586,数据集标准分类!A:E,5,0)</f>
        <v>0206</v>
      </c>
      <c r="D586" s="183" t="str">
        <f>VLOOKUP(F586,数据集标准分类!A:D,4,0)</f>
        <v>手术麻醉记录</v>
      </c>
      <c r="E586" s="183" t="str">
        <f>VLOOKUP(F586,数据集标准分类!A:C,3,0)</f>
        <v>020601</v>
      </c>
      <c r="F586" s="170" t="s">
        <v>1582</v>
      </c>
      <c r="G586" s="183" t="str">
        <f>VLOOKUP(F586,数据集标准分类!A:B,2,0)</f>
        <v>general_operation_record</v>
      </c>
      <c r="H586" s="294">
        <f>VLOOKUP(F586,数据集标准分类!A:H,8,0)</f>
        <v>27</v>
      </c>
      <c r="I586" s="170" t="s">
        <v>1369</v>
      </c>
      <c r="J586" s="170" t="s">
        <v>1370</v>
      </c>
      <c r="K586" s="170" t="s">
        <v>1371</v>
      </c>
      <c r="L586" s="170" t="s">
        <v>1372</v>
      </c>
      <c r="M586" s="170" t="s">
        <v>1373</v>
      </c>
      <c r="N586" s="294">
        <v>24</v>
      </c>
      <c r="O586" s="170"/>
    </row>
    <row r="587" ht="15.75" customHeight="1" spans="1:15">
      <c r="A587" s="183" t="str">
        <f>VLOOKUP(F587,数据集标准分类!A:G,7,0)</f>
        <v>02</v>
      </c>
      <c r="B587" s="183" t="str">
        <f>VLOOKUP(F587,数据集标准分类!A:F,6,0)</f>
        <v>电子病历</v>
      </c>
      <c r="C587" s="183" t="str">
        <f>VLOOKUP(F587,数据集标准分类!A:E,5,0)</f>
        <v>0206</v>
      </c>
      <c r="D587" s="183" t="str">
        <f>VLOOKUP(F587,数据集标准分类!A:D,4,0)</f>
        <v>手术麻醉记录</v>
      </c>
      <c r="E587" s="183" t="str">
        <f>VLOOKUP(F587,数据集标准分类!A:C,3,0)</f>
        <v>020601</v>
      </c>
      <c r="F587" s="170" t="s">
        <v>1582</v>
      </c>
      <c r="G587" s="183" t="str">
        <f>VLOOKUP(F587,数据集标准分类!A:B,2,0)</f>
        <v>general_operation_record</v>
      </c>
      <c r="H587" s="294">
        <f>VLOOKUP(F587,数据集标准分类!A:H,8,0)</f>
        <v>27</v>
      </c>
      <c r="I587" s="170" t="s">
        <v>245</v>
      </c>
      <c r="J587" s="170" t="s">
        <v>246</v>
      </c>
      <c r="K587" s="170" t="s">
        <v>247</v>
      </c>
      <c r="L587" s="170" t="s">
        <v>248</v>
      </c>
      <c r="M587" s="170" t="s">
        <v>249</v>
      </c>
      <c r="N587" s="294">
        <v>25</v>
      </c>
      <c r="O587" s="170"/>
    </row>
    <row r="588" ht="15.75" customHeight="1" spans="1:15">
      <c r="A588" s="183" t="str">
        <f>VLOOKUP(F588,数据集标准分类!A:G,7,0)</f>
        <v>02</v>
      </c>
      <c r="B588" s="183" t="str">
        <f>VLOOKUP(F588,数据集标准分类!A:F,6,0)</f>
        <v>电子病历</v>
      </c>
      <c r="C588" s="183" t="str">
        <f>VLOOKUP(F588,数据集标准分类!A:E,5,0)</f>
        <v>0206</v>
      </c>
      <c r="D588" s="183" t="str">
        <f>VLOOKUP(F588,数据集标准分类!A:D,4,0)</f>
        <v>手术麻醉记录</v>
      </c>
      <c r="E588" s="183" t="str">
        <f>VLOOKUP(F588,数据集标准分类!A:C,3,0)</f>
        <v>020601</v>
      </c>
      <c r="F588" s="170" t="s">
        <v>1582</v>
      </c>
      <c r="G588" s="183" t="str">
        <f>VLOOKUP(F588,数据集标准分类!A:B,2,0)</f>
        <v>general_operation_record</v>
      </c>
      <c r="H588" s="294">
        <f>VLOOKUP(F588,数据集标准分类!A:H,8,0)</f>
        <v>27</v>
      </c>
      <c r="I588" s="170" t="s">
        <v>401</v>
      </c>
      <c r="J588" s="170" t="s">
        <v>402</v>
      </c>
      <c r="K588" s="170" t="s">
        <v>403</v>
      </c>
      <c r="L588" s="170" t="s">
        <v>404</v>
      </c>
      <c r="M588" s="170" t="s">
        <v>405</v>
      </c>
      <c r="N588" s="294">
        <v>26</v>
      </c>
      <c r="O588" s="170"/>
    </row>
    <row r="589" ht="15.75" customHeight="1" spans="1:15">
      <c r="A589" s="183" t="str">
        <f>VLOOKUP(F589,数据集标准分类!A:G,7,0)</f>
        <v>02</v>
      </c>
      <c r="B589" s="183" t="str">
        <f>VLOOKUP(F589,数据集标准分类!A:F,6,0)</f>
        <v>电子病历</v>
      </c>
      <c r="C589" s="183" t="str">
        <f>VLOOKUP(F589,数据集标准分类!A:E,5,0)</f>
        <v>0206</v>
      </c>
      <c r="D589" s="183" t="str">
        <f>VLOOKUP(F589,数据集标准分类!A:D,4,0)</f>
        <v>手术麻醉记录</v>
      </c>
      <c r="E589" s="183" t="str">
        <f>VLOOKUP(F589,数据集标准分类!A:C,3,0)</f>
        <v>020601</v>
      </c>
      <c r="F589" s="170" t="s">
        <v>1582</v>
      </c>
      <c r="G589" s="183" t="str">
        <f>VLOOKUP(F589,数据集标准分类!A:B,2,0)</f>
        <v>general_operation_record</v>
      </c>
      <c r="H589" s="294">
        <f>VLOOKUP(F589,数据集标准分类!A:H,8,0)</f>
        <v>27</v>
      </c>
      <c r="I589" s="170" t="s">
        <v>406</v>
      </c>
      <c r="J589" s="170" t="s">
        <v>407</v>
      </c>
      <c r="K589" s="170" t="s">
        <v>408</v>
      </c>
      <c r="L589" s="170" t="s">
        <v>409</v>
      </c>
      <c r="M589" s="170" t="s">
        <v>410</v>
      </c>
      <c r="N589" s="294">
        <v>27</v>
      </c>
      <c r="O589" s="170"/>
    </row>
    <row r="590" ht="15.75" customHeight="1" spans="1:15">
      <c r="A590" s="183" t="str">
        <f>VLOOKUP(F590,数据集标准分类!A:G,7,0)</f>
        <v>02</v>
      </c>
      <c r="B590" s="183" t="str">
        <f>VLOOKUP(F590,数据集标准分类!A:F,6,0)</f>
        <v>电子病历</v>
      </c>
      <c r="C590" s="183" t="str">
        <f>VLOOKUP(F590,数据集标准分类!A:E,5,0)</f>
        <v>0206</v>
      </c>
      <c r="D590" s="183" t="str">
        <f>VLOOKUP(F590,数据集标准分类!A:D,4,0)</f>
        <v>手术麻醉记录</v>
      </c>
      <c r="E590" s="183" t="str">
        <f>VLOOKUP(F590,数据集标准分类!A:C,3,0)</f>
        <v>020601</v>
      </c>
      <c r="F590" s="170" t="s">
        <v>1582</v>
      </c>
      <c r="G590" s="183" t="str">
        <f>VLOOKUP(F590,数据集标准分类!A:B,2,0)</f>
        <v>general_operation_record</v>
      </c>
      <c r="H590" s="294">
        <f>VLOOKUP(F590,数据集标准分类!A:H,8,0)</f>
        <v>27</v>
      </c>
      <c r="I590" s="170" t="s">
        <v>421</v>
      </c>
      <c r="J590" s="170" t="s">
        <v>422</v>
      </c>
      <c r="K590" s="170" t="s">
        <v>423</v>
      </c>
      <c r="L590" s="170" t="s">
        <v>424</v>
      </c>
      <c r="M590" s="170" t="s">
        <v>425</v>
      </c>
      <c r="N590" s="294">
        <v>28</v>
      </c>
      <c r="O590" s="170"/>
    </row>
    <row r="591" ht="15.75" customHeight="1" spans="1:15">
      <c r="A591" s="183" t="str">
        <f>VLOOKUP(F591,数据集标准分类!A:G,7,0)</f>
        <v>02</v>
      </c>
      <c r="B591" s="183" t="str">
        <f>VLOOKUP(F591,数据集标准分类!A:F,6,0)</f>
        <v>电子病历</v>
      </c>
      <c r="C591" s="183" t="str">
        <f>VLOOKUP(F591,数据集标准分类!A:E,5,0)</f>
        <v>0206</v>
      </c>
      <c r="D591" s="183" t="str">
        <f>VLOOKUP(F591,数据集标准分类!A:D,4,0)</f>
        <v>手术麻醉记录</v>
      </c>
      <c r="E591" s="183" t="str">
        <f>VLOOKUP(F591,数据集标准分类!A:C,3,0)</f>
        <v>020601</v>
      </c>
      <c r="F591" s="170" t="s">
        <v>1582</v>
      </c>
      <c r="G591" s="183" t="str">
        <f>VLOOKUP(F591,数据集标准分类!A:B,2,0)</f>
        <v>general_operation_record</v>
      </c>
      <c r="H591" s="294">
        <f>VLOOKUP(F591,数据集标准分类!A:H,8,0)</f>
        <v>27</v>
      </c>
      <c r="I591" s="170" t="s">
        <v>411</v>
      </c>
      <c r="J591" s="170" t="s">
        <v>412</v>
      </c>
      <c r="K591" s="170" t="s">
        <v>413</v>
      </c>
      <c r="L591" s="170" t="s">
        <v>414</v>
      </c>
      <c r="M591" s="170"/>
      <c r="N591" s="294">
        <v>29</v>
      </c>
      <c r="O591" s="170"/>
    </row>
    <row r="592" ht="15.75" customHeight="1" spans="1:15">
      <c r="A592" s="183" t="str">
        <f>VLOOKUP(F592,数据集标准分类!A:G,7,0)</f>
        <v>02</v>
      </c>
      <c r="B592" s="183" t="str">
        <f>VLOOKUP(F592,数据集标准分类!A:F,6,0)</f>
        <v>电子病历</v>
      </c>
      <c r="C592" s="183" t="str">
        <f>VLOOKUP(F592,数据集标准分类!A:E,5,0)</f>
        <v>0206</v>
      </c>
      <c r="D592" s="183" t="str">
        <f>VLOOKUP(F592,数据集标准分类!A:D,4,0)</f>
        <v>手术麻醉记录</v>
      </c>
      <c r="E592" s="183" t="str">
        <f>VLOOKUP(F592,数据集标准分类!A:C,3,0)</f>
        <v>020601</v>
      </c>
      <c r="F592" s="170" t="s">
        <v>1582</v>
      </c>
      <c r="G592" s="183" t="str">
        <f>VLOOKUP(F592,数据集标准分类!A:B,2,0)</f>
        <v>general_operation_record</v>
      </c>
      <c r="H592" s="294">
        <f>VLOOKUP(F592,数据集标准分类!A:H,8,0)</f>
        <v>27</v>
      </c>
      <c r="I592" s="170" t="s">
        <v>416</v>
      </c>
      <c r="J592" s="170" t="s">
        <v>417</v>
      </c>
      <c r="K592" s="170" t="s">
        <v>418</v>
      </c>
      <c r="L592" s="170" t="s">
        <v>419</v>
      </c>
      <c r="M592" s="170"/>
      <c r="N592" s="294">
        <v>30</v>
      </c>
      <c r="O592" s="170"/>
    </row>
    <row r="593" ht="15.75" customHeight="1" spans="1:15">
      <c r="A593" s="183" t="str">
        <f>VLOOKUP(F593,数据集标准分类!A:G,7,0)</f>
        <v>02</v>
      </c>
      <c r="B593" s="183" t="str">
        <f>VLOOKUP(F593,数据集标准分类!A:F,6,0)</f>
        <v>电子病历</v>
      </c>
      <c r="C593" s="183" t="str">
        <f>VLOOKUP(F593,数据集标准分类!A:E,5,0)</f>
        <v>0206</v>
      </c>
      <c r="D593" s="183" t="str">
        <f>VLOOKUP(F593,数据集标准分类!A:D,4,0)</f>
        <v>手术麻醉记录</v>
      </c>
      <c r="E593" s="183" t="str">
        <f>VLOOKUP(F593,数据集标准分类!A:C,3,0)</f>
        <v>020601</v>
      </c>
      <c r="F593" s="170" t="s">
        <v>1582</v>
      </c>
      <c r="G593" s="183" t="str">
        <f>VLOOKUP(F593,数据集标准分类!A:B,2,0)</f>
        <v>general_operation_record</v>
      </c>
      <c r="H593" s="294">
        <f>VLOOKUP(F593,数据集标准分类!A:H,8,0)</f>
        <v>27</v>
      </c>
      <c r="I593" s="170" t="s">
        <v>1662</v>
      </c>
      <c r="J593" s="170" t="s">
        <v>1663</v>
      </c>
      <c r="K593" s="170" t="s">
        <v>1664</v>
      </c>
      <c r="L593" s="170" t="s">
        <v>1665</v>
      </c>
      <c r="M593" s="170"/>
      <c r="N593" s="294">
        <v>31</v>
      </c>
      <c r="O593" s="170"/>
    </row>
    <row r="594" ht="15.75" customHeight="1" spans="1:15">
      <c r="A594" s="183" t="str">
        <f>VLOOKUP(F594,数据集标准分类!A:G,7,0)</f>
        <v>02</v>
      </c>
      <c r="B594" s="183" t="str">
        <f>VLOOKUP(F594,数据集标准分类!A:F,6,0)</f>
        <v>电子病历</v>
      </c>
      <c r="C594" s="183" t="str">
        <f>VLOOKUP(F594,数据集标准分类!A:E,5,0)</f>
        <v>0206</v>
      </c>
      <c r="D594" s="183" t="str">
        <f>VLOOKUP(F594,数据集标准分类!A:D,4,0)</f>
        <v>手术麻醉记录</v>
      </c>
      <c r="E594" s="183" t="str">
        <f>VLOOKUP(F594,数据集标准分类!A:C,3,0)</f>
        <v>020601</v>
      </c>
      <c r="F594" s="170" t="s">
        <v>1582</v>
      </c>
      <c r="G594" s="183" t="str">
        <f>VLOOKUP(F594,数据集标准分类!A:B,2,0)</f>
        <v>general_operation_record</v>
      </c>
      <c r="H594" s="294">
        <f>VLOOKUP(F594,数据集标准分类!A:H,8,0)</f>
        <v>27</v>
      </c>
      <c r="I594" s="170" t="s">
        <v>1666</v>
      </c>
      <c r="J594" s="170" t="s">
        <v>1667</v>
      </c>
      <c r="K594" s="170" t="s">
        <v>1668</v>
      </c>
      <c r="L594" s="170" t="s">
        <v>1669</v>
      </c>
      <c r="M594" s="170"/>
      <c r="N594" s="294">
        <v>32</v>
      </c>
      <c r="O594" s="170"/>
    </row>
    <row r="595" ht="15.75" customHeight="1" spans="1:15">
      <c r="A595" s="183" t="str">
        <f>VLOOKUP(F595,数据集标准分类!A:G,7,0)</f>
        <v>02</v>
      </c>
      <c r="B595" s="183" t="str">
        <f>VLOOKUP(F595,数据集标准分类!A:F,6,0)</f>
        <v>电子病历</v>
      </c>
      <c r="C595" s="183" t="str">
        <f>VLOOKUP(F595,数据集标准分类!A:E,5,0)</f>
        <v>0206</v>
      </c>
      <c r="D595" s="183" t="str">
        <f>VLOOKUP(F595,数据集标准分类!A:D,4,0)</f>
        <v>手术麻醉记录</v>
      </c>
      <c r="E595" s="183" t="str">
        <f>VLOOKUP(F595,数据集标准分类!A:C,3,0)</f>
        <v>020601</v>
      </c>
      <c r="F595" s="170" t="s">
        <v>1582</v>
      </c>
      <c r="G595" s="183" t="str">
        <f>VLOOKUP(F595,数据集标准分类!A:B,2,0)</f>
        <v>general_operation_record</v>
      </c>
      <c r="H595" s="294">
        <f>VLOOKUP(F595,数据集标准分类!A:H,8,0)</f>
        <v>27</v>
      </c>
      <c r="I595" s="170" t="s">
        <v>1670</v>
      </c>
      <c r="J595" s="170" t="s">
        <v>1671</v>
      </c>
      <c r="K595" s="170" t="s">
        <v>1672</v>
      </c>
      <c r="L595" s="170" t="s">
        <v>1673</v>
      </c>
      <c r="M595" s="170"/>
      <c r="N595" s="294">
        <v>33</v>
      </c>
      <c r="O595" s="170"/>
    </row>
    <row r="596" ht="15.75" customHeight="1" spans="1:15">
      <c r="A596" s="183" t="str">
        <f>VLOOKUP(F596,数据集标准分类!A:G,7,0)</f>
        <v>02</v>
      </c>
      <c r="B596" s="183" t="str">
        <f>VLOOKUP(F596,数据集标准分类!A:F,6,0)</f>
        <v>电子病历</v>
      </c>
      <c r="C596" s="183" t="str">
        <f>VLOOKUP(F596,数据集标准分类!A:E,5,0)</f>
        <v>0206</v>
      </c>
      <c r="D596" s="183" t="str">
        <f>VLOOKUP(F596,数据集标准分类!A:D,4,0)</f>
        <v>手术麻醉记录</v>
      </c>
      <c r="E596" s="183" t="str">
        <f>VLOOKUP(F596,数据集标准分类!A:C,3,0)</f>
        <v>020601</v>
      </c>
      <c r="F596" s="170" t="s">
        <v>1582</v>
      </c>
      <c r="G596" s="183" t="str">
        <f>VLOOKUP(F596,数据集标准分类!A:B,2,0)</f>
        <v>general_operation_record</v>
      </c>
      <c r="H596" s="294">
        <f>VLOOKUP(F596,数据集标准分类!A:H,8,0)</f>
        <v>27</v>
      </c>
      <c r="I596" s="170" t="s">
        <v>1674</v>
      </c>
      <c r="J596" s="170" t="s">
        <v>1675</v>
      </c>
      <c r="K596" s="170" t="s">
        <v>1676</v>
      </c>
      <c r="L596" s="170" t="s">
        <v>1677</v>
      </c>
      <c r="M596" s="170"/>
      <c r="N596" s="294">
        <v>34</v>
      </c>
      <c r="O596" s="170"/>
    </row>
    <row r="597" ht="15.75" customHeight="1" spans="1:15">
      <c r="A597" s="183" t="str">
        <f>VLOOKUP(F597,数据集标准分类!A:G,7,0)</f>
        <v>02</v>
      </c>
      <c r="B597" s="183" t="str">
        <f>VLOOKUP(F597,数据集标准分类!A:F,6,0)</f>
        <v>电子病历</v>
      </c>
      <c r="C597" s="183" t="str">
        <f>VLOOKUP(F597,数据集标准分类!A:E,5,0)</f>
        <v>0206</v>
      </c>
      <c r="D597" s="183" t="str">
        <f>VLOOKUP(F597,数据集标准分类!A:D,4,0)</f>
        <v>手术麻醉记录</v>
      </c>
      <c r="E597" s="183" t="str">
        <f>VLOOKUP(F597,数据集标准分类!A:C,3,0)</f>
        <v>020601</v>
      </c>
      <c r="F597" s="170" t="s">
        <v>1582</v>
      </c>
      <c r="G597" s="183" t="str">
        <f>VLOOKUP(F597,数据集标准分类!A:B,2,0)</f>
        <v>general_operation_record</v>
      </c>
      <c r="H597" s="294">
        <f>VLOOKUP(F597,数据集标准分类!A:H,8,0)</f>
        <v>27</v>
      </c>
      <c r="I597" s="170" t="s">
        <v>1678</v>
      </c>
      <c r="J597" s="170" t="s">
        <v>1679</v>
      </c>
      <c r="K597" s="170" t="s">
        <v>1680</v>
      </c>
      <c r="L597" s="170" t="s">
        <v>1681</v>
      </c>
      <c r="M597" s="170"/>
      <c r="N597" s="294">
        <v>35</v>
      </c>
      <c r="O597" s="170"/>
    </row>
    <row r="598" ht="15.75" customHeight="1" spans="1:15">
      <c r="A598" s="183" t="str">
        <f>VLOOKUP(F598,数据集标准分类!A:G,7,0)</f>
        <v>02</v>
      </c>
      <c r="B598" s="183" t="str">
        <f>VLOOKUP(F598,数据集标准分类!A:F,6,0)</f>
        <v>电子病历</v>
      </c>
      <c r="C598" s="183" t="str">
        <f>VLOOKUP(F598,数据集标准分类!A:E,5,0)</f>
        <v>0206</v>
      </c>
      <c r="D598" s="183" t="str">
        <f>VLOOKUP(F598,数据集标准分类!A:D,4,0)</f>
        <v>手术麻醉记录</v>
      </c>
      <c r="E598" s="183" t="str">
        <f>VLOOKUP(F598,数据集标准分类!A:C,3,0)</f>
        <v>020601</v>
      </c>
      <c r="F598" s="170" t="s">
        <v>1582</v>
      </c>
      <c r="G598" s="183" t="str">
        <f>VLOOKUP(F598,数据集标准分类!A:B,2,0)</f>
        <v>general_operation_record</v>
      </c>
      <c r="H598" s="294">
        <f>VLOOKUP(F598,数据集标准分类!A:H,8,0)</f>
        <v>27</v>
      </c>
      <c r="I598" s="170" t="s">
        <v>1682</v>
      </c>
      <c r="J598" s="170" t="s">
        <v>1683</v>
      </c>
      <c r="K598" s="170" t="s">
        <v>1684</v>
      </c>
      <c r="L598" s="170" t="s">
        <v>1685</v>
      </c>
      <c r="M598" s="170"/>
      <c r="N598" s="294">
        <v>36</v>
      </c>
      <c r="O598" s="170"/>
    </row>
    <row r="599" ht="15.75" customHeight="1" spans="1:15">
      <c r="A599" s="183" t="str">
        <f>VLOOKUP(F599,数据集标准分类!A:G,7,0)</f>
        <v>02</v>
      </c>
      <c r="B599" s="183" t="str">
        <f>VLOOKUP(F599,数据集标准分类!A:F,6,0)</f>
        <v>电子病历</v>
      </c>
      <c r="C599" s="183" t="str">
        <f>VLOOKUP(F599,数据集标准分类!A:E,5,0)</f>
        <v>0206</v>
      </c>
      <c r="D599" s="183" t="str">
        <f>VLOOKUP(F599,数据集标准分类!A:D,4,0)</f>
        <v>手术麻醉记录</v>
      </c>
      <c r="E599" s="183" t="str">
        <f>VLOOKUP(F599,数据集标准分类!A:C,3,0)</f>
        <v>020601</v>
      </c>
      <c r="F599" s="170" t="s">
        <v>1582</v>
      </c>
      <c r="G599" s="183" t="str">
        <f>VLOOKUP(F599,数据集标准分类!A:B,2,0)</f>
        <v>general_operation_record</v>
      </c>
      <c r="H599" s="294">
        <f>VLOOKUP(F599,数据集标准分类!A:H,8,0)</f>
        <v>27</v>
      </c>
      <c r="I599" s="170" t="s">
        <v>1686</v>
      </c>
      <c r="J599" s="170" t="s">
        <v>1687</v>
      </c>
      <c r="K599" s="170" t="s">
        <v>1688</v>
      </c>
      <c r="L599" s="170" t="s">
        <v>1689</v>
      </c>
      <c r="M599" s="170"/>
      <c r="N599" s="294">
        <v>37</v>
      </c>
      <c r="O599" s="170"/>
    </row>
    <row r="600" ht="15.75" customHeight="1" spans="1:15">
      <c r="A600" s="183" t="str">
        <f>VLOOKUP(F600,数据集标准分类!A:G,7,0)</f>
        <v>02</v>
      </c>
      <c r="B600" s="183" t="str">
        <f>VLOOKUP(F600,数据集标准分类!A:F,6,0)</f>
        <v>电子病历</v>
      </c>
      <c r="C600" s="183" t="str">
        <f>VLOOKUP(F600,数据集标准分类!A:E,5,0)</f>
        <v>0206</v>
      </c>
      <c r="D600" s="183" t="str">
        <f>VLOOKUP(F600,数据集标准分类!A:D,4,0)</f>
        <v>手术麻醉记录</v>
      </c>
      <c r="E600" s="183" t="str">
        <f>VLOOKUP(F600,数据集标准分类!A:C,3,0)</f>
        <v>020601</v>
      </c>
      <c r="F600" s="170" t="s">
        <v>1582</v>
      </c>
      <c r="G600" s="183" t="str">
        <f>VLOOKUP(F600,数据集标准分类!A:B,2,0)</f>
        <v>general_operation_record</v>
      </c>
      <c r="H600" s="294">
        <f>VLOOKUP(F600,数据集标准分类!A:H,8,0)</f>
        <v>27</v>
      </c>
      <c r="I600" s="170" t="s">
        <v>1690</v>
      </c>
      <c r="J600" s="170" t="s">
        <v>1691</v>
      </c>
      <c r="K600" s="170" t="s">
        <v>1692</v>
      </c>
      <c r="L600" s="170" t="s">
        <v>1693</v>
      </c>
      <c r="M600" s="170"/>
      <c r="N600" s="294">
        <v>38</v>
      </c>
      <c r="O600" s="170"/>
    </row>
    <row r="601" ht="15.75" customHeight="1" spans="1:15">
      <c r="A601" s="183" t="str">
        <f>VLOOKUP(F601,数据集标准分类!A:G,7,0)</f>
        <v>02</v>
      </c>
      <c r="B601" s="183" t="str">
        <f>VLOOKUP(F601,数据集标准分类!A:F,6,0)</f>
        <v>电子病历</v>
      </c>
      <c r="C601" s="183" t="str">
        <f>VLOOKUP(F601,数据集标准分类!A:E,5,0)</f>
        <v>0206</v>
      </c>
      <c r="D601" s="183" t="str">
        <f>VLOOKUP(F601,数据集标准分类!A:D,4,0)</f>
        <v>手术麻醉记录</v>
      </c>
      <c r="E601" s="183" t="str">
        <f>VLOOKUP(F601,数据集标准分类!A:C,3,0)</f>
        <v>020601</v>
      </c>
      <c r="F601" s="170" t="s">
        <v>1582</v>
      </c>
      <c r="G601" s="183" t="str">
        <f>VLOOKUP(F601,数据集标准分类!A:B,2,0)</f>
        <v>general_operation_record</v>
      </c>
      <c r="H601" s="294">
        <f>VLOOKUP(F601,数据集标准分类!A:H,8,0)</f>
        <v>27</v>
      </c>
      <c r="I601" s="170" t="s">
        <v>1694</v>
      </c>
      <c r="J601" s="170" t="s">
        <v>1695</v>
      </c>
      <c r="K601" s="170" t="s">
        <v>1696</v>
      </c>
      <c r="L601" s="170" t="s">
        <v>1697</v>
      </c>
      <c r="M601" s="170"/>
      <c r="N601" s="294">
        <v>39</v>
      </c>
      <c r="O601" s="170"/>
    </row>
    <row r="602" ht="15.75" customHeight="1" spans="1:15">
      <c r="A602" s="183" t="str">
        <f>VLOOKUP(F602,数据集标准分类!A:G,7,0)</f>
        <v>02</v>
      </c>
      <c r="B602" s="183" t="str">
        <f>VLOOKUP(F602,数据集标准分类!A:F,6,0)</f>
        <v>电子病历</v>
      </c>
      <c r="C602" s="183" t="str">
        <f>VLOOKUP(F602,数据集标准分类!A:E,5,0)</f>
        <v>0206</v>
      </c>
      <c r="D602" s="183" t="str">
        <f>VLOOKUP(F602,数据集标准分类!A:D,4,0)</f>
        <v>手术麻醉记录</v>
      </c>
      <c r="E602" s="183" t="str">
        <f>VLOOKUP(F602,数据集标准分类!A:C,3,0)</f>
        <v>020601</v>
      </c>
      <c r="F602" s="170" t="s">
        <v>1582</v>
      </c>
      <c r="G602" s="183" t="str">
        <f>VLOOKUP(F602,数据集标准分类!A:B,2,0)</f>
        <v>general_operation_record</v>
      </c>
      <c r="H602" s="294">
        <f>VLOOKUP(F602,数据集标准分类!A:H,8,0)</f>
        <v>27</v>
      </c>
      <c r="I602" s="170" t="s">
        <v>1698</v>
      </c>
      <c r="J602" s="170" t="s">
        <v>1699</v>
      </c>
      <c r="K602" s="170" t="s">
        <v>1700</v>
      </c>
      <c r="L602" s="170" t="s">
        <v>1701</v>
      </c>
      <c r="M602" s="170"/>
      <c r="N602" s="294">
        <v>40</v>
      </c>
      <c r="O602" s="170"/>
    </row>
    <row r="603" ht="15.75" customHeight="1" spans="1:15">
      <c r="A603" s="183" t="str">
        <f>VLOOKUP(F603,数据集标准分类!A:G,7,0)</f>
        <v>02</v>
      </c>
      <c r="B603" s="183" t="str">
        <f>VLOOKUP(F603,数据集标准分类!A:F,6,0)</f>
        <v>电子病历</v>
      </c>
      <c r="C603" s="183" t="str">
        <f>VLOOKUP(F603,数据集标准分类!A:E,5,0)</f>
        <v>0206</v>
      </c>
      <c r="D603" s="183" t="str">
        <f>VLOOKUP(F603,数据集标准分类!A:D,4,0)</f>
        <v>手术麻醉记录</v>
      </c>
      <c r="E603" s="183" t="str">
        <f>VLOOKUP(F603,数据集标准分类!A:C,3,0)</f>
        <v>020601</v>
      </c>
      <c r="F603" s="170" t="s">
        <v>1582</v>
      </c>
      <c r="G603" s="183" t="str">
        <f>VLOOKUP(F603,数据集标准分类!A:B,2,0)</f>
        <v>general_operation_record</v>
      </c>
      <c r="H603" s="294">
        <f>VLOOKUP(F603,数据集标准分类!A:H,8,0)</f>
        <v>27</v>
      </c>
      <c r="I603" s="170" t="s">
        <v>1702</v>
      </c>
      <c r="J603" s="170" t="s">
        <v>1703</v>
      </c>
      <c r="K603" s="170" t="s">
        <v>1703</v>
      </c>
      <c r="L603" s="170" t="s">
        <v>1704</v>
      </c>
      <c r="M603" s="170"/>
      <c r="N603" s="294">
        <v>41</v>
      </c>
      <c r="O603" s="170"/>
    </row>
    <row r="604" ht="15.75" customHeight="1" spans="1:15">
      <c r="A604" s="183" t="str">
        <f>VLOOKUP(F604,数据集标准分类!A:G,7,0)</f>
        <v>02</v>
      </c>
      <c r="B604" s="183" t="str">
        <f>VLOOKUP(F604,数据集标准分类!A:F,6,0)</f>
        <v>电子病历</v>
      </c>
      <c r="C604" s="183" t="str">
        <f>VLOOKUP(F604,数据集标准分类!A:E,5,0)</f>
        <v>0206</v>
      </c>
      <c r="D604" s="183" t="str">
        <f>VLOOKUP(F604,数据集标准分类!A:D,4,0)</f>
        <v>手术麻醉记录</v>
      </c>
      <c r="E604" s="183" t="str">
        <f>VLOOKUP(F604,数据集标准分类!A:C,3,0)</f>
        <v>020601</v>
      </c>
      <c r="F604" s="170" t="s">
        <v>1582</v>
      </c>
      <c r="G604" s="183" t="str">
        <f>VLOOKUP(F604,数据集标准分类!A:B,2,0)</f>
        <v>general_operation_record</v>
      </c>
      <c r="H604" s="294">
        <f>VLOOKUP(F604,数据集标准分类!A:H,8,0)</f>
        <v>27</v>
      </c>
      <c r="I604" s="170" t="s">
        <v>1705</v>
      </c>
      <c r="J604" s="170" t="s">
        <v>1706</v>
      </c>
      <c r="K604" s="170" t="s">
        <v>1706</v>
      </c>
      <c r="L604" s="170" t="s">
        <v>1707</v>
      </c>
      <c r="M604" s="170"/>
      <c r="N604" s="294">
        <v>42</v>
      </c>
      <c r="O604" s="170"/>
    </row>
    <row r="605" ht="15.75" customHeight="1" spans="1:15">
      <c r="A605" s="183" t="str">
        <f>VLOOKUP(F605,数据集标准分类!A:G,7,0)</f>
        <v>02</v>
      </c>
      <c r="B605" s="183" t="str">
        <f>VLOOKUP(F605,数据集标准分类!A:F,6,0)</f>
        <v>电子病历</v>
      </c>
      <c r="C605" s="183" t="str">
        <f>VLOOKUP(F605,数据集标准分类!A:E,5,0)</f>
        <v>0206</v>
      </c>
      <c r="D605" s="183" t="str">
        <f>VLOOKUP(F605,数据集标准分类!A:D,4,0)</f>
        <v>手术麻醉记录</v>
      </c>
      <c r="E605" s="183" t="str">
        <f>VLOOKUP(F605,数据集标准分类!A:C,3,0)</f>
        <v>020601</v>
      </c>
      <c r="F605" s="170" t="s">
        <v>1582</v>
      </c>
      <c r="G605" s="183" t="str">
        <f>VLOOKUP(F605,数据集标准分类!A:B,2,0)</f>
        <v>general_operation_record</v>
      </c>
      <c r="H605" s="294">
        <f>VLOOKUP(F605,数据集标准分类!A:H,8,0)</f>
        <v>27</v>
      </c>
      <c r="I605" s="170" t="s">
        <v>1708</v>
      </c>
      <c r="J605" s="170" t="s">
        <v>1709</v>
      </c>
      <c r="K605" s="170" t="s">
        <v>1710</v>
      </c>
      <c r="L605" s="170" t="s">
        <v>1711</v>
      </c>
      <c r="M605" s="170"/>
      <c r="N605" s="294">
        <v>43</v>
      </c>
      <c r="O605" s="170"/>
    </row>
    <row r="606" ht="15.75" customHeight="1" spans="1:15">
      <c r="A606" s="183" t="str">
        <f>VLOOKUP(F606,数据集标准分类!A:G,7,0)</f>
        <v>02</v>
      </c>
      <c r="B606" s="183" t="str">
        <f>VLOOKUP(F606,数据集标准分类!A:F,6,0)</f>
        <v>电子病历</v>
      </c>
      <c r="C606" s="183" t="str">
        <f>VLOOKUP(F606,数据集标准分类!A:E,5,0)</f>
        <v>0206</v>
      </c>
      <c r="D606" s="183" t="str">
        <f>VLOOKUP(F606,数据集标准分类!A:D,4,0)</f>
        <v>手术麻醉记录</v>
      </c>
      <c r="E606" s="183" t="str">
        <f>VLOOKUP(F606,数据集标准分类!A:C,3,0)</f>
        <v>020601</v>
      </c>
      <c r="F606" s="170" t="s">
        <v>1582</v>
      </c>
      <c r="G606" s="183" t="str">
        <f>VLOOKUP(F606,数据集标准分类!A:B,2,0)</f>
        <v>general_operation_record</v>
      </c>
      <c r="H606" s="294">
        <f>VLOOKUP(F606,数据集标准分类!A:H,8,0)</f>
        <v>27</v>
      </c>
      <c r="I606" s="170" t="s">
        <v>1712</v>
      </c>
      <c r="J606" s="170" t="s">
        <v>1713</v>
      </c>
      <c r="K606" s="170" t="s">
        <v>1714</v>
      </c>
      <c r="L606" s="170" t="s">
        <v>1715</v>
      </c>
      <c r="M606" s="170"/>
      <c r="N606" s="294">
        <v>44</v>
      </c>
      <c r="O606" s="170"/>
    </row>
    <row r="607" ht="15.75" customHeight="1" spans="1:15">
      <c r="A607" s="183" t="str">
        <f>VLOOKUP(F607,数据集标准分类!A:G,7,0)</f>
        <v>02</v>
      </c>
      <c r="B607" s="183" t="str">
        <f>VLOOKUP(F607,数据集标准分类!A:F,6,0)</f>
        <v>电子病历</v>
      </c>
      <c r="C607" s="183" t="str">
        <f>VLOOKUP(F607,数据集标准分类!A:E,5,0)</f>
        <v>0206</v>
      </c>
      <c r="D607" s="183" t="str">
        <f>VLOOKUP(F607,数据集标准分类!A:D,4,0)</f>
        <v>手术麻醉记录</v>
      </c>
      <c r="E607" s="183" t="str">
        <f>VLOOKUP(F607,数据集标准分类!A:C,3,0)</f>
        <v>020601</v>
      </c>
      <c r="F607" s="170" t="s">
        <v>1582</v>
      </c>
      <c r="G607" s="183" t="str">
        <f>VLOOKUP(F607,数据集标准分类!A:B,2,0)</f>
        <v>general_operation_record</v>
      </c>
      <c r="H607" s="294">
        <f>VLOOKUP(F607,数据集标准分类!A:H,8,0)</f>
        <v>27</v>
      </c>
      <c r="I607" s="170" t="s">
        <v>1716</v>
      </c>
      <c r="J607" s="170" t="s">
        <v>1717</v>
      </c>
      <c r="K607" s="170" t="s">
        <v>1718</v>
      </c>
      <c r="L607" s="170" t="s">
        <v>1719</v>
      </c>
      <c r="M607" s="170"/>
      <c r="N607" s="294">
        <v>45</v>
      </c>
      <c r="O607" s="170"/>
    </row>
    <row r="608" ht="15.75" customHeight="1" spans="1:15">
      <c r="A608" s="183" t="str">
        <f>VLOOKUP(F608,数据集标准分类!A:G,7,0)</f>
        <v>02</v>
      </c>
      <c r="B608" s="183" t="str">
        <f>VLOOKUP(F608,数据集标准分类!A:F,6,0)</f>
        <v>电子病历</v>
      </c>
      <c r="C608" s="183" t="str">
        <f>VLOOKUP(F608,数据集标准分类!A:E,5,0)</f>
        <v>0206</v>
      </c>
      <c r="D608" s="183" t="str">
        <f>VLOOKUP(F608,数据集标准分类!A:D,4,0)</f>
        <v>手术麻醉记录</v>
      </c>
      <c r="E608" s="183" t="str">
        <f>VLOOKUP(F608,数据集标准分类!A:C,3,0)</f>
        <v>020602</v>
      </c>
      <c r="F608" s="170" t="s">
        <v>1720</v>
      </c>
      <c r="G608" s="183" t="str">
        <f>VLOOKUP(F608,数据集标准分类!A:B,2,0)</f>
        <v>preoperative_discuss</v>
      </c>
      <c r="H608" s="294">
        <f>VLOOKUP(F608,数据集标准分类!A:H,8,0)</f>
        <v>28</v>
      </c>
      <c r="I608" s="170" t="s">
        <v>1139</v>
      </c>
      <c r="J608" s="170" t="s">
        <v>1140</v>
      </c>
      <c r="K608" s="170" t="s">
        <v>1141</v>
      </c>
      <c r="L608" s="170" t="s">
        <v>1142</v>
      </c>
      <c r="M608" s="170" t="s">
        <v>1721</v>
      </c>
      <c r="N608" s="294">
        <v>1</v>
      </c>
      <c r="O608" s="170"/>
    </row>
    <row r="609" ht="15.75" customHeight="1" spans="1:15">
      <c r="A609" s="183" t="str">
        <f>VLOOKUP(F609,数据集标准分类!A:G,7,0)</f>
        <v>02</v>
      </c>
      <c r="B609" s="183" t="str">
        <f>VLOOKUP(F609,数据集标准分类!A:F,6,0)</f>
        <v>电子病历</v>
      </c>
      <c r="C609" s="183" t="str">
        <f>VLOOKUP(F609,数据集标准分类!A:E,5,0)</f>
        <v>0206</v>
      </c>
      <c r="D609" s="183" t="str">
        <f>VLOOKUP(F609,数据集标准分类!A:D,4,0)</f>
        <v>手术麻醉记录</v>
      </c>
      <c r="E609" s="183" t="str">
        <f>VLOOKUP(F609,数据集标准分类!A:C,3,0)</f>
        <v>020602</v>
      </c>
      <c r="F609" s="170" t="s">
        <v>1720</v>
      </c>
      <c r="G609" s="183" t="str">
        <f>VLOOKUP(F609,数据集标准分类!A:B,2,0)</f>
        <v>preoperative_discuss</v>
      </c>
      <c r="H609" s="294">
        <f>VLOOKUP(F609,数据集标准分类!A:H,8,0)</f>
        <v>28</v>
      </c>
      <c r="I609" s="170" t="s">
        <v>152</v>
      </c>
      <c r="J609" s="170" t="s">
        <v>153</v>
      </c>
      <c r="K609" s="170" t="s">
        <v>154</v>
      </c>
      <c r="L609" s="170" t="s">
        <v>155</v>
      </c>
      <c r="M609" s="170" t="s">
        <v>156</v>
      </c>
      <c r="N609" s="294">
        <v>2</v>
      </c>
      <c r="O609" s="170"/>
    </row>
    <row r="610" ht="15.75" customHeight="1" spans="1:15">
      <c r="A610" s="183" t="str">
        <f>VLOOKUP(F610,数据集标准分类!A:G,7,0)</f>
        <v>02</v>
      </c>
      <c r="B610" s="183" t="str">
        <f>VLOOKUP(F610,数据集标准分类!A:F,6,0)</f>
        <v>电子病历</v>
      </c>
      <c r="C610" s="183" t="str">
        <f>VLOOKUP(F610,数据集标准分类!A:E,5,0)</f>
        <v>0206</v>
      </c>
      <c r="D610" s="183" t="str">
        <f>VLOOKUP(F610,数据集标准分类!A:D,4,0)</f>
        <v>手术麻醉记录</v>
      </c>
      <c r="E610" s="183" t="str">
        <f>VLOOKUP(F610,数据集标准分类!A:C,3,0)</f>
        <v>020602</v>
      </c>
      <c r="F610" s="170" t="s">
        <v>1720</v>
      </c>
      <c r="G610" s="183" t="str">
        <f>VLOOKUP(F610,数据集标准分类!A:B,2,0)</f>
        <v>preoperative_discuss</v>
      </c>
      <c r="H610" s="294">
        <f>VLOOKUP(F610,数据集标准分类!A:H,8,0)</f>
        <v>28</v>
      </c>
      <c r="I610" s="170" t="s">
        <v>1583</v>
      </c>
      <c r="J610" s="170" t="s">
        <v>1584</v>
      </c>
      <c r="K610" s="170" t="s">
        <v>1585</v>
      </c>
      <c r="L610" s="170" t="s">
        <v>1586</v>
      </c>
      <c r="M610" s="170" t="s">
        <v>1587</v>
      </c>
      <c r="N610" s="294">
        <v>3</v>
      </c>
      <c r="O610" s="170"/>
    </row>
    <row r="611" ht="15.75" customHeight="1" spans="1:15">
      <c r="A611" s="183" t="str">
        <f>VLOOKUP(F611,数据集标准分类!A:G,7,0)</f>
        <v>02</v>
      </c>
      <c r="B611" s="183" t="str">
        <f>VLOOKUP(F611,数据集标准分类!A:F,6,0)</f>
        <v>电子病历</v>
      </c>
      <c r="C611" s="183" t="str">
        <f>VLOOKUP(F611,数据集标准分类!A:E,5,0)</f>
        <v>0206</v>
      </c>
      <c r="D611" s="183" t="str">
        <f>VLOOKUP(F611,数据集标准分类!A:D,4,0)</f>
        <v>手术麻醉记录</v>
      </c>
      <c r="E611" s="183" t="str">
        <f>VLOOKUP(F611,数据集标准分类!A:C,3,0)</f>
        <v>020602</v>
      </c>
      <c r="F611" s="170" t="s">
        <v>1720</v>
      </c>
      <c r="G611" s="183" t="str">
        <f>VLOOKUP(F611,数据集标准分类!A:B,2,0)</f>
        <v>preoperative_discuss</v>
      </c>
      <c r="H611" s="294">
        <f>VLOOKUP(F611,数据集标准分类!A:H,8,0)</f>
        <v>28</v>
      </c>
      <c r="I611" s="170" t="s">
        <v>192</v>
      </c>
      <c r="J611" s="170" t="s">
        <v>193</v>
      </c>
      <c r="K611" s="170" t="s">
        <v>194</v>
      </c>
      <c r="L611" s="170" t="s">
        <v>195</v>
      </c>
      <c r="M611" s="170" t="s">
        <v>1722</v>
      </c>
      <c r="N611" s="294">
        <v>4</v>
      </c>
      <c r="O611" s="170"/>
    </row>
    <row r="612" ht="15.75" customHeight="1" spans="1:15">
      <c r="A612" s="183" t="str">
        <f>VLOOKUP(F612,数据集标准分类!A:G,7,0)</f>
        <v>02</v>
      </c>
      <c r="B612" s="183" t="str">
        <f>VLOOKUP(F612,数据集标准分类!A:F,6,0)</f>
        <v>电子病历</v>
      </c>
      <c r="C612" s="183" t="str">
        <f>VLOOKUP(F612,数据集标准分类!A:E,5,0)</f>
        <v>0206</v>
      </c>
      <c r="D612" s="183" t="str">
        <f>VLOOKUP(F612,数据集标准分类!A:D,4,0)</f>
        <v>手术麻醉记录</v>
      </c>
      <c r="E612" s="183" t="str">
        <f>VLOOKUP(F612,数据集标准分类!A:C,3,0)</f>
        <v>020602</v>
      </c>
      <c r="F612" s="170" t="s">
        <v>1720</v>
      </c>
      <c r="G612" s="183" t="str">
        <f>VLOOKUP(F612,数据集标准分类!A:B,2,0)</f>
        <v>preoperative_discuss</v>
      </c>
      <c r="H612" s="294">
        <f>VLOOKUP(F612,数据集标准分类!A:H,8,0)</f>
        <v>28</v>
      </c>
      <c r="I612" s="170" t="s">
        <v>396</v>
      </c>
      <c r="J612" s="170" t="s">
        <v>397</v>
      </c>
      <c r="K612" s="170" t="s">
        <v>398</v>
      </c>
      <c r="L612" s="170" t="s">
        <v>399</v>
      </c>
      <c r="M612" s="170" t="s">
        <v>1260</v>
      </c>
      <c r="N612" s="294">
        <v>5</v>
      </c>
      <c r="O612" s="170"/>
    </row>
    <row r="613" ht="15.75" customHeight="1" spans="1:15">
      <c r="A613" s="183" t="str">
        <f>VLOOKUP(F613,数据集标准分类!A:G,7,0)</f>
        <v>02</v>
      </c>
      <c r="B613" s="183" t="str">
        <f>VLOOKUP(F613,数据集标准分类!A:F,6,0)</f>
        <v>电子病历</v>
      </c>
      <c r="C613" s="183" t="str">
        <f>VLOOKUP(F613,数据集标准分类!A:E,5,0)</f>
        <v>0206</v>
      </c>
      <c r="D613" s="183" t="str">
        <f>VLOOKUP(F613,数据集标准分类!A:D,4,0)</f>
        <v>手术麻醉记录</v>
      </c>
      <c r="E613" s="183" t="str">
        <f>VLOOKUP(F613,数据集标准分类!A:C,3,0)</f>
        <v>020602</v>
      </c>
      <c r="F613" s="170" t="s">
        <v>1720</v>
      </c>
      <c r="G613" s="183" t="str">
        <f>VLOOKUP(F613,数据集标准分类!A:B,2,0)</f>
        <v>preoperative_discuss</v>
      </c>
      <c r="H613" s="294">
        <f>VLOOKUP(F613,数据集标准分类!A:H,8,0)</f>
        <v>28</v>
      </c>
      <c r="I613" s="170" t="s">
        <v>1261</v>
      </c>
      <c r="J613" s="170" t="s">
        <v>1262</v>
      </c>
      <c r="K613" s="170" t="s">
        <v>1263</v>
      </c>
      <c r="L613" s="170" t="s">
        <v>1264</v>
      </c>
      <c r="M613" s="170" t="s">
        <v>1429</v>
      </c>
      <c r="N613" s="294">
        <v>6</v>
      </c>
      <c r="O613" s="170"/>
    </row>
    <row r="614" ht="15.75" customHeight="1" spans="1:15">
      <c r="A614" s="183" t="str">
        <f>VLOOKUP(F614,数据集标准分类!A:G,7,0)</f>
        <v>02</v>
      </c>
      <c r="B614" s="183" t="str">
        <f>VLOOKUP(F614,数据集标准分类!A:F,6,0)</f>
        <v>电子病历</v>
      </c>
      <c r="C614" s="183" t="str">
        <f>VLOOKUP(F614,数据集标准分类!A:E,5,0)</f>
        <v>0206</v>
      </c>
      <c r="D614" s="183" t="str">
        <f>VLOOKUP(F614,数据集标准分类!A:D,4,0)</f>
        <v>手术麻醉记录</v>
      </c>
      <c r="E614" s="183" t="str">
        <f>VLOOKUP(F614,数据集标准分类!A:C,3,0)</f>
        <v>020602</v>
      </c>
      <c r="F614" s="170" t="s">
        <v>1720</v>
      </c>
      <c r="G614" s="183" t="str">
        <f>VLOOKUP(F614,数据集标准分类!A:B,2,0)</f>
        <v>preoperative_discuss</v>
      </c>
      <c r="H614" s="294">
        <f>VLOOKUP(F614,数据集标准分类!A:H,8,0)</f>
        <v>28</v>
      </c>
      <c r="I614" s="170" t="s">
        <v>1430</v>
      </c>
      <c r="J614" s="170" t="s">
        <v>1431</v>
      </c>
      <c r="K614" s="170" t="s">
        <v>1432</v>
      </c>
      <c r="L614" s="170" t="s">
        <v>1433</v>
      </c>
      <c r="M614" s="170" t="s">
        <v>1723</v>
      </c>
      <c r="N614" s="294">
        <v>7</v>
      </c>
      <c r="O614" s="170"/>
    </row>
    <row r="615" ht="15.75" customHeight="1" spans="1:15">
      <c r="A615" s="183" t="str">
        <f>VLOOKUP(F615,数据集标准分类!A:G,7,0)</f>
        <v>02</v>
      </c>
      <c r="B615" s="183" t="str">
        <f>VLOOKUP(F615,数据集标准分类!A:F,6,0)</f>
        <v>电子病历</v>
      </c>
      <c r="C615" s="183" t="str">
        <f>VLOOKUP(F615,数据集标准分类!A:E,5,0)</f>
        <v>0206</v>
      </c>
      <c r="D615" s="183" t="str">
        <f>VLOOKUP(F615,数据集标准分类!A:D,4,0)</f>
        <v>手术麻醉记录</v>
      </c>
      <c r="E615" s="183" t="str">
        <f>VLOOKUP(F615,数据集标准分类!A:C,3,0)</f>
        <v>020602</v>
      </c>
      <c r="F615" s="170" t="s">
        <v>1720</v>
      </c>
      <c r="G615" s="183" t="str">
        <f>VLOOKUP(F615,数据集标准分类!A:B,2,0)</f>
        <v>preoperative_discuss</v>
      </c>
      <c r="H615" s="294">
        <f>VLOOKUP(F615,数据集标准分类!A:H,8,0)</f>
        <v>28</v>
      </c>
      <c r="I615" s="170" t="s">
        <v>421</v>
      </c>
      <c r="J615" s="170" t="s">
        <v>422</v>
      </c>
      <c r="K615" s="170" t="s">
        <v>423</v>
      </c>
      <c r="L615" s="170" t="s">
        <v>424</v>
      </c>
      <c r="M615" s="170" t="s">
        <v>1724</v>
      </c>
      <c r="N615" s="294">
        <v>8</v>
      </c>
      <c r="O615" s="170"/>
    </row>
    <row r="616" ht="15.75" customHeight="1" spans="1:15">
      <c r="A616" s="183" t="str">
        <f>VLOOKUP(F616,数据集标准分类!A:G,7,0)</f>
        <v>02</v>
      </c>
      <c r="B616" s="183" t="str">
        <f>VLOOKUP(F616,数据集标准分类!A:F,6,0)</f>
        <v>电子病历</v>
      </c>
      <c r="C616" s="183" t="str">
        <f>VLOOKUP(F616,数据集标准分类!A:E,5,0)</f>
        <v>0206</v>
      </c>
      <c r="D616" s="183" t="str">
        <f>VLOOKUP(F616,数据集标准分类!A:D,4,0)</f>
        <v>手术麻醉记录</v>
      </c>
      <c r="E616" s="183" t="str">
        <f>VLOOKUP(F616,数据集标准分类!A:C,3,0)</f>
        <v>020602</v>
      </c>
      <c r="F616" s="170" t="s">
        <v>1720</v>
      </c>
      <c r="G616" s="183" t="str">
        <f>VLOOKUP(F616,数据集标准分类!A:B,2,0)</f>
        <v>preoperative_discuss</v>
      </c>
      <c r="H616" s="294">
        <f>VLOOKUP(F616,数据集标准分类!A:H,8,0)</f>
        <v>28</v>
      </c>
      <c r="I616" s="170" t="s">
        <v>1725</v>
      </c>
      <c r="J616" s="170" t="s">
        <v>1726</v>
      </c>
      <c r="K616" s="170" t="s">
        <v>1727</v>
      </c>
      <c r="L616" s="170" t="s">
        <v>1728</v>
      </c>
      <c r="M616" s="170" t="s">
        <v>1729</v>
      </c>
      <c r="N616" s="294">
        <v>9</v>
      </c>
      <c r="O616" s="170"/>
    </row>
    <row r="617" ht="15.75" customHeight="1" spans="1:15">
      <c r="A617" s="183" t="str">
        <f>VLOOKUP(F617,数据集标准分类!A:G,7,0)</f>
        <v>02</v>
      </c>
      <c r="B617" s="183" t="str">
        <f>VLOOKUP(F617,数据集标准分类!A:F,6,0)</f>
        <v>电子病历</v>
      </c>
      <c r="C617" s="183" t="str">
        <f>VLOOKUP(F617,数据集标准分类!A:E,5,0)</f>
        <v>0206</v>
      </c>
      <c r="D617" s="183" t="str">
        <f>VLOOKUP(F617,数据集标准分类!A:D,4,0)</f>
        <v>手术麻醉记录</v>
      </c>
      <c r="E617" s="183" t="str">
        <f>VLOOKUP(F617,数据集标准分类!A:C,3,0)</f>
        <v>020602</v>
      </c>
      <c r="F617" s="170" t="s">
        <v>1720</v>
      </c>
      <c r="G617" s="183" t="str">
        <f>VLOOKUP(F617,数据集标准分类!A:B,2,0)</f>
        <v>preoperative_discuss</v>
      </c>
      <c r="H617" s="294">
        <f>VLOOKUP(F617,数据集标准分类!A:H,8,0)</f>
        <v>28</v>
      </c>
      <c r="I617" s="170" t="s">
        <v>1730</v>
      </c>
      <c r="J617" s="170" t="s">
        <v>1731</v>
      </c>
      <c r="K617" s="170" t="s">
        <v>1732</v>
      </c>
      <c r="L617" s="170" t="s">
        <v>1733</v>
      </c>
      <c r="M617" s="170" t="s">
        <v>1734</v>
      </c>
      <c r="N617" s="294">
        <v>10</v>
      </c>
      <c r="O617" s="170"/>
    </row>
    <row r="618" ht="15.75" customHeight="1" spans="1:15">
      <c r="A618" s="183" t="str">
        <f>VLOOKUP(F618,数据集标准分类!A:G,7,0)</f>
        <v>02</v>
      </c>
      <c r="B618" s="183" t="str">
        <f>VLOOKUP(F618,数据集标准分类!A:F,6,0)</f>
        <v>电子病历</v>
      </c>
      <c r="C618" s="183" t="str">
        <f>VLOOKUP(F618,数据集标准分类!A:E,5,0)</f>
        <v>0206</v>
      </c>
      <c r="D618" s="183" t="str">
        <f>VLOOKUP(F618,数据集标准分类!A:D,4,0)</f>
        <v>手术麻醉记录</v>
      </c>
      <c r="E618" s="183" t="str">
        <f>VLOOKUP(F618,数据集标准分类!A:C,3,0)</f>
        <v>020602</v>
      </c>
      <c r="F618" s="170" t="s">
        <v>1720</v>
      </c>
      <c r="G618" s="183" t="str">
        <f>VLOOKUP(F618,数据集标准分类!A:B,2,0)</f>
        <v>preoperative_discuss</v>
      </c>
      <c r="H618" s="294">
        <f>VLOOKUP(F618,数据集标准分类!A:H,8,0)</f>
        <v>28</v>
      </c>
      <c r="I618" s="170" t="s">
        <v>1678</v>
      </c>
      <c r="J618" s="170" t="s">
        <v>1679</v>
      </c>
      <c r="K618" s="170" t="s">
        <v>1680</v>
      </c>
      <c r="L618" s="170" t="s">
        <v>1681</v>
      </c>
      <c r="M618" s="170" t="s">
        <v>1735</v>
      </c>
      <c r="N618" s="294">
        <v>11</v>
      </c>
      <c r="O618" s="170"/>
    </row>
    <row r="619" ht="15.75" customHeight="1" spans="1:15">
      <c r="A619" s="183" t="str">
        <f>VLOOKUP(F619,数据集标准分类!A:G,7,0)</f>
        <v>02</v>
      </c>
      <c r="B619" s="183" t="str">
        <f>VLOOKUP(F619,数据集标准分类!A:F,6,0)</f>
        <v>电子病历</v>
      </c>
      <c r="C619" s="183" t="str">
        <f>VLOOKUP(F619,数据集标准分类!A:E,5,0)</f>
        <v>0206</v>
      </c>
      <c r="D619" s="183" t="str">
        <f>VLOOKUP(F619,数据集标准分类!A:D,4,0)</f>
        <v>手术麻醉记录</v>
      </c>
      <c r="E619" s="183" t="str">
        <f>VLOOKUP(F619,数据集标准分类!A:C,3,0)</f>
        <v>020602</v>
      </c>
      <c r="F619" s="170" t="s">
        <v>1720</v>
      </c>
      <c r="G619" s="183" t="str">
        <f>VLOOKUP(F619,数据集标准分类!A:B,2,0)</f>
        <v>preoperative_discuss</v>
      </c>
      <c r="H619" s="294">
        <f>VLOOKUP(F619,数据集标准分类!A:H,8,0)</f>
        <v>28</v>
      </c>
      <c r="I619" s="170" t="s">
        <v>1736</v>
      </c>
      <c r="J619" s="170" t="s">
        <v>1737</v>
      </c>
      <c r="K619" s="170" t="s">
        <v>1738</v>
      </c>
      <c r="L619" s="170" t="s">
        <v>1739</v>
      </c>
      <c r="M619" s="170" t="s">
        <v>1740</v>
      </c>
      <c r="N619" s="294">
        <v>12</v>
      </c>
      <c r="O619" s="170"/>
    </row>
    <row r="620" ht="15.75" customHeight="1" spans="1:15">
      <c r="A620" s="183" t="str">
        <f>VLOOKUP(F620,数据集标准分类!A:G,7,0)</f>
        <v>02</v>
      </c>
      <c r="B620" s="183" t="str">
        <f>VLOOKUP(F620,数据集标准分类!A:F,6,0)</f>
        <v>电子病历</v>
      </c>
      <c r="C620" s="183" t="str">
        <f>VLOOKUP(F620,数据集标准分类!A:E,5,0)</f>
        <v>0206</v>
      </c>
      <c r="D620" s="183" t="str">
        <f>VLOOKUP(F620,数据集标准分类!A:D,4,0)</f>
        <v>手术麻醉记录</v>
      </c>
      <c r="E620" s="183" t="str">
        <f>VLOOKUP(F620,数据集标准分类!A:C,3,0)</f>
        <v>020602</v>
      </c>
      <c r="F620" s="170" t="s">
        <v>1720</v>
      </c>
      <c r="G620" s="183" t="str">
        <f>VLOOKUP(F620,数据集标准分类!A:B,2,0)</f>
        <v>preoperative_discuss</v>
      </c>
      <c r="H620" s="294">
        <f>VLOOKUP(F620,数据集标准分类!A:H,8,0)</f>
        <v>28</v>
      </c>
      <c r="I620" s="170" t="s">
        <v>1446</v>
      </c>
      <c r="J620" s="170" t="s">
        <v>1447</v>
      </c>
      <c r="K620" s="170" t="s">
        <v>1448</v>
      </c>
      <c r="L620" s="170" t="s">
        <v>1449</v>
      </c>
      <c r="M620" s="170" t="s">
        <v>1196</v>
      </c>
      <c r="N620" s="294">
        <v>13</v>
      </c>
      <c r="O620" s="170"/>
    </row>
    <row r="621" ht="15.75" customHeight="1" spans="1:15">
      <c r="A621" s="183" t="str">
        <f>VLOOKUP(F621,数据集标准分类!A:G,7,0)</f>
        <v>02</v>
      </c>
      <c r="B621" s="183" t="str">
        <f>VLOOKUP(F621,数据集标准分类!A:F,6,0)</f>
        <v>电子病历</v>
      </c>
      <c r="C621" s="183" t="str">
        <f>VLOOKUP(F621,数据集标准分类!A:E,5,0)</f>
        <v>0206</v>
      </c>
      <c r="D621" s="183" t="str">
        <f>VLOOKUP(F621,数据集标准分类!A:D,4,0)</f>
        <v>手术麻醉记录</v>
      </c>
      <c r="E621" s="183" t="str">
        <f>VLOOKUP(F621,数据集标准分类!A:C,3,0)</f>
        <v>020602</v>
      </c>
      <c r="F621" s="170" t="s">
        <v>1720</v>
      </c>
      <c r="G621" s="183" t="str">
        <f>VLOOKUP(F621,数据集标准分类!A:B,2,0)</f>
        <v>preoperative_discuss</v>
      </c>
      <c r="H621" s="294">
        <f>VLOOKUP(F621,数据集标准分类!A:H,8,0)</f>
        <v>28</v>
      </c>
      <c r="I621" s="170" t="s">
        <v>1741</v>
      </c>
      <c r="J621" s="170" t="s">
        <v>1742</v>
      </c>
      <c r="K621" s="170" t="s">
        <v>1743</v>
      </c>
      <c r="L621" s="170" t="s">
        <v>1744</v>
      </c>
      <c r="M621" s="170" t="s">
        <v>1745</v>
      </c>
      <c r="N621" s="294">
        <v>14</v>
      </c>
      <c r="O621" s="170"/>
    </row>
    <row r="622" ht="15.75" customHeight="1" spans="1:15">
      <c r="A622" s="183" t="str">
        <f>VLOOKUP(F622,数据集标准分类!A:G,7,0)</f>
        <v>02</v>
      </c>
      <c r="B622" s="183" t="str">
        <f>VLOOKUP(F622,数据集标准分类!A:F,6,0)</f>
        <v>电子病历</v>
      </c>
      <c r="C622" s="183" t="str">
        <f>VLOOKUP(F622,数据集标准分类!A:E,5,0)</f>
        <v>0206</v>
      </c>
      <c r="D622" s="183" t="str">
        <f>VLOOKUP(F622,数据集标准分类!A:D,4,0)</f>
        <v>手术麻醉记录</v>
      </c>
      <c r="E622" s="183" t="str">
        <f>VLOOKUP(F622,数据集标准分类!A:C,3,0)</f>
        <v>020602</v>
      </c>
      <c r="F622" s="170" t="s">
        <v>1720</v>
      </c>
      <c r="G622" s="183" t="str">
        <f>VLOOKUP(F622,数据集标准分类!A:B,2,0)</f>
        <v>preoperative_discuss</v>
      </c>
      <c r="H622" s="294">
        <f>VLOOKUP(F622,数据集标准分类!A:H,8,0)</f>
        <v>28</v>
      </c>
      <c r="I622" s="170" t="s">
        <v>1746</v>
      </c>
      <c r="J622" s="170" t="s">
        <v>1747</v>
      </c>
      <c r="K622" s="170" t="s">
        <v>1748</v>
      </c>
      <c r="L622" s="170" t="s">
        <v>1749</v>
      </c>
      <c r="M622" s="170" t="s">
        <v>1750</v>
      </c>
      <c r="N622" s="294">
        <v>15</v>
      </c>
      <c r="O622" s="170"/>
    </row>
    <row r="623" ht="15.75" customHeight="1" spans="1:15">
      <c r="A623" s="183" t="str">
        <f>VLOOKUP(F623,数据集标准分类!A:G,7,0)</f>
        <v>02</v>
      </c>
      <c r="B623" s="183" t="str">
        <f>VLOOKUP(F623,数据集标准分类!A:F,6,0)</f>
        <v>电子病历</v>
      </c>
      <c r="C623" s="183" t="str">
        <f>VLOOKUP(F623,数据集标准分类!A:E,5,0)</f>
        <v>0206</v>
      </c>
      <c r="D623" s="183" t="str">
        <f>VLOOKUP(F623,数据集标准分类!A:D,4,0)</f>
        <v>手术麻醉记录</v>
      </c>
      <c r="E623" s="183" t="str">
        <f>VLOOKUP(F623,数据集标准分类!A:C,3,0)</f>
        <v>020602</v>
      </c>
      <c r="F623" s="170" t="s">
        <v>1720</v>
      </c>
      <c r="G623" s="183" t="str">
        <f>VLOOKUP(F623,数据集标准分类!A:B,2,0)</f>
        <v>preoperative_discuss</v>
      </c>
      <c r="H623" s="294">
        <f>VLOOKUP(F623,数据集标准分类!A:H,8,0)</f>
        <v>28</v>
      </c>
      <c r="I623" s="297" t="s">
        <v>1751</v>
      </c>
      <c r="J623" s="297" t="s">
        <v>1752</v>
      </c>
      <c r="K623" s="297" t="s">
        <v>1753</v>
      </c>
      <c r="L623" s="297" t="s">
        <v>1754</v>
      </c>
      <c r="M623" s="297"/>
      <c r="N623" s="294">
        <v>16</v>
      </c>
      <c r="O623" s="170"/>
    </row>
    <row r="624" ht="15.75" customHeight="1" spans="1:15">
      <c r="A624" s="183" t="str">
        <f>VLOOKUP(F624,数据集标准分类!A:G,7,0)</f>
        <v>02</v>
      </c>
      <c r="B624" s="183" t="str">
        <f>VLOOKUP(F624,数据集标准分类!A:F,6,0)</f>
        <v>电子病历</v>
      </c>
      <c r="C624" s="183" t="str">
        <f>VLOOKUP(F624,数据集标准分类!A:E,5,0)</f>
        <v>0206</v>
      </c>
      <c r="D624" s="183" t="str">
        <f>VLOOKUP(F624,数据集标准分类!A:D,4,0)</f>
        <v>手术麻醉记录</v>
      </c>
      <c r="E624" s="183" t="str">
        <f>VLOOKUP(F624,数据集标准分类!A:C,3,0)</f>
        <v>020602</v>
      </c>
      <c r="F624" s="170" t="s">
        <v>1720</v>
      </c>
      <c r="G624" s="183" t="str">
        <f>VLOOKUP(F624,数据集标准分类!A:B,2,0)</f>
        <v>preoperative_discuss</v>
      </c>
      <c r="H624" s="294">
        <f>VLOOKUP(F624,数据集标准分类!A:H,8,0)</f>
        <v>28</v>
      </c>
      <c r="I624" s="297" t="s">
        <v>1755</v>
      </c>
      <c r="J624" s="297" t="s">
        <v>1756</v>
      </c>
      <c r="K624" s="297" t="s">
        <v>1757</v>
      </c>
      <c r="L624" s="297" t="s">
        <v>1758</v>
      </c>
      <c r="M624" s="297"/>
      <c r="N624" s="294">
        <v>17</v>
      </c>
      <c r="O624" s="170"/>
    </row>
    <row r="625" ht="15.75" customHeight="1" spans="1:15">
      <c r="A625" s="183" t="str">
        <f>VLOOKUP(F625,数据集标准分类!A:G,7,0)</f>
        <v>02</v>
      </c>
      <c r="B625" s="183" t="str">
        <f>VLOOKUP(F625,数据集标准分类!A:F,6,0)</f>
        <v>电子病历</v>
      </c>
      <c r="C625" s="183" t="str">
        <f>VLOOKUP(F625,数据集标准分类!A:E,5,0)</f>
        <v>0206</v>
      </c>
      <c r="D625" s="183" t="str">
        <f>VLOOKUP(F625,数据集标准分类!A:D,4,0)</f>
        <v>手术麻醉记录</v>
      </c>
      <c r="E625" s="183" t="str">
        <f>VLOOKUP(F625,数据集标准分类!A:C,3,0)</f>
        <v>020602</v>
      </c>
      <c r="F625" s="170" t="s">
        <v>1720</v>
      </c>
      <c r="G625" s="183" t="str">
        <f>VLOOKUP(F625,数据集标准分类!A:B,2,0)</f>
        <v>preoperative_discuss</v>
      </c>
      <c r="H625" s="294">
        <f>VLOOKUP(F625,数据集标准分类!A:H,8,0)</f>
        <v>28</v>
      </c>
      <c r="I625" s="297" t="s">
        <v>1759</v>
      </c>
      <c r="J625" s="297" t="s">
        <v>1760</v>
      </c>
      <c r="K625" s="297" t="s">
        <v>1761</v>
      </c>
      <c r="L625" s="297" t="s">
        <v>1762</v>
      </c>
      <c r="M625" s="297"/>
      <c r="N625" s="294">
        <v>18</v>
      </c>
      <c r="O625" s="170"/>
    </row>
    <row r="626" ht="15.75" customHeight="1" spans="1:15">
      <c r="A626" s="183" t="str">
        <f>VLOOKUP(F626,数据集标准分类!A:G,7,0)</f>
        <v>02</v>
      </c>
      <c r="B626" s="183" t="str">
        <f>VLOOKUP(F626,数据集标准分类!A:F,6,0)</f>
        <v>电子病历</v>
      </c>
      <c r="C626" s="183" t="str">
        <f>VLOOKUP(F626,数据集标准分类!A:E,5,0)</f>
        <v>0206</v>
      </c>
      <c r="D626" s="183" t="str">
        <f>VLOOKUP(F626,数据集标准分类!A:D,4,0)</f>
        <v>手术麻醉记录</v>
      </c>
      <c r="E626" s="183" t="str">
        <f>VLOOKUP(F626,数据集标准分类!A:C,3,0)</f>
        <v>020602</v>
      </c>
      <c r="F626" s="170" t="s">
        <v>1720</v>
      </c>
      <c r="G626" s="183" t="str">
        <f>VLOOKUP(F626,数据集标准分类!A:B,2,0)</f>
        <v>preoperative_discuss</v>
      </c>
      <c r="H626" s="294">
        <f>VLOOKUP(F626,数据集标准分类!A:H,8,0)</f>
        <v>28</v>
      </c>
      <c r="I626" s="297" t="s">
        <v>1763</v>
      </c>
      <c r="J626" s="297" t="s">
        <v>1764</v>
      </c>
      <c r="K626" s="297" t="s">
        <v>1765</v>
      </c>
      <c r="L626" s="297" t="s">
        <v>1744</v>
      </c>
      <c r="M626" s="297"/>
      <c r="N626" s="294">
        <v>19</v>
      </c>
      <c r="O626" s="170"/>
    </row>
    <row r="627" ht="15.75" customHeight="1" spans="1:15">
      <c r="A627" s="183" t="str">
        <f>VLOOKUP(F627,数据集标准分类!A:G,7,0)</f>
        <v>02</v>
      </c>
      <c r="B627" s="183" t="str">
        <f>VLOOKUP(F627,数据集标准分类!A:F,6,0)</f>
        <v>电子病历</v>
      </c>
      <c r="C627" s="183" t="str">
        <f>VLOOKUP(F627,数据集标准分类!A:E,5,0)</f>
        <v>0206</v>
      </c>
      <c r="D627" s="183" t="str">
        <f>VLOOKUP(F627,数据集标准分类!A:D,4,0)</f>
        <v>手术麻醉记录</v>
      </c>
      <c r="E627" s="183" t="str">
        <f>VLOOKUP(F627,数据集标准分类!A:C,3,0)</f>
        <v>020602</v>
      </c>
      <c r="F627" s="170" t="s">
        <v>1720</v>
      </c>
      <c r="G627" s="183" t="str">
        <f>VLOOKUP(F627,数据集标准分类!A:B,2,0)</f>
        <v>preoperative_discuss</v>
      </c>
      <c r="H627" s="294">
        <f>VLOOKUP(F627,数据集标准分类!A:H,8,0)</f>
        <v>28</v>
      </c>
      <c r="I627" s="297" t="s">
        <v>1766</v>
      </c>
      <c r="J627" s="297" t="s">
        <v>1767</v>
      </c>
      <c r="K627" s="297" t="s">
        <v>1768</v>
      </c>
      <c r="L627" s="297" t="s">
        <v>1749</v>
      </c>
      <c r="M627" s="297"/>
      <c r="N627" s="294">
        <v>20</v>
      </c>
      <c r="O627" s="170"/>
    </row>
    <row r="628" ht="15.75" customHeight="1" spans="1:15">
      <c r="A628" s="183" t="str">
        <f>VLOOKUP(F628,数据集标准分类!A:G,7,0)</f>
        <v>02</v>
      </c>
      <c r="B628" s="183" t="str">
        <f>VLOOKUP(F628,数据集标准分类!A:F,6,0)</f>
        <v>电子病历</v>
      </c>
      <c r="C628" s="183" t="str">
        <f>VLOOKUP(F628,数据集标准分类!A:E,5,0)</f>
        <v>0206</v>
      </c>
      <c r="D628" s="183" t="str">
        <f>VLOOKUP(F628,数据集标准分类!A:D,4,0)</f>
        <v>手术麻醉记录</v>
      </c>
      <c r="E628" s="183" t="str">
        <f>VLOOKUP(F628,数据集标准分类!A:C,3,0)</f>
        <v>020602</v>
      </c>
      <c r="F628" s="297" t="s">
        <v>1720</v>
      </c>
      <c r="G628" s="183" t="str">
        <f>VLOOKUP(F628,数据集标准分类!A:B,2,0)</f>
        <v>preoperative_discuss</v>
      </c>
      <c r="H628" s="294">
        <f>VLOOKUP(F628,数据集标准分类!A:H,8,0)</f>
        <v>28</v>
      </c>
      <c r="I628" s="297" t="s">
        <v>1769</v>
      </c>
      <c r="J628" s="297" t="s">
        <v>1770</v>
      </c>
      <c r="K628" s="297" t="s">
        <v>1771</v>
      </c>
      <c r="L628" s="297" t="s">
        <v>1772</v>
      </c>
      <c r="M628" s="297"/>
      <c r="N628" s="294">
        <v>21</v>
      </c>
      <c r="O628" s="170"/>
    </row>
    <row r="629" ht="15.75" customHeight="1" spans="1:15">
      <c r="A629" s="183" t="str">
        <f>VLOOKUP(F629,数据集标准分类!A:G,7,0)</f>
        <v>02</v>
      </c>
      <c r="B629" s="183" t="str">
        <f>VLOOKUP(F629,数据集标准分类!A:F,6,0)</f>
        <v>电子病历</v>
      </c>
      <c r="C629" s="183" t="str">
        <f>VLOOKUP(F629,数据集标准分类!A:E,5,0)</f>
        <v>0206</v>
      </c>
      <c r="D629" s="183" t="str">
        <f>VLOOKUP(F629,数据集标准分类!A:D,4,0)</f>
        <v>手术麻醉记录</v>
      </c>
      <c r="E629" s="183" t="str">
        <f>VLOOKUP(F629,数据集标准分类!A:C,3,0)</f>
        <v>020602</v>
      </c>
      <c r="F629" s="297" t="s">
        <v>1720</v>
      </c>
      <c r="G629" s="183" t="str">
        <f>VLOOKUP(F629,数据集标准分类!A:B,2,0)</f>
        <v>preoperative_discuss</v>
      </c>
      <c r="H629" s="294">
        <f>VLOOKUP(F629,数据集标准分类!A:H,8,0)</f>
        <v>28</v>
      </c>
      <c r="I629" s="297" t="s">
        <v>966</v>
      </c>
      <c r="J629" s="297" t="s">
        <v>967</v>
      </c>
      <c r="K629" s="297" t="s">
        <v>968</v>
      </c>
      <c r="L629" s="297" t="s">
        <v>1773</v>
      </c>
      <c r="M629" s="297"/>
      <c r="N629" s="294">
        <v>22</v>
      </c>
      <c r="O629" s="170"/>
    </row>
    <row r="630" ht="15.75" customHeight="1" spans="1:15">
      <c r="A630" s="183" t="str">
        <f>VLOOKUP(F630,数据集标准分类!A:G,7,0)</f>
        <v>02</v>
      </c>
      <c r="B630" s="183" t="str">
        <f>VLOOKUP(F630,数据集标准分类!A:F,6,0)</f>
        <v>电子病历</v>
      </c>
      <c r="C630" s="183" t="str">
        <f>VLOOKUP(F630,数据集标准分类!A:E,5,0)</f>
        <v>0206</v>
      </c>
      <c r="D630" s="183" t="str">
        <f>VLOOKUP(F630,数据集标准分类!A:D,4,0)</f>
        <v>手术麻醉记录</v>
      </c>
      <c r="E630" s="183" t="str">
        <f>VLOOKUP(F630,数据集标准分类!A:C,3,0)</f>
        <v>020602</v>
      </c>
      <c r="F630" s="297" t="s">
        <v>1720</v>
      </c>
      <c r="G630" s="183" t="str">
        <f>VLOOKUP(F630,数据集标准分类!A:B,2,0)</f>
        <v>preoperative_discuss</v>
      </c>
      <c r="H630" s="294">
        <f>VLOOKUP(F630,数据集标准分类!A:H,8,0)</f>
        <v>28</v>
      </c>
      <c r="I630" s="297" t="s">
        <v>1774</v>
      </c>
      <c r="J630" s="297" t="s">
        <v>1775</v>
      </c>
      <c r="K630" s="297" t="s">
        <v>1776</v>
      </c>
      <c r="L630" s="297" t="s">
        <v>1777</v>
      </c>
      <c r="M630" s="297"/>
      <c r="N630" s="294">
        <v>26</v>
      </c>
      <c r="O630" s="170"/>
    </row>
    <row r="631" ht="15.75" customHeight="1" spans="1:15">
      <c r="A631" s="183" t="str">
        <f>VLOOKUP(F631,数据集标准分类!A:G,7,0)</f>
        <v>02</v>
      </c>
      <c r="B631" s="183" t="str">
        <f>VLOOKUP(F631,数据集标准分类!A:F,6,0)</f>
        <v>电子病历</v>
      </c>
      <c r="C631" s="183" t="str">
        <f>VLOOKUP(F631,数据集标准分类!A:E,5,0)</f>
        <v>0206</v>
      </c>
      <c r="D631" s="183" t="str">
        <f>VLOOKUP(F631,数据集标准分类!A:D,4,0)</f>
        <v>手术麻醉记录</v>
      </c>
      <c r="E631" s="183" t="str">
        <f>VLOOKUP(F631,数据集标准分类!A:C,3,0)</f>
        <v>020603</v>
      </c>
      <c r="F631" s="170" t="s">
        <v>1778</v>
      </c>
      <c r="G631" s="183" t="str">
        <f>VLOOKUP(F631,数据集标准分类!A:B,2,0)</f>
        <v>preoperative_brief_summary</v>
      </c>
      <c r="H631" s="294">
        <f>VLOOKUP(F631,数据集标准分类!A:H,8,0)</f>
        <v>29</v>
      </c>
      <c r="I631" s="170" t="s">
        <v>1509</v>
      </c>
      <c r="J631" s="170" t="s">
        <v>1510</v>
      </c>
      <c r="K631" s="170" t="s">
        <v>1511</v>
      </c>
      <c r="L631" s="170" t="s">
        <v>1512</v>
      </c>
      <c r="M631" s="170" t="s">
        <v>1513</v>
      </c>
      <c r="N631" s="294">
        <v>1</v>
      </c>
      <c r="O631" s="170"/>
    </row>
    <row r="632" ht="15.75" customHeight="1" spans="1:15">
      <c r="A632" s="183" t="str">
        <f>VLOOKUP(F632,数据集标准分类!A:G,7,0)</f>
        <v>02</v>
      </c>
      <c r="B632" s="183" t="str">
        <f>VLOOKUP(F632,数据集标准分类!A:F,6,0)</f>
        <v>电子病历</v>
      </c>
      <c r="C632" s="183" t="str">
        <f>VLOOKUP(F632,数据集标准分类!A:E,5,0)</f>
        <v>0206</v>
      </c>
      <c r="D632" s="183" t="str">
        <f>VLOOKUP(F632,数据集标准分类!A:D,4,0)</f>
        <v>手术麻醉记录</v>
      </c>
      <c r="E632" s="183" t="str">
        <f>VLOOKUP(F632,数据集标准分类!A:C,3,0)</f>
        <v>020603</v>
      </c>
      <c r="F632" s="170" t="s">
        <v>1778</v>
      </c>
      <c r="G632" s="183" t="str">
        <f>VLOOKUP(F632,数据集标准分类!A:B,2,0)</f>
        <v>preoperative_brief_summary</v>
      </c>
      <c r="H632" s="294">
        <f>VLOOKUP(F632,数据集标准分类!A:H,8,0)</f>
        <v>29</v>
      </c>
      <c r="I632" s="170" t="s">
        <v>172</v>
      </c>
      <c r="J632" s="170" t="s">
        <v>173</v>
      </c>
      <c r="K632" s="170" t="s">
        <v>174</v>
      </c>
      <c r="L632" s="170" t="s">
        <v>175</v>
      </c>
      <c r="M632" s="170" t="s">
        <v>1587</v>
      </c>
      <c r="N632" s="294">
        <v>2</v>
      </c>
      <c r="O632" s="170"/>
    </row>
    <row r="633" ht="15.75" customHeight="1" spans="1:15">
      <c r="A633" s="183" t="str">
        <f>VLOOKUP(F633,数据集标准分类!A:G,7,0)</f>
        <v>02</v>
      </c>
      <c r="B633" s="183" t="str">
        <f>VLOOKUP(F633,数据集标准分类!A:F,6,0)</f>
        <v>电子病历</v>
      </c>
      <c r="C633" s="183" t="str">
        <f>VLOOKUP(F633,数据集标准分类!A:E,5,0)</f>
        <v>0206</v>
      </c>
      <c r="D633" s="183" t="str">
        <f>VLOOKUP(F633,数据集标准分类!A:D,4,0)</f>
        <v>手术麻醉记录</v>
      </c>
      <c r="E633" s="183" t="str">
        <f>VLOOKUP(F633,数据集标准分类!A:C,3,0)</f>
        <v>020603</v>
      </c>
      <c r="F633" s="170" t="s">
        <v>1778</v>
      </c>
      <c r="G633" s="183" t="str">
        <f>VLOOKUP(F633,数据集标准分类!A:B,2,0)</f>
        <v>preoperative_brief_summary</v>
      </c>
      <c r="H633" s="294">
        <f>VLOOKUP(F633,数据集标准分类!A:H,8,0)</f>
        <v>29</v>
      </c>
      <c r="I633" s="170" t="s">
        <v>1063</v>
      </c>
      <c r="J633" s="170" t="s">
        <v>1064</v>
      </c>
      <c r="K633" s="170" t="s">
        <v>1065</v>
      </c>
      <c r="L633" s="170" t="s">
        <v>1066</v>
      </c>
      <c r="M633" s="170" t="s">
        <v>1067</v>
      </c>
      <c r="N633" s="294">
        <v>3</v>
      </c>
      <c r="O633" s="170"/>
    </row>
    <row r="634" ht="15.75" customHeight="1" spans="1:15">
      <c r="A634" s="183" t="str">
        <f>VLOOKUP(F634,数据集标准分类!A:G,7,0)</f>
        <v>02</v>
      </c>
      <c r="B634" s="183" t="str">
        <f>VLOOKUP(F634,数据集标准分类!A:F,6,0)</f>
        <v>电子病历</v>
      </c>
      <c r="C634" s="183" t="str">
        <f>VLOOKUP(F634,数据集标准分类!A:E,5,0)</f>
        <v>0206</v>
      </c>
      <c r="D634" s="183" t="str">
        <f>VLOOKUP(F634,数据集标准分类!A:D,4,0)</f>
        <v>手术麻醉记录</v>
      </c>
      <c r="E634" s="183" t="str">
        <f>VLOOKUP(F634,数据集标准分类!A:C,3,0)</f>
        <v>020603</v>
      </c>
      <c r="F634" s="170" t="s">
        <v>1778</v>
      </c>
      <c r="G634" s="183" t="str">
        <f>VLOOKUP(F634,数据集标准分类!A:B,2,0)</f>
        <v>preoperative_brief_summary</v>
      </c>
      <c r="H634" s="294">
        <f>VLOOKUP(F634,数据集标准分类!A:H,8,0)</f>
        <v>29</v>
      </c>
      <c r="I634" s="170" t="s">
        <v>503</v>
      </c>
      <c r="J634" s="170" t="s">
        <v>504</v>
      </c>
      <c r="K634" s="170" t="s">
        <v>505</v>
      </c>
      <c r="L634" s="170" t="s">
        <v>506</v>
      </c>
      <c r="M634" s="170" t="s">
        <v>1779</v>
      </c>
      <c r="N634" s="294">
        <v>4</v>
      </c>
      <c r="O634" s="170"/>
    </row>
    <row r="635" ht="15.75" customHeight="1" spans="1:15">
      <c r="A635" s="183" t="str">
        <f>VLOOKUP(F635,数据集标准分类!A:G,7,0)</f>
        <v>02</v>
      </c>
      <c r="B635" s="183" t="str">
        <f>VLOOKUP(F635,数据集标准分类!A:F,6,0)</f>
        <v>电子病历</v>
      </c>
      <c r="C635" s="183" t="str">
        <f>VLOOKUP(F635,数据集标准分类!A:E,5,0)</f>
        <v>0206</v>
      </c>
      <c r="D635" s="183" t="str">
        <f>VLOOKUP(F635,数据集标准分类!A:D,4,0)</f>
        <v>手术麻醉记录</v>
      </c>
      <c r="E635" s="183" t="str">
        <f>VLOOKUP(F635,数据集标准分类!A:C,3,0)</f>
        <v>020603</v>
      </c>
      <c r="F635" s="170" t="s">
        <v>1778</v>
      </c>
      <c r="G635" s="183" t="str">
        <f>VLOOKUP(F635,数据集标准分类!A:B,2,0)</f>
        <v>preoperative_brief_summary</v>
      </c>
      <c r="H635" s="294">
        <f>VLOOKUP(F635,数据集标准分类!A:H,8,0)</f>
        <v>29</v>
      </c>
      <c r="I635" s="170" t="s">
        <v>508</v>
      </c>
      <c r="J635" s="170" t="s">
        <v>509</v>
      </c>
      <c r="K635" s="170" t="s">
        <v>510</v>
      </c>
      <c r="L635" s="170" t="s">
        <v>511</v>
      </c>
      <c r="M635" s="170" t="s">
        <v>116</v>
      </c>
      <c r="N635" s="294">
        <v>5</v>
      </c>
      <c r="O635" s="170"/>
    </row>
    <row r="636" ht="15.75" customHeight="1" spans="1:15">
      <c r="A636" s="183" t="str">
        <f>VLOOKUP(F636,数据集标准分类!A:G,7,0)</f>
        <v>02</v>
      </c>
      <c r="B636" s="183" t="str">
        <f>VLOOKUP(F636,数据集标准分类!A:F,6,0)</f>
        <v>电子病历</v>
      </c>
      <c r="C636" s="183" t="str">
        <f>VLOOKUP(F636,数据集标准分类!A:E,5,0)</f>
        <v>0206</v>
      </c>
      <c r="D636" s="183" t="str">
        <f>VLOOKUP(F636,数据集标准分类!A:D,4,0)</f>
        <v>手术麻醉记录</v>
      </c>
      <c r="E636" s="183" t="str">
        <f>VLOOKUP(F636,数据集标准分类!A:C,3,0)</f>
        <v>020603</v>
      </c>
      <c r="F636" s="170" t="s">
        <v>1778</v>
      </c>
      <c r="G636" s="183" t="str">
        <f>VLOOKUP(F636,数据集标准分类!A:B,2,0)</f>
        <v>preoperative_brief_summary</v>
      </c>
      <c r="H636" s="294">
        <f>VLOOKUP(F636,数据集标准分类!A:H,8,0)</f>
        <v>29</v>
      </c>
      <c r="I636" s="170" t="s">
        <v>779</v>
      </c>
      <c r="J636" s="170" t="s">
        <v>780</v>
      </c>
      <c r="K636" s="170" t="s">
        <v>781</v>
      </c>
      <c r="L636" s="170" t="s">
        <v>782</v>
      </c>
      <c r="M636" s="170" t="s">
        <v>783</v>
      </c>
      <c r="N636" s="294">
        <v>6</v>
      </c>
      <c r="O636" s="170"/>
    </row>
    <row r="637" ht="15.75" customHeight="1" spans="1:15">
      <c r="A637" s="183" t="str">
        <f>VLOOKUP(F637,数据集标准分类!A:G,7,0)</f>
        <v>02</v>
      </c>
      <c r="B637" s="183" t="str">
        <f>VLOOKUP(F637,数据集标准分类!A:F,6,0)</f>
        <v>电子病历</v>
      </c>
      <c r="C637" s="183" t="str">
        <f>VLOOKUP(F637,数据集标准分类!A:E,5,0)</f>
        <v>0206</v>
      </c>
      <c r="D637" s="183" t="str">
        <f>VLOOKUP(F637,数据集标准分类!A:D,4,0)</f>
        <v>手术麻醉记录</v>
      </c>
      <c r="E637" s="183" t="str">
        <f>VLOOKUP(F637,数据集标准分类!A:C,3,0)</f>
        <v>020603</v>
      </c>
      <c r="F637" s="170" t="s">
        <v>1778</v>
      </c>
      <c r="G637" s="183" t="str">
        <f>VLOOKUP(F637,数据集标准分类!A:B,2,0)</f>
        <v>preoperative_brief_summary</v>
      </c>
      <c r="H637" s="294">
        <f>VLOOKUP(F637,数据集标准分类!A:H,8,0)</f>
        <v>29</v>
      </c>
      <c r="I637" s="170" t="s">
        <v>1780</v>
      </c>
      <c r="J637" s="170" t="s">
        <v>1781</v>
      </c>
      <c r="K637" s="170" t="s">
        <v>1782</v>
      </c>
      <c r="L637" s="170" t="s">
        <v>1783</v>
      </c>
      <c r="M637" s="170" t="s">
        <v>1784</v>
      </c>
      <c r="N637" s="294">
        <v>7</v>
      </c>
      <c r="O637" s="170"/>
    </row>
    <row r="638" ht="15.75" customHeight="1" spans="1:15">
      <c r="A638" s="183" t="str">
        <f>VLOOKUP(F638,数据集标准分类!A:G,7,0)</f>
        <v>02</v>
      </c>
      <c r="B638" s="183" t="str">
        <f>VLOOKUP(F638,数据集标准分类!A:F,6,0)</f>
        <v>电子病历</v>
      </c>
      <c r="C638" s="183" t="str">
        <f>VLOOKUP(F638,数据集标准分类!A:E,5,0)</f>
        <v>0206</v>
      </c>
      <c r="D638" s="183" t="str">
        <f>VLOOKUP(F638,数据集标准分类!A:D,4,0)</f>
        <v>手术麻醉记录</v>
      </c>
      <c r="E638" s="183" t="str">
        <f>VLOOKUP(F638,数据集标准分类!A:C,3,0)</f>
        <v>020603</v>
      </c>
      <c r="F638" s="170" t="s">
        <v>1778</v>
      </c>
      <c r="G638" s="183" t="str">
        <f>VLOOKUP(F638,数据集标准分类!A:B,2,0)</f>
        <v>preoperative_brief_summary</v>
      </c>
      <c r="H638" s="294">
        <f>VLOOKUP(F638,数据集标准分类!A:H,8,0)</f>
        <v>29</v>
      </c>
      <c r="I638" s="170" t="s">
        <v>1785</v>
      </c>
      <c r="J638" s="170" t="s">
        <v>1786</v>
      </c>
      <c r="K638" s="170" t="s">
        <v>1787</v>
      </c>
      <c r="L638" s="170" t="s">
        <v>1788</v>
      </c>
      <c r="M638" s="170" t="s">
        <v>1789</v>
      </c>
      <c r="N638" s="294">
        <v>8</v>
      </c>
      <c r="O638" s="170"/>
    </row>
    <row r="639" ht="15.75" customHeight="1" spans="1:15">
      <c r="A639" s="183" t="str">
        <f>VLOOKUP(F639,数据集标准分类!A:G,7,0)</f>
        <v>02</v>
      </c>
      <c r="B639" s="183" t="str">
        <f>VLOOKUP(F639,数据集标准分类!A:F,6,0)</f>
        <v>电子病历</v>
      </c>
      <c r="C639" s="183" t="str">
        <f>VLOOKUP(F639,数据集标准分类!A:E,5,0)</f>
        <v>0206</v>
      </c>
      <c r="D639" s="183" t="str">
        <f>VLOOKUP(F639,数据集标准分类!A:D,4,0)</f>
        <v>手术麻醉记录</v>
      </c>
      <c r="E639" s="183" t="str">
        <f>VLOOKUP(F639,数据集标准分类!A:C,3,0)</f>
        <v>020603</v>
      </c>
      <c r="F639" s="170" t="s">
        <v>1778</v>
      </c>
      <c r="G639" s="183" t="str">
        <f>VLOOKUP(F639,数据集标准分类!A:B,2,0)</f>
        <v>preoperative_brief_summary</v>
      </c>
      <c r="H639" s="294">
        <f>VLOOKUP(F639,数据集标准分类!A:H,8,0)</f>
        <v>29</v>
      </c>
      <c r="I639" s="170" t="s">
        <v>1678</v>
      </c>
      <c r="J639" s="170" t="s">
        <v>1679</v>
      </c>
      <c r="K639" s="170" t="s">
        <v>1680</v>
      </c>
      <c r="L639" s="170" t="s">
        <v>1681</v>
      </c>
      <c r="M639" s="170" t="s">
        <v>1735</v>
      </c>
      <c r="N639" s="294">
        <v>9</v>
      </c>
      <c r="O639" s="170"/>
    </row>
    <row r="640" ht="15.75" customHeight="1" spans="1:15">
      <c r="A640" s="183" t="str">
        <f>VLOOKUP(F640,数据集标准分类!A:G,7,0)</f>
        <v>02</v>
      </c>
      <c r="B640" s="183" t="str">
        <f>VLOOKUP(F640,数据集标准分类!A:F,6,0)</f>
        <v>电子病历</v>
      </c>
      <c r="C640" s="183" t="str">
        <f>VLOOKUP(F640,数据集标准分类!A:E,5,0)</f>
        <v>0206</v>
      </c>
      <c r="D640" s="183" t="str">
        <f>VLOOKUP(F640,数据集标准分类!A:D,4,0)</f>
        <v>手术麻醉记录</v>
      </c>
      <c r="E640" s="183" t="str">
        <f>VLOOKUP(F640,数据集标准分类!A:C,3,0)</f>
        <v>020603</v>
      </c>
      <c r="F640" s="170" t="s">
        <v>1778</v>
      </c>
      <c r="G640" s="183" t="str">
        <f>VLOOKUP(F640,数据集标准分类!A:B,2,0)</f>
        <v>preoperative_brief_summary</v>
      </c>
      <c r="H640" s="294">
        <f>VLOOKUP(F640,数据集标准分类!A:H,8,0)</f>
        <v>29</v>
      </c>
      <c r="I640" s="170" t="s">
        <v>1120</v>
      </c>
      <c r="J640" s="170" t="s">
        <v>1121</v>
      </c>
      <c r="K640" s="170" t="s">
        <v>1122</v>
      </c>
      <c r="L640" s="170" t="s">
        <v>1123</v>
      </c>
      <c r="M640" s="170" t="s">
        <v>1555</v>
      </c>
      <c r="N640" s="294">
        <v>10</v>
      </c>
      <c r="O640" s="170"/>
    </row>
    <row r="641" ht="15.75" customHeight="1" spans="1:15">
      <c r="A641" s="183" t="str">
        <f>VLOOKUP(F641,数据集标准分类!A:G,7,0)</f>
        <v>02</v>
      </c>
      <c r="B641" s="183" t="str">
        <f>VLOOKUP(F641,数据集标准分类!A:F,6,0)</f>
        <v>电子病历</v>
      </c>
      <c r="C641" s="183" t="str">
        <f>VLOOKUP(F641,数据集标准分类!A:E,5,0)</f>
        <v>0206</v>
      </c>
      <c r="D641" s="183" t="str">
        <f>VLOOKUP(F641,数据集标准分类!A:D,4,0)</f>
        <v>手术麻醉记录</v>
      </c>
      <c r="E641" s="183" t="str">
        <f>VLOOKUP(F641,数据集标准分类!A:C,3,0)</f>
        <v>020603</v>
      </c>
      <c r="F641" s="170" t="s">
        <v>1778</v>
      </c>
      <c r="G641" s="183" t="str">
        <f>VLOOKUP(F641,数据集标准分类!A:B,2,0)</f>
        <v>preoperative_brief_summary</v>
      </c>
      <c r="H641" s="294">
        <f>VLOOKUP(F641,数据集标准分类!A:H,8,0)</f>
        <v>29</v>
      </c>
      <c r="I641" s="170" t="s">
        <v>192</v>
      </c>
      <c r="J641" s="170" t="s">
        <v>193</v>
      </c>
      <c r="K641" s="170" t="s">
        <v>194</v>
      </c>
      <c r="L641" s="170" t="s">
        <v>195</v>
      </c>
      <c r="M641" s="170" t="s">
        <v>1722</v>
      </c>
      <c r="N641" s="294">
        <v>11</v>
      </c>
      <c r="O641" s="170"/>
    </row>
    <row r="642" ht="15.75" customHeight="1" spans="1:15">
      <c r="A642" s="183" t="str">
        <f>VLOOKUP(F642,数据集标准分类!A:G,7,0)</f>
        <v>02</v>
      </c>
      <c r="B642" s="183" t="str">
        <f>VLOOKUP(F642,数据集标准分类!A:F,6,0)</f>
        <v>电子病历</v>
      </c>
      <c r="C642" s="183" t="str">
        <f>VLOOKUP(F642,数据集标准分类!A:E,5,0)</f>
        <v>0206</v>
      </c>
      <c r="D642" s="183" t="str">
        <f>VLOOKUP(F642,数据集标准分类!A:D,4,0)</f>
        <v>手术麻醉记录</v>
      </c>
      <c r="E642" s="183" t="str">
        <f>VLOOKUP(F642,数据集标准分类!A:C,3,0)</f>
        <v>020603</v>
      </c>
      <c r="F642" s="170" t="s">
        <v>1778</v>
      </c>
      <c r="G642" s="183" t="str">
        <f>VLOOKUP(F642,数据集标准分类!A:B,2,0)</f>
        <v>preoperative_brief_summary</v>
      </c>
      <c r="H642" s="294">
        <f>VLOOKUP(F642,数据集标准分类!A:H,8,0)</f>
        <v>29</v>
      </c>
      <c r="I642" s="170" t="s">
        <v>396</v>
      </c>
      <c r="J642" s="170" t="s">
        <v>397</v>
      </c>
      <c r="K642" s="170" t="s">
        <v>398</v>
      </c>
      <c r="L642" s="170" t="s">
        <v>399</v>
      </c>
      <c r="M642" s="170" t="s">
        <v>1260</v>
      </c>
      <c r="N642" s="294">
        <v>12</v>
      </c>
      <c r="O642" s="170"/>
    </row>
    <row r="643" ht="15.75" customHeight="1" spans="1:15">
      <c r="A643" s="183" t="str">
        <f>VLOOKUP(F643,数据集标准分类!A:G,7,0)</f>
        <v>02</v>
      </c>
      <c r="B643" s="183" t="str">
        <f>VLOOKUP(F643,数据集标准分类!A:F,6,0)</f>
        <v>电子病历</v>
      </c>
      <c r="C643" s="183" t="str">
        <f>VLOOKUP(F643,数据集标准分类!A:E,5,0)</f>
        <v>0206</v>
      </c>
      <c r="D643" s="183" t="str">
        <f>VLOOKUP(F643,数据集标准分类!A:D,4,0)</f>
        <v>手术麻醉记录</v>
      </c>
      <c r="E643" s="183" t="str">
        <f>VLOOKUP(F643,数据集标准分类!A:C,3,0)</f>
        <v>020603</v>
      </c>
      <c r="F643" s="170" t="s">
        <v>1778</v>
      </c>
      <c r="G643" s="183" t="str">
        <f>VLOOKUP(F643,数据集标准分类!A:B,2,0)</f>
        <v>preoperative_brief_summary</v>
      </c>
      <c r="H643" s="294">
        <f>VLOOKUP(F643,数据集标准分类!A:H,8,0)</f>
        <v>29</v>
      </c>
      <c r="I643" s="170" t="s">
        <v>1261</v>
      </c>
      <c r="J643" s="170" t="s">
        <v>1262</v>
      </c>
      <c r="K643" s="170" t="s">
        <v>1263</v>
      </c>
      <c r="L643" s="170" t="s">
        <v>1264</v>
      </c>
      <c r="M643" s="170" t="s">
        <v>1429</v>
      </c>
      <c r="N643" s="294">
        <v>13</v>
      </c>
      <c r="O643" s="170"/>
    </row>
    <row r="644" ht="15.75" customHeight="1" spans="1:15">
      <c r="A644" s="183" t="str">
        <f>VLOOKUP(F644,数据集标准分类!A:G,7,0)</f>
        <v>02</v>
      </c>
      <c r="B644" s="183" t="str">
        <f>VLOOKUP(F644,数据集标准分类!A:F,6,0)</f>
        <v>电子病历</v>
      </c>
      <c r="C644" s="183" t="str">
        <f>VLOOKUP(F644,数据集标准分类!A:E,5,0)</f>
        <v>0206</v>
      </c>
      <c r="D644" s="183" t="str">
        <f>VLOOKUP(F644,数据集标准分类!A:D,4,0)</f>
        <v>手术麻醉记录</v>
      </c>
      <c r="E644" s="183" t="str">
        <f>VLOOKUP(F644,数据集标准分类!A:C,3,0)</f>
        <v>020603</v>
      </c>
      <c r="F644" s="170" t="s">
        <v>1778</v>
      </c>
      <c r="G644" s="183" t="str">
        <f>VLOOKUP(F644,数据集标准分类!A:B,2,0)</f>
        <v>preoperative_brief_summary</v>
      </c>
      <c r="H644" s="294">
        <f>VLOOKUP(F644,数据集标准分类!A:H,8,0)</f>
        <v>29</v>
      </c>
      <c r="I644" s="170" t="s">
        <v>1430</v>
      </c>
      <c r="J644" s="170" t="s">
        <v>1431</v>
      </c>
      <c r="K644" s="170" t="s">
        <v>1432</v>
      </c>
      <c r="L644" s="170" t="s">
        <v>1433</v>
      </c>
      <c r="M644" s="170" t="s">
        <v>1723</v>
      </c>
      <c r="N644" s="294">
        <v>14</v>
      </c>
      <c r="O644" s="170"/>
    </row>
    <row r="645" ht="15.75" customHeight="1" spans="1:15">
      <c r="A645" s="183" t="str">
        <f>VLOOKUP(F645,数据集标准分类!A:G,7,0)</f>
        <v>02</v>
      </c>
      <c r="B645" s="183" t="str">
        <f>VLOOKUP(F645,数据集标准分类!A:F,6,0)</f>
        <v>电子病历</v>
      </c>
      <c r="C645" s="183" t="str">
        <f>VLOOKUP(F645,数据集标准分类!A:E,5,0)</f>
        <v>0206</v>
      </c>
      <c r="D645" s="183" t="str">
        <f>VLOOKUP(F645,数据集标准分类!A:D,4,0)</f>
        <v>手术麻醉记录</v>
      </c>
      <c r="E645" s="183" t="str">
        <f>VLOOKUP(F645,数据集标准分类!A:C,3,0)</f>
        <v>020603</v>
      </c>
      <c r="F645" s="170" t="s">
        <v>1778</v>
      </c>
      <c r="G645" s="183" t="str">
        <f>VLOOKUP(F645,数据集标准分类!A:B,2,0)</f>
        <v>preoperative_brief_summary</v>
      </c>
      <c r="H645" s="294">
        <f>VLOOKUP(F645,数据集标准分类!A:H,8,0)</f>
        <v>29</v>
      </c>
      <c r="I645" s="170" t="s">
        <v>421</v>
      </c>
      <c r="J645" s="170" t="s">
        <v>422</v>
      </c>
      <c r="K645" s="170" t="s">
        <v>423</v>
      </c>
      <c r="L645" s="170" t="s">
        <v>424</v>
      </c>
      <c r="M645" s="170" t="s">
        <v>1724</v>
      </c>
      <c r="N645" s="294">
        <v>15</v>
      </c>
      <c r="O645" s="170"/>
    </row>
    <row r="646" ht="15.75" customHeight="1" spans="1:15">
      <c r="A646" s="183" t="str">
        <f>VLOOKUP(F646,数据集标准分类!A:G,7,0)</f>
        <v>02</v>
      </c>
      <c r="B646" s="183" t="str">
        <f>VLOOKUP(F646,数据集标准分类!A:F,6,0)</f>
        <v>电子病历</v>
      </c>
      <c r="C646" s="183" t="str">
        <f>VLOOKUP(F646,数据集标准分类!A:E,5,0)</f>
        <v>0206</v>
      </c>
      <c r="D646" s="183" t="str">
        <f>VLOOKUP(F646,数据集标准分类!A:D,4,0)</f>
        <v>手术麻醉记录</v>
      </c>
      <c r="E646" s="183" t="str">
        <f>VLOOKUP(F646,数据集标准分类!A:C,3,0)</f>
        <v>020603</v>
      </c>
      <c r="F646" s="170" t="s">
        <v>1778</v>
      </c>
      <c r="G646" s="183" t="str">
        <f>VLOOKUP(F646,数据集标准分类!A:B,2,0)</f>
        <v>preoperative_brief_summary</v>
      </c>
      <c r="H646" s="294">
        <f>VLOOKUP(F646,数据集标准分类!A:H,8,0)</f>
        <v>29</v>
      </c>
      <c r="I646" s="170" t="s">
        <v>1192</v>
      </c>
      <c r="J646" s="170" t="s">
        <v>1193</v>
      </c>
      <c r="K646" s="170" t="s">
        <v>1194</v>
      </c>
      <c r="L646" s="170" t="s">
        <v>1195</v>
      </c>
      <c r="M646" s="170" t="s">
        <v>1196</v>
      </c>
      <c r="N646" s="294">
        <v>16</v>
      </c>
      <c r="O646" s="170"/>
    </row>
    <row r="647" ht="15.75" customHeight="1" spans="1:15">
      <c r="A647" s="183" t="str">
        <f>VLOOKUP(F647,数据集标准分类!A:G,7,0)</f>
        <v>02</v>
      </c>
      <c r="B647" s="183" t="str">
        <f>VLOOKUP(F647,数据集标准分类!A:F,6,0)</f>
        <v>电子病历</v>
      </c>
      <c r="C647" s="183" t="str">
        <f>VLOOKUP(F647,数据集标准分类!A:E,5,0)</f>
        <v>0206</v>
      </c>
      <c r="D647" s="183" t="str">
        <f>VLOOKUP(F647,数据集标准分类!A:D,4,0)</f>
        <v>手术麻醉记录</v>
      </c>
      <c r="E647" s="183" t="str">
        <f>VLOOKUP(F647,数据集标准分类!A:C,3,0)</f>
        <v>020603</v>
      </c>
      <c r="F647" s="170" t="s">
        <v>1778</v>
      </c>
      <c r="G647" s="183" t="str">
        <f>VLOOKUP(F647,数据集标准分类!A:B,2,0)</f>
        <v>preoperative_brief_summary</v>
      </c>
      <c r="H647" s="294">
        <f>VLOOKUP(F647,数据集标准分类!A:H,8,0)</f>
        <v>29</v>
      </c>
      <c r="I647" s="170" t="s">
        <v>1725</v>
      </c>
      <c r="J647" s="170" t="s">
        <v>1726</v>
      </c>
      <c r="K647" s="170" t="s">
        <v>1727</v>
      </c>
      <c r="L647" s="170" t="s">
        <v>1728</v>
      </c>
      <c r="M647" s="170" t="s">
        <v>1729</v>
      </c>
      <c r="N647" s="294">
        <v>17</v>
      </c>
      <c r="O647" s="170"/>
    </row>
    <row r="648" ht="15.75" customHeight="1" spans="1:15">
      <c r="A648" s="183" t="str">
        <f>VLOOKUP(F648,数据集标准分类!A:G,7,0)</f>
        <v>02</v>
      </c>
      <c r="B648" s="183" t="str">
        <f>VLOOKUP(F648,数据集标准分类!A:F,6,0)</f>
        <v>电子病历</v>
      </c>
      <c r="C648" s="183" t="str">
        <f>VLOOKUP(F648,数据集标准分类!A:E,5,0)</f>
        <v>0206</v>
      </c>
      <c r="D648" s="183" t="str">
        <f>VLOOKUP(F648,数据集标准分类!A:D,4,0)</f>
        <v>手术麻醉记录</v>
      </c>
      <c r="E648" s="183" t="str">
        <f>VLOOKUP(F648,数据集标准分类!A:C,3,0)</f>
        <v>020603</v>
      </c>
      <c r="F648" s="170" t="s">
        <v>1778</v>
      </c>
      <c r="G648" s="183" t="str">
        <f>VLOOKUP(F648,数据集标准分类!A:B,2,0)</f>
        <v>preoperative_brief_summary</v>
      </c>
      <c r="H648" s="294">
        <f>VLOOKUP(F648,数据集标准分类!A:H,8,0)</f>
        <v>29</v>
      </c>
      <c r="I648" s="170" t="s">
        <v>1730</v>
      </c>
      <c r="J648" s="170" t="s">
        <v>1731</v>
      </c>
      <c r="K648" s="170" t="s">
        <v>1732</v>
      </c>
      <c r="L648" s="170" t="s">
        <v>1733</v>
      </c>
      <c r="M648" s="170" t="s">
        <v>1734</v>
      </c>
      <c r="N648" s="294">
        <v>18</v>
      </c>
      <c r="O648" s="170"/>
    </row>
    <row r="649" ht="15.75" customHeight="1" spans="1:15">
      <c r="A649" s="183" t="str">
        <f>VLOOKUP(F649,数据集标准分类!A:G,7,0)</f>
        <v>02</v>
      </c>
      <c r="B649" s="183" t="str">
        <f>VLOOKUP(F649,数据集标准分类!A:F,6,0)</f>
        <v>电子病历</v>
      </c>
      <c r="C649" s="183" t="str">
        <f>VLOOKUP(F649,数据集标准分类!A:E,5,0)</f>
        <v>0206</v>
      </c>
      <c r="D649" s="183" t="str">
        <f>VLOOKUP(F649,数据集标准分类!A:D,4,0)</f>
        <v>手术麻醉记录</v>
      </c>
      <c r="E649" s="183" t="str">
        <f>VLOOKUP(F649,数据集标准分类!A:C,3,0)</f>
        <v>020604</v>
      </c>
      <c r="F649" s="170" t="s">
        <v>1790</v>
      </c>
      <c r="G649" s="183" t="str">
        <f>VLOOKUP(F649,数据集标准分类!A:B,2,0)</f>
        <v>cs_record</v>
      </c>
      <c r="H649" s="294">
        <f>VLOOKUP(F649,数据集标准分类!A:H,8,0)</f>
        <v>30</v>
      </c>
      <c r="I649" s="170" t="s">
        <v>1791</v>
      </c>
      <c r="J649" s="170" t="s">
        <v>1792</v>
      </c>
      <c r="K649" s="170" t="s">
        <v>1793</v>
      </c>
      <c r="L649" s="170" t="s">
        <v>1794</v>
      </c>
      <c r="M649" s="170" t="s">
        <v>1795</v>
      </c>
      <c r="N649" s="294">
        <v>1</v>
      </c>
      <c r="O649" s="170"/>
    </row>
    <row r="650" ht="15.75" customHeight="1" spans="1:15">
      <c r="A650" s="183" t="str">
        <f>VLOOKUP(F650,数据集标准分类!A:G,7,0)</f>
        <v>02</v>
      </c>
      <c r="B650" s="183" t="str">
        <f>VLOOKUP(F650,数据集标准分类!A:F,6,0)</f>
        <v>电子病历</v>
      </c>
      <c r="C650" s="183" t="str">
        <f>VLOOKUP(F650,数据集标准分类!A:E,5,0)</f>
        <v>0206</v>
      </c>
      <c r="D650" s="183" t="str">
        <f>VLOOKUP(F650,数据集标准分类!A:D,4,0)</f>
        <v>手术麻醉记录</v>
      </c>
      <c r="E650" s="183" t="str">
        <f>VLOOKUP(F650,数据集标准分类!A:C,3,0)</f>
        <v>020604</v>
      </c>
      <c r="F650" s="170" t="s">
        <v>1790</v>
      </c>
      <c r="G650" s="183" t="str">
        <f>VLOOKUP(F650,数据集标准分类!A:B,2,0)</f>
        <v>cs_record</v>
      </c>
      <c r="H650" s="294">
        <f>VLOOKUP(F650,数据集标准分类!A:H,8,0)</f>
        <v>30</v>
      </c>
      <c r="I650" s="170" t="s">
        <v>1796</v>
      </c>
      <c r="J650" s="170" t="s">
        <v>1797</v>
      </c>
      <c r="K650" s="170" t="s">
        <v>1798</v>
      </c>
      <c r="L650" s="170" t="s">
        <v>1799</v>
      </c>
      <c r="M650" s="170" t="s">
        <v>1800</v>
      </c>
      <c r="N650" s="294">
        <v>2</v>
      </c>
      <c r="O650" s="170"/>
    </row>
    <row r="651" ht="15.75" customHeight="1" spans="1:15">
      <c r="A651" s="183" t="str">
        <f>VLOOKUP(F651,数据集标准分类!A:G,7,0)</f>
        <v>02</v>
      </c>
      <c r="B651" s="183" t="str">
        <f>VLOOKUP(F651,数据集标准分类!A:F,6,0)</f>
        <v>电子病历</v>
      </c>
      <c r="C651" s="183" t="str">
        <f>VLOOKUP(F651,数据集标准分类!A:E,5,0)</f>
        <v>0206</v>
      </c>
      <c r="D651" s="183" t="str">
        <f>VLOOKUP(F651,数据集标准分类!A:D,4,0)</f>
        <v>手术麻醉记录</v>
      </c>
      <c r="E651" s="183" t="str">
        <f>VLOOKUP(F651,数据集标准分类!A:C,3,0)</f>
        <v>020604</v>
      </c>
      <c r="F651" s="170" t="s">
        <v>1790</v>
      </c>
      <c r="G651" s="183" t="str">
        <f>VLOOKUP(F651,数据集标准分类!A:B,2,0)</f>
        <v>cs_record</v>
      </c>
      <c r="H651" s="294">
        <f>VLOOKUP(F651,数据集标准分类!A:H,8,0)</f>
        <v>30</v>
      </c>
      <c r="I651" s="170" t="s">
        <v>1801</v>
      </c>
      <c r="J651" s="170" t="s">
        <v>1802</v>
      </c>
      <c r="K651" s="170" t="s">
        <v>1803</v>
      </c>
      <c r="L651" s="170" t="s">
        <v>1804</v>
      </c>
      <c r="M651" s="170" t="s">
        <v>1805</v>
      </c>
      <c r="N651" s="294">
        <v>3</v>
      </c>
      <c r="O651" s="170"/>
    </row>
    <row r="652" ht="15.75" customHeight="1" spans="1:15">
      <c r="A652" s="183" t="str">
        <f>VLOOKUP(F652,数据集标准分类!A:G,7,0)</f>
        <v>02</v>
      </c>
      <c r="B652" s="183" t="str">
        <f>VLOOKUP(F652,数据集标准分类!A:F,6,0)</f>
        <v>电子病历</v>
      </c>
      <c r="C652" s="183" t="str">
        <f>VLOOKUP(F652,数据集标准分类!A:E,5,0)</f>
        <v>0206</v>
      </c>
      <c r="D652" s="183" t="str">
        <f>VLOOKUP(F652,数据集标准分类!A:D,4,0)</f>
        <v>手术麻醉记录</v>
      </c>
      <c r="E652" s="183" t="str">
        <f>VLOOKUP(F652,数据集标准分类!A:C,3,0)</f>
        <v>020604</v>
      </c>
      <c r="F652" s="170" t="s">
        <v>1790</v>
      </c>
      <c r="G652" s="183" t="str">
        <f>VLOOKUP(F652,数据集标准分类!A:B,2,0)</f>
        <v>cs_record</v>
      </c>
      <c r="H652" s="294">
        <f>VLOOKUP(F652,数据集标准分类!A:H,8,0)</f>
        <v>30</v>
      </c>
      <c r="I652" s="170" t="s">
        <v>1806</v>
      </c>
      <c r="J652" s="170" t="s">
        <v>1807</v>
      </c>
      <c r="K652" s="170" t="s">
        <v>1808</v>
      </c>
      <c r="L652" s="170" t="s">
        <v>1809</v>
      </c>
      <c r="M652" s="170" t="s">
        <v>1810</v>
      </c>
      <c r="N652" s="294">
        <v>4</v>
      </c>
      <c r="O652" s="170"/>
    </row>
    <row r="653" ht="15.75" customHeight="1" spans="1:15">
      <c r="A653" s="183" t="str">
        <f>VLOOKUP(F653,数据集标准分类!A:G,7,0)</f>
        <v>02</v>
      </c>
      <c r="B653" s="183" t="str">
        <f>VLOOKUP(F653,数据集标准分类!A:F,6,0)</f>
        <v>电子病历</v>
      </c>
      <c r="C653" s="183" t="str">
        <f>VLOOKUP(F653,数据集标准分类!A:E,5,0)</f>
        <v>0206</v>
      </c>
      <c r="D653" s="183" t="str">
        <f>VLOOKUP(F653,数据集标准分类!A:D,4,0)</f>
        <v>手术麻醉记录</v>
      </c>
      <c r="E653" s="183" t="str">
        <f>VLOOKUP(F653,数据集标准分类!A:C,3,0)</f>
        <v>020604</v>
      </c>
      <c r="F653" s="170" t="s">
        <v>1790</v>
      </c>
      <c r="G653" s="183" t="str">
        <f>VLOOKUP(F653,数据集标准分类!A:B,2,0)</f>
        <v>cs_record</v>
      </c>
      <c r="H653" s="294">
        <f>VLOOKUP(F653,数据集标准分类!A:H,8,0)</f>
        <v>30</v>
      </c>
      <c r="I653" s="170" t="s">
        <v>1811</v>
      </c>
      <c r="J653" s="170" t="s">
        <v>1812</v>
      </c>
      <c r="K653" s="170" t="s">
        <v>1813</v>
      </c>
      <c r="L653" s="170" t="s">
        <v>1814</v>
      </c>
      <c r="M653" s="170" t="s">
        <v>1815</v>
      </c>
      <c r="N653" s="294">
        <v>5</v>
      </c>
      <c r="O653" s="170"/>
    </row>
    <row r="654" ht="15.75" customHeight="1" spans="1:15">
      <c r="A654" s="183" t="str">
        <f>VLOOKUP(F654,数据集标准分类!A:G,7,0)</f>
        <v>02</v>
      </c>
      <c r="B654" s="183" t="str">
        <f>VLOOKUP(F654,数据集标准分类!A:F,6,0)</f>
        <v>电子病历</v>
      </c>
      <c r="C654" s="183" t="str">
        <f>VLOOKUP(F654,数据集标准分类!A:E,5,0)</f>
        <v>0206</v>
      </c>
      <c r="D654" s="183" t="str">
        <f>VLOOKUP(F654,数据集标准分类!A:D,4,0)</f>
        <v>手术麻醉记录</v>
      </c>
      <c r="E654" s="183" t="str">
        <f>VLOOKUP(F654,数据集标准分类!A:C,3,0)</f>
        <v>020604</v>
      </c>
      <c r="F654" s="170" t="s">
        <v>1790</v>
      </c>
      <c r="G654" s="183" t="str">
        <f>VLOOKUP(F654,数据集标准分类!A:B,2,0)</f>
        <v>cs_record</v>
      </c>
      <c r="H654" s="294">
        <f>VLOOKUP(F654,数据集标准分类!A:H,8,0)</f>
        <v>30</v>
      </c>
      <c r="I654" s="170" t="s">
        <v>1678</v>
      </c>
      <c r="J654" s="170" t="s">
        <v>1679</v>
      </c>
      <c r="K654" s="170" t="s">
        <v>1680</v>
      </c>
      <c r="L654" s="170" t="s">
        <v>1681</v>
      </c>
      <c r="M654" s="170" t="s">
        <v>1735</v>
      </c>
      <c r="N654" s="294">
        <v>6</v>
      </c>
      <c r="O654" s="170"/>
    </row>
    <row r="655" ht="15.75" customHeight="1" spans="1:15">
      <c r="A655" s="183" t="str">
        <f>VLOOKUP(F655,数据集标准分类!A:G,7,0)</f>
        <v>02</v>
      </c>
      <c r="B655" s="183" t="str">
        <f>VLOOKUP(F655,数据集标准分类!A:F,6,0)</f>
        <v>电子病历</v>
      </c>
      <c r="C655" s="183" t="str">
        <f>VLOOKUP(F655,数据集标准分类!A:E,5,0)</f>
        <v>0206</v>
      </c>
      <c r="D655" s="183" t="str">
        <f>VLOOKUP(F655,数据集标准分类!A:D,4,0)</f>
        <v>手术麻醉记录</v>
      </c>
      <c r="E655" s="183" t="str">
        <f>VLOOKUP(F655,数据集标准分类!A:C,3,0)</f>
        <v>020604</v>
      </c>
      <c r="F655" s="170" t="s">
        <v>1790</v>
      </c>
      <c r="G655" s="183" t="str">
        <f>VLOOKUP(F655,数据集标准分类!A:B,2,0)</f>
        <v>cs_record</v>
      </c>
      <c r="H655" s="294">
        <f>VLOOKUP(F655,数据集标准分类!A:H,8,0)</f>
        <v>30</v>
      </c>
      <c r="I655" s="170" t="s">
        <v>192</v>
      </c>
      <c r="J655" s="170" t="s">
        <v>193</v>
      </c>
      <c r="K655" s="170" t="s">
        <v>194</v>
      </c>
      <c r="L655" s="170" t="s">
        <v>195</v>
      </c>
      <c r="M655" s="170" t="s">
        <v>385</v>
      </c>
      <c r="N655" s="294">
        <v>7</v>
      </c>
      <c r="O655" s="170"/>
    </row>
    <row r="656" ht="15.75" customHeight="1" spans="1:15">
      <c r="A656" s="183" t="str">
        <f>VLOOKUP(F656,数据集标准分类!A:G,7,0)</f>
        <v>02</v>
      </c>
      <c r="B656" s="183" t="str">
        <f>VLOOKUP(F656,数据集标准分类!A:F,6,0)</f>
        <v>电子病历</v>
      </c>
      <c r="C656" s="183" t="str">
        <f>VLOOKUP(F656,数据集标准分类!A:E,5,0)</f>
        <v>0206</v>
      </c>
      <c r="D656" s="183" t="str">
        <f>VLOOKUP(F656,数据集标准分类!A:D,4,0)</f>
        <v>手术麻醉记录</v>
      </c>
      <c r="E656" s="183" t="str">
        <f>VLOOKUP(F656,数据集标准分类!A:C,3,0)</f>
        <v>020604</v>
      </c>
      <c r="F656" s="170" t="s">
        <v>1790</v>
      </c>
      <c r="G656" s="183" t="str">
        <f>VLOOKUP(F656,数据集标准分类!A:B,2,0)</f>
        <v>cs_record</v>
      </c>
      <c r="H656" s="294">
        <f>VLOOKUP(F656,数据集标准分类!A:H,8,0)</f>
        <v>30</v>
      </c>
      <c r="I656" s="170" t="s">
        <v>1430</v>
      </c>
      <c r="J656" s="170" t="s">
        <v>1431</v>
      </c>
      <c r="K656" s="170" t="s">
        <v>1432</v>
      </c>
      <c r="L656" s="170" t="s">
        <v>1433</v>
      </c>
      <c r="M656" s="170" t="s">
        <v>1596</v>
      </c>
      <c r="N656" s="294">
        <v>8</v>
      </c>
      <c r="O656" s="170"/>
    </row>
    <row r="657" ht="15.75" customHeight="1" spans="1:15">
      <c r="A657" s="183" t="str">
        <f>VLOOKUP(F657,数据集标准分类!A:G,7,0)</f>
        <v>02</v>
      </c>
      <c r="B657" s="183" t="str">
        <f>VLOOKUP(F657,数据集标准分类!A:F,6,0)</f>
        <v>电子病历</v>
      </c>
      <c r="C657" s="183" t="str">
        <f>VLOOKUP(F657,数据集标准分类!A:E,5,0)</f>
        <v>0206</v>
      </c>
      <c r="D657" s="183" t="str">
        <f>VLOOKUP(F657,数据集标准分类!A:D,4,0)</f>
        <v>手术麻醉记录</v>
      </c>
      <c r="E657" s="183" t="str">
        <f>VLOOKUP(F657,数据集标准分类!A:C,3,0)</f>
        <v>020604</v>
      </c>
      <c r="F657" s="170" t="s">
        <v>1790</v>
      </c>
      <c r="G657" s="183" t="str">
        <f>VLOOKUP(F657,数据集标准分类!A:B,2,0)</f>
        <v>cs_record</v>
      </c>
      <c r="H657" s="294">
        <f>VLOOKUP(F657,数据集标准分类!A:H,8,0)</f>
        <v>30</v>
      </c>
      <c r="I657" s="170" t="s">
        <v>421</v>
      </c>
      <c r="J657" s="170" t="s">
        <v>422</v>
      </c>
      <c r="K657" s="170" t="s">
        <v>423</v>
      </c>
      <c r="L657" s="170" t="s">
        <v>424</v>
      </c>
      <c r="M657" s="170" t="s">
        <v>425</v>
      </c>
      <c r="N657" s="294">
        <v>9</v>
      </c>
      <c r="O657" s="170"/>
    </row>
    <row r="658" ht="15.75" customHeight="1" spans="1:15">
      <c r="A658" s="183" t="str">
        <f>VLOOKUP(F658,数据集标准分类!A:G,7,0)</f>
        <v>02</v>
      </c>
      <c r="B658" s="183" t="str">
        <f>VLOOKUP(F658,数据集标准分类!A:F,6,0)</f>
        <v>电子病历</v>
      </c>
      <c r="C658" s="183" t="str">
        <f>VLOOKUP(F658,数据集标准分类!A:E,5,0)</f>
        <v>0206</v>
      </c>
      <c r="D658" s="183" t="str">
        <f>VLOOKUP(F658,数据集标准分类!A:D,4,0)</f>
        <v>手术麻醉记录</v>
      </c>
      <c r="E658" s="183" t="str">
        <f>VLOOKUP(F658,数据集标准分类!A:C,3,0)</f>
        <v>020604</v>
      </c>
      <c r="F658" s="170" t="s">
        <v>1790</v>
      </c>
      <c r="G658" s="183" t="str">
        <f>VLOOKUP(F658,数据集标准分类!A:B,2,0)</f>
        <v>cs_record</v>
      </c>
      <c r="H658" s="294">
        <f>VLOOKUP(F658,数据集标准分类!A:H,8,0)</f>
        <v>30</v>
      </c>
      <c r="I658" s="170" t="s">
        <v>1816</v>
      </c>
      <c r="J658" s="170" t="s">
        <v>1817</v>
      </c>
      <c r="K658" s="170" t="s">
        <v>1818</v>
      </c>
      <c r="L658" s="170" t="s">
        <v>1819</v>
      </c>
      <c r="M658" s="170" t="s">
        <v>1820</v>
      </c>
      <c r="N658" s="294">
        <v>10</v>
      </c>
      <c r="O658" s="170"/>
    </row>
    <row r="659" ht="15.75" customHeight="1" spans="1:15">
      <c r="A659" s="183" t="str">
        <f>VLOOKUP(F659,数据集标准分类!A:G,7,0)</f>
        <v>02</v>
      </c>
      <c r="B659" s="183" t="str">
        <f>VLOOKUP(F659,数据集标准分类!A:F,6,0)</f>
        <v>电子病历</v>
      </c>
      <c r="C659" s="183" t="str">
        <f>VLOOKUP(F659,数据集标准分类!A:E,5,0)</f>
        <v>0206</v>
      </c>
      <c r="D659" s="183" t="str">
        <f>VLOOKUP(F659,数据集标准分类!A:D,4,0)</f>
        <v>手术麻醉记录</v>
      </c>
      <c r="E659" s="183" t="str">
        <f>VLOOKUP(F659,数据集标准分类!A:C,3,0)</f>
        <v>020604</v>
      </c>
      <c r="F659" s="170" t="s">
        <v>1790</v>
      </c>
      <c r="G659" s="183" t="str">
        <f>VLOOKUP(F659,数据集标准分类!A:B,2,0)</f>
        <v>cs_record</v>
      </c>
      <c r="H659" s="294">
        <f>VLOOKUP(F659,数据集标准分类!A:H,8,0)</f>
        <v>30</v>
      </c>
      <c r="I659" s="170" t="s">
        <v>1682</v>
      </c>
      <c r="J659" s="170" t="s">
        <v>1683</v>
      </c>
      <c r="K659" s="170" t="s">
        <v>1684</v>
      </c>
      <c r="L659" s="170" t="s">
        <v>1685</v>
      </c>
      <c r="M659" s="170" t="s">
        <v>1821</v>
      </c>
      <c r="N659" s="294">
        <v>11</v>
      </c>
      <c r="O659" s="170"/>
    </row>
    <row r="660" ht="15.75" customHeight="1" spans="1:15">
      <c r="A660" s="183" t="str">
        <f>VLOOKUP(F660,数据集标准分类!A:G,7,0)</f>
        <v>02</v>
      </c>
      <c r="B660" s="183" t="str">
        <f>VLOOKUP(F660,数据集标准分类!A:F,6,0)</f>
        <v>电子病历</v>
      </c>
      <c r="C660" s="183" t="str">
        <f>VLOOKUP(F660,数据集标准分类!A:E,5,0)</f>
        <v>0206</v>
      </c>
      <c r="D660" s="183" t="str">
        <f>VLOOKUP(F660,数据集标准分类!A:D,4,0)</f>
        <v>手术麻醉记录</v>
      </c>
      <c r="E660" s="183" t="str">
        <f>VLOOKUP(F660,数据集标准分类!A:C,3,0)</f>
        <v>020604</v>
      </c>
      <c r="F660" s="170" t="s">
        <v>1790</v>
      </c>
      <c r="G660" s="183" t="str">
        <f>VLOOKUP(F660,数据集标准分类!A:B,2,0)</f>
        <v>cs_record</v>
      </c>
      <c r="H660" s="294">
        <f>VLOOKUP(F660,数据集标准分类!A:H,8,0)</f>
        <v>30</v>
      </c>
      <c r="I660" s="170" t="s">
        <v>1435</v>
      </c>
      <c r="J660" s="170" t="s">
        <v>1436</v>
      </c>
      <c r="K660" s="170" t="s">
        <v>1437</v>
      </c>
      <c r="L660" s="170" t="s">
        <v>1438</v>
      </c>
      <c r="M660" s="170" t="s">
        <v>1822</v>
      </c>
      <c r="N660" s="294">
        <v>12</v>
      </c>
      <c r="O660" s="170"/>
    </row>
    <row r="661" ht="15.75" customHeight="1" spans="1:15">
      <c r="A661" s="183" t="str">
        <f>VLOOKUP(F661,数据集标准分类!A:G,7,0)</f>
        <v>02</v>
      </c>
      <c r="B661" s="183" t="str">
        <f>VLOOKUP(F661,数据集标准分类!A:F,6,0)</f>
        <v>电子病历</v>
      </c>
      <c r="C661" s="183" t="str">
        <f>VLOOKUP(F661,数据集标准分类!A:E,5,0)</f>
        <v>0206</v>
      </c>
      <c r="D661" s="183" t="str">
        <f>VLOOKUP(F661,数据集标准分类!A:D,4,0)</f>
        <v>手术麻醉记录</v>
      </c>
      <c r="E661" s="183" t="str">
        <f>VLOOKUP(F661,数据集标准分类!A:C,3,0)</f>
        <v>020604</v>
      </c>
      <c r="F661" s="170" t="s">
        <v>1790</v>
      </c>
      <c r="G661" s="183" t="str">
        <f>VLOOKUP(F661,数据集标准分类!A:B,2,0)</f>
        <v>cs_record</v>
      </c>
      <c r="H661" s="294">
        <f>VLOOKUP(F661,数据集标准分类!A:H,8,0)</f>
        <v>30</v>
      </c>
      <c r="I661" s="170" t="s">
        <v>1823</v>
      </c>
      <c r="J661" s="170" t="s">
        <v>1824</v>
      </c>
      <c r="K661" s="170" t="s">
        <v>1825</v>
      </c>
      <c r="L661" s="170" t="s">
        <v>1826</v>
      </c>
      <c r="M661" s="170" t="s">
        <v>1827</v>
      </c>
      <c r="N661" s="294">
        <v>13</v>
      </c>
      <c r="O661" s="170"/>
    </row>
    <row r="662" ht="15.75" customHeight="1" spans="1:15">
      <c r="A662" s="183" t="str">
        <f>VLOOKUP(F662,数据集标准分类!A:G,7,0)</f>
        <v>02</v>
      </c>
      <c r="B662" s="183" t="str">
        <f>VLOOKUP(F662,数据集标准分类!A:F,6,0)</f>
        <v>电子病历</v>
      </c>
      <c r="C662" s="183" t="str">
        <f>VLOOKUP(F662,数据集标准分类!A:E,5,0)</f>
        <v>0206</v>
      </c>
      <c r="D662" s="183" t="str">
        <f>VLOOKUP(F662,数据集标准分类!A:D,4,0)</f>
        <v>手术麻醉记录</v>
      </c>
      <c r="E662" s="183" t="str">
        <f>VLOOKUP(F662,数据集标准分类!A:C,3,0)</f>
        <v>020604</v>
      </c>
      <c r="F662" s="170" t="s">
        <v>1790</v>
      </c>
      <c r="G662" s="183" t="str">
        <f>VLOOKUP(F662,数据集标准分类!A:B,2,0)</f>
        <v>cs_record</v>
      </c>
      <c r="H662" s="294">
        <f>VLOOKUP(F662,数据集标准分类!A:H,8,0)</f>
        <v>30</v>
      </c>
      <c r="I662" s="170" t="s">
        <v>1828</v>
      </c>
      <c r="J662" s="170" t="s">
        <v>1829</v>
      </c>
      <c r="K662" s="170" t="s">
        <v>1830</v>
      </c>
      <c r="L662" s="170" t="s">
        <v>1831</v>
      </c>
      <c r="M662" s="170" t="s">
        <v>1832</v>
      </c>
      <c r="N662" s="294">
        <v>14</v>
      </c>
      <c r="O662" s="170"/>
    </row>
    <row r="663" ht="15.75" customHeight="1" spans="1:15">
      <c r="A663" s="183" t="str">
        <f>VLOOKUP(F663,数据集标准分类!A:G,7,0)</f>
        <v>02</v>
      </c>
      <c r="B663" s="183" t="str">
        <f>VLOOKUP(F663,数据集标准分类!A:F,6,0)</f>
        <v>电子病历</v>
      </c>
      <c r="C663" s="183" t="str">
        <f>VLOOKUP(F663,数据集标准分类!A:E,5,0)</f>
        <v>0206</v>
      </c>
      <c r="D663" s="183" t="str">
        <f>VLOOKUP(F663,数据集标准分类!A:D,4,0)</f>
        <v>手术麻醉记录</v>
      </c>
      <c r="E663" s="183" t="str">
        <f>VLOOKUP(F663,数据集标准分类!A:C,3,0)</f>
        <v>020604</v>
      </c>
      <c r="F663" s="170" t="s">
        <v>1790</v>
      </c>
      <c r="G663" s="183" t="str">
        <f>VLOOKUP(F663,数据集标准分类!A:B,2,0)</f>
        <v>cs_record</v>
      </c>
      <c r="H663" s="294">
        <f>VLOOKUP(F663,数据集标准分类!A:H,8,0)</f>
        <v>30</v>
      </c>
      <c r="I663" s="170" t="s">
        <v>1833</v>
      </c>
      <c r="J663" s="170" t="s">
        <v>1834</v>
      </c>
      <c r="K663" s="170" t="s">
        <v>1835</v>
      </c>
      <c r="L663" s="170" t="s">
        <v>1836</v>
      </c>
      <c r="M663" s="170" t="s">
        <v>1837</v>
      </c>
      <c r="N663" s="294">
        <v>15</v>
      </c>
      <c r="O663" s="170"/>
    </row>
    <row r="664" ht="15.75" customHeight="1" spans="1:15">
      <c r="A664" s="183" t="str">
        <f>VLOOKUP(F664,数据集标准分类!A:G,7,0)</f>
        <v>02</v>
      </c>
      <c r="B664" s="183" t="str">
        <f>VLOOKUP(F664,数据集标准分类!A:F,6,0)</f>
        <v>电子病历</v>
      </c>
      <c r="C664" s="183" t="str">
        <f>VLOOKUP(F664,数据集标准分类!A:E,5,0)</f>
        <v>0206</v>
      </c>
      <c r="D664" s="183" t="str">
        <f>VLOOKUP(F664,数据集标准分类!A:D,4,0)</f>
        <v>手术麻醉记录</v>
      </c>
      <c r="E664" s="183" t="str">
        <f>VLOOKUP(F664,数据集标准分类!A:C,3,0)</f>
        <v>020604</v>
      </c>
      <c r="F664" s="170" t="s">
        <v>1790</v>
      </c>
      <c r="G664" s="183" t="str">
        <f>VLOOKUP(F664,数据集标准分类!A:B,2,0)</f>
        <v>cs_record</v>
      </c>
      <c r="H664" s="294">
        <f>VLOOKUP(F664,数据集标准分类!A:H,8,0)</f>
        <v>30</v>
      </c>
      <c r="I664" s="170" t="s">
        <v>1838</v>
      </c>
      <c r="J664" s="170" t="s">
        <v>1839</v>
      </c>
      <c r="K664" s="170" t="s">
        <v>1840</v>
      </c>
      <c r="L664" s="170" t="s">
        <v>1841</v>
      </c>
      <c r="M664" s="170" t="s">
        <v>1842</v>
      </c>
      <c r="N664" s="294">
        <v>16</v>
      </c>
      <c r="O664" s="170"/>
    </row>
    <row r="665" ht="15.75" customHeight="1" spans="1:15">
      <c r="A665" s="183" t="str">
        <f>VLOOKUP(F665,数据集标准分类!A:G,7,0)</f>
        <v>02</v>
      </c>
      <c r="B665" s="183" t="str">
        <f>VLOOKUP(F665,数据集标准分类!A:F,6,0)</f>
        <v>电子病历</v>
      </c>
      <c r="C665" s="183" t="str">
        <f>VLOOKUP(F665,数据集标准分类!A:E,5,0)</f>
        <v>0206</v>
      </c>
      <c r="D665" s="183" t="str">
        <f>VLOOKUP(F665,数据集标准分类!A:D,4,0)</f>
        <v>手术麻醉记录</v>
      </c>
      <c r="E665" s="183" t="str">
        <f>VLOOKUP(F665,数据集标准分类!A:C,3,0)</f>
        <v>020604</v>
      </c>
      <c r="F665" s="170" t="s">
        <v>1790</v>
      </c>
      <c r="G665" s="183" t="str">
        <f>VLOOKUP(F665,数据集标准分类!A:B,2,0)</f>
        <v>cs_record</v>
      </c>
      <c r="H665" s="294">
        <f>VLOOKUP(F665,数据集标准分类!A:H,8,0)</f>
        <v>30</v>
      </c>
      <c r="I665" s="170" t="s">
        <v>1838</v>
      </c>
      <c r="J665" s="170" t="s">
        <v>1839</v>
      </c>
      <c r="K665" s="170" t="s">
        <v>1840</v>
      </c>
      <c r="L665" s="170" t="s">
        <v>1841</v>
      </c>
      <c r="M665" s="170" t="s">
        <v>1843</v>
      </c>
      <c r="N665" s="294">
        <v>17</v>
      </c>
      <c r="O665" s="170"/>
    </row>
    <row r="666" ht="15.75" customHeight="1" spans="1:15">
      <c r="A666" s="183" t="str">
        <f>VLOOKUP(F666,数据集标准分类!A:G,7,0)</f>
        <v>02</v>
      </c>
      <c r="B666" s="183" t="str">
        <f>VLOOKUP(F666,数据集标准分类!A:F,6,0)</f>
        <v>电子病历</v>
      </c>
      <c r="C666" s="183" t="str">
        <f>VLOOKUP(F666,数据集标准分类!A:E,5,0)</f>
        <v>0206</v>
      </c>
      <c r="D666" s="183" t="str">
        <f>VLOOKUP(F666,数据集标准分类!A:D,4,0)</f>
        <v>手术麻醉记录</v>
      </c>
      <c r="E666" s="183" t="str">
        <f>VLOOKUP(F666,数据集标准分类!A:C,3,0)</f>
        <v>020604</v>
      </c>
      <c r="F666" s="170" t="s">
        <v>1790</v>
      </c>
      <c r="G666" s="183" t="str">
        <f>VLOOKUP(F666,数据集标准分类!A:B,2,0)</f>
        <v>cs_record</v>
      </c>
      <c r="H666" s="294">
        <f>VLOOKUP(F666,数据集标准分类!A:H,8,0)</f>
        <v>30</v>
      </c>
      <c r="I666" s="170" t="s">
        <v>1844</v>
      </c>
      <c r="J666" s="170" t="s">
        <v>1845</v>
      </c>
      <c r="K666" s="170" t="s">
        <v>1846</v>
      </c>
      <c r="L666" s="170" t="s">
        <v>1847</v>
      </c>
      <c r="M666" s="170" t="s">
        <v>1848</v>
      </c>
      <c r="N666" s="294">
        <v>18</v>
      </c>
      <c r="O666" s="170"/>
    </row>
    <row r="667" ht="15.75" customHeight="1" spans="1:15">
      <c r="A667" s="183" t="str">
        <f>VLOOKUP(F667,数据集标准分类!A:G,7,0)</f>
        <v>02</v>
      </c>
      <c r="B667" s="183" t="str">
        <f>VLOOKUP(F667,数据集标准分类!A:F,6,0)</f>
        <v>电子病历</v>
      </c>
      <c r="C667" s="183" t="str">
        <f>VLOOKUP(F667,数据集标准分类!A:E,5,0)</f>
        <v>0206</v>
      </c>
      <c r="D667" s="183" t="str">
        <f>VLOOKUP(F667,数据集标准分类!A:D,4,0)</f>
        <v>手术麻醉记录</v>
      </c>
      <c r="E667" s="183" t="str">
        <f>VLOOKUP(F667,数据集标准分类!A:C,3,0)</f>
        <v>020604</v>
      </c>
      <c r="F667" s="170" t="s">
        <v>1790</v>
      </c>
      <c r="G667" s="183" t="str">
        <f>VLOOKUP(F667,数据集标准分类!A:B,2,0)</f>
        <v>cs_record</v>
      </c>
      <c r="H667" s="294">
        <f>VLOOKUP(F667,数据集标准分类!A:H,8,0)</f>
        <v>30</v>
      </c>
      <c r="I667" s="170" t="s">
        <v>1849</v>
      </c>
      <c r="J667" s="170" t="s">
        <v>1850</v>
      </c>
      <c r="K667" s="170" t="s">
        <v>1851</v>
      </c>
      <c r="L667" s="170" t="s">
        <v>1852</v>
      </c>
      <c r="M667" s="170" t="s">
        <v>1853</v>
      </c>
      <c r="N667" s="294">
        <v>19</v>
      </c>
      <c r="O667" s="170"/>
    </row>
    <row r="668" ht="15.75" customHeight="1" spans="1:15">
      <c r="A668" s="183" t="str">
        <f>VLOOKUP(F668,数据集标准分类!A:G,7,0)</f>
        <v>02</v>
      </c>
      <c r="B668" s="183" t="str">
        <f>VLOOKUP(F668,数据集标准分类!A:F,6,0)</f>
        <v>电子病历</v>
      </c>
      <c r="C668" s="183" t="str">
        <f>VLOOKUP(F668,数据集标准分类!A:E,5,0)</f>
        <v>0206</v>
      </c>
      <c r="D668" s="183" t="str">
        <f>VLOOKUP(F668,数据集标准分类!A:D,4,0)</f>
        <v>手术麻醉记录</v>
      </c>
      <c r="E668" s="183" t="str">
        <f>VLOOKUP(F668,数据集标准分类!A:C,3,0)</f>
        <v>020604</v>
      </c>
      <c r="F668" s="170" t="s">
        <v>1790</v>
      </c>
      <c r="G668" s="183" t="str">
        <f>VLOOKUP(F668,数据集标准分类!A:B,2,0)</f>
        <v>cs_record</v>
      </c>
      <c r="H668" s="294">
        <f>VLOOKUP(F668,数据集标准分类!A:H,8,0)</f>
        <v>30</v>
      </c>
      <c r="I668" s="170" t="s">
        <v>1854</v>
      </c>
      <c r="J668" s="170" t="s">
        <v>1855</v>
      </c>
      <c r="K668" s="170" t="s">
        <v>1856</v>
      </c>
      <c r="L668" s="170" t="s">
        <v>1857</v>
      </c>
      <c r="M668" s="170" t="s">
        <v>1858</v>
      </c>
      <c r="N668" s="294">
        <v>20</v>
      </c>
      <c r="O668" s="170"/>
    </row>
    <row r="669" ht="15.75" customHeight="1" spans="1:15">
      <c r="A669" s="183" t="str">
        <f>VLOOKUP(F669,数据集标准分类!A:G,7,0)</f>
        <v>02</v>
      </c>
      <c r="B669" s="183" t="str">
        <f>VLOOKUP(F669,数据集标准分类!A:F,6,0)</f>
        <v>电子病历</v>
      </c>
      <c r="C669" s="183" t="str">
        <f>VLOOKUP(F669,数据集标准分类!A:E,5,0)</f>
        <v>0206</v>
      </c>
      <c r="D669" s="183" t="str">
        <f>VLOOKUP(F669,数据集标准分类!A:D,4,0)</f>
        <v>手术麻醉记录</v>
      </c>
      <c r="E669" s="183" t="str">
        <f>VLOOKUP(F669,数据集标准分类!A:C,3,0)</f>
        <v>020604</v>
      </c>
      <c r="F669" s="170" t="s">
        <v>1790</v>
      </c>
      <c r="G669" s="183" t="str">
        <f>VLOOKUP(F669,数据集标准分类!A:B,2,0)</f>
        <v>cs_record</v>
      </c>
      <c r="H669" s="294">
        <f>VLOOKUP(F669,数据集标准分类!A:H,8,0)</f>
        <v>30</v>
      </c>
      <c r="I669" s="170" t="s">
        <v>1859</v>
      </c>
      <c r="J669" s="170" t="s">
        <v>1860</v>
      </c>
      <c r="K669" s="170" t="s">
        <v>1861</v>
      </c>
      <c r="L669" s="170" t="s">
        <v>1862</v>
      </c>
      <c r="M669" s="170" t="s">
        <v>1863</v>
      </c>
      <c r="N669" s="294">
        <v>21</v>
      </c>
      <c r="O669" s="170"/>
    </row>
    <row r="670" ht="15.75" customHeight="1" spans="1:15">
      <c r="A670" s="183" t="str">
        <f>VLOOKUP(F670,数据集标准分类!A:G,7,0)</f>
        <v>02</v>
      </c>
      <c r="B670" s="183" t="str">
        <f>VLOOKUP(F670,数据集标准分类!A:F,6,0)</f>
        <v>电子病历</v>
      </c>
      <c r="C670" s="183" t="str">
        <f>VLOOKUP(F670,数据集标准分类!A:E,5,0)</f>
        <v>0206</v>
      </c>
      <c r="D670" s="183" t="str">
        <f>VLOOKUP(F670,数据集标准分类!A:D,4,0)</f>
        <v>手术麻醉记录</v>
      </c>
      <c r="E670" s="183" t="str">
        <f>VLOOKUP(F670,数据集标准分类!A:C,3,0)</f>
        <v>020604</v>
      </c>
      <c r="F670" s="170" t="s">
        <v>1790</v>
      </c>
      <c r="G670" s="183" t="str">
        <f>VLOOKUP(F670,数据集标准分类!A:B,2,0)</f>
        <v>cs_record</v>
      </c>
      <c r="H670" s="294">
        <f>VLOOKUP(F670,数据集标准分类!A:H,8,0)</f>
        <v>30</v>
      </c>
      <c r="I670" s="170" t="s">
        <v>1864</v>
      </c>
      <c r="J670" s="170" t="s">
        <v>1865</v>
      </c>
      <c r="K670" s="170" t="s">
        <v>1866</v>
      </c>
      <c r="L670" s="170" t="s">
        <v>1867</v>
      </c>
      <c r="M670" s="170" t="s">
        <v>1868</v>
      </c>
      <c r="N670" s="294">
        <v>22</v>
      </c>
      <c r="O670" s="170"/>
    </row>
    <row r="671" ht="15.75" customHeight="1" spans="1:15">
      <c r="A671" s="183" t="str">
        <f>VLOOKUP(F671,数据集标准分类!A:G,7,0)</f>
        <v>02</v>
      </c>
      <c r="B671" s="183" t="str">
        <f>VLOOKUP(F671,数据集标准分类!A:F,6,0)</f>
        <v>电子病历</v>
      </c>
      <c r="C671" s="183" t="str">
        <f>VLOOKUP(F671,数据集标准分类!A:E,5,0)</f>
        <v>0206</v>
      </c>
      <c r="D671" s="183" t="str">
        <f>VLOOKUP(F671,数据集标准分类!A:D,4,0)</f>
        <v>手术麻醉记录</v>
      </c>
      <c r="E671" s="183" t="str">
        <f>VLOOKUP(F671,数据集标准分类!A:C,3,0)</f>
        <v>020604</v>
      </c>
      <c r="F671" s="170" t="s">
        <v>1790</v>
      </c>
      <c r="G671" s="183" t="str">
        <f>VLOOKUP(F671,数据集标准分类!A:B,2,0)</f>
        <v>cs_record</v>
      </c>
      <c r="H671" s="294">
        <f>VLOOKUP(F671,数据集标准分类!A:H,8,0)</f>
        <v>30</v>
      </c>
      <c r="I671" s="170" t="s">
        <v>201</v>
      </c>
      <c r="J671" s="170" t="s">
        <v>202</v>
      </c>
      <c r="K671" s="170" t="s">
        <v>203</v>
      </c>
      <c r="L671" s="170" t="s">
        <v>204</v>
      </c>
      <c r="M671" s="170" t="s">
        <v>1869</v>
      </c>
      <c r="N671" s="294">
        <v>23</v>
      </c>
      <c r="O671" s="170"/>
    </row>
    <row r="672" ht="15.75" customHeight="1" spans="1:15">
      <c r="A672" s="183" t="str">
        <f>VLOOKUP(F672,数据集标准分类!A:G,7,0)</f>
        <v>02</v>
      </c>
      <c r="B672" s="183" t="str">
        <f>VLOOKUP(F672,数据集标准分类!A:F,6,0)</f>
        <v>电子病历</v>
      </c>
      <c r="C672" s="183" t="str">
        <f>VLOOKUP(F672,数据集标准分类!A:E,5,0)</f>
        <v>0206</v>
      </c>
      <c r="D672" s="183" t="str">
        <f>VLOOKUP(F672,数据集标准分类!A:D,4,0)</f>
        <v>手术麻醉记录</v>
      </c>
      <c r="E672" s="183" t="str">
        <f>VLOOKUP(F672,数据集标准分类!A:C,3,0)</f>
        <v>020604</v>
      </c>
      <c r="F672" s="170" t="s">
        <v>1790</v>
      </c>
      <c r="G672" s="183" t="str">
        <f>VLOOKUP(F672,数据集标准分类!A:B,2,0)</f>
        <v>cs_record</v>
      </c>
      <c r="H672" s="294">
        <f>VLOOKUP(F672,数据集标准分类!A:H,8,0)</f>
        <v>30</v>
      </c>
      <c r="I672" s="170" t="s">
        <v>1870</v>
      </c>
      <c r="J672" s="170" t="s">
        <v>1871</v>
      </c>
      <c r="K672" s="170" t="s">
        <v>1872</v>
      </c>
      <c r="L672" s="170" t="s">
        <v>1873</v>
      </c>
      <c r="M672" s="170" t="s">
        <v>1874</v>
      </c>
      <c r="N672" s="294">
        <v>24</v>
      </c>
      <c r="O672" s="170"/>
    </row>
    <row r="673" ht="15.75" customHeight="1" spans="1:15">
      <c r="A673" s="183" t="str">
        <f>VLOOKUP(F673,数据集标准分类!A:G,7,0)</f>
        <v>02</v>
      </c>
      <c r="B673" s="183" t="str">
        <f>VLOOKUP(F673,数据集标准分类!A:F,6,0)</f>
        <v>电子病历</v>
      </c>
      <c r="C673" s="183" t="str">
        <f>VLOOKUP(F673,数据集标准分类!A:E,5,0)</f>
        <v>0206</v>
      </c>
      <c r="D673" s="183" t="str">
        <f>VLOOKUP(F673,数据集标准分类!A:D,4,0)</f>
        <v>手术麻醉记录</v>
      </c>
      <c r="E673" s="183" t="str">
        <f>VLOOKUP(F673,数据集标准分类!A:C,3,0)</f>
        <v>020604</v>
      </c>
      <c r="F673" s="170" t="s">
        <v>1790</v>
      </c>
      <c r="G673" s="183" t="str">
        <f>VLOOKUP(F673,数据集标准分类!A:B,2,0)</f>
        <v>cs_record</v>
      </c>
      <c r="H673" s="294">
        <f>VLOOKUP(F673,数据集标准分类!A:H,8,0)</f>
        <v>30</v>
      </c>
      <c r="I673" s="170" t="s">
        <v>1875</v>
      </c>
      <c r="J673" s="170" t="s">
        <v>1876</v>
      </c>
      <c r="K673" s="170" t="s">
        <v>1877</v>
      </c>
      <c r="L673" s="170" t="s">
        <v>1878</v>
      </c>
      <c r="M673" s="170" t="s">
        <v>1879</v>
      </c>
      <c r="N673" s="294">
        <v>25</v>
      </c>
      <c r="O673" s="170"/>
    </row>
    <row r="674" ht="15.75" customHeight="1" spans="1:15">
      <c r="A674" s="183" t="str">
        <f>VLOOKUP(F674,数据集标准分类!A:G,7,0)</f>
        <v>02</v>
      </c>
      <c r="B674" s="183" t="str">
        <f>VLOOKUP(F674,数据集标准分类!A:F,6,0)</f>
        <v>电子病历</v>
      </c>
      <c r="C674" s="183" t="str">
        <f>VLOOKUP(F674,数据集标准分类!A:E,5,0)</f>
        <v>0206</v>
      </c>
      <c r="D674" s="183" t="str">
        <f>VLOOKUP(F674,数据集标准分类!A:D,4,0)</f>
        <v>手术麻醉记录</v>
      </c>
      <c r="E674" s="183" t="str">
        <f>VLOOKUP(F674,数据集标准分类!A:C,3,0)</f>
        <v>020604</v>
      </c>
      <c r="F674" s="170" t="s">
        <v>1790</v>
      </c>
      <c r="G674" s="183" t="str">
        <f>VLOOKUP(F674,数据集标准分类!A:B,2,0)</f>
        <v>cs_record</v>
      </c>
      <c r="H674" s="294">
        <f>VLOOKUP(F674,数据集标准分类!A:H,8,0)</f>
        <v>30</v>
      </c>
      <c r="I674" s="170" t="s">
        <v>1880</v>
      </c>
      <c r="J674" s="170" t="s">
        <v>1881</v>
      </c>
      <c r="K674" s="170" t="s">
        <v>1882</v>
      </c>
      <c r="L674" s="170" t="s">
        <v>1883</v>
      </c>
      <c r="M674" s="170" t="s">
        <v>1884</v>
      </c>
      <c r="N674" s="294">
        <v>26</v>
      </c>
      <c r="O674" s="170"/>
    </row>
    <row r="675" ht="15.75" customHeight="1" spans="1:15">
      <c r="A675" s="183" t="str">
        <f>VLOOKUP(F675,数据集标准分类!A:G,7,0)</f>
        <v>02</v>
      </c>
      <c r="B675" s="183" t="str">
        <f>VLOOKUP(F675,数据集标准分类!A:F,6,0)</f>
        <v>电子病历</v>
      </c>
      <c r="C675" s="183" t="str">
        <f>VLOOKUP(F675,数据集标准分类!A:E,5,0)</f>
        <v>0206</v>
      </c>
      <c r="D675" s="183" t="str">
        <f>VLOOKUP(F675,数据集标准分类!A:D,4,0)</f>
        <v>手术麻醉记录</v>
      </c>
      <c r="E675" s="183" t="str">
        <f>VLOOKUP(F675,数据集标准分类!A:C,3,0)</f>
        <v>020604</v>
      </c>
      <c r="F675" s="170" t="s">
        <v>1790</v>
      </c>
      <c r="G675" s="183" t="str">
        <f>VLOOKUP(F675,数据集标准分类!A:B,2,0)</f>
        <v>cs_record</v>
      </c>
      <c r="H675" s="294">
        <f>VLOOKUP(F675,数据集标准分类!A:H,8,0)</f>
        <v>30</v>
      </c>
      <c r="I675" s="170" t="s">
        <v>1885</v>
      </c>
      <c r="J675" s="170" t="s">
        <v>1886</v>
      </c>
      <c r="K675" s="170" t="s">
        <v>1887</v>
      </c>
      <c r="L675" s="170" t="s">
        <v>1888</v>
      </c>
      <c r="M675" s="170" t="s">
        <v>1889</v>
      </c>
      <c r="N675" s="294">
        <v>27</v>
      </c>
      <c r="O675" s="170"/>
    </row>
    <row r="676" ht="15.75" customHeight="1" spans="1:15">
      <c r="A676" s="183" t="str">
        <f>VLOOKUP(F676,数据集标准分类!A:G,7,0)</f>
        <v>02</v>
      </c>
      <c r="B676" s="183" t="str">
        <f>VLOOKUP(F676,数据集标准分类!A:F,6,0)</f>
        <v>电子病历</v>
      </c>
      <c r="C676" s="183" t="str">
        <f>VLOOKUP(F676,数据集标准分类!A:E,5,0)</f>
        <v>0206</v>
      </c>
      <c r="D676" s="183" t="str">
        <f>VLOOKUP(F676,数据集标准分类!A:D,4,0)</f>
        <v>手术麻醉记录</v>
      </c>
      <c r="E676" s="183" t="str">
        <f>VLOOKUP(F676,数据集标准分类!A:C,3,0)</f>
        <v>020604</v>
      </c>
      <c r="F676" s="170" t="s">
        <v>1790</v>
      </c>
      <c r="G676" s="183" t="str">
        <f>VLOOKUP(F676,数据集标准分类!A:B,2,0)</f>
        <v>cs_record</v>
      </c>
      <c r="H676" s="294">
        <f>VLOOKUP(F676,数据集标准分类!A:H,8,0)</f>
        <v>30</v>
      </c>
      <c r="I676" s="170" t="s">
        <v>1890</v>
      </c>
      <c r="J676" s="170" t="s">
        <v>1891</v>
      </c>
      <c r="K676" s="170" t="s">
        <v>1892</v>
      </c>
      <c r="L676" s="170" t="s">
        <v>1893</v>
      </c>
      <c r="M676" s="170" t="s">
        <v>1894</v>
      </c>
      <c r="N676" s="294">
        <v>28</v>
      </c>
      <c r="O676" s="170"/>
    </row>
    <row r="677" ht="15.75" customHeight="1" spans="1:15">
      <c r="A677" s="183" t="str">
        <f>VLOOKUP(F677,数据集标准分类!A:G,7,0)</f>
        <v>02</v>
      </c>
      <c r="B677" s="183" t="str">
        <f>VLOOKUP(F677,数据集标准分类!A:F,6,0)</f>
        <v>电子病历</v>
      </c>
      <c r="C677" s="183" t="str">
        <f>VLOOKUP(F677,数据集标准分类!A:E,5,0)</f>
        <v>0206</v>
      </c>
      <c r="D677" s="183" t="str">
        <f>VLOOKUP(F677,数据集标准分类!A:D,4,0)</f>
        <v>手术麻醉记录</v>
      </c>
      <c r="E677" s="183" t="str">
        <f>VLOOKUP(F677,数据集标准分类!A:C,3,0)</f>
        <v>020604</v>
      </c>
      <c r="F677" s="170" t="s">
        <v>1790</v>
      </c>
      <c r="G677" s="183" t="str">
        <f>VLOOKUP(F677,数据集标准分类!A:B,2,0)</f>
        <v>cs_record</v>
      </c>
      <c r="H677" s="294">
        <f>VLOOKUP(F677,数据集标准分类!A:H,8,0)</f>
        <v>30</v>
      </c>
      <c r="I677" s="170" t="s">
        <v>1895</v>
      </c>
      <c r="J677" s="170" t="s">
        <v>1896</v>
      </c>
      <c r="K677" s="170" t="s">
        <v>1897</v>
      </c>
      <c r="L677" s="170" t="s">
        <v>1898</v>
      </c>
      <c r="M677" s="170" t="s">
        <v>1899</v>
      </c>
      <c r="N677" s="294">
        <v>29</v>
      </c>
      <c r="O677" s="170"/>
    </row>
    <row r="678" ht="15.75" customHeight="1" spans="1:15">
      <c r="A678" s="183" t="str">
        <f>VLOOKUP(F678,数据集标准分类!A:G,7,0)</f>
        <v>02</v>
      </c>
      <c r="B678" s="183" t="str">
        <f>VLOOKUP(F678,数据集标准分类!A:F,6,0)</f>
        <v>电子病历</v>
      </c>
      <c r="C678" s="183" t="str">
        <f>VLOOKUP(F678,数据集标准分类!A:E,5,0)</f>
        <v>0206</v>
      </c>
      <c r="D678" s="183" t="str">
        <f>VLOOKUP(F678,数据集标准分类!A:D,4,0)</f>
        <v>手术麻醉记录</v>
      </c>
      <c r="E678" s="183" t="str">
        <f>VLOOKUP(F678,数据集标准分类!A:C,3,0)</f>
        <v>020604</v>
      </c>
      <c r="F678" s="170" t="s">
        <v>1790</v>
      </c>
      <c r="G678" s="183" t="str">
        <f>VLOOKUP(F678,数据集标准分类!A:B,2,0)</f>
        <v>cs_record</v>
      </c>
      <c r="H678" s="294">
        <f>VLOOKUP(F678,数据集标准分类!A:H,8,0)</f>
        <v>30</v>
      </c>
      <c r="I678" s="170" t="s">
        <v>1900</v>
      </c>
      <c r="J678" s="170" t="s">
        <v>1901</v>
      </c>
      <c r="K678" s="170" t="s">
        <v>1902</v>
      </c>
      <c r="L678" s="170" t="s">
        <v>1903</v>
      </c>
      <c r="M678" s="170" t="s">
        <v>1904</v>
      </c>
      <c r="N678" s="294">
        <v>30</v>
      </c>
      <c r="O678" s="170"/>
    </row>
    <row r="679" ht="15.75" customHeight="1" spans="1:15">
      <c r="A679" s="183" t="str">
        <f>VLOOKUP(F679,数据集标准分类!A:G,7,0)</f>
        <v>02</v>
      </c>
      <c r="B679" s="183" t="str">
        <f>VLOOKUP(F679,数据集标准分类!A:F,6,0)</f>
        <v>电子病历</v>
      </c>
      <c r="C679" s="183" t="str">
        <f>VLOOKUP(F679,数据集标准分类!A:E,5,0)</f>
        <v>0206</v>
      </c>
      <c r="D679" s="183" t="str">
        <f>VLOOKUP(F679,数据集标准分类!A:D,4,0)</f>
        <v>手术麻醉记录</v>
      </c>
      <c r="E679" s="183" t="str">
        <f>VLOOKUP(F679,数据集标准分类!A:C,3,0)</f>
        <v>020604</v>
      </c>
      <c r="F679" s="170" t="s">
        <v>1790</v>
      </c>
      <c r="G679" s="183" t="str">
        <f>VLOOKUP(F679,数据集标准分类!A:B,2,0)</f>
        <v>cs_record</v>
      </c>
      <c r="H679" s="294">
        <f>VLOOKUP(F679,数据集标准分类!A:H,8,0)</f>
        <v>30</v>
      </c>
      <c r="I679" s="170" t="s">
        <v>1250</v>
      </c>
      <c r="J679" s="170" t="s">
        <v>1251</v>
      </c>
      <c r="K679" s="170" t="s">
        <v>1252</v>
      </c>
      <c r="L679" s="170" t="s">
        <v>1253</v>
      </c>
      <c r="M679" s="170" t="s">
        <v>1905</v>
      </c>
      <c r="N679" s="294">
        <v>31</v>
      </c>
      <c r="O679" s="170"/>
    </row>
    <row r="680" ht="15.75" customHeight="1" spans="1:15">
      <c r="A680" s="183" t="str">
        <f>VLOOKUP(F680,数据集标准分类!A:G,7,0)</f>
        <v>02</v>
      </c>
      <c r="B680" s="183" t="str">
        <f>VLOOKUP(F680,数据集标准分类!A:F,6,0)</f>
        <v>电子病历</v>
      </c>
      <c r="C680" s="183" t="str">
        <f>VLOOKUP(F680,数据集标准分类!A:E,5,0)</f>
        <v>0206</v>
      </c>
      <c r="D680" s="183" t="str">
        <f>VLOOKUP(F680,数据集标准分类!A:D,4,0)</f>
        <v>手术麻醉记录</v>
      </c>
      <c r="E680" s="183" t="str">
        <f>VLOOKUP(F680,数据集标准分类!A:C,3,0)</f>
        <v>020604</v>
      </c>
      <c r="F680" s="170" t="s">
        <v>1790</v>
      </c>
      <c r="G680" s="183" t="str">
        <f>VLOOKUP(F680,数据集标准分类!A:B,2,0)</f>
        <v>cs_record</v>
      </c>
      <c r="H680" s="294">
        <f>VLOOKUP(F680,数据集标准分类!A:H,8,0)</f>
        <v>30</v>
      </c>
      <c r="I680" s="170" t="s">
        <v>1627</v>
      </c>
      <c r="J680" s="170" t="s">
        <v>1628</v>
      </c>
      <c r="K680" s="170" t="s">
        <v>1629</v>
      </c>
      <c r="L680" s="170" t="s">
        <v>1630</v>
      </c>
      <c r="M680" s="170" t="s">
        <v>1631</v>
      </c>
      <c r="N680" s="294">
        <v>32</v>
      </c>
      <c r="O680" s="170"/>
    </row>
    <row r="681" ht="15.75" customHeight="1" spans="1:15">
      <c r="A681" s="183" t="str">
        <f>VLOOKUP(F681,数据集标准分类!A:G,7,0)</f>
        <v>02</v>
      </c>
      <c r="B681" s="183" t="str">
        <f>VLOOKUP(F681,数据集标准分类!A:F,6,0)</f>
        <v>电子病历</v>
      </c>
      <c r="C681" s="183" t="str">
        <f>VLOOKUP(F681,数据集标准分类!A:E,5,0)</f>
        <v>0206</v>
      </c>
      <c r="D681" s="183" t="str">
        <f>VLOOKUP(F681,数据集标准分类!A:D,4,0)</f>
        <v>手术麻醉记录</v>
      </c>
      <c r="E681" s="183" t="str">
        <f>VLOOKUP(F681,数据集标准分类!A:C,3,0)</f>
        <v>020604</v>
      </c>
      <c r="F681" s="170" t="s">
        <v>1790</v>
      </c>
      <c r="G681" s="183" t="str">
        <f>VLOOKUP(F681,数据集标准分类!A:B,2,0)</f>
        <v>cs_record</v>
      </c>
      <c r="H681" s="294">
        <f>VLOOKUP(F681,数据集标准分类!A:H,8,0)</f>
        <v>30</v>
      </c>
      <c r="I681" s="170" t="s">
        <v>1906</v>
      </c>
      <c r="J681" s="170" t="s">
        <v>1907</v>
      </c>
      <c r="K681" s="170" t="s">
        <v>1908</v>
      </c>
      <c r="L681" s="170" t="s">
        <v>1909</v>
      </c>
      <c r="M681" s="170" t="s">
        <v>1910</v>
      </c>
      <c r="N681" s="294">
        <v>33</v>
      </c>
      <c r="O681" s="170"/>
    </row>
    <row r="682" ht="15.75" customHeight="1" spans="1:15">
      <c r="A682" s="183" t="str">
        <f>VLOOKUP(F682,数据集标准分类!A:G,7,0)</f>
        <v>02</v>
      </c>
      <c r="B682" s="183" t="str">
        <f>VLOOKUP(F682,数据集标准分类!A:F,6,0)</f>
        <v>电子病历</v>
      </c>
      <c r="C682" s="183" t="str">
        <f>VLOOKUP(F682,数据集标准分类!A:E,5,0)</f>
        <v>0206</v>
      </c>
      <c r="D682" s="183" t="str">
        <f>VLOOKUP(F682,数据集标准分类!A:D,4,0)</f>
        <v>手术麻醉记录</v>
      </c>
      <c r="E682" s="183" t="str">
        <f>VLOOKUP(F682,数据集标准分类!A:C,3,0)</f>
        <v>020604</v>
      </c>
      <c r="F682" s="170" t="s">
        <v>1790</v>
      </c>
      <c r="G682" s="183" t="str">
        <f>VLOOKUP(F682,数据集标准分类!A:B,2,0)</f>
        <v>cs_record</v>
      </c>
      <c r="H682" s="294">
        <f>VLOOKUP(F682,数据集标准分类!A:H,8,0)</f>
        <v>30</v>
      </c>
      <c r="I682" s="170" t="s">
        <v>1359</v>
      </c>
      <c r="J682" s="170" t="s">
        <v>1360</v>
      </c>
      <c r="K682" s="170" t="s">
        <v>1361</v>
      </c>
      <c r="L682" s="170" t="s">
        <v>1362</v>
      </c>
      <c r="M682" s="170" t="s">
        <v>1363</v>
      </c>
      <c r="N682" s="294">
        <v>34</v>
      </c>
      <c r="O682" s="170"/>
    </row>
    <row r="683" ht="15.75" customHeight="1" spans="1:15">
      <c r="A683" s="183" t="str">
        <f>VLOOKUP(F683,数据集标准分类!A:G,7,0)</f>
        <v>02</v>
      </c>
      <c r="B683" s="183" t="str">
        <f>VLOOKUP(F683,数据集标准分类!A:F,6,0)</f>
        <v>电子病历</v>
      </c>
      <c r="C683" s="183" t="str">
        <f>VLOOKUP(F683,数据集标准分类!A:E,5,0)</f>
        <v>0206</v>
      </c>
      <c r="D683" s="183" t="str">
        <f>VLOOKUP(F683,数据集标准分类!A:D,4,0)</f>
        <v>手术麻醉记录</v>
      </c>
      <c r="E683" s="183" t="str">
        <f>VLOOKUP(F683,数据集标准分类!A:C,3,0)</f>
        <v>020604</v>
      </c>
      <c r="F683" s="170" t="s">
        <v>1790</v>
      </c>
      <c r="G683" s="183" t="str">
        <f>VLOOKUP(F683,数据集标准分类!A:B,2,0)</f>
        <v>cs_record</v>
      </c>
      <c r="H683" s="294">
        <f>VLOOKUP(F683,数据集标准分类!A:H,8,0)</f>
        <v>30</v>
      </c>
      <c r="I683" s="170" t="s">
        <v>1632</v>
      </c>
      <c r="J683" s="170" t="s">
        <v>1633</v>
      </c>
      <c r="K683" s="170" t="s">
        <v>1634</v>
      </c>
      <c r="L683" s="170" t="s">
        <v>1635</v>
      </c>
      <c r="M683" s="170" t="s">
        <v>1636</v>
      </c>
      <c r="N683" s="294">
        <v>35</v>
      </c>
      <c r="O683" s="170"/>
    </row>
    <row r="684" ht="15.75" customHeight="1" spans="1:15">
      <c r="A684" s="183" t="str">
        <f>VLOOKUP(F684,数据集标准分类!A:G,7,0)</f>
        <v>02</v>
      </c>
      <c r="B684" s="183" t="str">
        <f>VLOOKUP(F684,数据集标准分类!A:F,6,0)</f>
        <v>电子病历</v>
      </c>
      <c r="C684" s="183" t="str">
        <f>VLOOKUP(F684,数据集标准分类!A:E,5,0)</f>
        <v>0206</v>
      </c>
      <c r="D684" s="183" t="str">
        <f>VLOOKUP(F684,数据集标准分类!A:D,4,0)</f>
        <v>手术麻醉记录</v>
      </c>
      <c r="E684" s="183" t="str">
        <f>VLOOKUP(F684,数据集标准分类!A:C,3,0)</f>
        <v>020604</v>
      </c>
      <c r="F684" s="170" t="s">
        <v>1790</v>
      </c>
      <c r="G684" s="183" t="str">
        <f>VLOOKUP(F684,数据集标准分类!A:B,2,0)</f>
        <v>cs_record</v>
      </c>
      <c r="H684" s="294">
        <f>VLOOKUP(F684,数据集标准分类!A:H,8,0)</f>
        <v>30</v>
      </c>
      <c r="I684" s="170" t="s">
        <v>1911</v>
      </c>
      <c r="J684" s="170" t="s">
        <v>1912</v>
      </c>
      <c r="K684" s="170" t="s">
        <v>1913</v>
      </c>
      <c r="L684" s="170" t="s">
        <v>1914</v>
      </c>
      <c r="M684" s="170" t="s">
        <v>1915</v>
      </c>
      <c r="N684" s="294">
        <v>36</v>
      </c>
      <c r="O684" s="170"/>
    </row>
    <row r="685" ht="15.75" customHeight="1" spans="1:15">
      <c r="A685" s="183" t="str">
        <f>VLOOKUP(F685,数据集标准分类!A:G,7,0)</f>
        <v>02</v>
      </c>
      <c r="B685" s="183" t="str">
        <f>VLOOKUP(F685,数据集标准分类!A:F,6,0)</f>
        <v>电子病历</v>
      </c>
      <c r="C685" s="183" t="str">
        <f>VLOOKUP(F685,数据集标准分类!A:E,5,0)</f>
        <v>0206</v>
      </c>
      <c r="D685" s="183" t="str">
        <f>VLOOKUP(F685,数据集标准分类!A:D,4,0)</f>
        <v>手术麻醉记录</v>
      </c>
      <c r="E685" s="183" t="str">
        <f>VLOOKUP(F685,数据集标准分类!A:C,3,0)</f>
        <v>020604</v>
      </c>
      <c r="F685" s="170" t="s">
        <v>1790</v>
      </c>
      <c r="G685" s="183" t="str">
        <f>VLOOKUP(F685,数据集标准分类!A:B,2,0)</f>
        <v>cs_record</v>
      </c>
      <c r="H685" s="294">
        <f>VLOOKUP(F685,数据集标准分类!A:H,8,0)</f>
        <v>30</v>
      </c>
      <c r="I685" s="170" t="s">
        <v>1916</v>
      </c>
      <c r="J685" s="170" t="s">
        <v>1917</v>
      </c>
      <c r="K685" s="170" t="s">
        <v>1918</v>
      </c>
      <c r="L685" s="170" t="s">
        <v>1919</v>
      </c>
      <c r="M685" s="170" t="s">
        <v>1920</v>
      </c>
      <c r="N685" s="294">
        <v>37</v>
      </c>
      <c r="O685" s="170"/>
    </row>
    <row r="686" ht="15.75" customHeight="1" spans="1:15">
      <c r="A686" s="183" t="str">
        <f>VLOOKUP(F686,数据集标准分类!A:G,7,0)</f>
        <v>02</v>
      </c>
      <c r="B686" s="183" t="str">
        <f>VLOOKUP(F686,数据集标准分类!A:F,6,0)</f>
        <v>电子病历</v>
      </c>
      <c r="C686" s="183" t="str">
        <f>VLOOKUP(F686,数据集标准分类!A:E,5,0)</f>
        <v>0206</v>
      </c>
      <c r="D686" s="183" t="str">
        <f>VLOOKUP(F686,数据集标准分类!A:D,4,0)</f>
        <v>手术麻醉记录</v>
      </c>
      <c r="E686" s="183" t="str">
        <f>VLOOKUP(F686,数据集标准分类!A:C,3,0)</f>
        <v>020604</v>
      </c>
      <c r="F686" s="170" t="s">
        <v>1790</v>
      </c>
      <c r="G686" s="183" t="str">
        <f>VLOOKUP(F686,数据集标准分类!A:B,2,0)</f>
        <v>cs_record</v>
      </c>
      <c r="H686" s="294">
        <f>VLOOKUP(F686,数据集标准分类!A:H,8,0)</f>
        <v>30</v>
      </c>
      <c r="I686" s="170" t="s">
        <v>1921</v>
      </c>
      <c r="J686" s="170" t="s">
        <v>1922</v>
      </c>
      <c r="K686" s="170" t="s">
        <v>1923</v>
      </c>
      <c r="L686" s="170" t="s">
        <v>1924</v>
      </c>
      <c r="M686" s="170" t="s">
        <v>1925</v>
      </c>
      <c r="N686" s="294">
        <v>38</v>
      </c>
      <c r="O686" s="170"/>
    </row>
    <row r="687" ht="15.75" customHeight="1" spans="1:15">
      <c r="A687" s="183" t="str">
        <f>VLOOKUP(F687,数据集标准分类!A:G,7,0)</f>
        <v>02</v>
      </c>
      <c r="B687" s="183" t="str">
        <f>VLOOKUP(F687,数据集标准分类!A:F,6,0)</f>
        <v>电子病历</v>
      </c>
      <c r="C687" s="183" t="str">
        <f>VLOOKUP(F687,数据集标准分类!A:E,5,0)</f>
        <v>0206</v>
      </c>
      <c r="D687" s="183" t="str">
        <f>VLOOKUP(F687,数据集标准分类!A:D,4,0)</f>
        <v>手术麻醉记录</v>
      </c>
      <c r="E687" s="183" t="str">
        <f>VLOOKUP(F687,数据集标准分类!A:C,3,0)</f>
        <v>020604</v>
      </c>
      <c r="F687" s="170" t="s">
        <v>1790</v>
      </c>
      <c r="G687" s="183" t="str">
        <f>VLOOKUP(F687,数据集标准分类!A:B,2,0)</f>
        <v>cs_record</v>
      </c>
      <c r="H687" s="294">
        <f>VLOOKUP(F687,数据集标准分类!A:H,8,0)</f>
        <v>30</v>
      </c>
      <c r="I687" s="170" t="s">
        <v>1597</v>
      </c>
      <c r="J687" s="170" t="s">
        <v>1598</v>
      </c>
      <c r="K687" s="170" t="s">
        <v>1599</v>
      </c>
      <c r="L687" s="170" t="s">
        <v>1600</v>
      </c>
      <c r="M687" s="170" t="s">
        <v>1601</v>
      </c>
      <c r="N687" s="294">
        <v>39</v>
      </c>
      <c r="O687" s="170"/>
    </row>
    <row r="688" ht="15.75" customHeight="1" spans="1:15">
      <c r="A688" s="183" t="str">
        <f>VLOOKUP(F688,数据集标准分类!A:G,7,0)</f>
        <v>02</v>
      </c>
      <c r="B688" s="183" t="str">
        <f>VLOOKUP(F688,数据集标准分类!A:F,6,0)</f>
        <v>电子病历</v>
      </c>
      <c r="C688" s="183" t="str">
        <f>VLOOKUP(F688,数据集标准分类!A:E,5,0)</f>
        <v>0206</v>
      </c>
      <c r="D688" s="183" t="str">
        <f>VLOOKUP(F688,数据集标准分类!A:D,4,0)</f>
        <v>手术麻醉记录</v>
      </c>
      <c r="E688" s="183" t="str">
        <f>VLOOKUP(F688,数据集标准分类!A:C,3,0)</f>
        <v>020604</v>
      </c>
      <c r="F688" s="170" t="s">
        <v>1790</v>
      </c>
      <c r="G688" s="183" t="str">
        <f>VLOOKUP(F688,数据集标准分类!A:B,2,0)</f>
        <v>cs_record</v>
      </c>
      <c r="H688" s="294">
        <f>VLOOKUP(F688,数据集标准分类!A:H,8,0)</f>
        <v>30</v>
      </c>
      <c r="I688" s="170" t="s">
        <v>1926</v>
      </c>
      <c r="J688" s="170" t="s">
        <v>1927</v>
      </c>
      <c r="K688" s="170" t="s">
        <v>1928</v>
      </c>
      <c r="L688" s="170" t="s">
        <v>1929</v>
      </c>
      <c r="M688" s="170" t="s">
        <v>1930</v>
      </c>
      <c r="N688" s="294">
        <v>40</v>
      </c>
      <c r="O688" s="170"/>
    </row>
    <row r="689" ht="15.75" customHeight="1" spans="1:15">
      <c r="A689" s="183" t="str">
        <f>VLOOKUP(F689,数据集标准分类!A:G,7,0)</f>
        <v>02</v>
      </c>
      <c r="B689" s="183" t="str">
        <f>VLOOKUP(F689,数据集标准分类!A:F,6,0)</f>
        <v>电子病历</v>
      </c>
      <c r="C689" s="183" t="str">
        <f>VLOOKUP(F689,数据集标准分类!A:E,5,0)</f>
        <v>0206</v>
      </c>
      <c r="D689" s="183" t="str">
        <f>VLOOKUP(F689,数据集标准分类!A:D,4,0)</f>
        <v>手术麻醉记录</v>
      </c>
      <c r="E689" s="183" t="str">
        <f>VLOOKUP(F689,数据集标准分类!A:C,3,0)</f>
        <v>020604</v>
      </c>
      <c r="F689" s="170" t="s">
        <v>1790</v>
      </c>
      <c r="G689" s="183" t="str">
        <f>VLOOKUP(F689,数据集标准分类!A:B,2,0)</f>
        <v>cs_record</v>
      </c>
      <c r="H689" s="294">
        <f>VLOOKUP(F689,数据集标准分类!A:H,8,0)</f>
        <v>30</v>
      </c>
      <c r="I689" s="170" t="s">
        <v>1931</v>
      </c>
      <c r="J689" s="170" t="s">
        <v>1932</v>
      </c>
      <c r="K689" s="170" t="s">
        <v>1933</v>
      </c>
      <c r="L689" s="170" t="s">
        <v>1934</v>
      </c>
      <c r="M689" s="170" t="s">
        <v>1935</v>
      </c>
      <c r="N689" s="294">
        <v>41</v>
      </c>
      <c r="O689" s="170"/>
    </row>
    <row r="690" ht="15.75" customHeight="1" spans="1:15">
      <c r="A690" s="183" t="str">
        <f>VLOOKUP(F690,数据集标准分类!A:G,7,0)</f>
        <v>02</v>
      </c>
      <c r="B690" s="183" t="str">
        <f>VLOOKUP(F690,数据集标准分类!A:F,6,0)</f>
        <v>电子病历</v>
      </c>
      <c r="C690" s="183" t="str">
        <f>VLOOKUP(F690,数据集标准分类!A:E,5,0)</f>
        <v>0206</v>
      </c>
      <c r="D690" s="183" t="str">
        <f>VLOOKUP(F690,数据集标准分类!A:D,4,0)</f>
        <v>手术麻醉记录</v>
      </c>
      <c r="E690" s="183" t="str">
        <f>VLOOKUP(F690,数据集标准分类!A:C,3,0)</f>
        <v>020604</v>
      </c>
      <c r="F690" s="170" t="s">
        <v>1790</v>
      </c>
      <c r="G690" s="183" t="str">
        <f>VLOOKUP(F690,数据集标准分类!A:B,2,0)</f>
        <v>cs_record</v>
      </c>
      <c r="H690" s="294">
        <f>VLOOKUP(F690,数据集标准分类!A:H,8,0)</f>
        <v>30</v>
      </c>
      <c r="I690" s="170" t="s">
        <v>1936</v>
      </c>
      <c r="J690" s="170" t="s">
        <v>1937</v>
      </c>
      <c r="K690" s="170" t="s">
        <v>1938</v>
      </c>
      <c r="L690" s="170" t="s">
        <v>1939</v>
      </c>
      <c r="M690" s="170" t="s">
        <v>1940</v>
      </c>
      <c r="N690" s="294">
        <v>42</v>
      </c>
      <c r="O690" s="170"/>
    </row>
    <row r="691" ht="15.75" customHeight="1" spans="1:15">
      <c r="A691" s="183" t="str">
        <f>VLOOKUP(F691,数据集标准分类!A:G,7,0)</f>
        <v>02</v>
      </c>
      <c r="B691" s="183" t="str">
        <f>VLOOKUP(F691,数据集标准分类!A:F,6,0)</f>
        <v>电子病历</v>
      </c>
      <c r="C691" s="183" t="str">
        <f>VLOOKUP(F691,数据集标准分类!A:E,5,0)</f>
        <v>0206</v>
      </c>
      <c r="D691" s="183" t="str">
        <f>VLOOKUP(F691,数据集标准分类!A:D,4,0)</f>
        <v>手术麻醉记录</v>
      </c>
      <c r="E691" s="183" t="str">
        <f>VLOOKUP(F691,数据集标准分类!A:C,3,0)</f>
        <v>020604</v>
      </c>
      <c r="F691" s="170" t="s">
        <v>1790</v>
      </c>
      <c r="G691" s="183" t="str">
        <f>VLOOKUP(F691,数据集标准分类!A:B,2,0)</f>
        <v>cs_record</v>
      </c>
      <c r="H691" s="294">
        <f>VLOOKUP(F691,数据集标准分类!A:H,8,0)</f>
        <v>30</v>
      </c>
      <c r="I691" s="170" t="s">
        <v>1941</v>
      </c>
      <c r="J691" s="170" t="s">
        <v>1942</v>
      </c>
      <c r="K691" s="170" t="s">
        <v>1943</v>
      </c>
      <c r="L691" s="170" t="s">
        <v>1944</v>
      </c>
      <c r="M691" s="170" t="s">
        <v>1945</v>
      </c>
      <c r="N691" s="294">
        <v>43</v>
      </c>
      <c r="O691" s="170"/>
    </row>
    <row r="692" ht="15.75" customHeight="1" spans="1:15">
      <c r="A692" s="183" t="str">
        <f>VLOOKUP(F692,数据集标准分类!A:G,7,0)</f>
        <v>02</v>
      </c>
      <c r="B692" s="183" t="str">
        <f>VLOOKUP(F692,数据集标准分类!A:F,6,0)</f>
        <v>电子病历</v>
      </c>
      <c r="C692" s="183" t="str">
        <f>VLOOKUP(F692,数据集标准分类!A:E,5,0)</f>
        <v>0206</v>
      </c>
      <c r="D692" s="183" t="str">
        <f>VLOOKUP(F692,数据集标准分类!A:D,4,0)</f>
        <v>手术麻醉记录</v>
      </c>
      <c r="E692" s="183" t="str">
        <f>VLOOKUP(F692,数据集标准分类!A:C,3,0)</f>
        <v>020604</v>
      </c>
      <c r="F692" s="170" t="s">
        <v>1790</v>
      </c>
      <c r="G692" s="183" t="str">
        <f>VLOOKUP(F692,数据集标准分类!A:B,2,0)</f>
        <v>cs_record</v>
      </c>
      <c r="H692" s="294">
        <f>VLOOKUP(F692,数据集标准分类!A:H,8,0)</f>
        <v>30</v>
      </c>
      <c r="I692" s="170" t="s">
        <v>699</v>
      </c>
      <c r="J692" s="170" t="s">
        <v>700</v>
      </c>
      <c r="K692" s="170" t="s">
        <v>700</v>
      </c>
      <c r="L692" s="170" t="s">
        <v>701</v>
      </c>
      <c r="M692" s="170" t="s">
        <v>1946</v>
      </c>
      <c r="N692" s="294">
        <v>44</v>
      </c>
      <c r="O692" s="170"/>
    </row>
    <row r="693" ht="15.75" customHeight="1" spans="1:15">
      <c r="A693" s="183" t="str">
        <f>VLOOKUP(F693,数据集标准分类!A:G,7,0)</f>
        <v>02</v>
      </c>
      <c r="B693" s="183" t="str">
        <f>VLOOKUP(F693,数据集标准分类!A:F,6,0)</f>
        <v>电子病历</v>
      </c>
      <c r="C693" s="183" t="str">
        <f>VLOOKUP(F693,数据集标准分类!A:E,5,0)</f>
        <v>0206</v>
      </c>
      <c r="D693" s="183" t="str">
        <f>VLOOKUP(F693,数据集标准分类!A:D,4,0)</f>
        <v>手术麻醉记录</v>
      </c>
      <c r="E693" s="183" t="str">
        <f>VLOOKUP(F693,数据集标准分类!A:C,3,0)</f>
        <v>020604</v>
      </c>
      <c r="F693" s="170" t="s">
        <v>1790</v>
      </c>
      <c r="G693" s="183" t="str">
        <f>VLOOKUP(F693,数据集标准分类!A:B,2,0)</f>
        <v>cs_record</v>
      </c>
      <c r="H693" s="294">
        <f>VLOOKUP(F693,数据集标准分类!A:H,8,0)</f>
        <v>30</v>
      </c>
      <c r="I693" s="170" t="s">
        <v>703</v>
      </c>
      <c r="J693" s="170" t="s">
        <v>704</v>
      </c>
      <c r="K693" s="170" t="s">
        <v>704</v>
      </c>
      <c r="L693" s="170" t="s">
        <v>705</v>
      </c>
      <c r="M693" s="170" t="s">
        <v>1947</v>
      </c>
      <c r="N693" s="294">
        <v>45</v>
      </c>
      <c r="O693" s="170"/>
    </row>
    <row r="694" ht="15.75" customHeight="1" spans="1:15">
      <c r="A694" s="183" t="str">
        <f>VLOOKUP(F694,数据集标准分类!A:G,7,0)</f>
        <v>02</v>
      </c>
      <c r="B694" s="183" t="str">
        <f>VLOOKUP(F694,数据集标准分类!A:F,6,0)</f>
        <v>电子病历</v>
      </c>
      <c r="C694" s="183" t="str">
        <f>VLOOKUP(F694,数据集标准分类!A:E,5,0)</f>
        <v>0206</v>
      </c>
      <c r="D694" s="183" t="str">
        <f>VLOOKUP(F694,数据集标准分类!A:D,4,0)</f>
        <v>手术麻醉记录</v>
      </c>
      <c r="E694" s="183" t="str">
        <f>VLOOKUP(F694,数据集标准分类!A:C,3,0)</f>
        <v>020604</v>
      </c>
      <c r="F694" s="170" t="s">
        <v>1790</v>
      </c>
      <c r="G694" s="183" t="str">
        <f>VLOOKUP(F694,数据集标准分类!A:B,2,0)</f>
        <v>cs_record</v>
      </c>
      <c r="H694" s="294">
        <f>VLOOKUP(F694,数据集标准分类!A:H,8,0)</f>
        <v>30</v>
      </c>
      <c r="I694" s="170" t="s">
        <v>689</v>
      </c>
      <c r="J694" s="170" t="s">
        <v>690</v>
      </c>
      <c r="K694" s="170" t="s">
        <v>691</v>
      </c>
      <c r="L694" s="170" t="s">
        <v>692</v>
      </c>
      <c r="M694" s="170" t="s">
        <v>1948</v>
      </c>
      <c r="N694" s="294">
        <v>46</v>
      </c>
      <c r="O694" s="170"/>
    </row>
    <row r="695" ht="15.75" customHeight="1" spans="1:15">
      <c r="A695" s="183" t="str">
        <f>VLOOKUP(F695,数据集标准分类!A:G,7,0)</f>
        <v>02</v>
      </c>
      <c r="B695" s="183" t="str">
        <f>VLOOKUP(F695,数据集标准分类!A:F,6,0)</f>
        <v>电子病历</v>
      </c>
      <c r="C695" s="183" t="str">
        <f>VLOOKUP(F695,数据集标准分类!A:E,5,0)</f>
        <v>0206</v>
      </c>
      <c r="D695" s="183" t="str">
        <f>VLOOKUP(F695,数据集标准分类!A:D,4,0)</f>
        <v>手术麻醉记录</v>
      </c>
      <c r="E695" s="183" t="str">
        <f>VLOOKUP(F695,数据集标准分类!A:C,3,0)</f>
        <v>020604</v>
      </c>
      <c r="F695" s="170" t="s">
        <v>1790</v>
      </c>
      <c r="G695" s="183" t="str">
        <f>VLOOKUP(F695,数据集标准分类!A:B,2,0)</f>
        <v>cs_record</v>
      </c>
      <c r="H695" s="294">
        <f>VLOOKUP(F695,数据集标准分类!A:H,8,0)</f>
        <v>30</v>
      </c>
      <c r="I695" s="170" t="s">
        <v>1949</v>
      </c>
      <c r="J695" s="170" t="s">
        <v>1950</v>
      </c>
      <c r="K695" s="170" t="s">
        <v>1951</v>
      </c>
      <c r="L695" s="170" t="s">
        <v>1952</v>
      </c>
      <c r="M695" s="170" t="s">
        <v>1953</v>
      </c>
      <c r="N695" s="294">
        <v>47</v>
      </c>
      <c r="O695" s="170"/>
    </row>
    <row r="696" ht="15.75" customHeight="1" spans="1:15">
      <c r="A696" s="183" t="str">
        <f>VLOOKUP(F696,数据集标准分类!A:G,7,0)</f>
        <v>02</v>
      </c>
      <c r="B696" s="183" t="str">
        <f>VLOOKUP(F696,数据集标准分类!A:F,6,0)</f>
        <v>电子病历</v>
      </c>
      <c r="C696" s="183" t="str">
        <f>VLOOKUP(F696,数据集标准分类!A:E,5,0)</f>
        <v>0206</v>
      </c>
      <c r="D696" s="183" t="str">
        <f>VLOOKUP(F696,数据集标准分类!A:D,4,0)</f>
        <v>手术麻醉记录</v>
      </c>
      <c r="E696" s="183" t="str">
        <f>VLOOKUP(F696,数据集标准分类!A:C,3,0)</f>
        <v>020604</v>
      </c>
      <c r="F696" s="170" t="s">
        <v>1790</v>
      </c>
      <c r="G696" s="183" t="str">
        <f>VLOOKUP(F696,数据集标准分类!A:B,2,0)</f>
        <v>cs_record</v>
      </c>
      <c r="H696" s="294">
        <f>VLOOKUP(F696,数据集标准分类!A:H,8,0)</f>
        <v>30</v>
      </c>
      <c r="I696" s="170" t="s">
        <v>1954</v>
      </c>
      <c r="J696" s="170" t="s">
        <v>1955</v>
      </c>
      <c r="K696" s="170" t="s">
        <v>1956</v>
      </c>
      <c r="L696" s="170" t="s">
        <v>1957</v>
      </c>
      <c r="M696" s="170" t="s">
        <v>1958</v>
      </c>
      <c r="N696" s="294">
        <v>48</v>
      </c>
      <c r="O696" s="170"/>
    </row>
    <row r="697" ht="15.75" customHeight="1" spans="1:15">
      <c r="A697" s="183" t="str">
        <f>VLOOKUP(F697,数据集标准分类!A:G,7,0)</f>
        <v>02</v>
      </c>
      <c r="B697" s="183" t="str">
        <f>VLOOKUP(F697,数据集标准分类!A:F,6,0)</f>
        <v>电子病历</v>
      </c>
      <c r="C697" s="183" t="str">
        <f>VLOOKUP(F697,数据集标准分类!A:E,5,0)</f>
        <v>0206</v>
      </c>
      <c r="D697" s="183" t="str">
        <f>VLOOKUP(F697,数据集标准分类!A:D,4,0)</f>
        <v>手术麻醉记录</v>
      </c>
      <c r="E697" s="183" t="str">
        <f>VLOOKUP(F697,数据集标准分类!A:C,3,0)</f>
        <v>020604</v>
      </c>
      <c r="F697" s="170" t="s">
        <v>1790</v>
      </c>
      <c r="G697" s="183" t="str">
        <f>VLOOKUP(F697,数据集标准分类!A:B,2,0)</f>
        <v>cs_record</v>
      </c>
      <c r="H697" s="294">
        <f>VLOOKUP(F697,数据集标准分类!A:H,8,0)</f>
        <v>30</v>
      </c>
      <c r="I697" s="170" t="s">
        <v>1959</v>
      </c>
      <c r="J697" s="170" t="s">
        <v>1960</v>
      </c>
      <c r="K697" s="170" t="s">
        <v>1961</v>
      </c>
      <c r="L697" s="170" t="s">
        <v>1962</v>
      </c>
      <c r="M697" s="170" t="s">
        <v>1963</v>
      </c>
      <c r="N697" s="294">
        <v>49</v>
      </c>
      <c r="O697" s="170"/>
    </row>
    <row r="698" ht="15.75" customHeight="1" spans="1:15">
      <c r="A698" s="183" t="str">
        <f>VLOOKUP(F698,数据集标准分类!A:G,7,0)</f>
        <v>02</v>
      </c>
      <c r="B698" s="183" t="str">
        <f>VLOOKUP(F698,数据集标准分类!A:F,6,0)</f>
        <v>电子病历</v>
      </c>
      <c r="C698" s="183" t="str">
        <f>VLOOKUP(F698,数据集标准分类!A:E,5,0)</f>
        <v>0206</v>
      </c>
      <c r="D698" s="183" t="str">
        <f>VLOOKUP(F698,数据集标准分类!A:D,4,0)</f>
        <v>手术麻醉记录</v>
      </c>
      <c r="E698" s="183" t="str">
        <f>VLOOKUP(F698,数据集标准分类!A:C,3,0)</f>
        <v>020604</v>
      </c>
      <c r="F698" s="170" t="s">
        <v>1790</v>
      </c>
      <c r="G698" s="183" t="str">
        <f>VLOOKUP(F698,数据集标准分类!A:B,2,0)</f>
        <v>cs_record</v>
      </c>
      <c r="H698" s="294">
        <f>VLOOKUP(F698,数据集标准分类!A:H,8,0)</f>
        <v>30</v>
      </c>
      <c r="I698" s="170" t="s">
        <v>1964</v>
      </c>
      <c r="J698" s="170" t="s">
        <v>1965</v>
      </c>
      <c r="K698" s="170" t="s">
        <v>1966</v>
      </c>
      <c r="L698" s="170" t="s">
        <v>1967</v>
      </c>
      <c r="M698" s="170" t="s">
        <v>1968</v>
      </c>
      <c r="N698" s="294">
        <v>50</v>
      </c>
      <c r="O698" s="170"/>
    </row>
    <row r="699" ht="15.75" customHeight="1" spans="1:15">
      <c r="A699" s="183" t="str">
        <f>VLOOKUP(F699,数据集标准分类!A:G,7,0)</f>
        <v>02</v>
      </c>
      <c r="B699" s="183" t="str">
        <f>VLOOKUP(F699,数据集标准分类!A:F,6,0)</f>
        <v>电子病历</v>
      </c>
      <c r="C699" s="183" t="str">
        <f>VLOOKUP(F699,数据集标准分类!A:E,5,0)</f>
        <v>0206</v>
      </c>
      <c r="D699" s="183" t="str">
        <f>VLOOKUP(F699,数据集标准分类!A:D,4,0)</f>
        <v>手术麻醉记录</v>
      </c>
      <c r="E699" s="183" t="str">
        <f>VLOOKUP(F699,数据集标准分类!A:C,3,0)</f>
        <v>020604</v>
      </c>
      <c r="F699" s="170" t="s">
        <v>1790</v>
      </c>
      <c r="G699" s="183" t="str">
        <f>VLOOKUP(F699,数据集标准分类!A:B,2,0)</f>
        <v>cs_record</v>
      </c>
      <c r="H699" s="294">
        <f>VLOOKUP(F699,数据集标准分类!A:H,8,0)</f>
        <v>30</v>
      </c>
      <c r="I699" s="170" t="s">
        <v>330</v>
      </c>
      <c r="J699" s="170" t="s">
        <v>331</v>
      </c>
      <c r="K699" s="170" t="s">
        <v>332</v>
      </c>
      <c r="L699" s="170" t="s">
        <v>333</v>
      </c>
      <c r="M699" s="170" t="s">
        <v>334</v>
      </c>
      <c r="N699" s="294">
        <v>51</v>
      </c>
      <c r="O699" s="170"/>
    </row>
    <row r="700" ht="15.75" customHeight="1" spans="1:15">
      <c r="A700" s="183" t="str">
        <f>VLOOKUP(F700,数据集标准分类!A:G,7,0)</f>
        <v>02</v>
      </c>
      <c r="B700" s="183" t="str">
        <f>VLOOKUP(F700,数据集标准分类!A:F,6,0)</f>
        <v>电子病历</v>
      </c>
      <c r="C700" s="183" t="str">
        <f>VLOOKUP(F700,数据集标准分类!A:E,5,0)</f>
        <v>0206</v>
      </c>
      <c r="D700" s="183" t="str">
        <f>VLOOKUP(F700,数据集标准分类!A:D,4,0)</f>
        <v>手术麻醉记录</v>
      </c>
      <c r="E700" s="183" t="str">
        <f>VLOOKUP(F700,数据集标准分类!A:C,3,0)</f>
        <v>020604</v>
      </c>
      <c r="F700" s="170" t="s">
        <v>1790</v>
      </c>
      <c r="G700" s="183" t="str">
        <f>VLOOKUP(F700,数据集标准分类!A:B,2,0)</f>
        <v>cs_record</v>
      </c>
      <c r="H700" s="294">
        <f>VLOOKUP(F700,数据集标准分类!A:H,8,0)</f>
        <v>30</v>
      </c>
      <c r="I700" s="170" t="s">
        <v>1969</v>
      </c>
      <c r="J700" s="170" t="s">
        <v>1970</v>
      </c>
      <c r="K700" s="170" t="s">
        <v>1971</v>
      </c>
      <c r="L700" s="170" t="s">
        <v>1972</v>
      </c>
      <c r="M700" s="170" t="s">
        <v>1973</v>
      </c>
      <c r="N700" s="294">
        <v>52</v>
      </c>
      <c r="O700" s="170"/>
    </row>
    <row r="701" ht="15.75" customHeight="1" spans="1:15">
      <c r="A701" s="183" t="str">
        <f>VLOOKUP(F701,数据集标准分类!A:G,7,0)</f>
        <v>02</v>
      </c>
      <c r="B701" s="183" t="str">
        <f>VLOOKUP(F701,数据集标准分类!A:F,6,0)</f>
        <v>电子病历</v>
      </c>
      <c r="C701" s="183" t="str">
        <f>VLOOKUP(F701,数据集标准分类!A:E,5,0)</f>
        <v>0206</v>
      </c>
      <c r="D701" s="183" t="str">
        <f>VLOOKUP(F701,数据集标准分类!A:D,4,0)</f>
        <v>手术麻醉记录</v>
      </c>
      <c r="E701" s="183" t="str">
        <f>VLOOKUP(F701,数据集标准分类!A:C,3,0)</f>
        <v>020604</v>
      </c>
      <c r="F701" s="170" t="s">
        <v>1790</v>
      </c>
      <c r="G701" s="183" t="str">
        <f>VLOOKUP(F701,数据集标准分类!A:B,2,0)</f>
        <v>cs_record</v>
      </c>
      <c r="H701" s="294">
        <f>VLOOKUP(F701,数据集标准分类!A:H,8,0)</f>
        <v>30</v>
      </c>
      <c r="I701" s="170" t="s">
        <v>1974</v>
      </c>
      <c r="J701" s="170" t="s">
        <v>1975</v>
      </c>
      <c r="K701" s="170" t="s">
        <v>1976</v>
      </c>
      <c r="L701" s="170" t="s">
        <v>1977</v>
      </c>
      <c r="M701" s="170" t="s">
        <v>1978</v>
      </c>
      <c r="N701" s="294">
        <v>53</v>
      </c>
      <c r="O701" s="170"/>
    </row>
    <row r="702" ht="15.75" customHeight="1" spans="1:15">
      <c r="A702" s="183" t="str">
        <f>VLOOKUP(F702,数据集标准分类!A:G,7,0)</f>
        <v>02</v>
      </c>
      <c r="B702" s="183" t="str">
        <f>VLOOKUP(F702,数据集标准分类!A:F,6,0)</f>
        <v>电子病历</v>
      </c>
      <c r="C702" s="183" t="str">
        <f>VLOOKUP(F702,数据集标准分类!A:E,5,0)</f>
        <v>0206</v>
      </c>
      <c r="D702" s="183" t="str">
        <f>VLOOKUP(F702,数据集标准分类!A:D,4,0)</f>
        <v>手术麻醉记录</v>
      </c>
      <c r="E702" s="183" t="str">
        <f>VLOOKUP(F702,数据集标准分类!A:C,3,0)</f>
        <v>020604</v>
      </c>
      <c r="F702" s="170" t="s">
        <v>1790</v>
      </c>
      <c r="G702" s="183" t="str">
        <f>VLOOKUP(F702,数据集标准分类!A:B,2,0)</f>
        <v>cs_record</v>
      </c>
      <c r="H702" s="294">
        <f>VLOOKUP(F702,数据集标准分类!A:H,8,0)</f>
        <v>30</v>
      </c>
      <c r="I702" s="170" t="s">
        <v>1979</v>
      </c>
      <c r="J702" s="170" t="s">
        <v>1980</v>
      </c>
      <c r="K702" s="170" t="s">
        <v>1981</v>
      </c>
      <c r="L702" s="170" t="s">
        <v>1982</v>
      </c>
      <c r="M702" s="170" t="s">
        <v>1983</v>
      </c>
      <c r="N702" s="294">
        <v>54</v>
      </c>
      <c r="O702" s="170"/>
    </row>
    <row r="703" ht="15.75" customHeight="1" spans="1:15">
      <c r="A703" s="183" t="str">
        <f>VLOOKUP(F703,数据集标准分类!A:G,7,0)</f>
        <v>02</v>
      </c>
      <c r="B703" s="183" t="str">
        <f>VLOOKUP(F703,数据集标准分类!A:F,6,0)</f>
        <v>电子病历</v>
      </c>
      <c r="C703" s="183" t="str">
        <f>VLOOKUP(F703,数据集标准分类!A:E,5,0)</f>
        <v>0206</v>
      </c>
      <c r="D703" s="183" t="str">
        <f>VLOOKUP(F703,数据集标准分类!A:D,4,0)</f>
        <v>手术麻醉记录</v>
      </c>
      <c r="E703" s="183" t="str">
        <f>VLOOKUP(F703,数据集标准分类!A:C,3,0)</f>
        <v>020604</v>
      </c>
      <c r="F703" s="170" t="s">
        <v>1790</v>
      </c>
      <c r="G703" s="183" t="str">
        <f>VLOOKUP(F703,数据集标准分类!A:B,2,0)</f>
        <v>cs_record</v>
      </c>
      <c r="H703" s="294">
        <f>VLOOKUP(F703,数据集标准分类!A:H,8,0)</f>
        <v>30</v>
      </c>
      <c r="I703" s="170" t="s">
        <v>1984</v>
      </c>
      <c r="J703" s="170" t="s">
        <v>1985</v>
      </c>
      <c r="K703" s="170" t="s">
        <v>1986</v>
      </c>
      <c r="L703" s="170" t="s">
        <v>1987</v>
      </c>
      <c r="M703" s="170" t="s">
        <v>1988</v>
      </c>
      <c r="N703" s="294">
        <v>55</v>
      </c>
      <c r="O703" s="170"/>
    </row>
    <row r="704" ht="15.75" customHeight="1" spans="1:15">
      <c r="A704" s="183" t="str">
        <f>VLOOKUP(F704,数据集标准分类!A:G,7,0)</f>
        <v>02</v>
      </c>
      <c r="B704" s="183" t="str">
        <f>VLOOKUP(F704,数据集标准分类!A:F,6,0)</f>
        <v>电子病历</v>
      </c>
      <c r="C704" s="183" t="str">
        <f>VLOOKUP(F704,数据集标准分类!A:E,5,0)</f>
        <v>0206</v>
      </c>
      <c r="D704" s="183" t="str">
        <f>VLOOKUP(F704,数据集标准分类!A:D,4,0)</f>
        <v>手术麻醉记录</v>
      </c>
      <c r="E704" s="183" t="str">
        <f>VLOOKUP(F704,数据集标准分类!A:C,3,0)</f>
        <v>020604</v>
      </c>
      <c r="F704" s="170" t="s">
        <v>1790</v>
      </c>
      <c r="G704" s="183" t="str">
        <f>VLOOKUP(F704,数据集标准分类!A:B,2,0)</f>
        <v>cs_record</v>
      </c>
      <c r="H704" s="294">
        <f>VLOOKUP(F704,数据集标准分类!A:H,8,0)</f>
        <v>30</v>
      </c>
      <c r="I704" s="170" t="s">
        <v>1989</v>
      </c>
      <c r="J704" s="170" t="s">
        <v>1990</v>
      </c>
      <c r="K704" s="170" t="s">
        <v>1991</v>
      </c>
      <c r="L704" s="170" t="s">
        <v>1992</v>
      </c>
      <c r="M704" s="170" t="s">
        <v>1993</v>
      </c>
      <c r="N704" s="294">
        <v>56</v>
      </c>
      <c r="O704" s="170"/>
    </row>
    <row r="705" ht="15.75" customHeight="1" spans="1:15">
      <c r="A705" s="183" t="str">
        <f>VLOOKUP(F705,数据集标准分类!A:G,7,0)</f>
        <v>02</v>
      </c>
      <c r="B705" s="183" t="str">
        <f>VLOOKUP(F705,数据集标准分类!A:F,6,0)</f>
        <v>电子病历</v>
      </c>
      <c r="C705" s="183" t="str">
        <f>VLOOKUP(F705,数据集标准分类!A:E,5,0)</f>
        <v>0206</v>
      </c>
      <c r="D705" s="183" t="str">
        <f>VLOOKUP(F705,数据集标准分类!A:D,4,0)</f>
        <v>手术麻醉记录</v>
      </c>
      <c r="E705" s="183" t="str">
        <f>VLOOKUP(F705,数据集标准分类!A:C,3,0)</f>
        <v>020604</v>
      </c>
      <c r="F705" s="170" t="s">
        <v>1790</v>
      </c>
      <c r="G705" s="183" t="str">
        <f>VLOOKUP(F705,数据集标准分类!A:B,2,0)</f>
        <v>cs_record</v>
      </c>
      <c r="H705" s="294">
        <f>VLOOKUP(F705,数据集标准分类!A:H,8,0)</f>
        <v>30</v>
      </c>
      <c r="I705" s="170" t="s">
        <v>1994</v>
      </c>
      <c r="J705" s="170" t="s">
        <v>1995</v>
      </c>
      <c r="K705" s="170" t="s">
        <v>1996</v>
      </c>
      <c r="L705" s="170" t="s">
        <v>1997</v>
      </c>
      <c r="M705" s="170" t="s">
        <v>1998</v>
      </c>
      <c r="N705" s="294">
        <v>57</v>
      </c>
      <c r="O705" s="170"/>
    </row>
    <row r="706" ht="15.75" customHeight="1" spans="1:15">
      <c r="A706" s="183" t="str">
        <f>VLOOKUP(F706,数据集标准分类!A:G,7,0)</f>
        <v>02</v>
      </c>
      <c r="B706" s="183" t="str">
        <f>VLOOKUP(F706,数据集标准分类!A:F,6,0)</f>
        <v>电子病历</v>
      </c>
      <c r="C706" s="183" t="str">
        <f>VLOOKUP(F706,数据集标准分类!A:E,5,0)</f>
        <v>0206</v>
      </c>
      <c r="D706" s="183" t="str">
        <f>VLOOKUP(F706,数据集标准分类!A:D,4,0)</f>
        <v>手术麻醉记录</v>
      </c>
      <c r="E706" s="183" t="str">
        <f>VLOOKUP(F706,数据集标准分类!A:C,3,0)</f>
        <v>020604</v>
      </c>
      <c r="F706" s="170" t="s">
        <v>1790</v>
      </c>
      <c r="G706" s="183" t="str">
        <f>VLOOKUP(F706,数据集标准分类!A:B,2,0)</f>
        <v>cs_record</v>
      </c>
      <c r="H706" s="294">
        <f>VLOOKUP(F706,数据集标准分类!A:H,8,0)</f>
        <v>30</v>
      </c>
      <c r="I706" s="170" t="s">
        <v>1999</v>
      </c>
      <c r="J706" s="170" t="s">
        <v>2000</v>
      </c>
      <c r="K706" s="170" t="s">
        <v>2001</v>
      </c>
      <c r="L706" s="170" t="s">
        <v>2002</v>
      </c>
      <c r="M706" s="170" t="s">
        <v>2003</v>
      </c>
      <c r="N706" s="294">
        <v>58</v>
      </c>
      <c r="O706" s="170"/>
    </row>
    <row r="707" ht="15.75" customHeight="1" spans="1:15">
      <c r="A707" s="183" t="str">
        <f>VLOOKUP(F707,数据集标准分类!A:G,7,0)</f>
        <v>02</v>
      </c>
      <c r="B707" s="183" t="str">
        <f>VLOOKUP(F707,数据集标准分类!A:F,6,0)</f>
        <v>电子病历</v>
      </c>
      <c r="C707" s="183" t="str">
        <f>VLOOKUP(F707,数据集标准分类!A:E,5,0)</f>
        <v>0206</v>
      </c>
      <c r="D707" s="183" t="str">
        <f>VLOOKUP(F707,数据集标准分类!A:D,4,0)</f>
        <v>手术麻醉记录</v>
      </c>
      <c r="E707" s="183" t="str">
        <f>VLOOKUP(F707,数据集标准分类!A:C,3,0)</f>
        <v>020604</v>
      </c>
      <c r="F707" s="170" t="s">
        <v>1790</v>
      </c>
      <c r="G707" s="183" t="str">
        <f>VLOOKUP(F707,数据集标准分类!A:B,2,0)</f>
        <v>cs_record</v>
      </c>
      <c r="H707" s="294">
        <f>VLOOKUP(F707,数据集标准分类!A:H,8,0)</f>
        <v>30</v>
      </c>
      <c r="I707" s="170" t="s">
        <v>2004</v>
      </c>
      <c r="J707" s="170" t="s">
        <v>2005</v>
      </c>
      <c r="K707" s="170" t="s">
        <v>2006</v>
      </c>
      <c r="L707" s="170" t="s">
        <v>2007</v>
      </c>
      <c r="M707" s="170" t="s">
        <v>2008</v>
      </c>
      <c r="N707" s="294">
        <v>59</v>
      </c>
      <c r="O707" s="170"/>
    </row>
    <row r="708" ht="15.75" customHeight="1" spans="1:15">
      <c r="A708" s="183" t="str">
        <f>VLOOKUP(F708,数据集标准分类!A:G,7,0)</f>
        <v>02</v>
      </c>
      <c r="B708" s="183" t="str">
        <f>VLOOKUP(F708,数据集标准分类!A:F,6,0)</f>
        <v>电子病历</v>
      </c>
      <c r="C708" s="183" t="str">
        <f>VLOOKUP(F708,数据集标准分类!A:E,5,0)</f>
        <v>0206</v>
      </c>
      <c r="D708" s="183" t="str">
        <f>VLOOKUP(F708,数据集标准分类!A:D,4,0)</f>
        <v>手术麻醉记录</v>
      </c>
      <c r="E708" s="183" t="str">
        <f>VLOOKUP(F708,数据集标准分类!A:C,3,0)</f>
        <v>020605</v>
      </c>
      <c r="F708" s="170" t="s">
        <v>2009</v>
      </c>
      <c r="G708" s="183" t="str">
        <f>VLOOKUP(F708,数据集标准分类!A:B,2,0)</f>
        <v>anes_record</v>
      </c>
      <c r="H708" s="294">
        <f>VLOOKUP(F708,数据集标准分类!A:H,8,0)</f>
        <v>31</v>
      </c>
      <c r="I708" s="170" t="s">
        <v>711</v>
      </c>
      <c r="J708" s="170" t="s">
        <v>712</v>
      </c>
      <c r="K708" s="170" t="s">
        <v>712</v>
      </c>
      <c r="L708" s="170" t="s">
        <v>713</v>
      </c>
      <c r="M708" s="170" t="s">
        <v>714</v>
      </c>
      <c r="N708" s="294">
        <v>1</v>
      </c>
      <c r="O708" s="170"/>
    </row>
    <row r="709" ht="15.75" customHeight="1" spans="1:15">
      <c r="A709" s="183" t="str">
        <f>VLOOKUP(F709,数据集标准分类!A:G,7,0)</f>
        <v>02</v>
      </c>
      <c r="B709" s="183" t="str">
        <f>VLOOKUP(F709,数据集标准分类!A:F,6,0)</f>
        <v>电子病历</v>
      </c>
      <c r="C709" s="183" t="str">
        <f>VLOOKUP(F709,数据集标准分类!A:E,5,0)</f>
        <v>0206</v>
      </c>
      <c r="D709" s="183" t="str">
        <f>VLOOKUP(F709,数据集标准分类!A:D,4,0)</f>
        <v>手术麻醉记录</v>
      </c>
      <c r="E709" s="183" t="str">
        <f>VLOOKUP(F709,数据集标准分类!A:C,3,0)</f>
        <v>020605</v>
      </c>
      <c r="F709" s="170" t="s">
        <v>2009</v>
      </c>
      <c r="G709" s="183" t="str">
        <f>VLOOKUP(F709,数据集标准分类!A:B,2,0)</f>
        <v>anes_record</v>
      </c>
      <c r="H709" s="294">
        <f>VLOOKUP(F709,数据集标准分类!A:H,8,0)</f>
        <v>31</v>
      </c>
      <c r="I709" s="170" t="s">
        <v>77</v>
      </c>
      <c r="J709" s="170" t="s">
        <v>78</v>
      </c>
      <c r="K709" s="170" t="s">
        <v>79</v>
      </c>
      <c r="L709" s="170" t="s">
        <v>80</v>
      </c>
      <c r="M709" s="170" t="s">
        <v>310</v>
      </c>
      <c r="N709" s="294">
        <v>2</v>
      </c>
      <c r="O709" s="170"/>
    </row>
    <row r="710" ht="15.75" customHeight="1" spans="1:15">
      <c r="A710" s="183" t="str">
        <f>VLOOKUP(F710,数据集标准分类!A:G,7,0)</f>
        <v>02</v>
      </c>
      <c r="B710" s="183" t="str">
        <f>VLOOKUP(F710,数据集标准分类!A:F,6,0)</f>
        <v>电子病历</v>
      </c>
      <c r="C710" s="183" t="str">
        <f>VLOOKUP(F710,数据集标准分类!A:E,5,0)</f>
        <v>0206</v>
      </c>
      <c r="D710" s="183" t="str">
        <f>VLOOKUP(F710,数据集标准分类!A:D,4,0)</f>
        <v>手术麻醉记录</v>
      </c>
      <c r="E710" s="183" t="str">
        <f>VLOOKUP(F710,数据集标准分类!A:C,3,0)</f>
        <v>020605</v>
      </c>
      <c r="F710" s="170" t="s">
        <v>2009</v>
      </c>
      <c r="G710" s="183" t="str">
        <f>VLOOKUP(F710,数据集标准分类!A:B,2,0)</f>
        <v>anes_record</v>
      </c>
      <c r="H710" s="294">
        <f>VLOOKUP(F710,数据集标准分类!A:H,8,0)</f>
        <v>31</v>
      </c>
      <c r="I710" s="170" t="s">
        <v>82</v>
      </c>
      <c r="J710" s="170" t="s">
        <v>83</v>
      </c>
      <c r="K710" s="170" t="s">
        <v>84</v>
      </c>
      <c r="L710" s="170" t="s">
        <v>85</v>
      </c>
      <c r="M710" s="170" t="s">
        <v>311</v>
      </c>
      <c r="N710" s="294">
        <v>3</v>
      </c>
      <c r="O710" s="170"/>
    </row>
    <row r="711" ht="15.75" customHeight="1" spans="1:15">
      <c r="A711" s="183" t="str">
        <f>VLOOKUP(F711,数据集标准分类!A:G,7,0)</f>
        <v>02</v>
      </c>
      <c r="B711" s="183" t="str">
        <f>VLOOKUP(F711,数据集标准分类!A:F,6,0)</f>
        <v>电子病历</v>
      </c>
      <c r="C711" s="183" t="str">
        <f>VLOOKUP(F711,数据集标准分类!A:E,5,0)</f>
        <v>0206</v>
      </c>
      <c r="D711" s="183" t="str">
        <f>VLOOKUP(F711,数据集标准分类!A:D,4,0)</f>
        <v>手术麻醉记录</v>
      </c>
      <c r="E711" s="183" t="str">
        <f>VLOOKUP(F711,数据集标准分类!A:C,3,0)</f>
        <v>020605</v>
      </c>
      <c r="F711" s="170" t="s">
        <v>2009</v>
      </c>
      <c r="G711" s="183" t="str">
        <f>VLOOKUP(F711,数据集标准分类!A:B,2,0)</f>
        <v>anes_record</v>
      </c>
      <c r="H711" s="294">
        <f>VLOOKUP(F711,数据集标准分类!A:H,8,0)</f>
        <v>31</v>
      </c>
      <c r="I711" s="170" t="s">
        <v>1583</v>
      </c>
      <c r="J711" s="170" t="s">
        <v>1584</v>
      </c>
      <c r="K711" s="170" t="s">
        <v>1585</v>
      </c>
      <c r="L711" s="170" t="s">
        <v>1586</v>
      </c>
      <c r="M711" s="170" t="s">
        <v>1587</v>
      </c>
      <c r="N711" s="294">
        <v>4</v>
      </c>
      <c r="O711" s="170"/>
    </row>
    <row r="712" ht="15.75" customHeight="1" spans="1:15">
      <c r="A712" s="183" t="str">
        <f>VLOOKUP(F712,数据集标准分类!A:G,7,0)</f>
        <v>02</v>
      </c>
      <c r="B712" s="183" t="str">
        <f>VLOOKUP(F712,数据集标准分类!A:F,6,0)</f>
        <v>电子病历</v>
      </c>
      <c r="C712" s="183" t="str">
        <f>VLOOKUP(F712,数据集标准分类!A:E,5,0)</f>
        <v>0206</v>
      </c>
      <c r="D712" s="183" t="str">
        <f>VLOOKUP(F712,数据集标准分类!A:D,4,0)</f>
        <v>手术麻醉记录</v>
      </c>
      <c r="E712" s="183" t="str">
        <f>VLOOKUP(F712,数据集标准分类!A:C,3,0)</f>
        <v>020605</v>
      </c>
      <c r="F712" s="170" t="s">
        <v>2009</v>
      </c>
      <c r="G712" s="183" t="str">
        <f>VLOOKUP(F712,数据集标准分类!A:B,2,0)</f>
        <v>anes_record</v>
      </c>
      <c r="H712" s="294">
        <f>VLOOKUP(F712,数据集标准分类!A:H,8,0)</f>
        <v>31</v>
      </c>
      <c r="I712" s="170" t="s">
        <v>1588</v>
      </c>
      <c r="J712" s="170" t="s">
        <v>1589</v>
      </c>
      <c r="K712" s="170" t="s">
        <v>1590</v>
      </c>
      <c r="L712" s="170" t="s">
        <v>1591</v>
      </c>
      <c r="M712" s="170" t="s">
        <v>1445</v>
      </c>
      <c r="N712" s="294">
        <v>5</v>
      </c>
      <c r="O712" s="170"/>
    </row>
    <row r="713" ht="15.75" customHeight="1" spans="1:15">
      <c r="A713" s="183" t="str">
        <f>VLOOKUP(F713,数据集标准分类!A:G,7,0)</f>
        <v>02</v>
      </c>
      <c r="B713" s="183" t="str">
        <f>VLOOKUP(F713,数据集标准分类!A:F,6,0)</f>
        <v>电子病历</v>
      </c>
      <c r="C713" s="183" t="str">
        <f>VLOOKUP(F713,数据集标准分类!A:E,5,0)</f>
        <v>0206</v>
      </c>
      <c r="D713" s="183" t="str">
        <f>VLOOKUP(F713,数据集标准分类!A:D,4,0)</f>
        <v>手术麻醉记录</v>
      </c>
      <c r="E713" s="183" t="str">
        <f>VLOOKUP(F713,数据集标准分类!A:C,3,0)</f>
        <v>020605</v>
      </c>
      <c r="F713" s="170" t="s">
        <v>2009</v>
      </c>
      <c r="G713" s="183" t="str">
        <f>VLOOKUP(F713,数据集标准分类!A:B,2,0)</f>
        <v>anes_record</v>
      </c>
      <c r="H713" s="294">
        <f>VLOOKUP(F713,数据集标准分类!A:H,8,0)</f>
        <v>31</v>
      </c>
      <c r="I713" s="170" t="s">
        <v>192</v>
      </c>
      <c r="J713" s="170" t="s">
        <v>193</v>
      </c>
      <c r="K713" s="170" t="s">
        <v>194</v>
      </c>
      <c r="L713" s="170" t="s">
        <v>195</v>
      </c>
      <c r="M713" s="170" t="s">
        <v>385</v>
      </c>
      <c r="N713" s="294">
        <v>6</v>
      </c>
      <c r="O713" s="170"/>
    </row>
    <row r="714" ht="15.75" customHeight="1" spans="1:15">
      <c r="A714" s="183" t="str">
        <f>VLOOKUP(F714,数据集标准分类!A:G,7,0)</f>
        <v>02</v>
      </c>
      <c r="B714" s="183" t="str">
        <f>VLOOKUP(F714,数据集标准分类!A:F,6,0)</f>
        <v>电子病历</v>
      </c>
      <c r="C714" s="183" t="str">
        <f>VLOOKUP(F714,数据集标准分类!A:E,5,0)</f>
        <v>0206</v>
      </c>
      <c r="D714" s="183" t="str">
        <f>VLOOKUP(F714,数据集标准分类!A:D,4,0)</f>
        <v>手术麻醉记录</v>
      </c>
      <c r="E714" s="183" t="str">
        <f>VLOOKUP(F714,数据集标准分类!A:C,3,0)</f>
        <v>020605</v>
      </c>
      <c r="F714" s="170" t="s">
        <v>2009</v>
      </c>
      <c r="G714" s="183" t="str">
        <f>VLOOKUP(F714,数据集标准分类!A:B,2,0)</f>
        <v>anes_record</v>
      </c>
      <c r="H714" s="294">
        <f>VLOOKUP(F714,数据集标准分类!A:H,8,0)</f>
        <v>31</v>
      </c>
      <c r="I714" s="170" t="s">
        <v>1602</v>
      </c>
      <c r="J714" s="170" t="s">
        <v>1603</v>
      </c>
      <c r="K714" s="170" t="s">
        <v>1604</v>
      </c>
      <c r="L714" s="170" t="s">
        <v>1605</v>
      </c>
      <c r="M714" s="170" t="s">
        <v>1606</v>
      </c>
      <c r="N714" s="294">
        <v>7</v>
      </c>
      <c r="O714" s="170"/>
    </row>
    <row r="715" ht="15.75" customHeight="1" spans="1:15">
      <c r="A715" s="183" t="str">
        <f>VLOOKUP(F715,数据集标准分类!A:G,7,0)</f>
        <v>02</v>
      </c>
      <c r="B715" s="183" t="str">
        <f>VLOOKUP(F715,数据集标准分类!A:F,6,0)</f>
        <v>电子病历</v>
      </c>
      <c r="C715" s="183" t="str">
        <f>VLOOKUP(F715,数据集标准分类!A:E,5,0)</f>
        <v>0206</v>
      </c>
      <c r="D715" s="183" t="str">
        <f>VLOOKUP(F715,数据集标准分类!A:D,4,0)</f>
        <v>手术麻醉记录</v>
      </c>
      <c r="E715" s="183" t="str">
        <f>VLOOKUP(F715,数据集标准分类!A:C,3,0)</f>
        <v>020605</v>
      </c>
      <c r="F715" s="170" t="s">
        <v>2009</v>
      </c>
      <c r="G715" s="183" t="str">
        <f>VLOOKUP(F715,数据集标准分类!A:B,2,0)</f>
        <v>anes_record</v>
      </c>
      <c r="H715" s="294">
        <f>VLOOKUP(F715,数据集标准分类!A:H,8,0)</f>
        <v>31</v>
      </c>
      <c r="I715" s="170" t="s">
        <v>421</v>
      </c>
      <c r="J715" s="170" t="s">
        <v>422</v>
      </c>
      <c r="K715" s="170" t="s">
        <v>423</v>
      </c>
      <c r="L715" s="170" t="s">
        <v>424</v>
      </c>
      <c r="M715" s="170" t="s">
        <v>425</v>
      </c>
      <c r="N715" s="294">
        <v>8</v>
      </c>
      <c r="O715" s="170"/>
    </row>
    <row r="716" ht="15.75" customHeight="1" spans="1:15">
      <c r="A716" s="183" t="str">
        <f>VLOOKUP(F716,数据集标准分类!A:G,7,0)</f>
        <v>02</v>
      </c>
      <c r="B716" s="183" t="str">
        <f>VLOOKUP(F716,数据集标准分类!A:F,6,0)</f>
        <v>电子病历</v>
      </c>
      <c r="C716" s="183" t="str">
        <f>VLOOKUP(F716,数据集标准分类!A:E,5,0)</f>
        <v>0206</v>
      </c>
      <c r="D716" s="183" t="str">
        <f>VLOOKUP(F716,数据集标准分类!A:D,4,0)</f>
        <v>手术麻醉记录</v>
      </c>
      <c r="E716" s="183" t="str">
        <f>VLOOKUP(F716,数据集标准分类!A:C,3,0)</f>
        <v>020605</v>
      </c>
      <c r="F716" s="170" t="s">
        <v>2009</v>
      </c>
      <c r="G716" s="183" t="str">
        <f>VLOOKUP(F716,数据集标准分类!A:B,2,0)</f>
        <v>anes_record</v>
      </c>
      <c r="H716" s="294">
        <f>VLOOKUP(F716,数据集标准分类!A:H,8,0)</f>
        <v>31</v>
      </c>
      <c r="I716" s="170" t="s">
        <v>2010</v>
      </c>
      <c r="J716" s="170" t="s">
        <v>2011</v>
      </c>
      <c r="K716" s="170" t="s">
        <v>2012</v>
      </c>
      <c r="L716" s="170" t="s">
        <v>2013</v>
      </c>
      <c r="M716" s="170" t="s">
        <v>2014</v>
      </c>
      <c r="N716" s="294">
        <v>9</v>
      </c>
      <c r="O716" s="170"/>
    </row>
    <row r="717" ht="15.75" customHeight="1" spans="1:15">
      <c r="A717" s="183" t="str">
        <f>VLOOKUP(F717,数据集标准分类!A:G,7,0)</f>
        <v>02</v>
      </c>
      <c r="B717" s="183" t="str">
        <f>VLOOKUP(F717,数据集标准分类!A:F,6,0)</f>
        <v>电子病历</v>
      </c>
      <c r="C717" s="183" t="str">
        <f>VLOOKUP(F717,数据集标准分类!A:E,5,0)</f>
        <v>0206</v>
      </c>
      <c r="D717" s="183" t="str">
        <f>VLOOKUP(F717,数据集标准分类!A:D,4,0)</f>
        <v>手术麻醉记录</v>
      </c>
      <c r="E717" s="183" t="str">
        <f>VLOOKUP(F717,数据集标准分类!A:C,3,0)</f>
        <v>020605</v>
      </c>
      <c r="F717" s="170" t="s">
        <v>2009</v>
      </c>
      <c r="G717" s="183" t="str">
        <f>VLOOKUP(F717,数据集标准分类!A:B,2,0)</f>
        <v>anes_record</v>
      </c>
      <c r="H717" s="294">
        <f>VLOOKUP(F717,数据集标准分类!A:H,8,0)</f>
        <v>31</v>
      </c>
      <c r="I717" s="170" t="s">
        <v>2015</v>
      </c>
      <c r="J717" s="170" t="s">
        <v>2016</v>
      </c>
      <c r="K717" s="170" t="s">
        <v>2017</v>
      </c>
      <c r="L717" s="170" t="s">
        <v>2018</v>
      </c>
      <c r="M717" s="170" t="s">
        <v>2019</v>
      </c>
      <c r="N717" s="294">
        <v>10</v>
      </c>
      <c r="O717" s="170"/>
    </row>
    <row r="718" ht="15.75" customHeight="1" spans="1:15">
      <c r="A718" s="183" t="str">
        <f>VLOOKUP(F718,数据集标准分类!A:G,7,0)</f>
        <v>02</v>
      </c>
      <c r="B718" s="183" t="str">
        <f>VLOOKUP(F718,数据集标准分类!A:F,6,0)</f>
        <v>电子病历</v>
      </c>
      <c r="C718" s="183" t="str">
        <f>VLOOKUP(F718,数据集标准分类!A:E,5,0)</f>
        <v>0206</v>
      </c>
      <c r="D718" s="183" t="str">
        <f>VLOOKUP(F718,数据集标准分类!A:D,4,0)</f>
        <v>手术麻醉记录</v>
      </c>
      <c r="E718" s="183" t="str">
        <f>VLOOKUP(F718,数据集标准分类!A:C,3,0)</f>
        <v>020605</v>
      </c>
      <c r="F718" s="170" t="s">
        <v>2009</v>
      </c>
      <c r="G718" s="183" t="str">
        <f>VLOOKUP(F718,数据集标准分类!A:B,2,0)</f>
        <v>anes_record</v>
      </c>
      <c r="H718" s="294">
        <f>VLOOKUP(F718,数据集标准分类!A:H,8,0)</f>
        <v>31</v>
      </c>
      <c r="I718" s="170" t="s">
        <v>1816</v>
      </c>
      <c r="J718" s="170" t="s">
        <v>1817</v>
      </c>
      <c r="K718" s="170" t="s">
        <v>1818</v>
      </c>
      <c r="L718" s="170" t="s">
        <v>1819</v>
      </c>
      <c r="M718" s="170" t="s">
        <v>1820</v>
      </c>
      <c r="N718" s="294">
        <v>11</v>
      </c>
      <c r="O718" s="170"/>
    </row>
    <row r="719" ht="15.75" customHeight="1" spans="1:15">
      <c r="A719" s="183" t="str">
        <f>VLOOKUP(F719,数据集标准分类!A:G,7,0)</f>
        <v>02</v>
      </c>
      <c r="B719" s="183" t="str">
        <f>VLOOKUP(F719,数据集标准分类!A:F,6,0)</f>
        <v>电子病历</v>
      </c>
      <c r="C719" s="183" t="str">
        <f>VLOOKUP(F719,数据集标准分类!A:E,5,0)</f>
        <v>0206</v>
      </c>
      <c r="D719" s="183" t="str">
        <f>VLOOKUP(F719,数据集标准分类!A:D,4,0)</f>
        <v>手术麻醉记录</v>
      </c>
      <c r="E719" s="183" t="str">
        <f>VLOOKUP(F719,数据集标准分类!A:C,3,0)</f>
        <v>020605</v>
      </c>
      <c r="F719" s="170" t="s">
        <v>2009</v>
      </c>
      <c r="G719" s="183" t="str">
        <f>VLOOKUP(F719,数据集标准分类!A:B,2,0)</f>
        <v>anes_record</v>
      </c>
      <c r="H719" s="294">
        <f>VLOOKUP(F719,数据集标准分类!A:H,8,0)</f>
        <v>31</v>
      </c>
      <c r="I719" s="170" t="s">
        <v>2020</v>
      </c>
      <c r="J719" s="170" t="s">
        <v>2021</v>
      </c>
      <c r="K719" s="170" t="s">
        <v>2022</v>
      </c>
      <c r="L719" s="170" t="s">
        <v>2023</v>
      </c>
      <c r="M719" s="170" t="s">
        <v>2024</v>
      </c>
      <c r="N719" s="294">
        <v>12</v>
      </c>
      <c r="O719" s="170"/>
    </row>
    <row r="720" ht="15.75" customHeight="1" spans="1:15">
      <c r="A720" s="183" t="str">
        <f>VLOOKUP(F720,数据集标准分类!A:G,7,0)</f>
        <v>02</v>
      </c>
      <c r="B720" s="183" t="str">
        <f>VLOOKUP(F720,数据集标准分类!A:F,6,0)</f>
        <v>电子病历</v>
      </c>
      <c r="C720" s="183" t="str">
        <f>VLOOKUP(F720,数据集标准分类!A:E,5,0)</f>
        <v>0206</v>
      </c>
      <c r="D720" s="183" t="str">
        <f>VLOOKUP(F720,数据集标准分类!A:D,4,0)</f>
        <v>手术麻醉记录</v>
      </c>
      <c r="E720" s="183" t="str">
        <f>VLOOKUP(F720,数据集标准分类!A:C,3,0)</f>
        <v>020605</v>
      </c>
      <c r="F720" s="170" t="s">
        <v>2009</v>
      </c>
      <c r="G720" s="183" t="str">
        <f>VLOOKUP(F720,数据集标准分类!A:B,2,0)</f>
        <v>anes_record</v>
      </c>
      <c r="H720" s="294">
        <f>VLOOKUP(F720,数据集标准分类!A:H,8,0)</f>
        <v>31</v>
      </c>
      <c r="I720" s="170" t="s">
        <v>2025</v>
      </c>
      <c r="J720" s="170" t="s">
        <v>2026</v>
      </c>
      <c r="K720" s="170" t="s">
        <v>2027</v>
      </c>
      <c r="L720" s="170" t="s">
        <v>2028</v>
      </c>
      <c r="M720" s="170" t="s">
        <v>2029</v>
      </c>
      <c r="N720" s="294">
        <v>13</v>
      </c>
      <c r="O720" s="170"/>
    </row>
    <row r="721" ht="15.75" customHeight="1" spans="1:15">
      <c r="A721" s="183" t="str">
        <f>VLOOKUP(F721,数据集标准分类!A:G,7,0)</f>
        <v>02</v>
      </c>
      <c r="B721" s="183" t="str">
        <f>VLOOKUP(F721,数据集标准分类!A:F,6,0)</f>
        <v>电子病历</v>
      </c>
      <c r="C721" s="183" t="str">
        <f>VLOOKUP(F721,数据集标准分类!A:E,5,0)</f>
        <v>0206</v>
      </c>
      <c r="D721" s="183" t="str">
        <f>VLOOKUP(F721,数据集标准分类!A:D,4,0)</f>
        <v>手术麻醉记录</v>
      </c>
      <c r="E721" s="183" t="str">
        <f>VLOOKUP(F721,数据集标准分类!A:C,3,0)</f>
        <v>020605</v>
      </c>
      <c r="F721" s="170" t="s">
        <v>2009</v>
      </c>
      <c r="G721" s="183" t="str">
        <f>VLOOKUP(F721,数据集标准分类!A:B,2,0)</f>
        <v>anes_record</v>
      </c>
      <c r="H721" s="294">
        <f>VLOOKUP(F721,数据集标准分类!A:H,8,0)</f>
        <v>31</v>
      </c>
      <c r="I721" s="170" t="s">
        <v>2030</v>
      </c>
      <c r="J721" s="170" t="s">
        <v>2031</v>
      </c>
      <c r="K721" s="170" t="s">
        <v>2032</v>
      </c>
      <c r="L721" s="170" t="s">
        <v>2033</v>
      </c>
      <c r="M721" s="170" t="s">
        <v>2034</v>
      </c>
      <c r="N721" s="294">
        <v>14</v>
      </c>
      <c r="O721" s="170"/>
    </row>
    <row r="722" ht="15.75" customHeight="1" spans="1:15">
      <c r="A722" s="183" t="str">
        <f>VLOOKUP(F722,数据集标准分类!A:G,7,0)</f>
        <v>02</v>
      </c>
      <c r="B722" s="183" t="str">
        <f>VLOOKUP(F722,数据集标准分类!A:F,6,0)</f>
        <v>电子病历</v>
      </c>
      <c r="C722" s="183" t="str">
        <f>VLOOKUP(F722,数据集标准分类!A:E,5,0)</f>
        <v>0206</v>
      </c>
      <c r="D722" s="183" t="str">
        <f>VLOOKUP(F722,数据集标准分类!A:D,4,0)</f>
        <v>手术麻醉记录</v>
      </c>
      <c r="E722" s="183" t="str">
        <f>VLOOKUP(F722,数据集标准分类!A:C,3,0)</f>
        <v>020605</v>
      </c>
      <c r="F722" s="170" t="s">
        <v>2009</v>
      </c>
      <c r="G722" s="183" t="str">
        <f>VLOOKUP(F722,数据集标准分类!A:B,2,0)</f>
        <v>anes_record</v>
      </c>
      <c r="H722" s="294">
        <f>VLOOKUP(F722,数据集标准分类!A:H,8,0)</f>
        <v>31</v>
      </c>
      <c r="I722" s="170" t="s">
        <v>2035</v>
      </c>
      <c r="J722" s="170" t="s">
        <v>2036</v>
      </c>
      <c r="K722" s="170" t="s">
        <v>2037</v>
      </c>
      <c r="L722" s="170" t="s">
        <v>2038</v>
      </c>
      <c r="M722" s="170" t="s">
        <v>2039</v>
      </c>
      <c r="N722" s="294">
        <v>15</v>
      </c>
      <c r="O722" s="170"/>
    </row>
    <row r="723" ht="15.75" customHeight="1" spans="1:15">
      <c r="A723" s="183" t="str">
        <f>VLOOKUP(F723,数据集标准分类!A:G,7,0)</f>
        <v>02</v>
      </c>
      <c r="B723" s="183" t="str">
        <f>VLOOKUP(F723,数据集标准分类!A:F,6,0)</f>
        <v>电子病历</v>
      </c>
      <c r="C723" s="183" t="str">
        <f>VLOOKUP(F723,数据集标准分类!A:E,5,0)</f>
        <v>0206</v>
      </c>
      <c r="D723" s="183" t="str">
        <f>VLOOKUP(F723,数据集标准分类!A:D,4,0)</f>
        <v>手术麻醉记录</v>
      </c>
      <c r="E723" s="183" t="str">
        <f>VLOOKUP(F723,数据集标准分类!A:C,3,0)</f>
        <v>020605</v>
      </c>
      <c r="F723" s="170" t="s">
        <v>2009</v>
      </c>
      <c r="G723" s="183" t="str">
        <f>VLOOKUP(F723,数据集标准分类!A:B,2,0)</f>
        <v>anes_record</v>
      </c>
      <c r="H723" s="294">
        <f>VLOOKUP(F723,数据集标准分类!A:H,8,0)</f>
        <v>31</v>
      </c>
      <c r="I723" s="170" t="s">
        <v>2040</v>
      </c>
      <c r="J723" s="170" t="s">
        <v>2041</v>
      </c>
      <c r="K723" s="170" t="s">
        <v>2042</v>
      </c>
      <c r="L723" s="170" t="s">
        <v>2043</v>
      </c>
      <c r="M723" s="170" t="s">
        <v>2044</v>
      </c>
      <c r="N723" s="294">
        <v>16</v>
      </c>
      <c r="O723" s="170"/>
    </row>
    <row r="724" ht="15.75" customHeight="1" spans="1:15">
      <c r="A724" s="183" t="str">
        <f>VLOOKUP(F724,数据集标准分类!A:G,7,0)</f>
        <v>02</v>
      </c>
      <c r="B724" s="183" t="str">
        <f>VLOOKUP(F724,数据集标准分类!A:F,6,0)</f>
        <v>电子病历</v>
      </c>
      <c r="C724" s="183" t="str">
        <f>VLOOKUP(F724,数据集标准分类!A:E,5,0)</f>
        <v>0206</v>
      </c>
      <c r="D724" s="183" t="str">
        <f>VLOOKUP(F724,数据集标准分类!A:D,4,0)</f>
        <v>手术麻醉记录</v>
      </c>
      <c r="E724" s="183" t="str">
        <f>VLOOKUP(F724,数据集标准分类!A:C,3,0)</f>
        <v>020605</v>
      </c>
      <c r="F724" s="170" t="s">
        <v>2009</v>
      </c>
      <c r="G724" s="183" t="str">
        <f>VLOOKUP(F724,数据集标准分类!A:B,2,0)</f>
        <v>anes_record</v>
      </c>
      <c r="H724" s="294">
        <f>VLOOKUP(F724,数据集标准分类!A:H,8,0)</f>
        <v>31</v>
      </c>
      <c r="I724" s="170" t="s">
        <v>2045</v>
      </c>
      <c r="J724" s="170" t="s">
        <v>2046</v>
      </c>
      <c r="K724" s="170" t="s">
        <v>2047</v>
      </c>
      <c r="L724" s="170" t="s">
        <v>2048</v>
      </c>
      <c r="M724" s="170" t="s">
        <v>2049</v>
      </c>
      <c r="N724" s="294">
        <v>17</v>
      </c>
      <c r="O724" s="170"/>
    </row>
    <row r="725" ht="15.75" customHeight="1" spans="1:15">
      <c r="A725" s="183" t="str">
        <f>VLOOKUP(F725,数据集标准分类!A:G,7,0)</f>
        <v>02</v>
      </c>
      <c r="B725" s="183" t="str">
        <f>VLOOKUP(F725,数据集标准分类!A:F,6,0)</f>
        <v>电子病历</v>
      </c>
      <c r="C725" s="183" t="str">
        <f>VLOOKUP(F725,数据集标准分类!A:E,5,0)</f>
        <v>0206</v>
      </c>
      <c r="D725" s="183" t="str">
        <f>VLOOKUP(F725,数据集标准分类!A:D,4,0)</f>
        <v>手术麻醉记录</v>
      </c>
      <c r="E725" s="183" t="str">
        <f>VLOOKUP(F725,数据集标准分类!A:C,3,0)</f>
        <v>020605</v>
      </c>
      <c r="F725" s="170" t="s">
        <v>2009</v>
      </c>
      <c r="G725" s="183" t="str">
        <f>VLOOKUP(F725,数据集标准分类!A:B,2,0)</f>
        <v>anes_record</v>
      </c>
      <c r="H725" s="294">
        <f>VLOOKUP(F725,数据集标准分类!A:H,8,0)</f>
        <v>31</v>
      </c>
      <c r="I725" s="170" t="s">
        <v>2050</v>
      </c>
      <c r="J725" s="170" t="s">
        <v>2051</v>
      </c>
      <c r="K725" s="170" t="s">
        <v>2052</v>
      </c>
      <c r="L725" s="170" t="s">
        <v>2053</v>
      </c>
      <c r="M725" s="170" t="s">
        <v>2054</v>
      </c>
      <c r="N725" s="294">
        <v>18</v>
      </c>
      <c r="O725" s="170"/>
    </row>
    <row r="726" ht="15.75" customHeight="1" spans="1:15">
      <c r="A726" s="183" t="str">
        <f>VLOOKUP(F726,数据集标准分类!A:G,7,0)</f>
        <v>02</v>
      </c>
      <c r="B726" s="183" t="str">
        <f>VLOOKUP(F726,数据集标准分类!A:F,6,0)</f>
        <v>电子病历</v>
      </c>
      <c r="C726" s="183" t="str">
        <f>VLOOKUP(F726,数据集标准分类!A:E,5,0)</f>
        <v>0206</v>
      </c>
      <c r="D726" s="183" t="str">
        <f>VLOOKUP(F726,数据集标准分类!A:D,4,0)</f>
        <v>手术麻醉记录</v>
      </c>
      <c r="E726" s="183" t="str">
        <f>VLOOKUP(F726,数据集标准分类!A:C,3,0)</f>
        <v>020605</v>
      </c>
      <c r="F726" s="170" t="s">
        <v>2009</v>
      </c>
      <c r="G726" s="183" t="str">
        <f>VLOOKUP(F726,数据集标准分类!A:B,2,0)</f>
        <v>anes_record</v>
      </c>
      <c r="H726" s="294">
        <f>VLOOKUP(F726,数据集标准分类!A:H,8,0)</f>
        <v>31</v>
      </c>
      <c r="I726" s="170" t="s">
        <v>966</v>
      </c>
      <c r="J726" s="170" t="s">
        <v>967</v>
      </c>
      <c r="K726" s="170" t="s">
        <v>968</v>
      </c>
      <c r="L726" s="170" t="s">
        <v>969</v>
      </c>
      <c r="M726" s="170" t="s">
        <v>970</v>
      </c>
      <c r="N726" s="294">
        <v>19</v>
      </c>
      <c r="O726" s="170"/>
    </row>
    <row r="727" ht="15.75" customHeight="1" spans="1:15">
      <c r="A727" s="183" t="str">
        <f>VLOOKUP(F727,数据集标准分类!A:G,7,0)</f>
        <v>02</v>
      </c>
      <c r="B727" s="183" t="str">
        <f>VLOOKUP(F727,数据集标准分类!A:F,6,0)</f>
        <v>电子病历</v>
      </c>
      <c r="C727" s="183" t="str">
        <f>VLOOKUP(F727,数据集标准分类!A:E,5,0)</f>
        <v>0206</v>
      </c>
      <c r="D727" s="183" t="str">
        <f>VLOOKUP(F727,数据集标准分类!A:D,4,0)</f>
        <v>手术麻醉记录</v>
      </c>
      <c r="E727" s="183" t="str">
        <f>VLOOKUP(F727,数据集标准分类!A:C,3,0)</f>
        <v>020605</v>
      </c>
      <c r="F727" s="170" t="s">
        <v>2009</v>
      </c>
      <c r="G727" s="183" t="str">
        <f>VLOOKUP(F727,数据集标准分类!A:B,2,0)</f>
        <v>anes_record</v>
      </c>
      <c r="H727" s="294">
        <f>VLOOKUP(F727,数据集标准分类!A:H,8,0)</f>
        <v>31</v>
      </c>
      <c r="I727" s="170" t="s">
        <v>1435</v>
      </c>
      <c r="J727" s="170" t="s">
        <v>1436</v>
      </c>
      <c r="K727" s="170" t="s">
        <v>1437</v>
      </c>
      <c r="L727" s="170" t="s">
        <v>1438</v>
      </c>
      <c r="M727" s="170" t="s">
        <v>2055</v>
      </c>
      <c r="N727" s="294">
        <v>20</v>
      </c>
      <c r="O727" s="170"/>
    </row>
    <row r="728" ht="15.75" customHeight="1" spans="1:15">
      <c r="A728" s="183" t="str">
        <f>VLOOKUP(F728,数据集标准分类!A:G,7,0)</f>
        <v>02</v>
      </c>
      <c r="B728" s="183" t="str">
        <f>VLOOKUP(F728,数据集标准分类!A:F,6,0)</f>
        <v>电子病历</v>
      </c>
      <c r="C728" s="183" t="str">
        <f>VLOOKUP(F728,数据集标准分类!A:E,5,0)</f>
        <v>0206</v>
      </c>
      <c r="D728" s="183" t="str">
        <f>VLOOKUP(F728,数据集标准分类!A:D,4,0)</f>
        <v>手术麻醉记录</v>
      </c>
      <c r="E728" s="183" t="str">
        <f>VLOOKUP(F728,数据集标准分类!A:C,3,0)</f>
        <v>020605</v>
      </c>
      <c r="F728" s="170" t="s">
        <v>2009</v>
      </c>
      <c r="G728" s="183" t="str">
        <f>VLOOKUP(F728,数据集标准分类!A:B,2,0)</f>
        <v>anes_record</v>
      </c>
      <c r="H728" s="294">
        <f>VLOOKUP(F728,数据集标准分类!A:H,8,0)</f>
        <v>31</v>
      </c>
      <c r="I728" s="170" t="s">
        <v>699</v>
      </c>
      <c r="J728" s="170" t="s">
        <v>700</v>
      </c>
      <c r="K728" s="170" t="s">
        <v>700</v>
      </c>
      <c r="L728" s="170" t="s">
        <v>701</v>
      </c>
      <c r="M728" s="170" t="s">
        <v>702</v>
      </c>
      <c r="N728" s="294">
        <v>21</v>
      </c>
      <c r="O728" s="170"/>
    </row>
    <row r="729" ht="15.75" customHeight="1" spans="1:15">
      <c r="A729" s="183" t="str">
        <f>VLOOKUP(F729,数据集标准分类!A:G,7,0)</f>
        <v>02</v>
      </c>
      <c r="B729" s="183" t="str">
        <f>VLOOKUP(F729,数据集标准分类!A:F,6,0)</f>
        <v>电子病历</v>
      </c>
      <c r="C729" s="183" t="str">
        <f>VLOOKUP(F729,数据集标准分类!A:E,5,0)</f>
        <v>0206</v>
      </c>
      <c r="D729" s="183" t="str">
        <f>VLOOKUP(F729,数据集标准分类!A:D,4,0)</f>
        <v>手术麻醉记录</v>
      </c>
      <c r="E729" s="183" t="str">
        <f>VLOOKUP(F729,数据集标准分类!A:C,3,0)</f>
        <v>020605</v>
      </c>
      <c r="F729" s="170" t="s">
        <v>2009</v>
      </c>
      <c r="G729" s="183" t="str">
        <f>VLOOKUP(F729,数据集标准分类!A:B,2,0)</f>
        <v>anes_record</v>
      </c>
      <c r="H729" s="294">
        <f>VLOOKUP(F729,数据集标准分类!A:H,8,0)</f>
        <v>31</v>
      </c>
      <c r="I729" s="170" t="s">
        <v>703</v>
      </c>
      <c r="J729" s="170" t="s">
        <v>704</v>
      </c>
      <c r="K729" s="170" t="s">
        <v>704</v>
      </c>
      <c r="L729" s="170" t="s">
        <v>705</v>
      </c>
      <c r="M729" s="170" t="s">
        <v>706</v>
      </c>
      <c r="N729" s="294">
        <v>22</v>
      </c>
      <c r="O729" s="170"/>
    </row>
    <row r="730" ht="15.75" customHeight="1" spans="1:15">
      <c r="A730" s="183" t="str">
        <f>VLOOKUP(F730,数据集标准分类!A:G,7,0)</f>
        <v>02</v>
      </c>
      <c r="B730" s="183" t="str">
        <f>VLOOKUP(F730,数据集标准分类!A:F,6,0)</f>
        <v>电子病历</v>
      </c>
      <c r="C730" s="183" t="str">
        <f>VLOOKUP(F730,数据集标准分类!A:E,5,0)</f>
        <v>0206</v>
      </c>
      <c r="D730" s="183" t="str">
        <f>VLOOKUP(F730,数据集标准分类!A:D,4,0)</f>
        <v>手术麻醉记录</v>
      </c>
      <c r="E730" s="183" t="str">
        <f>VLOOKUP(F730,数据集标准分类!A:C,3,0)</f>
        <v>020605</v>
      </c>
      <c r="F730" s="170" t="s">
        <v>2009</v>
      </c>
      <c r="G730" s="183" t="str">
        <f>VLOOKUP(F730,数据集标准分类!A:B,2,0)</f>
        <v>anes_record</v>
      </c>
      <c r="H730" s="294">
        <f>VLOOKUP(F730,数据集标准分类!A:H,8,0)</f>
        <v>31</v>
      </c>
      <c r="I730" s="170" t="s">
        <v>684</v>
      </c>
      <c r="J730" s="170" t="s">
        <v>685</v>
      </c>
      <c r="K730" s="170" t="s">
        <v>686</v>
      </c>
      <c r="L730" s="170" t="s">
        <v>687</v>
      </c>
      <c r="M730" s="170" t="s">
        <v>688</v>
      </c>
      <c r="N730" s="294">
        <v>23</v>
      </c>
      <c r="O730" s="170"/>
    </row>
    <row r="731" ht="15.75" customHeight="1" spans="1:15">
      <c r="A731" s="183" t="str">
        <f>VLOOKUP(F731,数据集标准分类!A:G,7,0)</f>
        <v>02</v>
      </c>
      <c r="B731" s="183" t="str">
        <f>VLOOKUP(F731,数据集标准分类!A:F,6,0)</f>
        <v>电子病历</v>
      </c>
      <c r="C731" s="183" t="str">
        <f>VLOOKUP(F731,数据集标准分类!A:E,5,0)</f>
        <v>0206</v>
      </c>
      <c r="D731" s="183" t="str">
        <f>VLOOKUP(F731,数据集标准分类!A:D,4,0)</f>
        <v>手术麻醉记录</v>
      </c>
      <c r="E731" s="183" t="str">
        <f>VLOOKUP(F731,数据集标准分类!A:C,3,0)</f>
        <v>020605</v>
      </c>
      <c r="F731" s="170" t="s">
        <v>2009</v>
      </c>
      <c r="G731" s="183" t="str">
        <f>VLOOKUP(F731,数据集标准分类!A:B,2,0)</f>
        <v>anes_record</v>
      </c>
      <c r="H731" s="294">
        <f>VLOOKUP(F731,数据集标准分类!A:H,8,0)</f>
        <v>31</v>
      </c>
      <c r="I731" s="170" t="s">
        <v>1949</v>
      </c>
      <c r="J731" s="170" t="s">
        <v>1950</v>
      </c>
      <c r="K731" s="170" t="s">
        <v>1951</v>
      </c>
      <c r="L731" s="170" t="s">
        <v>1952</v>
      </c>
      <c r="M731" s="170" t="s">
        <v>2056</v>
      </c>
      <c r="N731" s="294">
        <v>24</v>
      </c>
      <c r="O731" s="170"/>
    </row>
    <row r="732" ht="15.75" customHeight="1" spans="1:15">
      <c r="A732" s="183" t="str">
        <f>VLOOKUP(F732,数据集标准分类!A:G,7,0)</f>
        <v>02</v>
      </c>
      <c r="B732" s="183" t="str">
        <f>VLOOKUP(F732,数据集标准分类!A:F,6,0)</f>
        <v>电子病历</v>
      </c>
      <c r="C732" s="183" t="str">
        <f>VLOOKUP(F732,数据集标准分类!A:E,5,0)</f>
        <v>0206</v>
      </c>
      <c r="D732" s="183" t="str">
        <f>VLOOKUP(F732,数据集标准分类!A:D,4,0)</f>
        <v>手术麻醉记录</v>
      </c>
      <c r="E732" s="183" t="str">
        <f>VLOOKUP(F732,数据集标准分类!A:C,3,0)</f>
        <v>020605</v>
      </c>
      <c r="F732" s="170" t="s">
        <v>2009</v>
      </c>
      <c r="G732" s="183" t="str">
        <f>VLOOKUP(F732,数据集标准分类!A:B,2,0)</f>
        <v>anes_record</v>
      </c>
      <c r="H732" s="294">
        <f>VLOOKUP(F732,数据集标准分类!A:H,8,0)</f>
        <v>31</v>
      </c>
      <c r="I732" s="170" t="s">
        <v>689</v>
      </c>
      <c r="J732" s="170" t="s">
        <v>690</v>
      </c>
      <c r="K732" s="170" t="s">
        <v>691</v>
      </c>
      <c r="L732" s="170" t="s">
        <v>692</v>
      </c>
      <c r="M732" s="170" t="s">
        <v>693</v>
      </c>
      <c r="N732" s="294">
        <v>25</v>
      </c>
      <c r="O732" s="170"/>
    </row>
    <row r="733" ht="15.75" customHeight="1" spans="1:15">
      <c r="A733" s="183" t="str">
        <f>VLOOKUP(F733,数据集标准分类!A:G,7,0)</f>
        <v>02</v>
      </c>
      <c r="B733" s="183" t="str">
        <f>VLOOKUP(F733,数据集标准分类!A:F,6,0)</f>
        <v>电子病历</v>
      </c>
      <c r="C733" s="183" t="str">
        <f>VLOOKUP(F733,数据集标准分类!A:E,5,0)</f>
        <v>0206</v>
      </c>
      <c r="D733" s="183" t="str">
        <f>VLOOKUP(F733,数据集标准分类!A:D,4,0)</f>
        <v>手术麻醉记录</v>
      </c>
      <c r="E733" s="183" t="str">
        <f>VLOOKUP(F733,数据集标准分类!A:C,3,0)</f>
        <v>020605</v>
      </c>
      <c r="F733" s="170" t="s">
        <v>2009</v>
      </c>
      <c r="G733" s="183" t="str">
        <f>VLOOKUP(F733,数据集标准分类!A:B,2,0)</f>
        <v>anes_record</v>
      </c>
      <c r="H733" s="294">
        <f>VLOOKUP(F733,数据集标准分类!A:H,8,0)</f>
        <v>31</v>
      </c>
      <c r="I733" s="170" t="s">
        <v>694</v>
      </c>
      <c r="J733" s="170" t="s">
        <v>695</v>
      </c>
      <c r="K733" s="170" t="s">
        <v>696</v>
      </c>
      <c r="L733" s="170" t="s">
        <v>697</v>
      </c>
      <c r="M733" s="170" t="s">
        <v>2057</v>
      </c>
      <c r="N733" s="294">
        <v>26</v>
      </c>
      <c r="O733" s="170"/>
    </row>
    <row r="734" ht="15.75" customHeight="1" spans="1:15">
      <c r="A734" s="183" t="str">
        <f>VLOOKUP(F734,数据集标准分类!A:G,7,0)</f>
        <v>02</v>
      </c>
      <c r="B734" s="183" t="str">
        <f>VLOOKUP(F734,数据集标准分类!A:F,6,0)</f>
        <v>电子病历</v>
      </c>
      <c r="C734" s="183" t="str">
        <f>VLOOKUP(F734,数据集标准分类!A:E,5,0)</f>
        <v>0206</v>
      </c>
      <c r="D734" s="183" t="str">
        <f>VLOOKUP(F734,数据集标准分类!A:D,4,0)</f>
        <v>手术麻醉记录</v>
      </c>
      <c r="E734" s="183" t="str">
        <f>VLOOKUP(F734,数据集标准分类!A:C,3,0)</f>
        <v>020605</v>
      </c>
      <c r="F734" s="170" t="s">
        <v>2009</v>
      </c>
      <c r="G734" s="183" t="str">
        <f>VLOOKUP(F734,数据集标准分类!A:B,2,0)</f>
        <v>anes_record</v>
      </c>
      <c r="H734" s="294">
        <f>VLOOKUP(F734,数据集标准分类!A:H,8,0)</f>
        <v>31</v>
      </c>
      <c r="I734" s="170" t="s">
        <v>2058</v>
      </c>
      <c r="J734" s="170" t="s">
        <v>2059</v>
      </c>
      <c r="K734" s="170" t="s">
        <v>2060</v>
      </c>
      <c r="L734" s="170" t="s">
        <v>2061</v>
      </c>
      <c r="M734" s="170" t="s">
        <v>2062</v>
      </c>
      <c r="N734" s="294">
        <v>27</v>
      </c>
      <c r="O734" s="170"/>
    </row>
    <row r="735" ht="15.75" customHeight="1" spans="1:15">
      <c r="A735" s="183" t="str">
        <f>VLOOKUP(F735,数据集标准分类!A:G,7,0)</f>
        <v>02</v>
      </c>
      <c r="B735" s="183" t="str">
        <f>VLOOKUP(F735,数据集标准分类!A:F,6,0)</f>
        <v>电子病历</v>
      </c>
      <c r="C735" s="183" t="str">
        <f>VLOOKUP(F735,数据集标准分类!A:E,5,0)</f>
        <v>0206</v>
      </c>
      <c r="D735" s="183" t="str">
        <f>VLOOKUP(F735,数据集标准分类!A:D,4,0)</f>
        <v>手术麻醉记录</v>
      </c>
      <c r="E735" s="183" t="str">
        <f>VLOOKUP(F735,数据集标准分类!A:C,3,0)</f>
        <v>020605</v>
      </c>
      <c r="F735" s="170" t="s">
        <v>2009</v>
      </c>
      <c r="G735" s="183" t="str">
        <f>VLOOKUP(F735,数据集标准分类!A:B,2,0)</f>
        <v>anes_record</v>
      </c>
      <c r="H735" s="294">
        <f>VLOOKUP(F735,数据集标准分类!A:H,8,0)</f>
        <v>31</v>
      </c>
      <c r="I735" s="170" t="s">
        <v>1682</v>
      </c>
      <c r="J735" s="170" t="s">
        <v>1683</v>
      </c>
      <c r="K735" s="170" t="s">
        <v>1684</v>
      </c>
      <c r="L735" s="170" t="s">
        <v>1685</v>
      </c>
      <c r="M735" s="170" t="s">
        <v>1821</v>
      </c>
      <c r="N735" s="294">
        <v>28</v>
      </c>
      <c r="O735" s="170"/>
    </row>
    <row r="736" ht="15.75" customHeight="1" spans="1:15">
      <c r="A736" s="183" t="str">
        <f>VLOOKUP(F736,数据集标准分类!A:G,7,0)</f>
        <v>02</v>
      </c>
      <c r="B736" s="183" t="str">
        <f>VLOOKUP(F736,数据集标准分类!A:F,6,0)</f>
        <v>电子病历</v>
      </c>
      <c r="C736" s="183" t="str">
        <f>VLOOKUP(F736,数据集标准分类!A:E,5,0)</f>
        <v>0206</v>
      </c>
      <c r="D736" s="183" t="str">
        <f>VLOOKUP(F736,数据集标准分类!A:D,4,0)</f>
        <v>手术麻醉记录</v>
      </c>
      <c r="E736" s="183" t="str">
        <f>VLOOKUP(F736,数据集标准分类!A:C,3,0)</f>
        <v>020605</v>
      </c>
      <c r="F736" s="170" t="s">
        <v>2009</v>
      </c>
      <c r="G736" s="183" t="str">
        <f>VLOOKUP(F736,数据集标准分类!A:B,2,0)</f>
        <v>anes_record</v>
      </c>
      <c r="H736" s="294">
        <f>VLOOKUP(F736,数据集标准分类!A:H,8,0)</f>
        <v>31</v>
      </c>
      <c r="I736" s="170" t="s">
        <v>2063</v>
      </c>
      <c r="J736" s="170" t="s">
        <v>2064</v>
      </c>
      <c r="K736" s="170" t="s">
        <v>2065</v>
      </c>
      <c r="L736" s="170" t="s">
        <v>2066</v>
      </c>
      <c r="M736" s="170" t="s">
        <v>2067</v>
      </c>
      <c r="N736" s="294">
        <v>29</v>
      </c>
      <c r="O736" s="170"/>
    </row>
    <row r="737" ht="15.75" customHeight="1" spans="1:15">
      <c r="A737" s="183" t="str">
        <f>VLOOKUP(F737,数据集标准分类!A:G,7,0)</f>
        <v>02</v>
      </c>
      <c r="B737" s="183" t="str">
        <f>VLOOKUP(F737,数据集标准分类!A:F,6,0)</f>
        <v>电子病历</v>
      </c>
      <c r="C737" s="183" t="str">
        <f>VLOOKUP(F737,数据集标准分类!A:E,5,0)</f>
        <v>0206</v>
      </c>
      <c r="D737" s="183" t="str">
        <f>VLOOKUP(F737,数据集标准分类!A:D,4,0)</f>
        <v>手术麻醉记录</v>
      </c>
      <c r="E737" s="183" t="str">
        <f>VLOOKUP(F737,数据集标准分类!A:C,3,0)</f>
        <v>020605</v>
      </c>
      <c r="F737" s="170" t="s">
        <v>2009</v>
      </c>
      <c r="G737" s="183" t="str">
        <f>VLOOKUP(F737,数据集标准分类!A:B,2,0)</f>
        <v>anes_record</v>
      </c>
      <c r="H737" s="294">
        <f>VLOOKUP(F737,数据集标准分类!A:H,8,0)</f>
        <v>31</v>
      </c>
      <c r="I737" s="170" t="s">
        <v>1592</v>
      </c>
      <c r="J737" s="170" t="s">
        <v>1593</v>
      </c>
      <c r="K737" s="170" t="s">
        <v>1594</v>
      </c>
      <c r="L737" s="170" t="s">
        <v>1595</v>
      </c>
      <c r="M737" s="170" t="s">
        <v>1596</v>
      </c>
      <c r="N737" s="294">
        <v>30</v>
      </c>
      <c r="O737" s="170"/>
    </row>
    <row r="738" ht="15.75" customHeight="1" spans="1:15">
      <c r="A738" s="183" t="str">
        <f>VLOOKUP(F738,数据集标准分类!A:G,7,0)</f>
        <v>02</v>
      </c>
      <c r="B738" s="183" t="str">
        <f>VLOOKUP(F738,数据集标准分类!A:F,6,0)</f>
        <v>电子病历</v>
      </c>
      <c r="C738" s="183" t="str">
        <f>VLOOKUP(F738,数据集标准分类!A:E,5,0)</f>
        <v>0206</v>
      </c>
      <c r="D738" s="183" t="str">
        <f>VLOOKUP(F738,数据集标准分类!A:D,4,0)</f>
        <v>手术麻醉记录</v>
      </c>
      <c r="E738" s="183" t="str">
        <f>VLOOKUP(F738,数据集标准分类!A:C,3,0)</f>
        <v>020605</v>
      </c>
      <c r="F738" s="170" t="s">
        <v>2009</v>
      </c>
      <c r="G738" s="183" t="str">
        <f>VLOOKUP(F738,数据集标准分类!A:B,2,0)</f>
        <v>anes_record</v>
      </c>
      <c r="H738" s="294">
        <f>VLOOKUP(F738,数据集标准分类!A:H,8,0)</f>
        <v>31</v>
      </c>
      <c r="I738" s="170" t="s">
        <v>1430</v>
      </c>
      <c r="J738" s="170" t="s">
        <v>1431</v>
      </c>
      <c r="K738" s="170" t="s">
        <v>1432</v>
      </c>
      <c r="L738" s="170" t="s">
        <v>1433</v>
      </c>
      <c r="M738" s="170" t="s">
        <v>2068</v>
      </c>
      <c r="N738" s="294">
        <v>31</v>
      </c>
      <c r="O738" s="170"/>
    </row>
    <row r="739" ht="15.75" customHeight="1" spans="1:15">
      <c r="A739" s="183" t="str">
        <f>VLOOKUP(F739,数据集标准分类!A:G,7,0)</f>
        <v>02</v>
      </c>
      <c r="B739" s="183" t="str">
        <f>VLOOKUP(F739,数据集标准分类!A:F,6,0)</f>
        <v>电子病历</v>
      </c>
      <c r="C739" s="183" t="str">
        <f>VLOOKUP(F739,数据集标准分类!A:E,5,0)</f>
        <v>0206</v>
      </c>
      <c r="D739" s="183" t="str">
        <f>VLOOKUP(F739,数据集标准分类!A:D,4,0)</f>
        <v>手术麻醉记录</v>
      </c>
      <c r="E739" s="183" t="str">
        <f>VLOOKUP(F739,数据集标准分类!A:C,3,0)</f>
        <v>020605</v>
      </c>
      <c r="F739" s="170" t="s">
        <v>2009</v>
      </c>
      <c r="G739" s="183" t="str">
        <f>VLOOKUP(F739,数据集标准分类!A:B,2,0)</f>
        <v>anes_record</v>
      </c>
      <c r="H739" s="294">
        <f>VLOOKUP(F739,数据集标准分类!A:H,8,0)</f>
        <v>31</v>
      </c>
      <c r="I739" s="170" t="s">
        <v>1597</v>
      </c>
      <c r="J739" s="170" t="s">
        <v>1598</v>
      </c>
      <c r="K739" s="170" t="s">
        <v>1599</v>
      </c>
      <c r="L739" s="170" t="s">
        <v>1600</v>
      </c>
      <c r="M739" s="170" t="s">
        <v>1601</v>
      </c>
      <c r="N739" s="294">
        <v>32</v>
      </c>
      <c r="O739" s="170"/>
    </row>
    <row r="740" ht="15.75" customHeight="1" spans="1:15">
      <c r="A740" s="183" t="str">
        <f>VLOOKUP(F740,数据集标准分类!A:G,7,0)</f>
        <v>02</v>
      </c>
      <c r="B740" s="183" t="str">
        <f>VLOOKUP(F740,数据集标准分类!A:F,6,0)</f>
        <v>电子病历</v>
      </c>
      <c r="C740" s="183" t="str">
        <f>VLOOKUP(F740,数据集标准分类!A:E,5,0)</f>
        <v>0206</v>
      </c>
      <c r="D740" s="183" t="str">
        <f>VLOOKUP(F740,数据集标准分类!A:D,4,0)</f>
        <v>手术麻醉记录</v>
      </c>
      <c r="E740" s="183" t="str">
        <f>VLOOKUP(F740,数据集标准分类!A:C,3,0)</f>
        <v>020605</v>
      </c>
      <c r="F740" s="170" t="s">
        <v>2009</v>
      </c>
      <c r="G740" s="183" t="str">
        <f>VLOOKUP(F740,数据集标准分类!A:B,2,0)</f>
        <v>anes_record</v>
      </c>
      <c r="H740" s="294">
        <f>VLOOKUP(F740,数据集标准分类!A:H,8,0)</f>
        <v>31</v>
      </c>
      <c r="I740" s="170" t="s">
        <v>2069</v>
      </c>
      <c r="J740" s="170" t="s">
        <v>2070</v>
      </c>
      <c r="K740" s="170" t="s">
        <v>2071</v>
      </c>
      <c r="L740" s="170" t="s">
        <v>2072</v>
      </c>
      <c r="M740" s="170" t="s">
        <v>2073</v>
      </c>
      <c r="N740" s="294">
        <v>33</v>
      </c>
      <c r="O740" s="170"/>
    </row>
    <row r="741" ht="15.75" customHeight="1" spans="1:15">
      <c r="A741" s="183" t="str">
        <f>VLOOKUP(F741,数据集标准分类!A:G,7,0)</f>
        <v>02</v>
      </c>
      <c r="B741" s="183" t="str">
        <f>VLOOKUP(F741,数据集标准分类!A:F,6,0)</f>
        <v>电子病历</v>
      </c>
      <c r="C741" s="183" t="str">
        <f>VLOOKUP(F741,数据集标准分类!A:E,5,0)</f>
        <v>0206</v>
      </c>
      <c r="D741" s="183" t="str">
        <f>VLOOKUP(F741,数据集标准分类!A:D,4,0)</f>
        <v>手术麻醉记录</v>
      </c>
      <c r="E741" s="183" t="str">
        <f>VLOOKUP(F741,数据集标准分类!A:C,3,0)</f>
        <v>020605</v>
      </c>
      <c r="F741" s="170" t="s">
        <v>2009</v>
      </c>
      <c r="G741" s="183" t="str">
        <f>VLOOKUP(F741,数据集标准分类!A:B,2,0)</f>
        <v>anes_record</v>
      </c>
      <c r="H741" s="294">
        <f>VLOOKUP(F741,数据集标准分类!A:H,8,0)</f>
        <v>31</v>
      </c>
      <c r="I741" s="170" t="s">
        <v>197</v>
      </c>
      <c r="J741" s="170" t="s">
        <v>198</v>
      </c>
      <c r="K741" s="170" t="s">
        <v>2074</v>
      </c>
      <c r="L741" s="170" t="s">
        <v>199</v>
      </c>
      <c r="M741" s="170" t="s">
        <v>2019</v>
      </c>
      <c r="N741" s="294">
        <v>34</v>
      </c>
      <c r="O741" s="170"/>
    </row>
    <row r="742" ht="15.75" customHeight="1" spans="1:15">
      <c r="A742" s="183" t="str">
        <f>VLOOKUP(F742,数据集标准分类!A:G,7,0)</f>
        <v>02</v>
      </c>
      <c r="B742" s="183" t="str">
        <f>VLOOKUP(F742,数据集标准分类!A:F,6,0)</f>
        <v>电子病历</v>
      </c>
      <c r="C742" s="183" t="str">
        <f>VLOOKUP(F742,数据集标准分类!A:E,5,0)</f>
        <v>0206</v>
      </c>
      <c r="D742" s="183" t="str">
        <f>VLOOKUP(F742,数据集标准分类!A:D,4,0)</f>
        <v>手术麻醉记录</v>
      </c>
      <c r="E742" s="183" t="str">
        <f>VLOOKUP(F742,数据集标准分类!A:C,3,0)</f>
        <v>020605</v>
      </c>
      <c r="F742" s="170" t="s">
        <v>2009</v>
      </c>
      <c r="G742" s="183" t="str">
        <f>VLOOKUP(F742,数据集标准分类!A:B,2,0)</f>
        <v>anes_record</v>
      </c>
      <c r="H742" s="294">
        <f>VLOOKUP(F742,数据集标准分类!A:H,8,0)</f>
        <v>31</v>
      </c>
      <c r="I742" s="170" t="s">
        <v>201</v>
      </c>
      <c r="J742" s="170" t="s">
        <v>202</v>
      </c>
      <c r="K742" s="170" t="s">
        <v>203</v>
      </c>
      <c r="L742" s="170" t="s">
        <v>204</v>
      </c>
      <c r="M742" s="170" t="s">
        <v>2075</v>
      </c>
      <c r="N742" s="294">
        <v>35</v>
      </c>
      <c r="O742" s="170"/>
    </row>
    <row r="743" ht="15.75" customHeight="1" spans="1:15">
      <c r="A743" s="183" t="str">
        <f>VLOOKUP(F743,数据集标准分类!A:G,7,0)</f>
        <v>02</v>
      </c>
      <c r="B743" s="183" t="str">
        <f>VLOOKUP(F743,数据集标准分类!A:F,6,0)</f>
        <v>电子病历</v>
      </c>
      <c r="C743" s="183" t="str">
        <f>VLOOKUP(F743,数据集标准分类!A:E,5,0)</f>
        <v>0206</v>
      </c>
      <c r="D743" s="183" t="str">
        <f>VLOOKUP(F743,数据集标准分类!A:D,4,0)</f>
        <v>手术麻醉记录</v>
      </c>
      <c r="E743" s="183" t="str">
        <f>VLOOKUP(F743,数据集标准分类!A:C,3,0)</f>
        <v>020605</v>
      </c>
      <c r="F743" s="170" t="s">
        <v>2009</v>
      </c>
      <c r="G743" s="183" t="str">
        <f>VLOOKUP(F743,数据集标准分类!A:B,2,0)</f>
        <v>anes_record</v>
      </c>
      <c r="H743" s="294">
        <f>VLOOKUP(F743,数据集标准分类!A:H,8,0)</f>
        <v>31</v>
      </c>
      <c r="I743" s="170" t="s">
        <v>2076</v>
      </c>
      <c r="J743" s="170" t="s">
        <v>2077</v>
      </c>
      <c r="K743" s="170" t="s">
        <v>2078</v>
      </c>
      <c r="L743" s="170" t="s">
        <v>2079</v>
      </c>
      <c r="M743" s="170" t="s">
        <v>2080</v>
      </c>
      <c r="N743" s="294">
        <v>36</v>
      </c>
      <c r="O743" s="170"/>
    </row>
    <row r="744" ht="15.75" customHeight="1" spans="1:15">
      <c r="A744" s="183" t="str">
        <f>VLOOKUP(F744,数据集标准分类!A:G,7,0)</f>
        <v>02</v>
      </c>
      <c r="B744" s="183" t="str">
        <f>VLOOKUP(F744,数据集标准分类!A:F,6,0)</f>
        <v>电子病历</v>
      </c>
      <c r="C744" s="183" t="str">
        <f>VLOOKUP(F744,数据集标准分类!A:E,5,0)</f>
        <v>0206</v>
      </c>
      <c r="D744" s="183" t="str">
        <f>VLOOKUP(F744,数据集标准分类!A:D,4,0)</f>
        <v>手术麻醉记录</v>
      </c>
      <c r="E744" s="183" t="str">
        <f>VLOOKUP(F744,数据集标准分类!A:C,3,0)</f>
        <v>020605</v>
      </c>
      <c r="F744" s="170" t="s">
        <v>2009</v>
      </c>
      <c r="G744" s="183" t="str">
        <f>VLOOKUP(F744,数据集标准分类!A:B,2,0)</f>
        <v>anes_record</v>
      </c>
      <c r="H744" s="294">
        <f>VLOOKUP(F744,数据集标准分类!A:H,8,0)</f>
        <v>31</v>
      </c>
      <c r="I744" s="170" t="s">
        <v>2081</v>
      </c>
      <c r="J744" s="170" t="s">
        <v>2082</v>
      </c>
      <c r="K744" s="170" t="s">
        <v>2083</v>
      </c>
      <c r="L744" s="170" t="s">
        <v>2084</v>
      </c>
      <c r="M744" s="170" t="s">
        <v>2085</v>
      </c>
      <c r="N744" s="294">
        <v>37</v>
      </c>
      <c r="O744" s="170"/>
    </row>
    <row r="745" ht="15.75" customHeight="1" spans="1:15">
      <c r="A745" s="183" t="str">
        <f>VLOOKUP(F745,数据集标准分类!A:G,7,0)</f>
        <v>02</v>
      </c>
      <c r="B745" s="183" t="str">
        <f>VLOOKUP(F745,数据集标准分类!A:F,6,0)</f>
        <v>电子病历</v>
      </c>
      <c r="C745" s="183" t="str">
        <f>VLOOKUP(F745,数据集标准分类!A:E,5,0)</f>
        <v>0206</v>
      </c>
      <c r="D745" s="183" t="str">
        <f>VLOOKUP(F745,数据集标准分类!A:D,4,0)</f>
        <v>手术麻醉记录</v>
      </c>
      <c r="E745" s="183" t="str">
        <f>VLOOKUP(F745,数据集标准分类!A:C,3,0)</f>
        <v>020605</v>
      </c>
      <c r="F745" s="170" t="s">
        <v>2009</v>
      </c>
      <c r="G745" s="183" t="str">
        <f>VLOOKUP(F745,数据集标准分类!A:B,2,0)</f>
        <v>anes_record</v>
      </c>
      <c r="H745" s="294">
        <f>VLOOKUP(F745,数据集标准分类!A:H,8,0)</f>
        <v>31</v>
      </c>
      <c r="I745" s="170" t="s">
        <v>2086</v>
      </c>
      <c r="J745" s="170" t="s">
        <v>2087</v>
      </c>
      <c r="K745" s="170" t="s">
        <v>2088</v>
      </c>
      <c r="L745" s="170" t="s">
        <v>2089</v>
      </c>
      <c r="M745" s="170" t="s">
        <v>2090</v>
      </c>
      <c r="N745" s="294">
        <v>38</v>
      </c>
      <c r="O745" s="170"/>
    </row>
    <row r="746" ht="15.75" customHeight="1" spans="1:15">
      <c r="A746" s="183" t="str">
        <f>VLOOKUP(F746,数据集标准分类!A:G,7,0)</f>
        <v>02</v>
      </c>
      <c r="B746" s="183" t="str">
        <f>VLOOKUP(F746,数据集标准分类!A:F,6,0)</f>
        <v>电子病历</v>
      </c>
      <c r="C746" s="183" t="str">
        <f>VLOOKUP(F746,数据集标准分类!A:E,5,0)</f>
        <v>0206</v>
      </c>
      <c r="D746" s="183" t="str">
        <f>VLOOKUP(F746,数据集标准分类!A:D,4,0)</f>
        <v>手术麻醉记录</v>
      </c>
      <c r="E746" s="183" t="str">
        <f>VLOOKUP(F746,数据集标准分类!A:C,3,0)</f>
        <v>020605</v>
      </c>
      <c r="F746" s="170" t="s">
        <v>2009</v>
      </c>
      <c r="G746" s="183" t="str">
        <f>VLOOKUP(F746,数据集标准分类!A:B,2,0)</f>
        <v>anes_record</v>
      </c>
      <c r="H746" s="294">
        <f>VLOOKUP(F746,数据集标准分类!A:H,8,0)</f>
        <v>31</v>
      </c>
      <c r="I746" s="170" t="s">
        <v>2091</v>
      </c>
      <c r="J746" s="170" t="s">
        <v>2092</v>
      </c>
      <c r="K746" s="170" t="s">
        <v>2093</v>
      </c>
      <c r="L746" s="170" t="s">
        <v>2094</v>
      </c>
      <c r="M746" s="170" t="s">
        <v>2095</v>
      </c>
      <c r="N746" s="294">
        <v>39</v>
      </c>
      <c r="O746" s="170"/>
    </row>
    <row r="747" ht="15.75" customHeight="1" spans="1:15">
      <c r="A747" s="183" t="str">
        <f>VLOOKUP(F747,数据集标准分类!A:G,7,0)</f>
        <v>02</v>
      </c>
      <c r="B747" s="183" t="str">
        <f>VLOOKUP(F747,数据集标准分类!A:F,6,0)</f>
        <v>电子病历</v>
      </c>
      <c r="C747" s="183" t="str">
        <f>VLOOKUP(F747,数据集标准分类!A:E,5,0)</f>
        <v>0206</v>
      </c>
      <c r="D747" s="183" t="str">
        <f>VLOOKUP(F747,数据集标准分类!A:D,4,0)</f>
        <v>手术麻醉记录</v>
      </c>
      <c r="E747" s="183" t="str">
        <f>VLOOKUP(F747,数据集标准分类!A:C,3,0)</f>
        <v>020605</v>
      </c>
      <c r="F747" s="170" t="s">
        <v>2009</v>
      </c>
      <c r="G747" s="183" t="str">
        <f>VLOOKUP(F747,数据集标准分类!A:B,2,0)</f>
        <v>anes_record</v>
      </c>
      <c r="H747" s="294">
        <f>VLOOKUP(F747,数据集标准分类!A:H,8,0)</f>
        <v>31</v>
      </c>
      <c r="I747" s="170" t="s">
        <v>2096</v>
      </c>
      <c r="J747" s="170" t="s">
        <v>2097</v>
      </c>
      <c r="K747" s="170" t="s">
        <v>2098</v>
      </c>
      <c r="L747" s="170" t="s">
        <v>2099</v>
      </c>
      <c r="M747" s="170" t="s">
        <v>2100</v>
      </c>
      <c r="N747" s="294">
        <v>40</v>
      </c>
      <c r="O747" s="170"/>
    </row>
    <row r="748" ht="15.75" customHeight="1" spans="1:15">
      <c r="A748" s="183" t="str">
        <f>VLOOKUP(F748,数据集标准分类!A:G,7,0)</f>
        <v>02</v>
      </c>
      <c r="B748" s="183" t="str">
        <f>VLOOKUP(F748,数据集标准分类!A:F,6,0)</f>
        <v>电子病历</v>
      </c>
      <c r="C748" s="183" t="str">
        <f>VLOOKUP(F748,数据集标准分类!A:E,5,0)</f>
        <v>0206</v>
      </c>
      <c r="D748" s="183" t="str">
        <f>VLOOKUP(F748,数据集标准分类!A:D,4,0)</f>
        <v>手术麻醉记录</v>
      </c>
      <c r="E748" s="183" t="str">
        <f>VLOOKUP(F748,数据集标准分类!A:C,3,0)</f>
        <v>020605</v>
      </c>
      <c r="F748" s="170" t="s">
        <v>2009</v>
      </c>
      <c r="G748" s="183" t="str">
        <f>VLOOKUP(F748,数据集标准分类!A:B,2,0)</f>
        <v>anes_record</v>
      </c>
      <c r="H748" s="294">
        <f>VLOOKUP(F748,数据集标准分类!A:H,8,0)</f>
        <v>31</v>
      </c>
      <c r="I748" s="170" t="s">
        <v>1384</v>
      </c>
      <c r="J748" s="170" t="s">
        <v>1385</v>
      </c>
      <c r="K748" s="170" t="s">
        <v>1386</v>
      </c>
      <c r="L748" s="170" t="s">
        <v>1387</v>
      </c>
      <c r="M748" s="170" t="s">
        <v>1388</v>
      </c>
      <c r="N748" s="294">
        <v>41</v>
      </c>
      <c r="O748" s="170"/>
    </row>
    <row r="749" ht="15.75" customHeight="1" spans="1:15">
      <c r="A749" s="183" t="str">
        <f>VLOOKUP(F749,数据集标准分类!A:G,7,0)</f>
        <v>02</v>
      </c>
      <c r="B749" s="183" t="str">
        <f>VLOOKUP(F749,数据集标准分类!A:F,6,0)</f>
        <v>电子病历</v>
      </c>
      <c r="C749" s="183" t="str">
        <f>VLOOKUP(F749,数据集标准分类!A:E,5,0)</f>
        <v>0206</v>
      </c>
      <c r="D749" s="183" t="str">
        <f>VLOOKUP(F749,数据集标准分类!A:D,4,0)</f>
        <v>手术麻醉记录</v>
      </c>
      <c r="E749" s="183" t="str">
        <f>VLOOKUP(F749,数据集标准分类!A:C,3,0)</f>
        <v>020605</v>
      </c>
      <c r="F749" s="170" t="s">
        <v>2009</v>
      </c>
      <c r="G749" s="183" t="str">
        <f>VLOOKUP(F749,数据集标准分类!A:B,2,0)</f>
        <v>anes_record</v>
      </c>
      <c r="H749" s="294">
        <f>VLOOKUP(F749,数据集标准分类!A:H,8,0)</f>
        <v>31</v>
      </c>
      <c r="I749" s="170" t="s">
        <v>1349</v>
      </c>
      <c r="J749" s="170" t="s">
        <v>1350</v>
      </c>
      <c r="K749" s="170" t="s">
        <v>1351</v>
      </c>
      <c r="L749" s="170" t="s">
        <v>1352</v>
      </c>
      <c r="M749" s="170" t="s">
        <v>1353</v>
      </c>
      <c r="N749" s="294">
        <v>42</v>
      </c>
      <c r="O749" s="170"/>
    </row>
    <row r="750" ht="15.75" customHeight="1" spans="1:15">
      <c r="A750" s="183" t="str">
        <f>VLOOKUP(F750,数据集标准分类!A:G,7,0)</f>
        <v>02</v>
      </c>
      <c r="B750" s="183" t="str">
        <f>VLOOKUP(F750,数据集标准分类!A:F,6,0)</f>
        <v>电子病历</v>
      </c>
      <c r="C750" s="183" t="str">
        <f>VLOOKUP(F750,数据集标准分类!A:E,5,0)</f>
        <v>0206</v>
      </c>
      <c r="D750" s="183" t="str">
        <f>VLOOKUP(F750,数据集标准分类!A:D,4,0)</f>
        <v>手术麻醉记录</v>
      </c>
      <c r="E750" s="183" t="str">
        <f>VLOOKUP(F750,数据集标准分类!A:C,3,0)</f>
        <v>020605</v>
      </c>
      <c r="F750" s="170" t="s">
        <v>2009</v>
      </c>
      <c r="G750" s="183" t="str">
        <f>VLOOKUP(F750,数据集标准分类!A:B,2,0)</f>
        <v>anes_record</v>
      </c>
      <c r="H750" s="294">
        <f>VLOOKUP(F750,数据集标准分类!A:H,8,0)</f>
        <v>31</v>
      </c>
      <c r="I750" s="170" t="s">
        <v>1359</v>
      </c>
      <c r="J750" s="170" t="s">
        <v>1360</v>
      </c>
      <c r="K750" s="170" t="s">
        <v>1361</v>
      </c>
      <c r="L750" s="170" t="s">
        <v>1362</v>
      </c>
      <c r="M750" s="170" t="s">
        <v>1363</v>
      </c>
      <c r="N750" s="294">
        <v>43</v>
      </c>
      <c r="O750" s="170"/>
    </row>
    <row r="751" ht="15.75" customHeight="1" spans="1:15">
      <c r="A751" s="183" t="str">
        <f>VLOOKUP(F751,数据集标准分类!A:G,7,0)</f>
        <v>02</v>
      </c>
      <c r="B751" s="183" t="str">
        <f>VLOOKUP(F751,数据集标准分类!A:F,6,0)</f>
        <v>电子病历</v>
      </c>
      <c r="C751" s="183" t="str">
        <f>VLOOKUP(F751,数据集标准分类!A:E,5,0)</f>
        <v>0206</v>
      </c>
      <c r="D751" s="183" t="str">
        <f>VLOOKUP(F751,数据集标准分类!A:D,4,0)</f>
        <v>手术麻醉记录</v>
      </c>
      <c r="E751" s="183" t="str">
        <f>VLOOKUP(F751,数据集标准分类!A:C,3,0)</f>
        <v>020605</v>
      </c>
      <c r="F751" s="170" t="s">
        <v>2009</v>
      </c>
      <c r="G751" s="183" t="str">
        <f>VLOOKUP(F751,数据集标准分类!A:B,2,0)</f>
        <v>anes_record</v>
      </c>
      <c r="H751" s="294">
        <f>VLOOKUP(F751,数据集标准分类!A:H,8,0)</f>
        <v>31</v>
      </c>
      <c r="I751" s="170" t="s">
        <v>1364</v>
      </c>
      <c r="J751" s="170" t="s">
        <v>1365</v>
      </c>
      <c r="K751" s="170" t="s">
        <v>1366</v>
      </c>
      <c r="L751" s="170" t="s">
        <v>1367</v>
      </c>
      <c r="M751" s="170" t="s">
        <v>1368</v>
      </c>
      <c r="N751" s="294">
        <v>44</v>
      </c>
      <c r="O751" s="170"/>
    </row>
    <row r="752" ht="15.75" customHeight="1" spans="1:15">
      <c r="A752" s="183" t="str">
        <f>VLOOKUP(F752,数据集标准分类!A:G,7,0)</f>
        <v>02</v>
      </c>
      <c r="B752" s="183" t="str">
        <f>VLOOKUP(F752,数据集标准分类!A:F,6,0)</f>
        <v>电子病历</v>
      </c>
      <c r="C752" s="183" t="str">
        <f>VLOOKUP(F752,数据集标准分类!A:E,5,0)</f>
        <v>0206</v>
      </c>
      <c r="D752" s="183" t="str">
        <f>VLOOKUP(F752,数据集标准分类!A:D,4,0)</f>
        <v>手术麻醉记录</v>
      </c>
      <c r="E752" s="183" t="str">
        <f>VLOOKUP(F752,数据集标准分类!A:C,3,0)</f>
        <v>020605</v>
      </c>
      <c r="F752" s="170" t="s">
        <v>2009</v>
      </c>
      <c r="G752" s="183" t="str">
        <f>VLOOKUP(F752,数据集标准分类!A:B,2,0)</f>
        <v>anes_record</v>
      </c>
      <c r="H752" s="294">
        <f>VLOOKUP(F752,数据集标准分类!A:H,8,0)</f>
        <v>31</v>
      </c>
      <c r="I752" s="170" t="s">
        <v>1369</v>
      </c>
      <c r="J752" s="170" t="s">
        <v>1370</v>
      </c>
      <c r="K752" s="170" t="s">
        <v>1371</v>
      </c>
      <c r="L752" s="170" t="s">
        <v>1372</v>
      </c>
      <c r="M752" s="170" t="s">
        <v>1373</v>
      </c>
      <c r="N752" s="294">
        <v>45</v>
      </c>
      <c r="O752" s="170"/>
    </row>
    <row r="753" ht="15.75" customHeight="1" spans="1:15">
      <c r="A753" s="183" t="str">
        <f>VLOOKUP(F753,数据集标准分类!A:G,7,0)</f>
        <v>02</v>
      </c>
      <c r="B753" s="183" t="str">
        <f>VLOOKUP(F753,数据集标准分类!A:F,6,0)</f>
        <v>电子病历</v>
      </c>
      <c r="C753" s="183" t="str">
        <f>VLOOKUP(F753,数据集标准分类!A:E,5,0)</f>
        <v>0206</v>
      </c>
      <c r="D753" s="183" t="str">
        <f>VLOOKUP(F753,数据集标准分类!A:D,4,0)</f>
        <v>手术麻醉记录</v>
      </c>
      <c r="E753" s="183" t="str">
        <f>VLOOKUP(F753,数据集标准分类!A:C,3,0)</f>
        <v>020605</v>
      </c>
      <c r="F753" s="170" t="s">
        <v>2009</v>
      </c>
      <c r="G753" s="183" t="str">
        <f>VLOOKUP(F753,数据集标准分类!A:B,2,0)</f>
        <v>anes_record</v>
      </c>
      <c r="H753" s="294">
        <f>VLOOKUP(F753,数据集标准分类!A:H,8,0)</f>
        <v>31</v>
      </c>
      <c r="I753" s="170" t="s">
        <v>2101</v>
      </c>
      <c r="J753" s="170" t="s">
        <v>2102</v>
      </c>
      <c r="K753" s="170" t="s">
        <v>2103</v>
      </c>
      <c r="L753" s="170" t="s">
        <v>2104</v>
      </c>
      <c r="M753" s="170" t="s">
        <v>2105</v>
      </c>
      <c r="N753" s="294">
        <v>46</v>
      </c>
      <c r="O753" s="170"/>
    </row>
    <row r="754" ht="15.75" customHeight="1" spans="1:15">
      <c r="A754" s="183" t="str">
        <f>VLOOKUP(F754,数据集标准分类!A:G,7,0)</f>
        <v>02</v>
      </c>
      <c r="B754" s="183" t="str">
        <f>VLOOKUP(F754,数据集标准分类!A:F,6,0)</f>
        <v>电子病历</v>
      </c>
      <c r="C754" s="183" t="str">
        <f>VLOOKUP(F754,数据集标准分类!A:E,5,0)</f>
        <v>0206</v>
      </c>
      <c r="D754" s="183" t="str">
        <f>VLOOKUP(F754,数据集标准分类!A:D,4,0)</f>
        <v>手术麻醉记录</v>
      </c>
      <c r="E754" s="183" t="str">
        <f>VLOOKUP(F754,数据集标准分类!A:C,3,0)</f>
        <v>020605</v>
      </c>
      <c r="F754" s="170" t="s">
        <v>2009</v>
      </c>
      <c r="G754" s="183" t="str">
        <f>VLOOKUP(F754,数据集标准分类!A:B,2,0)</f>
        <v>anes_record</v>
      </c>
      <c r="H754" s="294">
        <f>VLOOKUP(F754,数据集标准分类!A:H,8,0)</f>
        <v>31</v>
      </c>
      <c r="I754" s="170" t="s">
        <v>1627</v>
      </c>
      <c r="J754" s="170" t="s">
        <v>1628</v>
      </c>
      <c r="K754" s="170" t="s">
        <v>1629</v>
      </c>
      <c r="L754" s="170" t="s">
        <v>1630</v>
      </c>
      <c r="M754" s="170" t="s">
        <v>1631</v>
      </c>
      <c r="N754" s="294">
        <v>47</v>
      </c>
      <c r="O754" s="170"/>
    </row>
    <row r="755" ht="15.75" customHeight="1" spans="1:15">
      <c r="A755" s="183" t="str">
        <f>VLOOKUP(F755,数据集标准分类!A:G,7,0)</f>
        <v>02</v>
      </c>
      <c r="B755" s="183" t="str">
        <f>VLOOKUP(F755,数据集标准分类!A:F,6,0)</f>
        <v>电子病历</v>
      </c>
      <c r="C755" s="183" t="str">
        <f>VLOOKUP(F755,数据集标准分类!A:E,5,0)</f>
        <v>0206</v>
      </c>
      <c r="D755" s="183" t="str">
        <f>VLOOKUP(F755,数据集标准分类!A:D,4,0)</f>
        <v>手术麻醉记录</v>
      </c>
      <c r="E755" s="183" t="str">
        <f>VLOOKUP(F755,数据集标准分类!A:C,3,0)</f>
        <v>020605</v>
      </c>
      <c r="F755" s="170" t="s">
        <v>2009</v>
      </c>
      <c r="G755" s="183" t="str">
        <f>VLOOKUP(F755,数据集标准分类!A:B,2,0)</f>
        <v>anes_record</v>
      </c>
      <c r="H755" s="294">
        <f>VLOOKUP(F755,数据集标准分类!A:H,8,0)</f>
        <v>31</v>
      </c>
      <c r="I755" s="170" t="s">
        <v>2106</v>
      </c>
      <c r="J755" s="170" t="s">
        <v>2107</v>
      </c>
      <c r="K755" s="170" t="s">
        <v>2108</v>
      </c>
      <c r="L755" s="170" t="s">
        <v>2109</v>
      </c>
      <c r="M755" s="170" t="s">
        <v>2110</v>
      </c>
      <c r="N755" s="294">
        <v>48</v>
      </c>
      <c r="O755" s="170"/>
    </row>
    <row r="756" ht="15.75" customHeight="1" spans="1:15">
      <c r="A756" s="183" t="str">
        <f>VLOOKUP(F756,数据集标准分类!A:G,7,0)</f>
        <v>02</v>
      </c>
      <c r="B756" s="183" t="str">
        <f>VLOOKUP(F756,数据集标准分类!A:F,6,0)</f>
        <v>电子病历</v>
      </c>
      <c r="C756" s="183" t="str">
        <f>VLOOKUP(F756,数据集标准分类!A:E,5,0)</f>
        <v>0206</v>
      </c>
      <c r="D756" s="183" t="str">
        <f>VLOOKUP(F756,数据集标准分类!A:D,4,0)</f>
        <v>手术麻醉记录</v>
      </c>
      <c r="E756" s="183" t="str">
        <f>VLOOKUP(F756,数据集标准分类!A:C,3,0)</f>
        <v>020606</v>
      </c>
      <c r="F756" s="170" t="s">
        <v>2111</v>
      </c>
      <c r="G756" s="183" t="str">
        <f>VLOOKUP(F756,数据集标准分类!A:B,2,0)</f>
        <v>anes_po_visit_rec</v>
      </c>
      <c r="H756" s="294">
        <f>VLOOKUP(F756,数据集标准分类!A:H,8,0)</f>
        <v>32</v>
      </c>
      <c r="I756" s="170" t="s">
        <v>711</v>
      </c>
      <c r="J756" s="170" t="s">
        <v>712</v>
      </c>
      <c r="K756" s="170" t="s">
        <v>712</v>
      </c>
      <c r="L756" s="170" t="s">
        <v>713</v>
      </c>
      <c r="M756" s="170" t="s">
        <v>714</v>
      </c>
      <c r="N756" s="294">
        <v>1</v>
      </c>
      <c r="O756" s="170"/>
    </row>
    <row r="757" ht="15.75" customHeight="1" spans="1:15">
      <c r="A757" s="183" t="str">
        <f>VLOOKUP(F757,数据集标准分类!A:G,7,0)</f>
        <v>02</v>
      </c>
      <c r="B757" s="183" t="str">
        <f>VLOOKUP(F757,数据集标准分类!A:F,6,0)</f>
        <v>电子病历</v>
      </c>
      <c r="C757" s="183" t="str">
        <f>VLOOKUP(F757,数据集标准分类!A:E,5,0)</f>
        <v>0206</v>
      </c>
      <c r="D757" s="183" t="str">
        <f>VLOOKUP(F757,数据集标准分类!A:D,4,0)</f>
        <v>手术麻醉记录</v>
      </c>
      <c r="E757" s="183" t="str">
        <f>VLOOKUP(F757,数据集标准分类!A:C,3,0)</f>
        <v>020606</v>
      </c>
      <c r="F757" s="170" t="s">
        <v>2111</v>
      </c>
      <c r="G757" s="183" t="str">
        <f>VLOOKUP(F757,数据集标准分类!A:B,2,0)</f>
        <v>anes_po_visit_rec</v>
      </c>
      <c r="H757" s="294">
        <f>VLOOKUP(F757,数据集标准分类!A:H,8,0)</f>
        <v>32</v>
      </c>
      <c r="I757" s="170" t="s">
        <v>77</v>
      </c>
      <c r="J757" s="170" t="s">
        <v>78</v>
      </c>
      <c r="K757" s="170" t="s">
        <v>79</v>
      </c>
      <c r="L757" s="170" t="s">
        <v>80</v>
      </c>
      <c r="M757" s="170" t="s">
        <v>310</v>
      </c>
      <c r="N757" s="294">
        <v>2</v>
      </c>
      <c r="O757" s="170"/>
    </row>
    <row r="758" ht="15.75" customHeight="1" spans="1:15">
      <c r="A758" s="183" t="str">
        <f>VLOOKUP(F758,数据集标准分类!A:G,7,0)</f>
        <v>02</v>
      </c>
      <c r="B758" s="183" t="str">
        <f>VLOOKUP(F758,数据集标准分类!A:F,6,0)</f>
        <v>电子病历</v>
      </c>
      <c r="C758" s="183" t="str">
        <f>VLOOKUP(F758,数据集标准分类!A:E,5,0)</f>
        <v>0206</v>
      </c>
      <c r="D758" s="183" t="str">
        <f>VLOOKUP(F758,数据集标准分类!A:D,4,0)</f>
        <v>手术麻醉记录</v>
      </c>
      <c r="E758" s="183" t="str">
        <f>VLOOKUP(F758,数据集标准分类!A:C,3,0)</f>
        <v>020606</v>
      </c>
      <c r="F758" s="170" t="s">
        <v>2111</v>
      </c>
      <c r="G758" s="183" t="str">
        <f>VLOOKUP(F758,数据集标准分类!A:B,2,0)</f>
        <v>anes_po_visit_rec</v>
      </c>
      <c r="H758" s="294">
        <f>VLOOKUP(F758,数据集标准分类!A:H,8,0)</f>
        <v>32</v>
      </c>
      <c r="I758" s="170" t="s">
        <v>82</v>
      </c>
      <c r="J758" s="170" t="s">
        <v>83</v>
      </c>
      <c r="K758" s="170" t="s">
        <v>84</v>
      </c>
      <c r="L758" s="170" t="s">
        <v>85</v>
      </c>
      <c r="M758" s="170" t="s">
        <v>311</v>
      </c>
      <c r="N758" s="294">
        <v>3</v>
      </c>
      <c r="O758" s="170"/>
    </row>
    <row r="759" ht="15.75" customHeight="1" spans="1:15">
      <c r="A759" s="183" t="str">
        <f>VLOOKUP(F759,数据集标准分类!A:G,7,0)</f>
        <v>02</v>
      </c>
      <c r="B759" s="183" t="str">
        <f>VLOOKUP(F759,数据集标准分类!A:F,6,0)</f>
        <v>电子病历</v>
      </c>
      <c r="C759" s="183" t="str">
        <f>VLOOKUP(F759,数据集标准分类!A:E,5,0)</f>
        <v>0206</v>
      </c>
      <c r="D759" s="183" t="str">
        <f>VLOOKUP(F759,数据集标准分类!A:D,4,0)</f>
        <v>手术麻醉记录</v>
      </c>
      <c r="E759" s="183" t="str">
        <f>VLOOKUP(F759,数据集标准分类!A:C,3,0)</f>
        <v>020606</v>
      </c>
      <c r="F759" s="170" t="s">
        <v>2111</v>
      </c>
      <c r="G759" s="183" t="str">
        <f>VLOOKUP(F759,数据集标准分类!A:B,2,0)</f>
        <v>anes_po_visit_rec</v>
      </c>
      <c r="H759" s="294">
        <f>VLOOKUP(F759,数据集标准分类!A:H,8,0)</f>
        <v>32</v>
      </c>
      <c r="I759" s="170" t="s">
        <v>1583</v>
      </c>
      <c r="J759" s="170" t="s">
        <v>1584</v>
      </c>
      <c r="K759" s="170" t="s">
        <v>1585</v>
      </c>
      <c r="L759" s="170" t="s">
        <v>1586</v>
      </c>
      <c r="M759" s="170" t="s">
        <v>1587</v>
      </c>
      <c r="N759" s="294">
        <v>4</v>
      </c>
      <c r="O759" s="170"/>
    </row>
    <row r="760" ht="15.75" customHeight="1" spans="1:15">
      <c r="A760" s="183" t="str">
        <f>VLOOKUP(F760,数据集标准分类!A:G,7,0)</f>
        <v>02</v>
      </c>
      <c r="B760" s="183" t="str">
        <f>VLOOKUP(F760,数据集标准分类!A:F,6,0)</f>
        <v>电子病历</v>
      </c>
      <c r="C760" s="183" t="str">
        <f>VLOOKUP(F760,数据集标准分类!A:E,5,0)</f>
        <v>0206</v>
      </c>
      <c r="D760" s="183" t="str">
        <f>VLOOKUP(F760,数据集标准分类!A:D,4,0)</f>
        <v>手术麻醉记录</v>
      </c>
      <c r="E760" s="183" t="str">
        <f>VLOOKUP(F760,数据集标准分类!A:C,3,0)</f>
        <v>020606</v>
      </c>
      <c r="F760" s="170" t="s">
        <v>2111</v>
      </c>
      <c r="G760" s="183" t="str">
        <f>VLOOKUP(F760,数据集标准分类!A:B,2,0)</f>
        <v>anes_po_visit_rec</v>
      </c>
      <c r="H760" s="294">
        <f>VLOOKUP(F760,数据集标准分类!A:H,8,0)</f>
        <v>32</v>
      </c>
      <c r="I760" s="170" t="s">
        <v>1588</v>
      </c>
      <c r="J760" s="170" t="s">
        <v>1589</v>
      </c>
      <c r="K760" s="170" t="s">
        <v>1590</v>
      </c>
      <c r="L760" s="170" t="s">
        <v>1591</v>
      </c>
      <c r="M760" s="170" t="s">
        <v>1445</v>
      </c>
      <c r="N760" s="294">
        <v>5</v>
      </c>
      <c r="O760" s="170"/>
    </row>
    <row r="761" ht="15.75" customHeight="1" spans="1:15">
      <c r="A761" s="183" t="str">
        <f>VLOOKUP(F761,数据集标准分类!A:G,7,0)</f>
        <v>02</v>
      </c>
      <c r="B761" s="183" t="str">
        <f>VLOOKUP(F761,数据集标准分类!A:F,6,0)</f>
        <v>电子病历</v>
      </c>
      <c r="C761" s="183" t="str">
        <f>VLOOKUP(F761,数据集标准分类!A:E,5,0)</f>
        <v>0206</v>
      </c>
      <c r="D761" s="183" t="str">
        <f>VLOOKUP(F761,数据集标准分类!A:D,4,0)</f>
        <v>手术麻醉记录</v>
      </c>
      <c r="E761" s="183" t="str">
        <f>VLOOKUP(F761,数据集标准分类!A:C,3,0)</f>
        <v>020606</v>
      </c>
      <c r="F761" s="170" t="s">
        <v>2111</v>
      </c>
      <c r="G761" s="183" t="str">
        <f>VLOOKUP(F761,数据集标准分类!A:B,2,0)</f>
        <v>anes_po_visit_rec</v>
      </c>
      <c r="H761" s="294">
        <f>VLOOKUP(F761,数据集标准分类!A:H,8,0)</f>
        <v>32</v>
      </c>
      <c r="I761" s="170" t="s">
        <v>715</v>
      </c>
      <c r="J761" s="170" t="s">
        <v>716</v>
      </c>
      <c r="K761" s="170" t="s">
        <v>717</v>
      </c>
      <c r="L761" s="170" t="s">
        <v>718</v>
      </c>
      <c r="M761" s="170" t="s">
        <v>719</v>
      </c>
      <c r="N761" s="294">
        <v>6</v>
      </c>
      <c r="O761" s="170"/>
    </row>
    <row r="762" ht="15.75" customHeight="1" spans="1:15">
      <c r="A762" s="183" t="str">
        <f>VLOOKUP(F762,数据集标准分类!A:G,7,0)</f>
        <v>02</v>
      </c>
      <c r="B762" s="183" t="str">
        <f>VLOOKUP(F762,数据集标准分类!A:F,6,0)</f>
        <v>电子病历</v>
      </c>
      <c r="C762" s="183" t="str">
        <f>VLOOKUP(F762,数据集标准分类!A:E,5,0)</f>
        <v>0206</v>
      </c>
      <c r="D762" s="183" t="str">
        <f>VLOOKUP(F762,数据集标准分类!A:D,4,0)</f>
        <v>手术麻醉记录</v>
      </c>
      <c r="E762" s="183" t="str">
        <f>VLOOKUP(F762,数据集标准分类!A:C,3,0)</f>
        <v>020606</v>
      </c>
      <c r="F762" s="170" t="s">
        <v>2111</v>
      </c>
      <c r="G762" s="183" t="str">
        <f>VLOOKUP(F762,数据集标准分类!A:B,2,0)</f>
        <v>anes_po_visit_rec</v>
      </c>
      <c r="H762" s="294">
        <f>VLOOKUP(F762,数据集标准分类!A:H,8,0)</f>
        <v>32</v>
      </c>
      <c r="I762" s="170" t="s">
        <v>192</v>
      </c>
      <c r="J762" s="170" t="s">
        <v>193</v>
      </c>
      <c r="K762" s="170" t="s">
        <v>194</v>
      </c>
      <c r="L762" s="170" t="s">
        <v>195</v>
      </c>
      <c r="M762" s="170" t="s">
        <v>385</v>
      </c>
      <c r="N762" s="294">
        <v>7</v>
      </c>
      <c r="O762" s="170"/>
    </row>
    <row r="763" ht="15.75" customHeight="1" spans="1:15">
      <c r="A763" s="183" t="str">
        <f>VLOOKUP(F763,数据集标准分类!A:G,7,0)</f>
        <v>02</v>
      </c>
      <c r="B763" s="183" t="str">
        <f>VLOOKUP(F763,数据集标准分类!A:F,6,0)</f>
        <v>电子病历</v>
      </c>
      <c r="C763" s="183" t="str">
        <f>VLOOKUP(F763,数据集标准分类!A:E,5,0)</f>
        <v>0206</v>
      </c>
      <c r="D763" s="183" t="str">
        <f>VLOOKUP(F763,数据集标准分类!A:D,4,0)</f>
        <v>手术麻醉记录</v>
      </c>
      <c r="E763" s="183" t="str">
        <f>VLOOKUP(F763,数据集标准分类!A:C,3,0)</f>
        <v>020606</v>
      </c>
      <c r="F763" s="170" t="s">
        <v>2111</v>
      </c>
      <c r="G763" s="183" t="str">
        <f>VLOOKUP(F763,数据集标准分类!A:B,2,0)</f>
        <v>anes_po_visit_rec</v>
      </c>
      <c r="H763" s="294">
        <f>VLOOKUP(F763,数据集标准分类!A:H,8,0)</f>
        <v>32</v>
      </c>
      <c r="I763" s="170" t="s">
        <v>421</v>
      </c>
      <c r="J763" s="170" t="s">
        <v>422</v>
      </c>
      <c r="K763" s="170" t="s">
        <v>423</v>
      </c>
      <c r="L763" s="170" t="s">
        <v>424</v>
      </c>
      <c r="M763" s="170" t="s">
        <v>425</v>
      </c>
      <c r="N763" s="294">
        <v>8</v>
      </c>
      <c r="O763" s="170"/>
    </row>
    <row r="764" ht="15.75" customHeight="1" spans="1:15">
      <c r="A764" s="183" t="str">
        <f>VLOOKUP(F764,数据集标准分类!A:G,7,0)</f>
        <v>02</v>
      </c>
      <c r="B764" s="183" t="str">
        <f>VLOOKUP(F764,数据集标准分类!A:F,6,0)</f>
        <v>电子病历</v>
      </c>
      <c r="C764" s="183" t="str">
        <f>VLOOKUP(F764,数据集标准分类!A:E,5,0)</f>
        <v>0206</v>
      </c>
      <c r="D764" s="183" t="str">
        <f>VLOOKUP(F764,数据集标准分类!A:D,4,0)</f>
        <v>手术麻醉记录</v>
      </c>
      <c r="E764" s="183" t="str">
        <f>VLOOKUP(F764,数据集标准分类!A:C,3,0)</f>
        <v>020606</v>
      </c>
      <c r="F764" s="170" t="s">
        <v>2111</v>
      </c>
      <c r="G764" s="183" t="str">
        <f>VLOOKUP(F764,数据集标准分类!A:B,2,0)</f>
        <v>anes_po_visit_rec</v>
      </c>
      <c r="H764" s="294">
        <f>VLOOKUP(F764,数据集标准分类!A:H,8,0)</f>
        <v>32</v>
      </c>
      <c r="I764" s="170" t="s">
        <v>2112</v>
      </c>
      <c r="J764" s="170" t="s">
        <v>2113</v>
      </c>
      <c r="K764" s="170" t="s">
        <v>2114</v>
      </c>
      <c r="L764" s="170" t="s">
        <v>2115</v>
      </c>
      <c r="M764" s="170" t="s">
        <v>2116</v>
      </c>
      <c r="N764" s="294">
        <v>9</v>
      </c>
      <c r="O764" s="170"/>
    </row>
    <row r="765" ht="15.75" customHeight="1" spans="1:15">
      <c r="A765" s="183" t="str">
        <f>VLOOKUP(F765,数据集标准分类!A:G,7,0)</f>
        <v>02</v>
      </c>
      <c r="B765" s="183" t="str">
        <f>VLOOKUP(F765,数据集标准分类!A:F,6,0)</f>
        <v>电子病历</v>
      </c>
      <c r="C765" s="183" t="str">
        <f>VLOOKUP(F765,数据集标准分类!A:E,5,0)</f>
        <v>0206</v>
      </c>
      <c r="D765" s="183" t="str">
        <f>VLOOKUP(F765,数据集标准分类!A:D,4,0)</f>
        <v>手术麻醉记录</v>
      </c>
      <c r="E765" s="183" t="str">
        <f>VLOOKUP(F765,数据集标准分类!A:C,3,0)</f>
        <v>020606</v>
      </c>
      <c r="F765" s="170" t="s">
        <v>2111</v>
      </c>
      <c r="G765" s="183" t="str">
        <f>VLOOKUP(F765,数据集标准分类!A:B,2,0)</f>
        <v>anes_po_visit_rec</v>
      </c>
      <c r="H765" s="294">
        <f>VLOOKUP(F765,数据集标准分类!A:H,8,0)</f>
        <v>32</v>
      </c>
      <c r="I765" s="170" t="s">
        <v>2117</v>
      </c>
      <c r="J765" s="170" t="s">
        <v>2118</v>
      </c>
      <c r="K765" s="170" t="s">
        <v>2119</v>
      </c>
      <c r="L765" s="170" t="s">
        <v>2120</v>
      </c>
      <c r="M765" s="170" t="s">
        <v>2121</v>
      </c>
      <c r="N765" s="294">
        <v>10</v>
      </c>
      <c r="O765" s="170"/>
    </row>
    <row r="766" ht="15.75" customHeight="1" spans="1:15">
      <c r="A766" s="183" t="str">
        <f>VLOOKUP(F766,数据集标准分类!A:G,7,0)</f>
        <v>02</v>
      </c>
      <c r="B766" s="183" t="str">
        <f>VLOOKUP(F766,数据集标准分类!A:F,6,0)</f>
        <v>电子病历</v>
      </c>
      <c r="C766" s="183" t="str">
        <f>VLOOKUP(F766,数据集标准分类!A:E,5,0)</f>
        <v>0206</v>
      </c>
      <c r="D766" s="183" t="str">
        <f>VLOOKUP(F766,数据集标准分类!A:D,4,0)</f>
        <v>手术麻醉记录</v>
      </c>
      <c r="E766" s="183" t="str">
        <f>VLOOKUP(F766,数据集标准分类!A:C,3,0)</f>
        <v>020606</v>
      </c>
      <c r="F766" s="170" t="s">
        <v>2111</v>
      </c>
      <c r="G766" s="183" t="str">
        <f>VLOOKUP(F766,数据集标准分类!A:B,2,0)</f>
        <v>anes_po_visit_rec</v>
      </c>
      <c r="H766" s="294">
        <f>VLOOKUP(F766,数据集标准分类!A:H,8,0)</f>
        <v>32</v>
      </c>
      <c r="I766" s="170" t="s">
        <v>1622</v>
      </c>
      <c r="J766" s="170" t="s">
        <v>1623</v>
      </c>
      <c r="K766" s="170" t="s">
        <v>1624</v>
      </c>
      <c r="L766" s="170" t="s">
        <v>1625</v>
      </c>
      <c r="M766" s="170" t="s">
        <v>2122</v>
      </c>
      <c r="N766" s="294">
        <v>11</v>
      </c>
      <c r="O766" s="170"/>
    </row>
    <row r="767" ht="15.75" customHeight="1" spans="1:15">
      <c r="A767" s="183" t="str">
        <f>VLOOKUP(F767,数据集标准分类!A:G,7,0)</f>
        <v>02</v>
      </c>
      <c r="B767" s="183" t="str">
        <f>VLOOKUP(F767,数据集标准分类!A:F,6,0)</f>
        <v>电子病历</v>
      </c>
      <c r="C767" s="183" t="str">
        <f>VLOOKUP(F767,数据集标准分类!A:E,5,0)</f>
        <v>0206</v>
      </c>
      <c r="D767" s="183" t="str">
        <f>VLOOKUP(F767,数据集标准分类!A:D,4,0)</f>
        <v>手术麻醉记录</v>
      </c>
      <c r="E767" s="183" t="str">
        <f>VLOOKUP(F767,数据集标准分类!A:C,3,0)</f>
        <v>020606</v>
      </c>
      <c r="F767" s="170" t="s">
        <v>2111</v>
      </c>
      <c r="G767" s="183" t="str">
        <f>VLOOKUP(F767,数据集标准分类!A:B,2,0)</f>
        <v>anes_po_visit_rec</v>
      </c>
      <c r="H767" s="294">
        <f>VLOOKUP(F767,数据集标准分类!A:H,8,0)</f>
        <v>32</v>
      </c>
      <c r="I767" s="170" t="s">
        <v>2123</v>
      </c>
      <c r="J767" s="170" t="s">
        <v>2124</v>
      </c>
      <c r="K767" s="170" t="s">
        <v>2125</v>
      </c>
      <c r="L767" s="170" t="s">
        <v>2126</v>
      </c>
      <c r="M767" s="170" t="s">
        <v>2127</v>
      </c>
      <c r="N767" s="294">
        <v>12</v>
      </c>
      <c r="O767" s="170"/>
    </row>
    <row r="768" ht="15.75" customHeight="1" spans="1:15">
      <c r="A768" s="183" t="str">
        <f>VLOOKUP(F768,数据集标准分类!A:G,7,0)</f>
        <v>02</v>
      </c>
      <c r="B768" s="183" t="str">
        <f>VLOOKUP(F768,数据集标准分类!A:F,6,0)</f>
        <v>电子病历</v>
      </c>
      <c r="C768" s="183" t="str">
        <f>VLOOKUP(F768,数据集标准分类!A:E,5,0)</f>
        <v>0206</v>
      </c>
      <c r="D768" s="183" t="str">
        <f>VLOOKUP(F768,数据集标准分类!A:D,4,0)</f>
        <v>手术麻醉记录</v>
      </c>
      <c r="E768" s="183" t="str">
        <f>VLOOKUP(F768,数据集标准分类!A:C,3,0)</f>
        <v>020606</v>
      </c>
      <c r="F768" s="170" t="s">
        <v>2111</v>
      </c>
      <c r="G768" s="183" t="str">
        <f>VLOOKUP(F768,数据集标准分类!A:B,2,0)</f>
        <v>anes_po_visit_rec</v>
      </c>
      <c r="H768" s="294">
        <f>VLOOKUP(F768,数据集标准分类!A:H,8,0)</f>
        <v>32</v>
      </c>
      <c r="I768" s="170" t="s">
        <v>2128</v>
      </c>
      <c r="J768" s="170" t="s">
        <v>2129</v>
      </c>
      <c r="K768" s="170" t="s">
        <v>2130</v>
      </c>
      <c r="L768" s="170" t="s">
        <v>2131</v>
      </c>
      <c r="M768" s="170" t="s">
        <v>2132</v>
      </c>
      <c r="N768" s="294">
        <v>13</v>
      </c>
      <c r="O768" s="170"/>
    </row>
    <row r="769" ht="15.75" customHeight="1" spans="1:15">
      <c r="A769" s="183" t="str">
        <f>VLOOKUP(F769,数据集标准分类!A:G,7,0)</f>
        <v>02</v>
      </c>
      <c r="B769" s="183" t="str">
        <f>VLOOKUP(F769,数据集标准分类!A:F,6,0)</f>
        <v>电子病历</v>
      </c>
      <c r="C769" s="183" t="str">
        <f>VLOOKUP(F769,数据集标准分类!A:E,5,0)</f>
        <v>0206</v>
      </c>
      <c r="D769" s="183" t="str">
        <f>VLOOKUP(F769,数据集标准分类!A:D,4,0)</f>
        <v>手术麻醉记录</v>
      </c>
      <c r="E769" s="183" t="str">
        <f>VLOOKUP(F769,数据集标准分类!A:C,3,0)</f>
        <v>020607</v>
      </c>
      <c r="F769" s="170" t="s">
        <v>2133</v>
      </c>
      <c r="G769" s="183" t="str">
        <f>VLOOKUP(F769,数据集标准分类!A:B,2,0)</f>
        <v>anes_preoperative_visiting</v>
      </c>
      <c r="H769" s="294">
        <f>VLOOKUP(F769,数据集标准分类!A:H,8,0)</f>
        <v>33</v>
      </c>
      <c r="I769" s="170" t="s">
        <v>711</v>
      </c>
      <c r="J769" s="170" t="s">
        <v>712</v>
      </c>
      <c r="K769" s="170" t="s">
        <v>712</v>
      </c>
      <c r="L769" s="170" t="s">
        <v>713</v>
      </c>
      <c r="M769" s="170" t="s">
        <v>714</v>
      </c>
      <c r="N769" s="294">
        <v>1</v>
      </c>
      <c r="O769" s="170"/>
    </row>
    <row r="770" ht="15.75" customHeight="1" spans="1:15">
      <c r="A770" s="183" t="str">
        <f>VLOOKUP(F770,数据集标准分类!A:G,7,0)</f>
        <v>02</v>
      </c>
      <c r="B770" s="183" t="str">
        <f>VLOOKUP(F770,数据集标准分类!A:F,6,0)</f>
        <v>电子病历</v>
      </c>
      <c r="C770" s="183" t="str">
        <f>VLOOKUP(F770,数据集标准分类!A:E,5,0)</f>
        <v>0206</v>
      </c>
      <c r="D770" s="183" t="str">
        <f>VLOOKUP(F770,数据集标准分类!A:D,4,0)</f>
        <v>手术麻醉记录</v>
      </c>
      <c r="E770" s="183" t="str">
        <f>VLOOKUP(F770,数据集标准分类!A:C,3,0)</f>
        <v>020607</v>
      </c>
      <c r="F770" s="170" t="s">
        <v>2133</v>
      </c>
      <c r="G770" s="183" t="str">
        <f>VLOOKUP(F770,数据集标准分类!A:B,2,0)</f>
        <v>anes_preoperative_visiting</v>
      </c>
      <c r="H770" s="294">
        <f>VLOOKUP(F770,数据集标准分类!A:H,8,0)</f>
        <v>33</v>
      </c>
      <c r="I770" s="170" t="s">
        <v>77</v>
      </c>
      <c r="J770" s="170" t="s">
        <v>78</v>
      </c>
      <c r="K770" s="170" t="s">
        <v>79</v>
      </c>
      <c r="L770" s="170" t="s">
        <v>80</v>
      </c>
      <c r="M770" s="170" t="s">
        <v>310</v>
      </c>
      <c r="N770" s="294">
        <v>2</v>
      </c>
      <c r="O770" s="170"/>
    </row>
    <row r="771" ht="15.75" customHeight="1" spans="1:15">
      <c r="A771" s="183" t="str">
        <f>VLOOKUP(F771,数据集标准分类!A:G,7,0)</f>
        <v>02</v>
      </c>
      <c r="B771" s="183" t="str">
        <f>VLOOKUP(F771,数据集标准分类!A:F,6,0)</f>
        <v>电子病历</v>
      </c>
      <c r="C771" s="183" t="str">
        <f>VLOOKUP(F771,数据集标准分类!A:E,5,0)</f>
        <v>0206</v>
      </c>
      <c r="D771" s="183" t="str">
        <f>VLOOKUP(F771,数据集标准分类!A:D,4,0)</f>
        <v>手术麻醉记录</v>
      </c>
      <c r="E771" s="183" t="str">
        <f>VLOOKUP(F771,数据集标准分类!A:C,3,0)</f>
        <v>020607</v>
      </c>
      <c r="F771" s="170" t="s">
        <v>2133</v>
      </c>
      <c r="G771" s="183" t="str">
        <f>VLOOKUP(F771,数据集标准分类!A:B,2,0)</f>
        <v>anes_preoperative_visiting</v>
      </c>
      <c r="H771" s="294">
        <f>VLOOKUP(F771,数据集标准分类!A:H,8,0)</f>
        <v>33</v>
      </c>
      <c r="I771" s="170" t="s">
        <v>82</v>
      </c>
      <c r="J771" s="170" t="s">
        <v>83</v>
      </c>
      <c r="K771" s="170" t="s">
        <v>84</v>
      </c>
      <c r="L771" s="170" t="s">
        <v>85</v>
      </c>
      <c r="M771" s="170" t="s">
        <v>311</v>
      </c>
      <c r="N771" s="294">
        <v>3</v>
      </c>
      <c r="O771" s="170"/>
    </row>
    <row r="772" ht="15.75" customHeight="1" spans="1:15">
      <c r="A772" s="183" t="str">
        <f>VLOOKUP(F772,数据集标准分类!A:G,7,0)</f>
        <v>02</v>
      </c>
      <c r="B772" s="183" t="str">
        <f>VLOOKUP(F772,数据集标准分类!A:F,6,0)</f>
        <v>电子病历</v>
      </c>
      <c r="C772" s="183" t="str">
        <f>VLOOKUP(F772,数据集标准分类!A:E,5,0)</f>
        <v>0206</v>
      </c>
      <c r="D772" s="183" t="str">
        <f>VLOOKUP(F772,数据集标准分类!A:D,4,0)</f>
        <v>手术麻醉记录</v>
      </c>
      <c r="E772" s="183" t="str">
        <f>VLOOKUP(F772,数据集标准分类!A:C,3,0)</f>
        <v>020607</v>
      </c>
      <c r="F772" s="170" t="s">
        <v>2133</v>
      </c>
      <c r="G772" s="183" t="str">
        <f>VLOOKUP(F772,数据集标准分类!A:B,2,0)</f>
        <v>anes_preoperative_visiting</v>
      </c>
      <c r="H772" s="294">
        <f>VLOOKUP(F772,数据集标准分类!A:H,8,0)</f>
        <v>33</v>
      </c>
      <c r="I772" s="170" t="s">
        <v>172</v>
      </c>
      <c r="J772" s="170" t="s">
        <v>173</v>
      </c>
      <c r="K772" s="170" t="s">
        <v>174</v>
      </c>
      <c r="L772" s="170" t="s">
        <v>175</v>
      </c>
      <c r="M772" s="170" t="s">
        <v>1587</v>
      </c>
      <c r="N772" s="294">
        <v>4</v>
      </c>
      <c r="O772" s="170"/>
    </row>
    <row r="773" ht="15.75" customHeight="1" spans="1:15">
      <c r="A773" s="183" t="str">
        <f>VLOOKUP(F773,数据集标准分类!A:G,7,0)</f>
        <v>02</v>
      </c>
      <c r="B773" s="183" t="str">
        <f>VLOOKUP(F773,数据集标准分类!A:F,6,0)</f>
        <v>电子病历</v>
      </c>
      <c r="C773" s="183" t="str">
        <f>VLOOKUP(F773,数据集标准分类!A:E,5,0)</f>
        <v>0206</v>
      </c>
      <c r="D773" s="183" t="str">
        <f>VLOOKUP(F773,数据集标准分类!A:D,4,0)</f>
        <v>手术麻醉记录</v>
      </c>
      <c r="E773" s="183" t="str">
        <f>VLOOKUP(F773,数据集标准分类!A:C,3,0)</f>
        <v>020607</v>
      </c>
      <c r="F773" s="170" t="s">
        <v>2133</v>
      </c>
      <c r="G773" s="183" t="str">
        <f>VLOOKUP(F773,数据集标准分类!A:B,2,0)</f>
        <v>anes_preoperative_visiting</v>
      </c>
      <c r="H773" s="294">
        <f>VLOOKUP(F773,数据集标准分类!A:H,8,0)</f>
        <v>33</v>
      </c>
      <c r="I773" s="170" t="s">
        <v>192</v>
      </c>
      <c r="J773" s="170" t="s">
        <v>193</v>
      </c>
      <c r="K773" s="170" t="s">
        <v>194</v>
      </c>
      <c r="L773" s="170" t="s">
        <v>195</v>
      </c>
      <c r="M773" s="170" t="s">
        <v>1722</v>
      </c>
      <c r="N773" s="294">
        <v>5</v>
      </c>
      <c r="O773" s="170"/>
    </row>
    <row r="774" ht="15.75" customHeight="1" spans="1:15">
      <c r="A774" s="183" t="str">
        <f>VLOOKUP(F774,数据集标准分类!A:G,7,0)</f>
        <v>02</v>
      </c>
      <c r="B774" s="183" t="str">
        <f>VLOOKUP(F774,数据集标准分类!A:F,6,0)</f>
        <v>电子病历</v>
      </c>
      <c r="C774" s="183" t="str">
        <f>VLOOKUP(F774,数据集标准分类!A:E,5,0)</f>
        <v>0206</v>
      </c>
      <c r="D774" s="183" t="str">
        <f>VLOOKUP(F774,数据集标准分类!A:D,4,0)</f>
        <v>手术麻醉记录</v>
      </c>
      <c r="E774" s="183" t="str">
        <f>VLOOKUP(F774,数据集标准分类!A:C,3,0)</f>
        <v>020607</v>
      </c>
      <c r="F774" s="170" t="s">
        <v>2133</v>
      </c>
      <c r="G774" s="183" t="str">
        <f>VLOOKUP(F774,数据集标准分类!A:B,2,0)</f>
        <v>anes_preoperative_visiting</v>
      </c>
      <c r="H774" s="294">
        <f>VLOOKUP(F774,数据集标准分类!A:H,8,0)</f>
        <v>33</v>
      </c>
      <c r="I774" s="170" t="s">
        <v>421</v>
      </c>
      <c r="J774" s="170" t="s">
        <v>422</v>
      </c>
      <c r="K774" s="170" t="s">
        <v>423</v>
      </c>
      <c r="L774" s="170" t="s">
        <v>424</v>
      </c>
      <c r="M774" s="170" t="s">
        <v>1724</v>
      </c>
      <c r="N774" s="294">
        <v>6</v>
      </c>
      <c r="O774" s="170"/>
    </row>
    <row r="775" ht="15.75" customHeight="1" spans="1:15">
      <c r="A775" s="183" t="str">
        <f>VLOOKUP(F775,数据集标准分类!A:G,7,0)</f>
        <v>02</v>
      </c>
      <c r="B775" s="183" t="str">
        <f>VLOOKUP(F775,数据集标准分类!A:F,6,0)</f>
        <v>电子病历</v>
      </c>
      <c r="C775" s="183" t="str">
        <f>VLOOKUP(F775,数据集标准分类!A:E,5,0)</f>
        <v>0206</v>
      </c>
      <c r="D775" s="183" t="str">
        <f>VLOOKUP(F775,数据集标准分类!A:D,4,0)</f>
        <v>手术麻醉记录</v>
      </c>
      <c r="E775" s="183" t="str">
        <f>VLOOKUP(F775,数据集标准分类!A:C,3,0)</f>
        <v>020607</v>
      </c>
      <c r="F775" s="170" t="s">
        <v>2133</v>
      </c>
      <c r="G775" s="183" t="str">
        <f>VLOOKUP(F775,数据集标准分类!A:B,2,0)</f>
        <v>anes_preoperative_visiting</v>
      </c>
      <c r="H775" s="294">
        <f>VLOOKUP(F775,数据集标准分类!A:H,8,0)</f>
        <v>33</v>
      </c>
      <c r="I775" s="170" t="s">
        <v>2134</v>
      </c>
      <c r="J775" s="170" t="s">
        <v>2135</v>
      </c>
      <c r="K775" s="170" t="s">
        <v>2136</v>
      </c>
      <c r="L775" s="170" t="s">
        <v>2137</v>
      </c>
      <c r="M775" s="170" t="s">
        <v>2138</v>
      </c>
      <c r="N775" s="294">
        <v>7</v>
      </c>
      <c r="O775" s="170"/>
    </row>
    <row r="776" ht="15.75" customHeight="1" spans="1:15">
      <c r="A776" s="183" t="str">
        <f>VLOOKUP(F776,数据集标准分类!A:G,7,0)</f>
        <v>02</v>
      </c>
      <c r="B776" s="183" t="str">
        <f>VLOOKUP(F776,数据集标准分类!A:F,6,0)</f>
        <v>电子病历</v>
      </c>
      <c r="C776" s="183" t="str">
        <f>VLOOKUP(F776,数据集标准分类!A:E,5,0)</f>
        <v>0206</v>
      </c>
      <c r="D776" s="183" t="str">
        <f>VLOOKUP(F776,数据集标准分类!A:D,4,0)</f>
        <v>手术麻醉记录</v>
      </c>
      <c r="E776" s="183" t="str">
        <f>VLOOKUP(F776,数据集标准分类!A:C,3,0)</f>
        <v>020607</v>
      </c>
      <c r="F776" s="170" t="s">
        <v>2133</v>
      </c>
      <c r="G776" s="183" t="str">
        <f>VLOOKUP(F776,数据集标准分类!A:B,2,0)</f>
        <v>anes_preoperative_visiting</v>
      </c>
      <c r="H776" s="294">
        <f>VLOOKUP(F776,数据集标准分类!A:H,8,0)</f>
        <v>33</v>
      </c>
      <c r="I776" s="170" t="s">
        <v>1192</v>
      </c>
      <c r="J776" s="170" t="s">
        <v>1193</v>
      </c>
      <c r="K776" s="170" t="s">
        <v>1194</v>
      </c>
      <c r="L776" s="170" t="s">
        <v>1195</v>
      </c>
      <c r="M776" s="170" t="s">
        <v>1196</v>
      </c>
      <c r="N776" s="294">
        <v>8</v>
      </c>
      <c r="O776" s="170"/>
    </row>
    <row r="777" ht="15.75" customHeight="1" spans="1:15">
      <c r="A777" s="183" t="str">
        <f>VLOOKUP(F777,数据集标准分类!A:G,7,0)</f>
        <v>02</v>
      </c>
      <c r="B777" s="183" t="str">
        <f>VLOOKUP(F777,数据集标准分类!A:F,6,0)</f>
        <v>电子病历</v>
      </c>
      <c r="C777" s="183" t="str">
        <f>VLOOKUP(F777,数据集标准分类!A:E,5,0)</f>
        <v>0206</v>
      </c>
      <c r="D777" s="183" t="str">
        <f>VLOOKUP(F777,数据集标准分类!A:D,4,0)</f>
        <v>手术麻醉记录</v>
      </c>
      <c r="E777" s="183" t="str">
        <f>VLOOKUP(F777,数据集标准分类!A:C,3,0)</f>
        <v>020607</v>
      </c>
      <c r="F777" s="170" t="s">
        <v>2133</v>
      </c>
      <c r="G777" s="183" t="str">
        <f>VLOOKUP(F777,数据集标准分类!A:B,2,0)</f>
        <v>anes_preoperative_visiting</v>
      </c>
      <c r="H777" s="294">
        <f>VLOOKUP(F777,数据集标准分类!A:H,8,0)</f>
        <v>33</v>
      </c>
      <c r="I777" s="170" t="s">
        <v>2139</v>
      </c>
      <c r="J777" s="170" t="s">
        <v>2140</v>
      </c>
      <c r="K777" s="170" t="s">
        <v>2141</v>
      </c>
      <c r="L777" s="170" t="s">
        <v>2142</v>
      </c>
      <c r="M777" s="170" t="s">
        <v>2143</v>
      </c>
      <c r="N777" s="294">
        <v>9</v>
      </c>
      <c r="O777" s="170"/>
    </row>
    <row r="778" ht="15.75" customHeight="1" spans="1:15">
      <c r="A778" s="183" t="str">
        <f>VLOOKUP(F778,数据集标准分类!A:G,7,0)</f>
        <v>02</v>
      </c>
      <c r="B778" s="183" t="str">
        <f>VLOOKUP(F778,数据集标准分类!A:F,6,0)</f>
        <v>电子病历</v>
      </c>
      <c r="C778" s="183" t="str">
        <f>VLOOKUP(F778,数据集标准分类!A:E,5,0)</f>
        <v>0206</v>
      </c>
      <c r="D778" s="183" t="str">
        <f>VLOOKUP(F778,数据集标准分类!A:D,4,0)</f>
        <v>手术麻醉记录</v>
      </c>
      <c r="E778" s="183" t="str">
        <f>VLOOKUP(F778,数据集标准分类!A:C,3,0)</f>
        <v>020607</v>
      </c>
      <c r="F778" s="170" t="s">
        <v>2133</v>
      </c>
      <c r="G778" s="183" t="str">
        <f>VLOOKUP(F778,数据集标准分类!A:B,2,0)</f>
        <v>anes_preoperative_visiting</v>
      </c>
      <c r="H778" s="294">
        <f>VLOOKUP(F778,数据集标准分类!A:H,8,0)</f>
        <v>33</v>
      </c>
      <c r="I778" s="170" t="s">
        <v>508</v>
      </c>
      <c r="J778" s="170" t="s">
        <v>509</v>
      </c>
      <c r="K778" s="170" t="s">
        <v>510</v>
      </c>
      <c r="L778" s="170" t="s">
        <v>511</v>
      </c>
      <c r="M778" s="170" t="s">
        <v>116</v>
      </c>
      <c r="N778" s="294">
        <v>10</v>
      </c>
      <c r="O778" s="170"/>
    </row>
    <row r="779" ht="15.75" customHeight="1" spans="1:15">
      <c r="A779" s="183" t="str">
        <f>VLOOKUP(F779,数据集标准分类!A:G,7,0)</f>
        <v>02</v>
      </c>
      <c r="B779" s="183" t="str">
        <f>VLOOKUP(F779,数据集标准分类!A:F,6,0)</f>
        <v>电子病历</v>
      </c>
      <c r="C779" s="183" t="str">
        <f>VLOOKUP(F779,数据集标准分类!A:E,5,0)</f>
        <v>0206</v>
      </c>
      <c r="D779" s="183" t="str">
        <f>VLOOKUP(F779,数据集标准分类!A:D,4,0)</f>
        <v>手术麻醉记录</v>
      </c>
      <c r="E779" s="183" t="str">
        <f>VLOOKUP(F779,数据集标准分类!A:C,3,0)</f>
        <v>020607</v>
      </c>
      <c r="F779" s="170" t="s">
        <v>2133</v>
      </c>
      <c r="G779" s="183" t="str">
        <f>VLOOKUP(F779,数据集标准分类!A:B,2,0)</f>
        <v>anes_preoperative_visiting</v>
      </c>
      <c r="H779" s="294">
        <f>VLOOKUP(F779,数据集标准分类!A:H,8,0)</f>
        <v>33</v>
      </c>
      <c r="I779" s="170" t="s">
        <v>2144</v>
      </c>
      <c r="J779" s="170" t="s">
        <v>2145</v>
      </c>
      <c r="K779" s="170" t="s">
        <v>2146</v>
      </c>
      <c r="L779" s="170" t="s">
        <v>2147</v>
      </c>
      <c r="M779" s="170" t="s">
        <v>2148</v>
      </c>
      <c r="N779" s="294">
        <v>11</v>
      </c>
      <c r="O779" s="170"/>
    </row>
    <row r="780" ht="15.75" customHeight="1" spans="1:15">
      <c r="A780" s="183" t="str">
        <f>VLOOKUP(F780,数据集标准分类!A:G,7,0)</f>
        <v>02</v>
      </c>
      <c r="B780" s="183" t="str">
        <f>VLOOKUP(F780,数据集标准分类!A:F,6,0)</f>
        <v>电子病历</v>
      </c>
      <c r="C780" s="183" t="str">
        <f>VLOOKUP(F780,数据集标准分类!A:E,5,0)</f>
        <v>0206</v>
      </c>
      <c r="D780" s="183" t="str">
        <f>VLOOKUP(F780,数据集标准分类!A:D,4,0)</f>
        <v>手术麻醉记录</v>
      </c>
      <c r="E780" s="183" t="str">
        <f>VLOOKUP(F780,数据集标准分类!A:C,3,0)</f>
        <v>020607</v>
      </c>
      <c r="F780" s="170" t="s">
        <v>2133</v>
      </c>
      <c r="G780" s="183" t="str">
        <f>VLOOKUP(F780,数据集标准分类!A:B,2,0)</f>
        <v>anes_preoperative_visiting</v>
      </c>
      <c r="H780" s="294">
        <f>VLOOKUP(F780,数据集标准分类!A:H,8,0)</f>
        <v>33</v>
      </c>
      <c r="I780" s="170" t="s">
        <v>2149</v>
      </c>
      <c r="J780" s="170" t="s">
        <v>2150</v>
      </c>
      <c r="K780" s="170" t="s">
        <v>2151</v>
      </c>
      <c r="L780" s="170" t="s">
        <v>2152</v>
      </c>
      <c r="M780" s="170" t="s">
        <v>2153</v>
      </c>
      <c r="N780" s="294">
        <v>12</v>
      </c>
      <c r="O780" s="170"/>
    </row>
    <row r="781" ht="15.75" customHeight="1" spans="1:15">
      <c r="A781" s="183" t="str">
        <f>VLOOKUP(F781,数据集标准分类!A:G,7,0)</f>
        <v>02</v>
      </c>
      <c r="B781" s="183" t="str">
        <f>VLOOKUP(F781,数据集标准分类!A:F,6,0)</f>
        <v>电子病历</v>
      </c>
      <c r="C781" s="183" t="str">
        <f>VLOOKUP(F781,数据集标准分类!A:E,5,0)</f>
        <v>0206</v>
      </c>
      <c r="D781" s="183" t="str">
        <f>VLOOKUP(F781,数据集标准分类!A:D,4,0)</f>
        <v>手术麻醉记录</v>
      </c>
      <c r="E781" s="183" t="str">
        <f>VLOOKUP(F781,数据集标准分类!A:C,3,0)</f>
        <v>020607</v>
      </c>
      <c r="F781" s="170" t="s">
        <v>2133</v>
      </c>
      <c r="G781" s="183" t="str">
        <f>VLOOKUP(F781,数据集标准分类!A:B,2,0)</f>
        <v>anes_preoperative_visiting</v>
      </c>
      <c r="H781" s="294">
        <f>VLOOKUP(F781,数据集标准分类!A:H,8,0)</f>
        <v>33</v>
      </c>
      <c r="I781" s="170" t="s">
        <v>2154</v>
      </c>
      <c r="J781" s="170" t="s">
        <v>2155</v>
      </c>
      <c r="K781" s="170" t="s">
        <v>2156</v>
      </c>
      <c r="L781" s="170" t="s">
        <v>2157</v>
      </c>
      <c r="M781" s="170" t="s">
        <v>2158</v>
      </c>
      <c r="N781" s="294">
        <v>13</v>
      </c>
      <c r="O781" s="170"/>
    </row>
    <row r="782" ht="15.75" customHeight="1" spans="1:15">
      <c r="A782" s="183" t="str">
        <f>VLOOKUP(F782,数据集标准分类!A:G,7,0)</f>
        <v>02</v>
      </c>
      <c r="B782" s="183" t="str">
        <f>VLOOKUP(F782,数据集标准分类!A:F,6,0)</f>
        <v>电子病历</v>
      </c>
      <c r="C782" s="183" t="str">
        <f>VLOOKUP(F782,数据集标准分类!A:E,5,0)</f>
        <v>0206</v>
      </c>
      <c r="D782" s="183" t="str">
        <f>VLOOKUP(F782,数据集标准分类!A:D,4,0)</f>
        <v>手术麻醉记录</v>
      </c>
      <c r="E782" s="183" t="str">
        <f>VLOOKUP(F782,数据集标准分类!A:C,3,0)</f>
        <v>020607</v>
      </c>
      <c r="F782" s="170" t="s">
        <v>2133</v>
      </c>
      <c r="G782" s="183" t="str">
        <f>VLOOKUP(F782,数据集标准分类!A:B,2,0)</f>
        <v>anes_preoperative_visiting</v>
      </c>
      <c r="H782" s="294">
        <f>VLOOKUP(F782,数据集标准分类!A:H,8,0)</f>
        <v>33</v>
      </c>
      <c r="I782" s="170" t="s">
        <v>2159</v>
      </c>
      <c r="J782" s="170" t="s">
        <v>2160</v>
      </c>
      <c r="K782" s="170" t="s">
        <v>2161</v>
      </c>
      <c r="L782" s="170" t="s">
        <v>2162</v>
      </c>
      <c r="M782" s="170" t="s">
        <v>2163</v>
      </c>
      <c r="N782" s="294">
        <v>14</v>
      </c>
      <c r="O782" s="170"/>
    </row>
    <row r="783" ht="15.75" customHeight="1" spans="1:15">
      <c r="A783" s="183" t="str">
        <f>VLOOKUP(F783,数据集标准分类!A:G,7,0)</f>
        <v>02</v>
      </c>
      <c r="B783" s="183" t="str">
        <f>VLOOKUP(F783,数据集标准分类!A:F,6,0)</f>
        <v>电子病历</v>
      </c>
      <c r="C783" s="183" t="str">
        <f>VLOOKUP(F783,数据集标准分类!A:E,5,0)</f>
        <v>0206</v>
      </c>
      <c r="D783" s="183" t="str">
        <f>VLOOKUP(F783,数据集标准分类!A:D,4,0)</f>
        <v>手术麻醉记录</v>
      </c>
      <c r="E783" s="183" t="str">
        <f>VLOOKUP(F783,数据集标准分类!A:C,3,0)</f>
        <v>020607</v>
      </c>
      <c r="F783" s="170" t="s">
        <v>2133</v>
      </c>
      <c r="G783" s="183" t="str">
        <f>VLOOKUP(F783,数据集标准分类!A:B,2,0)</f>
        <v>anes_preoperative_visiting</v>
      </c>
      <c r="H783" s="294">
        <f>VLOOKUP(F783,数据集标准分类!A:H,8,0)</f>
        <v>33</v>
      </c>
      <c r="I783" s="170" t="s">
        <v>2164</v>
      </c>
      <c r="J783" s="170" t="s">
        <v>2165</v>
      </c>
      <c r="K783" s="170" t="s">
        <v>2166</v>
      </c>
      <c r="L783" s="170" t="s">
        <v>2167</v>
      </c>
      <c r="M783" s="170" t="s">
        <v>2168</v>
      </c>
      <c r="N783" s="294">
        <v>15</v>
      </c>
      <c r="O783" s="170"/>
    </row>
    <row r="784" ht="15.75" customHeight="1" spans="1:15">
      <c r="A784" s="183" t="str">
        <f>VLOOKUP(F784,数据集标准分类!A:G,7,0)</f>
        <v>02</v>
      </c>
      <c r="B784" s="183" t="str">
        <f>VLOOKUP(F784,数据集标准分类!A:F,6,0)</f>
        <v>电子病历</v>
      </c>
      <c r="C784" s="183" t="str">
        <f>VLOOKUP(F784,数据集标准分类!A:E,5,0)</f>
        <v>0206</v>
      </c>
      <c r="D784" s="183" t="str">
        <f>VLOOKUP(F784,数据集标准分类!A:D,4,0)</f>
        <v>手术麻醉记录</v>
      </c>
      <c r="E784" s="183" t="str">
        <f>VLOOKUP(F784,数据集标准分类!A:C,3,0)</f>
        <v>020607</v>
      </c>
      <c r="F784" s="170" t="s">
        <v>2133</v>
      </c>
      <c r="G784" s="183" t="str">
        <f>VLOOKUP(F784,数据集标准分类!A:B,2,0)</f>
        <v>anes_preoperative_visiting</v>
      </c>
      <c r="H784" s="294">
        <f>VLOOKUP(F784,数据集标准分类!A:H,8,0)</f>
        <v>33</v>
      </c>
      <c r="I784" s="170" t="s">
        <v>2169</v>
      </c>
      <c r="J784" s="170" t="s">
        <v>2170</v>
      </c>
      <c r="K784" s="170" t="s">
        <v>2171</v>
      </c>
      <c r="L784" s="170" t="s">
        <v>2172</v>
      </c>
      <c r="M784" s="170" t="s">
        <v>2173</v>
      </c>
      <c r="N784" s="294">
        <v>16</v>
      </c>
      <c r="O784" s="170"/>
    </row>
    <row r="785" ht="15.75" customHeight="1" spans="1:15">
      <c r="A785" s="183" t="str">
        <f>VLOOKUP(F785,数据集标准分类!A:G,7,0)</f>
        <v>02</v>
      </c>
      <c r="B785" s="183" t="str">
        <f>VLOOKUP(F785,数据集标准分类!A:F,6,0)</f>
        <v>电子病历</v>
      </c>
      <c r="C785" s="183" t="str">
        <f>VLOOKUP(F785,数据集标准分类!A:E,5,0)</f>
        <v>0206</v>
      </c>
      <c r="D785" s="183" t="str">
        <f>VLOOKUP(F785,数据集标准分类!A:D,4,0)</f>
        <v>手术麻醉记录</v>
      </c>
      <c r="E785" s="183" t="str">
        <f>VLOOKUP(F785,数据集标准分类!A:C,3,0)</f>
        <v>020607</v>
      </c>
      <c r="F785" s="170" t="s">
        <v>2133</v>
      </c>
      <c r="G785" s="183" t="str">
        <f>VLOOKUP(F785,数据集标准分类!A:B,2,0)</f>
        <v>anes_preoperative_visiting</v>
      </c>
      <c r="H785" s="294">
        <f>VLOOKUP(F785,数据集标准分类!A:H,8,0)</f>
        <v>33</v>
      </c>
      <c r="I785" s="170" t="s">
        <v>2174</v>
      </c>
      <c r="J785" s="170" t="s">
        <v>2175</v>
      </c>
      <c r="K785" s="170" t="s">
        <v>2176</v>
      </c>
      <c r="L785" s="170" t="s">
        <v>2177</v>
      </c>
      <c r="M785" s="170" t="s">
        <v>2178</v>
      </c>
      <c r="N785" s="294">
        <v>17</v>
      </c>
      <c r="O785" s="170"/>
    </row>
    <row r="786" ht="15.75" customHeight="1" spans="1:15">
      <c r="A786" s="183" t="str">
        <f>VLOOKUP(F786,数据集标准分类!A:G,7,0)</f>
        <v>02</v>
      </c>
      <c r="B786" s="183" t="str">
        <f>VLOOKUP(F786,数据集标准分类!A:F,6,0)</f>
        <v>电子病历</v>
      </c>
      <c r="C786" s="183" t="str">
        <f>VLOOKUP(F786,数据集标准分类!A:E,5,0)</f>
        <v>0206</v>
      </c>
      <c r="D786" s="183" t="str">
        <f>VLOOKUP(F786,数据集标准分类!A:D,4,0)</f>
        <v>手术麻醉记录</v>
      </c>
      <c r="E786" s="183" t="str">
        <f>VLOOKUP(F786,数据集标准分类!A:C,3,0)</f>
        <v>020607</v>
      </c>
      <c r="F786" s="170" t="s">
        <v>2133</v>
      </c>
      <c r="G786" s="183" t="str">
        <f>VLOOKUP(F786,数据集标准分类!A:B,2,0)</f>
        <v>anes_preoperative_visiting</v>
      </c>
      <c r="H786" s="294">
        <f>VLOOKUP(F786,数据集标准分类!A:H,8,0)</f>
        <v>33</v>
      </c>
      <c r="I786" s="170" t="s">
        <v>2179</v>
      </c>
      <c r="J786" s="170" t="s">
        <v>2180</v>
      </c>
      <c r="K786" s="170" t="s">
        <v>2181</v>
      </c>
      <c r="L786" s="170" t="s">
        <v>2182</v>
      </c>
      <c r="M786" s="170" t="s">
        <v>2183</v>
      </c>
      <c r="N786" s="294">
        <v>18</v>
      </c>
      <c r="O786" s="170"/>
    </row>
    <row r="787" ht="15.75" customHeight="1" spans="1:15">
      <c r="A787" s="183" t="str">
        <f>VLOOKUP(F787,数据集标准分类!A:G,7,0)</f>
        <v>02</v>
      </c>
      <c r="B787" s="183" t="str">
        <f>VLOOKUP(F787,数据集标准分类!A:F,6,0)</f>
        <v>电子病历</v>
      </c>
      <c r="C787" s="183" t="str">
        <f>VLOOKUP(F787,数据集标准分类!A:E,5,0)</f>
        <v>0206</v>
      </c>
      <c r="D787" s="183" t="str">
        <f>VLOOKUP(F787,数据集标准分类!A:D,4,0)</f>
        <v>手术麻醉记录</v>
      </c>
      <c r="E787" s="183" t="str">
        <f>VLOOKUP(F787,数据集标准分类!A:C,3,0)</f>
        <v>020607</v>
      </c>
      <c r="F787" s="170" t="s">
        <v>2133</v>
      </c>
      <c r="G787" s="183" t="str">
        <f>VLOOKUP(F787,数据集标准分类!A:B,2,0)</f>
        <v>anes_preoperative_visiting</v>
      </c>
      <c r="H787" s="294">
        <f>VLOOKUP(F787,数据集标准分类!A:H,8,0)</f>
        <v>33</v>
      </c>
      <c r="I787" s="170" t="s">
        <v>2184</v>
      </c>
      <c r="J787" s="170" t="s">
        <v>2185</v>
      </c>
      <c r="K787" s="170" t="s">
        <v>2186</v>
      </c>
      <c r="L787" s="170" t="s">
        <v>2187</v>
      </c>
      <c r="M787" s="170" t="s">
        <v>2188</v>
      </c>
      <c r="N787" s="294">
        <v>19</v>
      </c>
      <c r="O787" s="170"/>
    </row>
    <row r="788" ht="15.75" customHeight="1" spans="1:15">
      <c r="A788" s="183" t="str">
        <f>VLOOKUP(F788,数据集标准分类!A:G,7,0)</f>
        <v>02</v>
      </c>
      <c r="B788" s="183" t="str">
        <f>VLOOKUP(F788,数据集标准分类!A:F,6,0)</f>
        <v>电子病历</v>
      </c>
      <c r="C788" s="183" t="str">
        <f>VLOOKUP(F788,数据集标准分类!A:E,5,0)</f>
        <v>0206</v>
      </c>
      <c r="D788" s="183" t="str">
        <f>VLOOKUP(F788,数据集标准分类!A:D,4,0)</f>
        <v>手术麻醉记录</v>
      </c>
      <c r="E788" s="183" t="str">
        <f>VLOOKUP(F788,数据集标准分类!A:C,3,0)</f>
        <v>020607</v>
      </c>
      <c r="F788" s="170" t="s">
        <v>2133</v>
      </c>
      <c r="G788" s="183" t="str">
        <f>VLOOKUP(F788,数据集标准分类!A:B,2,0)</f>
        <v>anes_preoperative_visiting</v>
      </c>
      <c r="H788" s="294">
        <f>VLOOKUP(F788,数据集标准分类!A:H,8,0)</f>
        <v>33</v>
      </c>
      <c r="I788" s="170" t="s">
        <v>2189</v>
      </c>
      <c r="J788" s="170" t="s">
        <v>2190</v>
      </c>
      <c r="K788" s="170" t="s">
        <v>2191</v>
      </c>
      <c r="L788" s="170" t="s">
        <v>2192</v>
      </c>
      <c r="M788" s="170" t="s">
        <v>2193</v>
      </c>
      <c r="N788" s="294">
        <v>20</v>
      </c>
      <c r="O788" s="170"/>
    </row>
    <row r="789" ht="15.75" customHeight="1" spans="1:15">
      <c r="A789" s="183" t="str">
        <f>VLOOKUP(F789,数据集标准分类!A:G,7,0)</f>
        <v>02</v>
      </c>
      <c r="B789" s="183" t="str">
        <f>VLOOKUP(F789,数据集标准分类!A:F,6,0)</f>
        <v>电子病历</v>
      </c>
      <c r="C789" s="183" t="str">
        <f>VLOOKUP(F789,数据集标准分类!A:E,5,0)</f>
        <v>0206</v>
      </c>
      <c r="D789" s="183" t="str">
        <f>VLOOKUP(F789,数据集标准分类!A:D,4,0)</f>
        <v>手术麻醉记录</v>
      </c>
      <c r="E789" s="183" t="str">
        <f>VLOOKUP(F789,数据集标准分类!A:C,3,0)</f>
        <v>020607</v>
      </c>
      <c r="F789" s="170" t="s">
        <v>2133</v>
      </c>
      <c r="G789" s="183" t="str">
        <f>VLOOKUP(F789,数据集标准分类!A:B,2,0)</f>
        <v>anes_preoperative_visiting</v>
      </c>
      <c r="H789" s="294">
        <f>VLOOKUP(F789,数据集标准分类!A:H,8,0)</f>
        <v>33</v>
      </c>
      <c r="I789" s="170" t="s">
        <v>2194</v>
      </c>
      <c r="J789" s="170" t="s">
        <v>2195</v>
      </c>
      <c r="K789" s="170" t="s">
        <v>2196</v>
      </c>
      <c r="L789" s="170" t="s">
        <v>2197</v>
      </c>
      <c r="M789" s="170" t="s">
        <v>2198</v>
      </c>
      <c r="N789" s="294">
        <v>21</v>
      </c>
      <c r="O789" s="170"/>
    </row>
    <row r="790" ht="15.75" customHeight="1" spans="1:15">
      <c r="A790" s="183" t="str">
        <f>VLOOKUP(F790,数据集标准分类!A:G,7,0)</f>
        <v>02</v>
      </c>
      <c r="B790" s="183" t="str">
        <f>VLOOKUP(F790,数据集标准分类!A:F,6,0)</f>
        <v>电子病历</v>
      </c>
      <c r="C790" s="183" t="str">
        <f>VLOOKUP(F790,数据集标准分类!A:E,5,0)</f>
        <v>0206</v>
      </c>
      <c r="D790" s="183" t="str">
        <f>VLOOKUP(F790,数据集标准分类!A:D,4,0)</f>
        <v>手术麻醉记录</v>
      </c>
      <c r="E790" s="183" t="str">
        <f>VLOOKUP(F790,数据集标准分类!A:C,3,0)</f>
        <v>020607</v>
      </c>
      <c r="F790" s="170" t="s">
        <v>2133</v>
      </c>
      <c r="G790" s="183" t="str">
        <f>VLOOKUP(F790,数据集标准分类!A:B,2,0)</f>
        <v>anes_preoperative_visiting</v>
      </c>
      <c r="H790" s="294">
        <f>VLOOKUP(F790,数据集标准分类!A:H,8,0)</f>
        <v>33</v>
      </c>
      <c r="I790" s="170" t="s">
        <v>715</v>
      </c>
      <c r="J790" s="170" t="s">
        <v>716</v>
      </c>
      <c r="K790" s="170" t="s">
        <v>717</v>
      </c>
      <c r="L790" s="170" t="s">
        <v>718</v>
      </c>
      <c r="M790" s="170" t="s">
        <v>719</v>
      </c>
      <c r="N790" s="294">
        <v>22</v>
      </c>
      <c r="O790" s="170"/>
    </row>
    <row r="791" ht="15.75" customHeight="1" spans="1:15">
      <c r="A791" s="183" t="str">
        <f>VLOOKUP(F791,数据集标准分类!A:G,7,0)</f>
        <v>02</v>
      </c>
      <c r="B791" s="183" t="str">
        <f>VLOOKUP(F791,数据集标准分类!A:F,6,0)</f>
        <v>电子病历</v>
      </c>
      <c r="C791" s="183" t="str">
        <f>VLOOKUP(F791,数据集标准分类!A:E,5,0)</f>
        <v>0206</v>
      </c>
      <c r="D791" s="183" t="str">
        <f>VLOOKUP(F791,数据集标准分类!A:D,4,0)</f>
        <v>手术麻醉记录</v>
      </c>
      <c r="E791" s="183" t="str">
        <f>VLOOKUP(F791,数据集标准分类!A:C,3,0)</f>
        <v>020607</v>
      </c>
      <c r="F791" s="170" t="s">
        <v>2133</v>
      </c>
      <c r="G791" s="183" t="str">
        <f>VLOOKUP(F791,数据集标准分类!A:B,2,0)</f>
        <v>anes_preoperative_visiting</v>
      </c>
      <c r="H791" s="294">
        <f>VLOOKUP(F791,数据集标准分类!A:H,8,0)</f>
        <v>33</v>
      </c>
      <c r="I791" s="170" t="s">
        <v>2199</v>
      </c>
      <c r="J791" s="170" t="s">
        <v>2200</v>
      </c>
      <c r="K791" s="170" t="s">
        <v>2201</v>
      </c>
      <c r="L791" s="170" t="s">
        <v>2202</v>
      </c>
      <c r="M791" s="170" t="s">
        <v>2203</v>
      </c>
      <c r="N791" s="294">
        <v>23</v>
      </c>
      <c r="O791" s="170"/>
    </row>
    <row r="792" ht="15.75" customHeight="1" spans="1:15">
      <c r="A792" s="183" t="str">
        <f>VLOOKUP(F792,数据集标准分类!A:G,7,0)</f>
        <v>02</v>
      </c>
      <c r="B792" s="183" t="str">
        <f>VLOOKUP(F792,数据集标准分类!A:F,6,0)</f>
        <v>电子病历</v>
      </c>
      <c r="C792" s="183" t="str">
        <f>VLOOKUP(F792,数据集标准分类!A:E,5,0)</f>
        <v>0206</v>
      </c>
      <c r="D792" s="183" t="str">
        <f>VLOOKUP(F792,数据集标准分类!A:D,4,0)</f>
        <v>手术麻醉记录</v>
      </c>
      <c r="E792" s="183" t="str">
        <f>VLOOKUP(F792,数据集标准分类!A:C,3,0)</f>
        <v>020607</v>
      </c>
      <c r="F792" s="170" t="s">
        <v>2133</v>
      </c>
      <c r="G792" s="183" t="str">
        <f>VLOOKUP(F792,数据集标准分类!A:B,2,0)</f>
        <v>anes_preoperative_visiting</v>
      </c>
      <c r="H792" s="294">
        <f>VLOOKUP(F792,数据集标准分类!A:H,8,0)</f>
        <v>33</v>
      </c>
      <c r="I792" s="170" t="s">
        <v>2204</v>
      </c>
      <c r="J792" s="170" t="s">
        <v>2205</v>
      </c>
      <c r="K792" s="170" t="s">
        <v>2206</v>
      </c>
      <c r="L792" s="170" t="s">
        <v>2207</v>
      </c>
      <c r="M792" s="170" t="s">
        <v>2208</v>
      </c>
      <c r="N792" s="294">
        <v>24</v>
      </c>
      <c r="O792" s="170"/>
    </row>
    <row r="793" ht="15.75" customHeight="1" spans="1:15">
      <c r="A793" s="183" t="str">
        <f>VLOOKUP(F793,数据集标准分类!A:G,7,0)</f>
        <v>02</v>
      </c>
      <c r="B793" s="183" t="str">
        <f>VLOOKUP(F793,数据集标准分类!A:F,6,0)</f>
        <v>电子病历</v>
      </c>
      <c r="C793" s="183" t="str">
        <f>VLOOKUP(F793,数据集标准分类!A:E,5,0)</f>
        <v>0206</v>
      </c>
      <c r="D793" s="183" t="str">
        <f>VLOOKUP(F793,数据集标准分类!A:D,4,0)</f>
        <v>手术麻醉记录</v>
      </c>
      <c r="E793" s="183" t="str">
        <f>VLOOKUP(F793,数据集标准分类!A:C,3,0)</f>
        <v>020607</v>
      </c>
      <c r="F793" s="170" t="s">
        <v>2133</v>
      </c>
      <c r="G793" s="183" t="str">
        <f>VLOOKUP(F793,数据集标准分类!A:B,2,0)</f>
        <v>anes_preoperative_visiting</v>
      </c>
      <c r="H793" s="294">
        <f>VLOOKUP(F793,数据集标准分类!A:H,8,0)</f>
        <v>33</v>
      </c>
      <c r="I793" s="170" t="s">
        <v>2209</v>
      </c>
      <c r="J793" s="170" t="s">
        <v>2210</v>
      </c>
      <c r="K793" s="170" t="s">
        <v>2211</v>
      </c>
      <c r="L793" s="170" t="s">
        <v>2212</v>
      </c>
      <c r="M793" s="170" t="s">
        <v>2213</v>
      </c>
      <c r="N793" s="294">
        <v>25</v>
      </c>
      <c r="O793" s="170"/>
    </row>
    <row r="794" ht="15.75" customHeight="1" spans="1:15">
      <c r="A794" s="183" t="str">
        <f>VLOOKUP(F794,数据集标准分类!A:G,7,0)</f>
        <v>02</v>
      </c>
      <c r="B794" s="183" t="str">
        <f>VLOOKUP(F794,数据集标准分类!A:F,6,0)</f>
        <v>电子病历</v>
      </c>
      <c r="C794" s="183" t="str">
        <f>VLOOKUP(F794,数据集标准分类!A:E,5,0)</f>
        <v>0206</v>
      </c>
      <c r="D794" s="183" t="str">
        <f>VLOOKUP(F794,数据集标准分类!A:D,4,0)</f>
        <v>手术麻醉记录</v>
      </c>
      <c r="E794" s="183" t="str">
        <f>VLOOKUP(F794,数据集标准分类!A:C,3,0)</f>
        <v>020607</v>
      </c>
      <c r="F794" s="170" t="s">
        <v>2133</v>
      </c>
      <c r="G794" s="183" t="str">
        <f>VLOOKUP(F794,数据集标准分类!A:B,2,0)</f>
        <v>anes_preoperative_visiting</v>
      </c>
      <c r="H794" s="294">
        <f>VLOOKUP(F794,数据集标准分类!A:H,8,0)</f>
        <v>33</v>
      </c>
      <c r="I794" s="170" t="s">
        <v>764</v>
      </c>
      <c r="J794" s="170" t="s">
        <v>765</v>
      </c>
      <c r="K794" s="170" t="s">
        <v>766</v>
      </c>
      <c r="L794" s="170" t="s">
        <v>767</v>
      </c>
      <c r="M794" s="170" t="s">
        <v>2214</v>
      </c>
      <c r="N794" s="294">
        <v>26</v>
      </c>
      <c r="O794" s="170"/>
    </row>
    <row r="795" ht="15.75" customHeight="1" spans="1:15">
      <c r="A795" s="183" t="str">
        <f>VLOOKUP(F795,数据集标准分类!A:G,7,0)</f>
        <v>02</v>
      </c>
      <c r="B795" s="183" t="str">
        <f>VLOOKUP(F795,数据集标准分类!A:F,6,0)</f>
        <v>电子病历</v>
      </c>
      <c r="C795" s="183" t="str">
        <f>VLOOKUP(F795,数据集标准分类!A:E,5,0)</f>
        <v>0206</v>
      </c>
      <c r="D795" s="183" t="str">
        <f>VLOOKUP(F795,数据集标准分类!A:D,4,0)</f>
        <v>手术麻醉记录</v>
      </c>
      <c r="E795" s="183" t="str">
        <f>VLOOKUP(F795,数据集标准分类!A:C,3,0)</f>
        <v>020607</v>
      </c>
      <c r="F795" s="170" t="s">
        <v>2133</v>
      </c>
      <c r="G795" s="183" t="str">
        <f>VLOOKUP(F795,数据集标准分类!A:B,2,0)</f>
        <v>anes_preoperative_visiting</v>
      </c>
      <c r="H795" s="294">
        <f>VLOOKUP(F795,数据集标准分类!A:H,8,0)</f>
        <v>33</v>
      </c>
      <c r="I795" s="170" t="s">
        <v>759</v>
      </c>
      <c r="J795" s="170" t="s">
        <v>760</v>
      </c>
      <c r="K795" s="170" t="s">
        <v>761</v>
      </c>
      <c r="L795" s="170" t="s">
        <v>762</v>
      </c>
      <c r="M795" s="170" t="s">
        <v>2215</v>
      </c>
      <c r="N795" s="294">
        <v>27</v>
      </c>
      <c r="O795" s="170"/>
    </row>
    <row r="796" ht="15.75" customHeight="1" spans="1:15">
      <c r="A796" s="183" t="str">
        <f>VLOOKUP(F796,数据集标准分类!A:G,7,0)</f>
        <v>02</v>
      </c>
      <c r="B796" s="183" t="str">
        <f>VLOOKUP(F796,数据集标准分类!A:F,6,0)</f>
        <v>电子病历</v>
      </c>
      <c r="C796" s="183" t="str">
        <f>VLOOKUP(F796,数据集标准分类!A:E,5,0)</f>
        <v>0206</v>
      </c>
      <c r="D796" s="183" t="str">
        <f>VLOOKUP(F796,数据集标准分类!A:D,4,0)</f>
        <v>手术麻醉记录</v>
      </c>
      <c r="E796" s="183" t="str">
        <f>VLOOKUP(F796,数据集标准分类!A:C,3,0)</f>
        <v>020607</v>
      </c>
      <c r="F796" s="170" t="s">
        <v>2133</v>
      </c>
      <c r="G796" s="183" t="str">
        <f>VLOOKUP(F796,数据集标准分类!A:B,2,0)</f>
        <v>anes_preoperative_visiting</v>
      </c>
      <c r="H796" s="294">
        <f>VLOOKUP(F796,数据集标准分类!A:H,8,0)</f>
        <v>33</v>
      </c>
      <c r="I796" s="170" t="s">
        <v>744</v>
      </c>
      <c r="J796" s="170" t="s">
        <v>745</v>
      </c>
      <c r="K796" s="170" t="s">
        <v>746</v>
      </c>
      <c r="L796" s="170" t="s">
        <v>747</v>
      </c>
      <c r="M796" s="170" t="s">
        <v>2216</v>
      </c>
      <c r="N796" s="294">
        <v>28</v>
      </c>
      <c r="O796" s="170"/>
    </row>
    <row r="797" ht="15.75" customHeight="1" spans="1:15">
      <c r="A797" s="183" t="str">
        <f>VLOOKUP(F797,数据集标准分类!A:G,7,0)</f>
        <v>02</v>
      </c>
      <c r="B797" s="183" t="str">
        <f>VLOOKUP(F797,数据集标准分类!A:F,6,0)</f>
        <v>电子病历</v>
      </c>
      <c r="C797" s="183" t="str">
        <f>VLOOKUP(F797,数据集标准分类!A:E,5,0)</f>
        <v>0206</v>
      </c>
      <c r="D797" s="183" t="str">
        <f>VLOOKUP(F797,数据集标准分类!A:D,4,0)</f>
        <v>手术麻醉记录</v>
      </c>
      <c r="E797" s="183" t="str">
        <f>VLOOKUP(F797,数据集标准分类!A:C,3,0)</f>
        <v>020607</v>
      </c>
      <c r="F797" s="170" t="s">
        <v>2133</v>
      </c>
      <c r="G797" s="183" t="str">
        <f>VLOOKUP(F797,数据集标准分类!A:B,2,0)</f>
        <v>anes_preoperative_visiting</v>
      </c>
      <c r="H797" s="294">
        <f>VLOOKUP(F797,数据集标准分类!A:H,8,0)</f>
        <v>33</v>
      </c>
      <c r="I797" s="170" t="s">
        <v>2217</v>
      </c>
      <c r="J797" s="170" t="s">
        <v>2218</v>
      </c>
      <c r="K797" s="170" t="s">
        <v>2219</v>
      </c>
      <c r="L797" s="170" t="s">
        <v>2220</v>
      </c>
      <c r="M797" s="170" t="s">
        <v>2221</v>
      </c>
      <c r="N797" s="294">
        <v>29</v>
      </c>
      <c r="O797" s="170"/>
    </row>
    <row r="798" ht="15.75" customHeight="1" spans="1:15">
      <c r="A798" s="183" t="str">
        <f>VLOOKUP(F798,数据集标准分类!A:G,7,0)</f>
        <v>02</v>
      </c>
      <c r="B798" s="183" t="str">
        <f>VLOOKUP(F798,数据集标准分类!A:F,6,0)</f>
        <v>电子病历</v>
      </c>
      <c r="C798" s="183" t="str">
        <f>VLOOKUP(F798,数据集标准分类!A:E,5,0)</f>
        <v>0206</v>
      </c>
      <c r="D798" s="183" t="str">
        <f>VLOOKUP(F798,数据集标准分类!A:D,4,0)</f>
        <v>手术麻醉记录</v>
      </c>
      <c r="E798" s="183" t="str">
        <f>VLOOKUP(F798,数据集标准分类!A:C,3,0)</f>
        <v>020607</v>
      </c>
      <c r="F798" s="170" t="s">
        <v>2133</v>
      </c>
      <c r="G798" s="183" t="str">
        <f>VLOOKUP(F798,数据集标准分类!A:B,2,0)</f>
        <v>anes_preoperative_visiting</v>
      </c>
      <c r="H798" s="294">
        <f>VLOOKUP(F798,数据集标准分类!A:H,8,0)</f>
        <v>33</v>
      </c>
      <c r="I798" s="170" t="s">
        <v>2222</v>
      </c>
      <c r="J798" s="170" t="s">
        <v>2223</v>
      </c>
      <c r="K798" s="170" t="s">
        <v>2224</v>
      </c>
      <c r="L798" s="170" t="s">
        <v>2225</v>
      </c>
      <c r="M798" s="170" t="s">
        <v>2226</v>
      </c>
      <c r="N798" s="294">
        <v>30</v>
      </c>
      <c r="O798" s="170"/>
    </row>
    <row r="799" ht="15.75" customHeight="1" spans="1:15">
      <c r="A799" s="183" t="str">
        <f>VLOOKUP(F799,数据集标准分类!A:G,7,0)</f>
        <v>02</v>
      </c>
      <c r="B799" s="183" t="str">
        <f>VLOOKUP(F799,数据集标准分类!A:F,6,0)</f>
        <v>电子病历</v>
      </c>
      <c r="C799" s="183" t="str">
        <f>VLOOKUP(F799,数据集标准分类!A:E,5,0)</f>
        <v>0206</v>
      </c>
      <c r="D799" s="183" t="str">
        <f>VLOOKUP(F799,数据集标准分类!A:D,4,0)</f>
        <v>手术麻醉记录</v>
      </c>
      <c r="E799" s="183" t="str">
        <f>VLOOKUP(F799,数据集标准分类!A:C,3,0)</f>
        <v>020607</v>
      </c>
      <c r="F799" s="170" t="s">
        <v>2133</v>
      </c>
      <c r="G799" s="183" t="str">
        <f>VLOOKUP(F799,数据集标准分类!A:B,2,0)</f>
        <v>anes_preoperative_visiting</v>
      </c>
      <c r="H799" s="294">
        <f>VLOOKUP(F799,数据集标准分类!A:H,8,0)</f>
        <v>33</v>
      </c>
      <c r="I799" s="170" t="s">
        <v>1006</v>
      </c>
      <c r="J799" s="170" t="s">
        <v>1007</v>
      </c>
      <c r="K799" s="170" t="s">
        <v>1008</v>
      </c>
      <c r="L799" s="170" t="s">
        <v>1009</v>
      </c>
      <c r="M799" s="170" t="s">
        <v>2227</v>
      </c>
      <c r="N799" s="294">
        <v>31</v>
      </c>
      <c r="O799" s="170"/>
    </row>
    <row r="800" ht="15.75" customHeight="1" spans="1:15">
      <c r="A800" s="183" t="str">
        <f>VLOOKUP(F800,数据集标准分类!A:G,7,0)</f>
        <v>02</v>
      </c>
      <c r="B800" s="183" t="str">
        <f>VLOOKUP(F800,数据集标准分类!A:F,6,0)</f>
        <v>电子病历</v>
      </c>
      <c r="C800" s="183" t="str">
        <f>VLOOKUP(F800,数据集标准分类!A:E,5,0)</f>
        <v>0206</v>
      </c>
      <c r="D800" s="183" t="str">
        <f>VLOOKUP(F800,数据集标准分类!A:D,4,0)</f>
        <v>手术麻醉记录</v>
      </c>
      <c r="E800" s="183" t="str">
        <f>VLOOKUP(F800,数据集标准分类!A:C,3,0)</f>
        <v>020607</v>
      </c>
      <c r="F800" s="170" t="s">
        <v>2133</v>
      </c>
      <c r="G800" s="183" t="str">
        <f>VLOOKUP(F800,数据集标准分类!A:B,2,0)</f>
        <v>anes_preoperative_visiting</v>
      </c>
      <c r="H800" s="294">
        <f>VLOOKUP(F800,数据集标准分类!A:H,8,0)</f>
        <v>33</v>
      </c>
      <c r="I800" s="170" t="s">
        <v>2128</v>
      </c>
      <c r="J800" s="170" t="s">
        <v>2129</v>
      </c>
      <c r="K800" s="170" t="s">
        <v>2130</v>
      </c>
      <c r="L800" s="170" t="s">
        <v>2131</v>
      </c>
      <c r="M800" s="170" t="s">
        <v>2132</v>
      </c>
      <c r="N800" s="294">
        <v>32</v>
      </c>
      <c r="O800" s="170"/>
    </row>
    <row r="801" ht="15.75" customHeight="1" spans="1:15">
      <c r="A801" s="183" t="str">
        <f>VLOOKUP(F801,数据集标准分类!A:G,7,0)</f>
        <v>02</v>
      </c>
      <c r="B801" s="183" t="str">
        <f>VLOOKUP(F801,数据集标准分类!A:F,6,0)</f>
        <v>电子病历</v>
      </c>
      <c r="C801" s="183" t="str">
        <f>VLOOKUP(F801,数据集标准分类!A:E,5,0)</f>
        <v>0206</v>
      </c>
      <c r="D801" s="183" t="str">
        <f>VLOOKUP(F801,数据集标准分类!A:D,4,0)</f>
        <v>手术麻醉记录</v>
      </c>
      <c r="E801" s="183" t="str">
        <f>VLOOKUP(F801,数据集标准分类!A:C,3,0)</f>
        <v>020608</v>
      </c>
      <c r="F801" s="297" t="s">
        <v>2228</v>
      </c>
      <c r="G801" s="183" t="str">
        <f>VLOOKUP(F801,数据集标准分类!A:B,2,0)</f>
        <v>preop_md_disc_record</v>
      </c>
      <c r="H801" s="294">
        <f>VLOOKUP(F801,数据集标准分类!A:H,8,0)</f>
        <v>34</v>
      </c>
      <c r="I801" s="297" t="s">
        <v>1751</v>
      </c>
      <c r="J801" s="297" t="s">
        <v>1752</v>
      </c>
      <c r="K801" s="297" t="s">
        <v>1753</v>
      </c>
      <c r="L801" s="297" t="s">
        <v>1754</v>
      </c>
      <c r="M801" s="297"/>
      <c r="N801" s="296">
        <v>1</v>
      </c>
      <c r="O801" s="297"/>
    </row>
    <row r="802" ht="15.75" customHeight="1" spans="1:15">
      <c r="A802" s="183" t="str">
        <f>VLOOKUP(F802,数据集标准分类!A:G,7,0)</f>
        <v>02</v>
      </c>
      <c r="B802" s="183" t="str">
        <f>VLOOKUP(F802,数据集标准分类!A:F,6,0)</f>
        <v>电子病历</v>
      </c>
      <c r="C802" s="183" t="str">
        <f>VLOOKUP(F802,数据集标准分类!A:E,5,0)</f>
        <v>0206</v>
      </c>
      <c r="D802" s="183" t="str">
        <f>VLOOKUP(F802,数据集标准分类!A:D,4,0)</f>
        <v>手术麻醉记录</v>
      </c>
      <c r="E802" s="183" t="str">
        <f>VLOOKUP(F802,数据集标准分类!A:C,3,0)</f>
        <v>020608</v>
      </c>
      <c r="F802" s="297" t="s">
        <v>2228</v>
      </c>
      <c r="G802" s="183" t="str">
        <f>VLOOKUP(F802,数据集标准分类!A:B,2,0)</f>
        <v>preop_md_disc_record</v>
      </c>
      <c r="H802" s="294">
        <f>VLOOKUP(F802,数据集标准分类!A:H,8,0)</f>
        <v>34</v>
      </c>
      <c r="I802" s="297" t="s">
        <v>1755</v>
      </c>
      <c r="J802" s="297" t="s">
        <v>1756</v>
      </c>
      <c r="K802" s="297" t="s">
        <v>1757</v>
      </c>
      <c r="L802" s="297" t="s">
        <v>1758</v>
      </c>
      <c r="M802" s="297"/>
      <c r="N802" s="296">
        <v>2</v>
      </c>
      <c r="O802" s="297"/>
    </row>
    <row r="803" ht="15.75" customHeight="1" spans="1:15">
      <c r="A803" s="183" t="str">
        <f>VLOOKUP(F803,数据集标准分类!A:G,7,0)</f>
        <v>02</v>
      </c>
      <c r="B803" s="183" t="str">
        <f>VLOOKUP(F803,数据集标准分类!A:F,6,0)</f>
        <v>电子病历</v>
      </c>
      <c r="C803" s="183" t="str">
        <f>VLOOKUP(F803,数据集标准分类!A:E,5,0)</f>
        <v>0206</v>
      </c>
      <c r="D803" s="183" t="str">
        <f>VLOOKUP(F803,数据集标准分类!A:D,4,0)</f>
        <v>手术麻醉记录</v>
      </c>
      <c r="E803" s="183" t="str">
        <f>VLOOKUP(F803,数据集标准分类!A:C,3,0)</f>
        <v>020608</v>
      </c>
      <c r="F803" s="297" t="s">
        <v>2228</v>
      </c>
      <c r="G803" s="183" t="str">
        <f>VLOOKUP(F803,数据集标准分类!A:B,2,0)</f>
        <v>preop_md_disc_record</v>
      </c>
      <c r="H803" s="294">
        <f>VLOOKUP(F803,数据集标准分类!A:H,8,0)</f>
        <v>34</v>
      </c>
      <c r="I803" s="297" t="s">
        <v>1759</v>
      </c>
      <c r="J803" s="297" t="s">
        <v>1760</v>
      </c>
      <c r="K803" s="297" t="s">
        <v>1761</v>
      </c>
      <c r="L803" s="297" t="s">
        <v>1762</v>
      </c>
      <c r="M803" s="297"/>
      <c r="N803" s="296">
        <v>3</v>
      </c>
      <c r="O803" s="297"/>
    </row>
    <row r="804" ht="15.75" customHeight="1" spans="1:15">
      <c r="A804" s="183" t="str">
        <f>VLOOKUP(F804,数据集标准分类!A:G,7,0)</f>
        <v>02</v>
      </c>
      <c r="B804" s="183" t="str">
        <f>VLOOKUP(F804,数据集标准分类!A:F,6,0)</f>
        <v>电子病历</v>
      </c>
      <c r="C804" s="183" t="str">
        <f>VLOOKUP(F804,数据集标准分类!A:E,5,0)</f>
        <v>0206</v>
      </c>
      <c r="D804" s="183" t="str">
        <f>VLOOKUP(F804,数据集标准分类!A:D,4,0)</f>
        <v>手术麻醉记录</v>
      </c>
      <c r="E804" s="183" t="str">
        <f>VLOOKUP(F804,数据集标准分类!A:C,3,0)</f>
        <v>020608</v>
      </c>
      <c r="F804" s="297" t="s">
        <v>2228</v>
      </c>
      <c r="G804" s="183" t="str">
        <f>VLOOKUP(F804,数据集标准分类!A:B,2,0)</f>
        <v>preop_md_disc_record</v>
      </c>
      <c r="H804" s="294">
        <f>VLOOKUP(F804,数据集标准分类!A:H,8,0)</f>
        <v>34</v>
      </c>
      <c r="I804" s="297" t="s">
        <v>966</v>
      </c>
      <c r="J804" s="297" t="s">
        <v>967</v>
      </c>
      <c r="K804" s="297" t="s">
        <v>968</v>
      </c>
      <c r="L804" s="297" t="s">
        <v>1773</v>
      </c>
      <c r="M804" s="297"/>
      <c r="N804" s="296">
        <v>4</v>
      </c>
      <c r="O804" s="297"/>
    </row>
    <row r="805" ht="15.75" customHeight="1" spans="1:15">
      <c r="A805" s="183" t="str">
        <f>VLOOKUP(F805,数据集标准分类!A:G,7,0)</f>
        <v>02</v>
      </c>
      <c r="B805" s="183" t="str">
        <f>VLOOKUP(F805,数据集标准分类!A:F,6,0)</f>
        <v>电子病历</v>
      </c>
      <c r="C805" s="183" t="str">
        <f>VLOOKUP(F805,数据集标准分类!A:E,5,0)</f>
        <v>0206</v>
      </c>
      <c r="D805" s="183" t="str">
        <f>VLOOKUP(F805,数据集标准分类!A:D,4,0)</f>
        <v>手术麻醉记录</v>
      </c>
      <c r="E805" s="183" t="str">
        <f>VLOOKUP(F805,数据集标准分类!A:C,3,0)</f>
        <v>020608</v>
      </c>
      <c r="F805" s="297" t="s">
        <v>2228</v>
      </c>
      <c r="G805" s="183" t="str">
        <f>VLOOKUP(F805,数据集标准分类!A:B,2,0)</f>
        <v>preop_md_disc_record</v>
      </c>
      <c r="H805" s="294">
        <f>VLOOKUP(F805,数据集标准分类!A:H,8,0)</f>
        <v>34</v>
      </c>
      <c r="I805" s="297" t="s">
        <v>2229</v>
      </c>
      <c r="J805" s="297" t="s">
        <v>2230</v>
      </c>
      <c r="K805" s="297" t="s">
        <v>2231</v>
      </c>
      <c r="L805" s="297" t="s">
        <v>2232</v>
      </c>
      <c r="M805" s="297"/>
      <c r="N805" s="296">
        <v>5</v>
      </c>
      <c r="O805" s="297"/>
    </row>
    <row r="806" ht="15.75" customHeight="1" spans="1:15">
      <c r="A806" s="183" t="str">
        <f>VLOOKUP(F806,数据集标准分类!A:G,7,0)</f>
        <v>02</v>
      </c>
      <c r="B806" s="183" t="str">
        <f>VLOOKUP(F806,数据集标准分类!A:F,6,0)</f>
        <v>电子病历</v>
      </c>
      <c r="C806" s="183" t="str">
        <f>VLOOKUP(F806,数据集标准分类!A:E,5,0)</f>
        <v>0206</v>
      </c>
      <c r="D806" s="183" t="str">
        <f>VLOOKUP(F806,数据集标准分类!A:D,4,0)</f>
        <v>手术麻醉记录</v>
      </c>
      <c r="E806" s="183" t="str">
        <f>VLOOKUP(F806,数据集标准分类!A:C,3,0)</f>
        <v>020608</v>
      </c>
      <c r="F806" s="297" t="s">
        <v>2228</v>
      </c>
      <c r="G806" s="183" t="str">
        <f>VLOOKUP(F806,数据集标准分类!A:B,2,0)</f>
        <v>preop_md_disc_record</v>
      </c>
      <c r="H806" s="294">
        <f>VLOOKUP(F806,数据集标准分类!A:H,8,0)</f>
        <v>34</v>
      </c>
      <c r="I806" s="297" t="s">
        <v>2233</v>
      </c>
      <c r="J806" s="297" t="s">
        <v>2234</v>
      </c>
      <c r="K806" s="297" t="s">
        <v>2235</v>
      </c>
      <c r="L806" s="297" t="s">
        <v>2236</v>
      </c>
      <c r="M806" s="297"/>
      <c r="N806" s="296">
        <v>6</v>
      </c>
      <c r="O806" s="297"/>
    </row>
    <row r="807" ht="15.75" customHeight="1" spans="1:15">
      <c r="A807" s="183" t="str">
        <f>VLOOKUP(F807,数据集标准分类!A:G,7,0)</f>
        <v>02</v>
      </c>
      <c r="B807" s="183" t="str">
        <f>VLOOKUP(F807,数据集标准分类!A:F,6,0)</f>
        <v>电子病历</v>
      </c>
      <c r="C807" s="183" t="str">
        <f>VLOOKUP(F807,数据集标准分类!A:E,5,0)</f>
        <v>0206</v>
      </c>
      <c r="D807" s="183" t="str">
        <f>VLOOKUP(F807,数据集标准分类!A:D,4,0)</f>
        <v>手术麻醉记录</v>
      </c>
      <c r="E807" s="183" t="str">
        <f>VLOOKUP(F807,数据集标准分类!A:C,3,0)</f>
        <v>020608</v>
      </c>
      <c r="F807" s="297" t="s">
        <v>2228</v>
      </c>
      <c r="G807" s="183" t="str">
        <f>VLOOKUP(F807,数据集标准分类!A:B,2,0)</f>
        <v>preop_md_disc_record</v>
      </c>
      <c r="H807" s="294">
        <f>VLOOKUP(F807,数据集标准分类!A:H,8,0)</f>
        <v>34</v>
      </c>
      <c r="I807" s="297" t="s">
        <v>2237</v>
      </c>
      <c r="J807" s="297" t="s">
        <v>2238</v>
      </c>
      <c r="K807" s="297" t="s">
        <v>2239</v>
      </c>
      <c r="L807" s="297" t="s">
        <v>2240</v>
      </c>
      <c r="M807" s="297"/>
      <c r="N807" s="296">
        <v>7</v>
      </c>
      <c r="O807" s="297"/>
    </row>
    <row r="808" ht="15.75" customHeight="1" spans="1:15">
      <c r="A808" s="183" t="str">
        <f>VLOOKUP(F808,数据集标准分类!A:G,7,0)</f>
        <v>02</v>
      </c>
      <c r="B808" s="183" t="str">
        <f>VLOOKUP(F808,数据集标准分类!A:F,6,0)</f>
        <v>电子病历</v>
      </c>
      <c r="C808" s="183" t="str">
        <f>VLOOKUP(F808,数据集标准分类!A:E,5,0)</f>
        <v>0206</v>
      </c>
      <c r="D808" s="183" t="str">
        <f>VLOOKUP(F808,数据集标准分类!A:D,4,0)</f>
        <v>手术麻醉记录</v>
      </c>
      <c r="E808" s="183" t="str">
        <f>VLOOKUP(F808,数据集标准分类!A:C,3,0)</f>
        <v>020608</v>
      </c>
      <c r="F808" s="297" t="s">
        <v>2228</v>
      </c>
      <c r="G808" s="183" t="str">
        <f>VLOOKUP(F808,数据集标准分类!A:B,2,0)</f>
        <v>preop_md_disc_record</v>
      </c>
      <c r="H808" s="294">
        <f>VLOOKUP(F808,数据集标准分类!A:H,8,0)</f>
        <v>34</v>
      </c>
      <c r="I808" s="297" t="s">
        <v>1774</v>
      </c>
      <c r="J808" s="297" t="s">
        <v>1775</v>
      </c>
      <c r="K808" s="297" t="s">
        <v>1776</v>
      </c>
      <c r="L808" s="297" t="s">
        <v>1777</v>
      </c>
      <c r="M808" s="297"/>
      <c r="N808" s="296">
        <v>8</v>
      </c>
      <c r="O808" s="297"/>
    </row>
    <row r="809" ht="15.75" customHeight="1" spans="1:15">
      <c r="A809" s="183" t="str">
        <f>VLOOKUP(F809,数据集标准分类!A:G,7,0)</f>
        <v>02</v>
      </c>
      <c r="B809" s="183" t="str">
        <f>VLOOKUP(F809,数据集标准分类!A:F,6,0)</f>
        <v>电子病历</v>
      </c>
      <c r="C809" s="183" t="str">
        <f>VLOOKUP(F809,数据集标准分类!A:E,5,0)</f>
        <v>0206</v>
      </c>
      <c r="D809" s="183" t="str">
        <f>VLOOKUP(F809,数据集标准分类!A:D,4,0)</f>
        <v>手术麻醉记录</v>
      </c>
      <c r="E809" s="183" t="str">
        <f>VLOOKUP(F809,数据集标准分类!A:C,3,0)</f>
        <v>020608</v>
      </c>
      <c r="F809" s="297" t="s">
        <v>2228</v>
      </c>
      <c r="G809" s="183" t="str">
        <f>VLOOKUP(F809,数据集标准分类!A:B,2,0)</f>
        <v>preop_md_disc_record</v>
      </c>
      <c r="H809" s="294">
        <f>VLOOKUP(F809,数据集标准分类!A:H,8,0)</f>
        <v>34</v>
      </c>
      <c r="I809" s="297" t="s">
        <v>1769</v>
      </c>
      <c r="J809" s="297" t="s">
        <v>1770</v>
      </c>
      <c r="K809" s="297" t="s">
        <v>1771</v>
      </c>
      <c r="L809" s="297" t="s">
        <v>1772</v>
      </c>
      <c r="M809" s="297"/>
      <c r="N809" s="296">
        <v>9</v>
      </c>
      <c r="O809" s="297"/>
    </row>
    <row r="810" ht="15.75" customHeight="1" spans="1:15">
      <c r="A810" s="183" t="str">
        <f>VLOOKUP(F810,数据集标准分类!A:G,7,0)</f>
        <v>02</v>
      </c>
      <c r="B810" s="183" t="str">
        <f>VLOOKUP(F810,数据集标准分类!A:F,6,0)</f>
        <v>电子病历</v>
      </c>
      <c r="C810" s="183" t="str">
        <f>VLOOKUP(F810,数据集标准分类!A:E,5,0)</f>
        <v>0206</v>
      </c>
      <c r="D810" s="183" t="str">
        <f>VLOOKUP(F810,数据集标准分类!A:D,4,0)</f>
        <v>手术麻醉记录</v>
      </c>
      <c r="E810" s="183" t="str">
        <f>VLOOKUP(F810,数据集标准分类!A:C,3,0)</f>
        <v>020608</v>
      </c>
      <c r="F810" s="297" t="s">
        <v>2228</v>
      </c>
      <c r="G810" s="183" t="str">
        <f>VLOOKUP(F810,数据集标准分类!A:B,2,0)</f>
        <v>preop_md_disc_record</v>
      </c>
      <c r="H810" s="294">
        <f>VLOOKUP(F810,数据集标准分类!A:H,8,0)</f>
        <v>34</v>
      </c>
      <c r="I810" s="170" t="s">
        <v>1150</v>
      </c>
      <c r="J810" s="170" t="s">
        <v>1151</v>
      </c>
      <c r="K810" s="170" t="s">
        <v>1152</v>
      </c>
      <c r="L810" s="170" t="s">
        <v>1153</v>
      </c>
      <c r="M810" s="170" t="s">
        <v>1154</v>
      </c>
      <c r="N810" s="296">
        <v>10</v>
      </c>
      <c r="O810" s="297"/>
    </row>
    <row r="811" ht="15.75" customHeight="1" spans="1:15">
      <c r="A811" s="183" t="str">
        <f>VLOOKUP(F811,数据集标准分类!A:G,7,0)</f>
        <v>02</v>
      </c>
      <c r="B811" s="183" t="str">
        <f>VLOOKUP(F811,数据集标准分类!A:F,6,0)</f>
        <v>电子病历</v>
      </c>
      <c r="C811" s="183" t="str">
        <f>VLOOKUP(F811,数据集标准分类!A:E,5,0)</f>
        <v>0206</v>
      </c>
      <c r="D811" s="183" t="str">
        <f>VLOOKUP(F811,数据集标准分类!A:D,4,0)</f>
        <v>手术麻醉记录</v>
      </c>
      <c r="E811" s="183" t="str">
        <f>VLOOKUP(F811,数据集标准分类!A:C,3,0)</f>
        <v>020609</v>
      </c>
      <c r="F811" s="297" t="s">
        <v>2241</v>
      </c>
      <c r="G811" s="183" t="str">
        <f>VLOOKUP(F811,数据集标准分类!A:B,2,0)</f>
        <v>surg_application_record</v>
      </c>
      <c r="H811" s="294">
        <f>VLOOKUP(F811,数据集标准分类!A:H,8,0)</f>
        <v>35</v>
      </c>
      <c r="I811" s="170" t="s">
        <v>2242</v>
      </c>
      <c r="J811" s="170" t="s">
        <v>2243</v>
      </c>
      <c r="K811" s="170" t="s">
        <v>2244</v>
      </c>
      <c r="L811" s="170" t="s">
        <v>2245</v>
      </c>
      <c r="M811" s="297"/>
      <c r="N811" s="296">
        <v>1</v>
      </c>
      <c r="O811" s="297"/>
    </row>
    <row r="812" ht="15.75" customHeight="1" spans="1:15">
      <c r="A812" s="183" t="str">
        <f>VLOOKUP(F812,数据集标准分类!A:G,7,0)</f>
        <v>02</v>
      </c>
      <c r="B812" s="183" t="str">
        <f>VLOOKUP(F812,数据集标准分类!A:F,6,0)</f>
        <v>电子病历</v>
      </c>
      <c r="C812" s="183" t="str">
        <f>VLOOKUP(F812,数据集标准分类!A:E,5,0)</f>
        <v>0206</v>
      </c>
      <c r="D812" s="183" t="str">
        <f>VLOOKUP(F812,数据集标准分类!A:D,4,0)</f>
        <v>手术麻醉记录</v>
      </c>
      <c r="E812" s="183" t="str">
        <f>VLOOKUP(F812,数据集标准分类!A:C,3,0)</f>
        <v>020609</v>
      </c>
      <c r="F812" s="297" t="s">
        <v>2241</v>
      </c>
      <c r="G812" s="183" t="str">
        <f>VLOOKUP(F812,数据集标准分类!A:B,2,0)</f>
        <v>surg_application_record</v>
      </c>
      <c r="H812" s="294">
        <f>VLOOKUP(F812,数据集标准分类!A:H,8,0)</f>
        <v>35</v>
      </c>
      <c r="I812" s="170" t="s">
        <v>2246</v>
      </c>
      <c r="J812" s="170" t="s">
        <v>2247</v>
      </c>
      <c r="K812" s="170" t="s">
        <v>2248</v>
      </c>
      <c r="L812" s="297" t="s">
        <v>2249</v>
      </c>
      <c r="M812" s="297"/>
      <c r="N812" s="296">
        <v>2</v>
      </c>
      <c r="O812" s="297"/>
    </row>
    <row r="813" ht="15.75" customHeight="1" spans="1:15">
      <c r="A813" s="183" t="str">
        <f>VLOOKUP(F813,数据集标准分类!A:G,7,0)</f>
        <v>02</v>
      </c>
      <c r="B813" s="183" t="str">
        <f>VLOOKUP(F813,数据集标准分类!A:F,6,0)</f>
        <v>电子病历</v>
      </c>
      <c r="C813" s="183" t="str">
        <f>VLOOKUP(F813,数据集标准分类!A:E,5,0)</f>
        <v>0206</v>
      </c>
      <c r="D813" s="183" t="str">
        <f>VLOOKUP(F813,数据集标准分类!A:D,4,0)</f>
        <v>手术麻醉记录</v>
      </c>
      <c r="E813" s="183" t="str">
        <f>VLOOKUP(F813,数据集标准分类!A:C,3,0)</f>
        <v>020609</v>
      </c>
      <c r="F813" s="297" t="s">
        <v>2241</v>
      </c>
      <c r="G813" s="183" t="str">
        <f>VLOOKUP(F813,数据集标准分类!A:B,2,0)</f>
        <v>surg_application_record</v>
      </c>
      <c r="H813" s="294">
        <f>VLOOKUP(F813,数据集标准分类!A:H,8,0)</f>
        <v>35</v>
      </c>
      <c r="I813" s="170" t="s">
        <v>2250</v>
      </c>
      <c r="J813" s="170" t="s">
        <v>2251</v>
      </c>
      <c r="K813" s="170" t="s">
        <v>2252</v>
      </c>
      <c r="L813" s="297" t="s">
        <v>2253</v>
      </c>
      <c r="M813" s="297"/>
      <c r="N813" s="296">
        <v>3</v>
      </c>
      <c r="O813" s="297"/>
    </row>
    <row r="814" ht="15.75" customHeight="1" spans="1:15">
      <c r="A814" s="183" t="str">
        <f>VLOOKUP(F814,数据集标准分类!A:G,7,0)</f>
        <v>02</v>
      </c>
      <c r="B814" s="183" t="str">
        <f>VLOOKUP(F814,数据集标准分类!A:F,6,0)</f>
        <v>电子病历</v>
      </c>
      <c r="C814" s="183" t="str">
        <f>VLOOKUP(F814,数据集标准分类!A:E,5,0)</f>
        <v>0206</v>
      </c>
      <c r="D814" s="183" t="str">
        <f>VLOOKUP(F814,数据集标准分类!A:D,4,0)</f>
        <v>手术麻醉记录</v>
      </c>
      <c r="E814" s="183" t="str">
        <f>VLOOKUP(F814,数据集标准分类!A:C,3,0)</f>
        <v>020609</v>
      </c>
      <c r="F814" s="297" t="s">
        <v>2241</v>
      </c>
      <c r="G814" s="183" t="str">
        <f>VLOOKUP(F814,数据集标准分类!A:B,2,0)</f>
        <v>surg_application_record</v>
      </c>
      <c r="H814" s="294">
        <f>VLOOKUP(F814,数据集标准分类!A:H,8,0)</f>
        <v>35</v>
      </c>
      <c r="I814" s="170" t="s">
        <v>2254</v>
      </c>
      <c r="J814" s="170" t="s">
        <v>2255</v>
      </c>
      <c r="K814" s="170" t="s">
        <v>2256</v>
      </c>
      <c r="L814" s="297" t="s">
        <v>2257</v>
      </c>
      <c r="M814" s="297"/>
      <c r="N814" s="296">
        <v>4</v>
      </c>
      <c r="O814" s="297"/>
    </row>
    <row r="815" ht="15.75" customHeight="1" spans="1:15">
      <c r="A815" s="183" t="str">
        <f>VLOOKUP(F815,数据集标准分类!A:G,7,0)</f>
        <v>02</v>
      </c>
      <c r="B815" s="183" t="str">
        <f>VLOOKUP(F815,数据集标准分类!A:F,6,0)</f>
        <v>电子病历</v>
      </c>
      <c r="C815" s="183" t="str">
        <f>VLOOKUP(F815,数据集标准分类!A:E,5,0)</f>
        <v>0206</v>
      </c>
      <c r="D815" s="183" t="str">
        <f>VLOOKUP(F815,数据集标准分类!A:D,4,0)</f>
        <v>手术麻醉记录</v>
      </c>
      <c r="E815" s="183" t="str">
        <f>VLOOKUP(F815,数据集标准分类!A:C,3,0)</f>
        <v>020609</v>
      </c>
      <c r="F815" s="297" t="s">
        <v>2241</v>
      </c>
      <c r="G815" s="183" t="str">
        <f>VLOOKUP(F815,数据集标准分类!A:B,2,0)</f>
        <v>surg_application_record</v>
      </c>
      <c r="H815" s="294">
        <f>VLOOKUP(F815,数据集标准分类!A:H,8,0)</f>
        <v>35</v>
      </c>
      <c r="I815" s="170" t="s">
        <v>2254</v>
      </c>
      <c r="J815" s="170" t="s">
        <v>2258</v>
      </c>
      <c r="K815" s="170" t="s">
        <v>2259</v>
      </c>
      <c r="L815" s="297" t="s">
        <v>2260</v>
      </c>
      <c r="M815" s="297"/>
      <c r="N815" s="296">
        <v>5</v>
      </c>
      <c r="O815" s="297"/>
    </row>
    <row r="816" ht="15.75" customHeight="1" spans="1:15">
      <c r="A816" s="183" t="str">
        <f>VLOOKUP(F816,数据集标准分类!A:G,7,0)</f>
        <v>02</v>
      </c>
      <c r="B816" s="183" t="str">
        <f>VLOOKUP(F816,数据集标准分类!A:F,6,0)</f>
        <v>电子病历</v>
      </c>
      <c r="C816" s="183" t="str">
        <f>VLOOKUP(F816,数据集标准分类!A:E,5,0)</f>
        <v>0206</v>
      </c>
      <c r="D816" s="183" t="str">
        <f>VLOOKUP(F816,数据集标准分类!A:D,4,0)</f>
        <v>手术麻醉记录</v>
      </c>
      <c r="E816" s="183" t="str">
        <f>VLOOKUP(F816,数据集标准分类!A:C,3,0)</f>
        <v>020609</v>
      </c>
      <c r="F816" s="297" t="s">
        <v>2241</v>
      </c>
      <c r="G816" s="183" t="str">
        <f>VLOOKUP(F816,数据集标准分类!A:B,2,0)</f>
        <v>surg_application_record</v>
      </c>
      <c r="H816" s="294">
        <f>VLOOKUP(F816,数据集标准分类!A:H,8,0)</f>
        <v>35</v>
      </c>
      <c r="I816" s="170" t="s">
        <v>2261</v>
      </c>
      <c r="J816" s="170" t="s">
        <v>2262</v>
      </c>
      <c r="K816" s="170" t="s">
        <v>2263</v>
      </c>
      <c r="L816" s="297" t="s">
        <v>2264</v>
      </c>
      <c r="M816" s="297"/>
      <c r="N816" s="296">
        <v>6</v>
      </c>
      <c r="O816" s="297"/>
    </row>
    <row r="817" ht="15.75" customHeight="1" spans="1:15">
      <c r="A817" s="183" t="str">
        <f>VLOOKUP(F817,数据集标准分类!A:G,7,0)</f>
        <v>02</v>
      </c>
      <c r="B817" s="183" t="str">
        <f>VLOOKUP(F817,数据集标准分类!A:F,6,0)</f>
        <v>电子病历</v>
      </c>
      <c r="C817" s="183" t="str">
        <f>VLOOKUP(F817,数据集标准分类!A:E,5,0)</f>
        <v>0206</v>
      </c>
      <c r="D817" s="183" t="str">
        <f>VLOOKUP(F817,数据集标准分类!A:D,4,0)</f>
        <v>手术麻醉记录</v>
      </c>
      <c r="E817" s="183" t="str">
        <f>VLOOKUP(F817,数据集标准分类!A:C,3,0)</f>
        <v>020609</v>
      </c>
      <c r="F817" s="297" t="s">
        <v>2241</v>
      </c>
      <c r="G817" s="183" t="str">
        <f>VLOOKUP(F817,数据集标准分类!A:B,2,0)</f>
        <v>surg_application_record</v>
      </c>
      <c r="H817" s="294">
        <f>VLOOKUP(F817,数据集标准分类!A:H,8,0)</f>
        <v>35</v>
      </c>
      <c r="I817" s="170" t="s">
        <v>1686</v>
      </c>
      <c r="J817" s="170" t="s">
        <v>1687</v>
      </c>
      <c r="K817" s="170" t="s">
        <v>1688</v>
      </c>
      <c r="L817" s="297" t="s">
        <v>2265</v>
      </c>
      <c r="M817" s="297"/>
      <c r="N817" s="296">
        <v>7</v>
      </c>
      <c r="O817" s="297"/>
    </row>
    <row r="818" ht="15.75" customHeight="1" spans="1:15">
      <c r="A818" s="183" t="str">
        <f>VLOOKUP(F818,数据集标准分类!A:G,7,0)</f>
        <v>02</v>
      </c>
      <c r="B818" s="183" t="str">
        <f>VLOOKUP(F818,数据集标准分类!A:F,6,0)</f>
        <v>电子病历</v>
      </c>
      <c r="C818" s="183" t="str">
        <f>VLOOKUP(F818,数据集标准分类!A:E,5,0)</f>
        <v>0206</v>
      </c>
      <c r="D818" s="183" t="str">
        <f>VLOOKUP(F818,数据集标准分类!A:D,4,0)</f>
        <v>手术麻醉记录</v>
      </c>
      <c r="E818" s="183" t="str">
        <f>VLOOKUP(F818,数据集标准分类!A:C,3,0)</f>
        <v>020609</v>
      </c>
      <c r="F818" s="297" t="s">
        <v>2241</v>
      </c>
      <c r="G818" s="183" t="str">
        <f>VLOOKUP(F818,数据集标准分类!A:B,2,0)</f>
        <v>surg_application_record</v>
      </c>
      <c r="H818" s="294">
        <f>VLOOKUP(F818,数据集标准分类!A:H,8,0)</f>
        <v>35</v>
      </c>
      <c r="I818" s="170" t="s">
        <v>2266</v>
      </c>
      <c r="J818" s="170" t="s">
        <v>2267</v>
      </c>
      <c r="K818" s="170" t="s">
        <v>2268</v>
      </c>
      <c r="L818" s="297" t="s">
        <v>2269</v>
      </c>
      <c r="M818" s="297"/>
      <c r="N818" s="296">
        <v>8</v>
      </c>
      <c r="O818" s="297"/>
    </row>
    <row r="819" ht="15.75" customHeight="1" spans="1:15">
      <c r="A819" s="183" t="str">
        <f>VLOOKUP(F819,数据集标准分类!A:G,7,0)</f>
        <v>02</v>
      </c>
      <c r="B819" s="183" t="str">
        <f>VLOOKUP(F819,数据集标准分类!A:F,6,0)</f>
        <v>电子病历</v>
      </c>
      <c r="C819" s="183" t="str">
        <f>VLOOKUP(F819,数据集标准分类!A:E,5,0)</f>
        <v>0206</v>
      </c>
      <c r="D819" s="183" t="str">
        <f>VLOOKUP(F819,数据集标准分类!A:D,4,0)</f>
        <v>手术麻醉记录</v>
      </c>
      <c r="E819" s="183" t="str">
        <f>VLOOKUP(F819,数据集标准分类!A:C,3,0)</f>
        <v>020609</v>
      </c>
      <c r="F819" s="297" t="s">
        <v>2241</v>
      </c>
      <c r="G819" s="183" t="str">
        <f>VLOOKUP(F819,数据集标准分类!A:B,2,0)</f>
        <v>surg_application_record</v>
      </c>
      <c r="H819" s="294">
        <f>VLOOKUP(F819,数据集标准分类!A:H,8,0)</f>
        <v>35</v>
      </c>
      <c r="I819" s="170" t="s">
        <v>2270</v>
      </c>
      <c r="J819" s="170" t="s">
        <v>2271</v>
      </c>
      <c r="K819" s="170" t="s">
        <v>2272</v>
      </c>
      <c r="L819" s="297" t="s">
        <v>2273</v>
      </c>
      <c r="M819" s="297"/>
      <c r="N819" s="296">
        <v>9</v>
      </c>
      <c r="O819" s="297"/>
    </row>
    <row r="820" ht="15.75" customHeight="1" spans="1:15">
      <c r="A820" s="183" t="str">
        <f>VLOOKUP(F820,数据集标准分类!A:G,7,0)</f>
        <v>02</v>
      </c>
      <c r="B820" s="183" t="str">
        <f>VLOOKUP(F820,数据集标准分类!A:F,6,0)</f>
        <v>电子病历</v>
      </c>
      <c r="C820" s="183" t="str">
        <f>VLOOKUP(F820,数据集标准分类!A:E,5,0)</f>
        <v>0206</v>
      </c>
      <c r="D820" s="183" t="str">
        <f>VLOOKUP(F820,数据集标准分类!A:D,4,0)</f>
        <v>手术麻醉记录</v>
      </c>
      <c r="E820" s="183" t="str">
        <f>VLOOKUP(F820,数据集标准分类!A:C,3,0)</f>
        <v>020609</v>
      </c>
      <c r="F820" s="297" t="s">
        <v>2241</v>
      </c>
      <c r="G820" s="183" t="str">
        <f>VLOOKUP(F820,数据集标准分类!A:B,2,0)</f>
        <v>surg_application_record</v>
      </c>
      <c r="H820" s="294">
        <f>VLOOKUP(F820,数据集标准分类!A:H,8,0)</f>
        <v>35</v>
      </c>
      <c r="I820" s="170" t="s">
        <v>2274</v>
      </c>
      <c r="J820" s="170" t="s">
        <v>2275</v>
      </c>
      <c r="K820" s="170" t="s">
        <v>2276</v>
      </c>
      <c r="L820" s="297" t="s">
        <v>2277</v>
      </c>
      <c r="M820" s="297"/>
      <c r="N820" s="296">
        <v>10</v>
      </c>
      <c r="O820" s="297"/>
    </row>
    <row r="821" ht="15.75" customHeight="1" spans="1:15">
      <c r="A821" s="183" t="str">
        <f>VLOOKUP(F821,数据集标准分类!A:G,7,0)</f>
        <v>02</v>
      </c>
      <c r="B821" s="183" t="str">
        <f>VLOOKUP(F821,数据集标准分类!A:F,6,0)</f>
        <v>电子病历</v>
      </c>
      <c r="C821" s="183" t="str">
        <f>VLOOKUP(F821,数据集标准分类!A:E,5,0)</f>
        <v>0206</v>
      </c>
      <c r="D821" s="183" t="str">
        <f>VLOOKUP(F821,数据集标准分类!A:D,4,0)</f>
        <v>手术麻醉记录</v>
      </c>
      <c r="E821" s="183" t="str">
        <f>VLOOKUP(F821,数据集标准分类!A:C,3,0)</f>
        <v>020609</v>
      </c>
      <c r="F821" s="297" t="s">
        <v>2241</v>
      </c>
      <c r="G821" s="183" t="str">
        <f>VLOOKUP(F821,数据集标准分类!A:B,2,0)</f>
        <v>surg_application_record</v>
      </c>
      <c r="H821" s="294">
        <f>VLOOKUP(F821,数据集标准分类!A:H,8,0)</f>
        <v>35</v>
      </c>
      <c r="I821" s="170" t="s">
        <v>2278</v>
      </c>
      <c r="J821" s="170" t="s">
        <v>2279</v>
      </c>
      <c r="K821" s="170" t="s">
        <v>2280</v>
      </c>
      <c r="L821" s="297" t="s">
        <v>2281</v>
      </c>
      <c r="M821" s="297"/>
      <c r="N821" s="296">
        <v>11</v>
      </c>
      <c r="O821" s="297"/>
    </row>
    <row r="822" ht="15.75" customHeight="1" spans="1:15">
      <c r="A822" s="183" t="str">
        <f>VLOOKUP(F822,数据集标准分类!A:G,7,0)</f>
        <v>02</v>
      </c>
      <c r="B822" s="183" t="str">
        <f>VLOOKUP(F822,数据集标准分类!A:F,6,0)</f>
        <v>电子病历</v>
      </c>
      <c r="C822" s="183" t="str">
        <f>VLOOKUP(F822,数据集标准分类!A:E,5,0)</f>
        <v>0206</v>
      </c>
      <c r="D822" s="183" t="str">
        <f>VLOOKUP(F822,数据集标准分类!A:D,4,0)</f>
        <v>手术麻醉记录</v>
      </c>
      <c r="E822" s="183" t="str">
        <f>VLOOKUP(F822,数据集标准分类!A:C,3,0)</f>
        <v>020609</v>
      </c>
      <c r="F822" s="297" t="s">
        <v>2241</v>
      </c>
      <c r="G822" s="183" t="str">
        <f>VLOOKUP(F822,数据集标准分类!A:B,2,0)</f>
        <v>surg_application_record</v>
      </c>
      <c r="H822" s="294">
        <f>VLOOKUP(F822,数据集标准分类!A:H,8,0)</f>
        <v>35</v>
      </c>
      <c r="I822" s="170" t="s">
        <v>2282</v>
      </c>
      <c r="J822" s="170" t="s">
        <v>2283</v>
      </c>
      <c r="K822" s="170" t="s">
        <v>2284</v>
      </c>
      <c r="L822" s="297" t="s">
        <v>2285</v>
      </c>
      <c r="M822" s="297"/>
      <c r="N822" s="296">
        <v>12</v>
      </c>
      <c r="O822" s="297"/>
    </row>
    <row r="823" ht="15.75" customHeight="1" spans="1:15">
      <c r="A823" s="183" t="str">
        <f>VLOOKUP(F823,数据集标准分类!A:G,7,0)</f>
        <v>02</v>
      </c>
      <c r="B823" s="183" t="str">
        <f>VLOOKUP(F823,数据集标准分类!A:F,6,0)</f>
        <v>电子病历</v>
      </c>
      <c r="C823" s="183" t="str">
        <f>VLOOKUP(F823,数据集标准分类!A:E,5,0)</f>
        <v>0206</v>
      </c>
      <c r="D823" s="183" t="str">
        <f>VLOOKUP(F823,数据集标准分类!A:D,4,0)</f>
        <v>手术麻醉记录</v>
      </c>
      <c r="E823" s="183" t="str">
        <f>VLOOKUP(F823,数据集标准分类!A:C,3,0)</f>
        <v>020609</v>
      </c>
      <c r="F823" s="297" t="s">
        <v>2241</v>
      </c>
      <c r="G823" s="183" t="str">
        <f>VLOOKUP(F823,数据集标准分类!A:B,2,0)</f>
        <v>surg_application_record</v>
      </c>
      <c r="H823" s="294">
        <f>VLOOKUP(F823,数据集标准分类!A:H,8,0)</f>
        <v>35</v>
      </c>
      <c r="I823" s="170" t="s">
        <v>2286</v>
      </c>
      <c r="J823" s="170" t="s">
        <v>2287</v>
      </c>
      <c r="K823" s="170" t="s">
        <v>2288</v>
      </c>
      <c r="L823" s="297" t="s">
        <v>2289</v>
      </c>
      <c r="M823" s="297"/>
      <c r="N823" s="296">
        <v>13</v>
      </c>
      <c r="O823" s="297"/>
    </row>
    <row r="824" ht="15.75" customHeight="1" spans="1:15">
      <c r="A824" s="183" t="str">
        <f>VLOOKUP(F824,数据集标准分类!A:G,7,0)</f>
        <v>02</v>
      </c>
      <c r="B824" s="183" t="str">
        <f>VLOOKUP(F824,数据集标准分类!A:F,6,0)</f>
        <v>电子病历</v>
      </c>
      <c r="C824" s="183" t="str">
        <f>VLOOKUP(F824,数据集标准分类!A:E,5,0)</f>
        <v>0206</v>
      </c>
      <c r="D824" s="183" t="str">
        <f>VLOOKUP(F824,数据集标准分类!A:D,4,0)</f>
        <v>手术麻醉记录</v>
      </c>
      <c r="E824" s="183" t="str">
        <f>VLOOKUP(F824,数据集标准分类!A:C,3,0)</f>
        <v>020609</v>
      </c>
      <c r="F824" s="297" t="s">
        <v>2241</v>
      </c>
      <c r="G824" s="183" t="str">
        <f>VLOOKUP(F824,数据集标准分类!A:B,2,0)</f>
        <v>surg_application_record</v>
      </c>
      <c r="H824" s="294">
        <f>VLOOKUP(F824,数据集标准分类!A:H,8,0)</f>
        <v>35</v>
      </c>
      <c r="I824" s="170" t="s">
        <v>2290</v>
      </c>
      <c r="J824" s="170" t="s">
        <v>2291</v>
      </c>
      <c r="K824" s="170" t="s">
        <v>2292</v>
      </c>
      <c r="L824" s="297" t="s">
        <v>2293</v>
      </c>
      <c r="M824" s="297"/>
      <c r="N824" s="296">
        <v>14</v>
      </c>
      <c r="O824" s="297"/>
    </row>
    <row r="825" ht="15.75" customHeight="1" spans="1:15">
      <c r="A825" s="183" t="str">
        <f>VLOOKUP(F825,数据集标准分类!A:G,7,0)</f>
        <v>02</v>
      </c>
      <c r="B825" s="183" t="str">
        <f>VLOOKUP(F825,数据集标准分类!A:F,6,0)</f>
        <v>电子病历</v>
      </c>
      <c r="C825" s="183" t="str">
        <f>VLOOKUP(F825,数据集标准分类!A:E,5,0)</f>
        <v>0206</v>
      </c>
      <c r="D825" s="183" t="str">
        <f>VLOOKUP(F825,数据集标准分类!A:D,4,0)</f>
        <v>手术麻醉记录</v>
      </c>
      <c r="E825" s="183" t="str">
        <f>VLOOKUP(F825,数据集标准分类!A:C,3,0)</f>
        <v>020609</v>
      </c>
      <c r="F825" s="297" t="s">
        <v>2241</v>
      </c>
      <c r="G825" s="183" t="str">
        <f>VLOOKUP(F825,数据集标准分类!A:B,2,0)</f>
        <v>surg_application_record</v>
      </c>
      <c r="H825" s="294">
        <f>VLOOKUP(F825,数据集标准分类!A:H,8,0)</f>
        <v>35</v>
      </c>
      <c r="I825" s="170" t="s">
        <v>1430</v>
      </c>
      <c r="J825" s="170" t="s">
        <v>1431</v>
      </c>
      <c r="K825" s="170" t="s">
        <v>1432</v>
      </c>
      <c r="L825" s="297" t="s">
        <v>2294</v>
      </c>
      <c r="M825" s="297"/>
      <c r="N825" s="296">
        <v>15</v>
      </c>
      <c r="O825" s="297"/>
    </row>
    <row r="826" ht="15.75" customHeight="1" spans="1:15">
      <c r="A826" s="183" t="str">
        <f>VLOOKUP(F826,数据集标准分类!A:G,7,0)</f>
        <v>02</v>
      </c>
      <c r="B826" s="183" t="str">
        <f>VLOOKUP(F826,数据集标准分类!A:F,6,0)</f>
        <v>电子病历</v>
      </c>
      <c r="C826" s="183" t="str">
        <f>VLOOKUP(F826,数据集标准分类!A:E,5,0)</f>
        <v>0206</v>
      </c>
      <c r="D826" s="183" t="str">
        <f>VLOOKUP(F826,数据集标准分类!A:D,4,0)</f>
        <v>手术麻醉记录</v>
      </c>
      <c r="E826" s="183" t="str">
        <f>VLOOKUP(F826,数据集标准分类!A:C,3,0)</f>
        <v>020609</v>
      </c>
      <c r="F826" s="297" t="s">
        <v>2241</v>
      </c>
      <c r="G826" s="183" t="str">
        <f>VLOOKUP(F826,数据集标准分类!A:B,2,0)</f>
        <v>surg_application_record</v>
      </c>
      <c r="H826" s="294">
        <f>VLOOKUP(F826,数据集标准分类!A:H,8,0)</f>
        <v>35</v>
      </c>
      <c r="I826" s="170" t="s">
        <v>2295</v>
      </c>
      <c r="J826" s="170" t="s">
        <v>2296</v>
      </c>
      <c r="K826" s="170" t="s">
        <v>2297</v>
      </c>
      <c r="L826" s="297" t="s">
        <v>2298</v>
      </c>
      <c r="M826" s="297"/>
      <c r="N826" s="296">
        <v>16</v>
      </c>
      <c r="O826" s="297"/>
    </row>
    <row r="827" ht="15.75" customHeight="1" spans="1:15">
      <c r="A827" s="183" t="str">
        <f>VLOOKUP(F827,数据集标准分类!A:G,7,0)</f>
        <v>02</v>
      </c>
      <c r="B827" s="183" t="str">
        <f>VLOOKUP(F827,数据集标准分类!A:F,6,0)</f>
        <v>电子病历</v>
      </c>
      <c r="C827" s="183" t="str">
        <f>VLOOKUP(F827,数据集标准分类!A:E,5,0)</f>
        <v>0206</v>
      </c>
      <c r="D827" s="183" t="str">
        <f>VLOOKUP(F827,数据集标准分类!A:D,4,0)</f>
        <v>手术麻醉记录</v>
      </c>
      <c r="E827" s="183" t="str">
        <f>VLOOKUP(F827,数据集标准分类!A:C,3,0)</f>
        <v>020609</v>
      </c>
      <c r="F827" s="297" t="s">
        <v>2241</v>
      </c>
      <c r="G827" s="183" t="str">
        <f>VLOOKUP(F827,数据集标准分类!A:B,2,0)</f>
        <v>surg_application_record</v>
      </c>
      <c r="H827" s="294">
        <f>VLOOKUP(F827,数据集标准分类!A:H,8,0)</f>
        <v>35</v>
      </c>
      <c r="I827" s="170" t="s">
        <v>2299</v>
      </c>
      <c r="J827" s="170" t="s">
        <v>2300</v>
      </c>
      <c r="K827" s="170" t="s">
        <v>2301</v>
      </c>
      <c r="L827" s="297" t="s">
        <v>2302</v>
      </c>
      <c r="M827" s="297"/>
      <c r="N827" s="296">
        <v>17</v>
      </c>
      <c r="O827" s="297"/>
    </row>
    <row r="828" ht="15.75" customHeight="1" spans="1:15">
      <c r="A828" s="183" t="str">
        <f>VLOOKUP(F828,数据集标准分类!A:G,7,0)</f>
        <v>02</v>
      </c>
      <c r="B828" s="183" t="str">
        <f>VLOOKUP(F828,数据集标准分类!A:F,6,0)</f>
        <v>电子病历</v>
      </c>
      <c r="C828" s="183" t="str">
        <f>VLOOKUP(F828,数据集标准分类!A:E,5,0)</f>
        <v>0206</v>
      </c>
      <c r="D828" s="183" t="str">
        <f>VLOOKUP(F828,数据集标准分类!A:D,4,0)</f>
        <v>手术麻醉记录</v>
      </c>
      <c r="E828" s="183" t="str">
        <f>VLOOKUP(F828,数据集标准分类!A:C,3,0)</f>
        <v>020609</v>
      </c>
      <c r="F828" s="297" t="s">
        <v>2241</v>
      </c>
      <c r="G828" s="183" t="str">
        <f>VLOOKUP(F828,数据集标准分类!A:B,2,0)</f>
        <v>surg_application_record</v>
      </c>
      <c r="H828" s="294">
        <f>VLOOKUP(F828,数据集标准分类!A:H,8,0)</f>
        <v>35</v>
      </c>
      <c r="I828" s="170" t="s">
        <v>401</v>
      </c>
      <c r="J828" s="170" t="s">
        <v>402</v>
      </c>
      <c r="K828" s="170" t="s">
        <v>403</v>
      </c>
      <c r="L828" s="297" t="s">
        <v>2303</v>
      </c>
      <c r="M828" s="297"/>
      <c r="N828" s="296">
        <v>18</v>
      </c>
      <c r="O828" s="297"/>
    </row>
    <row r="829" ht="15.75" customHeight="1" spans="1:15">
      <c r="A829" s="183" t="str">
        <f>VLOOKUP(F829,数据集标准分类!A:G,7,0)</f>
        <v>02</v>
      </c>
      <c r="B829" s="183" t="str">
        <f>VLOOKUP(F829,数据集标准分类!A:F,6,0)</f>
        <v>电子病历</v>
      </c>
      <c r="C829" s="183" t="str">
        <f>VLOOKUP(F829,数据集标准分类!A:E,5,0)</f>
        <v>0206</v>
      </c>
      <c r="D829" s="183" t="str">
        <f>VLOOKUP(F829,数据集标准分类!A:D,4,0)</f>
        <v>手术麻醉记录</v>
      </c>
      <c r="E829" s="183" t="str">
        <f>VLOOKUP(F829,数据集标准分类!A:C,3,0)</f>
        <v>020609</v>
      </c>
      <c r="F829" s="297" t="s">
        <v>2241</v>
      </c>
      <c r="G829" s="183" t="str">
        <f>VLOOKUP(F829,数据集标准分类!A:B,2,0)</f>
        <v>surg_application_record</v>
      </c>
      <c r="H829" s="294">
        <f>VLOOKUP(F829,数据集标准分类!A:H,8,0)</f>
        <v>35</v>
      </c>
      <c r="I829" s="170" t="s">
        <v>406</v>
      </c>
      <c r="J829" s="170" t="s">
        <v>407</v>
      </c>
      <c r="K829" s="170" t="s">
        <v>408</v>
      </c>
      <c r="L829" s="297" t="s">
        <v>2304</v>
      </c>
      <c r="M829" s="297"/>
      <c r="N829" s="296">
        <v>19</v>
      </c>
      <c r="O829" s="297"/>
    </row>
    <row r="830" ht="15.75" customHeight="1" spans="1:15">
      <c r="A830" s="183" t="str">
        <f>VLOOKUP(F830,数据集标准分类!A:G,7,0)</f>
        <v>02</v>
      </c>
      <c r="B830" s="183" t="str">
        <f>VLOOKUP(F830,数据集标准分类!A:F,6,0)</f>
        <v>电子病历</v>
      </c>
      <c r="C830" s="183" t="str">
        <f>VLOOKUP(F830,数据集标准分类!A:E,5,0)</f>
        <v>0206</v>
      </c>
      <c r="D830" s="183" t="str">
        <f>VLOOKUP(F830,数据集标准分类!A:D,4,0)</f>
        <v>手术麻醉记录</v>
      </c>
      <c r="E830" s="183" t="str">
        <f>VLOOKUP(F830,数据集标准分类!A:C,3,0)</f>
        <v>020609</v>
      </c>
      <c r="F830" s="297" t="s">
        <v>2241</v>
      </c>
      <c r="G830" s="183" t="str">
        <f>VLOOKUP(F830,数据集标准分类!A:B,2,0)</f>
        <v>surg_application_record</v>
      </c>
      <c r="H830" s="294">
        <f>VLOOKUP(F830,数据集标准分类!A:H,8,0)</f>
        <v>35</v>
      </c>
      <c r="I830" s="170" t="s">
        <v>2305</v>
      </c>
      <c r="J830" s="170" t="s">
        <v>2306</v>
      </c>
      <c r="K830" s="170" t="s">
        <v>2307</v>
      </c>
      <c r="L830" s="297" t="s">
        <v>2308</v>
      </c>
      <c r="M830" s="297"/>
      <c r="N830" s="296">
        <v>20</v>
      </c>
      <c r="O830" s="297"/>
    </row>
    <row r="831" ht="15.75" customHeight="1" spans="1:15">
      <c r="A831" s="183" t="str">
        <f>VLOOKUP(F831,数据集标准分类!A:G,7,0)</f>
        <v>02</v>
      </c>
      <c r="B831" s="183" t="str">
        <f>VLOOKUP(F831,数据集标准分类!A:F,6,0)</f>
        <v>电子病历</v>
      </c>
      <c r="C831" s="183" t="str">
        <f>VLOOKUP(F831,数据集标准分类!A:E,5,0)</f>
        <v>0206</v>
      </c>
      <c r="D831" s="183" t="str">
        <f>VLOOKUP(F831,数据集标准分类!A:D,4,0)</f>
        <v>手术麻醉记录</v>
      </c>
      <c r="E831" s="183" t="str">
        <f>VLOOKUP(F831,数据集标准分类!A:C,3,0)</f>
        <v>020609</v>
      </c>
      <c r="F831" s="297" t="s">
        <v>2241</v>
      </c>
      <c r="G831" s="183" t="str">
        <f>VLOOKUP(F831,数据集标准分类!A:B,2,0)</f>
        <v>surg_application_record</v>
      </c>
      <c r="H831" s="294">
        <f>VLOOKUP(F831,数据集标准分类!A:H,8,0)</f>
        <v>35</v>
      </c>
      <c r="I831" s="170" t="s">
        <v>2309</v>
      </c>
      <c r="J831" s="170" t="s">
        <v>2310</v>
      </c>
      <c r="K831" s="170" t="s">
        <v>2311</v>
      </c>
      <c r="L831" s="297" t="s">
        <v>2312</v>
      </c>
      <c r="M831" s="297"/>
      <c r="N831" s="296">
        <v>21</v>
      </c>
      <c r="O831" s="297"/>
    </row>
    <row r="832" ht="15.75" customHeight="1" spans="1:15">
      <c r="A832" s="183" t="str">
        <f>VLOOKUP(F832,数据集标准分类!A:G,7,0)</f>
        <v>02</v>
      </c>
      <c r="B832" s="183" t="str">
        <f>VLOOKUP(F832,数据集标准分类!A:F,6,0)</f>
        <v>电子病历</v>
      </c>
      <c r="C832" s="183" t="str">
        <f>VLOOKUP(F832,数据集标准分类!A:E,5,0)</f>
        <v>0206</v>
      </c>
      <c r="D832" s="183" t="str">
        <f>VLOOKUP(F832,数据集标准分类!A:D,4,0)</f>
        <v>手术麻醉记录</v>
      </c>
      <c r="E832" s="183" t="str">
        <f>VLOOKUP(F832,数据集标准分类!A:C,3,0)</f>
        <v>020609</v>
      </c>
      <c r="F832" s="297" t="s">
        <v>2241</v>
      </c>
      <c r="G832" s="183" t="str">
        <f>VLOOKUP(F832,数据集标准分类!A:B,2,0)</f>
        <v>surg_application_record</v>
      </c>
      <c r="H832" s="294">
        <f>VLOOKUP(F832,数据集标准分类!A:H,8,0)</f>
        <v>35</v>
      </c>
      <c r="I832" s="170" t="s">
        <v>1307</v>
      </c>
      <c r="J832" s="170" t="s">
        <v>1308</v>
      </c>
      <c r="K832" s="170" t="s">
        <v>1308</v>
      </c>
      <c r="L832" s="170" t="s">
        <v>1309</v>
      </c>
      <c r="M832" s="297"/>
      <c r="N832" s="296">
        <v>22</v>
      </c>
      <c r="O832" s="297"/>
    </row>
    <row r="833" ht="15.75" customHeight="1" spans="1:15">
      <c r="A833" s="183" t="str">
        <f>VLOOKUP(F833,数据集标准分类!A:G,7,0)</f>
        <v>02</v>
      </c>
      <c r="B833" s="183" t="str">
        <f>VLOOKUP(F833,数据集标准分类!A:F,6,0)</f>
        <v>电子病历</v>
      </c>
      <c r="C833" s="183" t="str">
        <f>VLOOKUP(F833,数据集标准分类!A:E,5,0)</f>
        <v>0210</v>
      </c>
      <c r="D833" s="183" t="str">
        <f>VLOOKUP(F833,数据集标准分类!A:D,4,0)</f>
        <v>知情同意书</v>
      </c>
      <c r="E833" s="183" t="str">
        <f>VLOOKUP(F833,数据集标准分类!A:C,3,0)</f>
        <v>021001</v>
      </c>
      <c r="F833" s="170" t="s">
        <v>2313</v>
      </c>
      <c r="G833" s="183" t="str">
        <f>VLOOKUP(F833,数据集标准分类!A:B,2,0)</f>
        <v>blood_transfusion_icf</v>
      </c>
      <c r="H833" s="294">
        <f>VLOOKUP(F833,数据集标准分类!A:H,8,0)</f>
        <v>36</v>
      </c>
      <c r="I833" s="170" t="s">
        <v>172</v>
      </c>
      <c r="J833" s="170" t="s">
        <v>173</v>
      </c>
      <c r="K833" s="170" t="s">
        <v>174</v>
      </c>
      <c r="L833" s="170" t="s">
        <v>175</v>
      </c>
      <c r="M833" s="170" t="s">
        <v>1245</v>
      </c>
      <c r="N833" s="294">
        <v>1</v>
      </c>
      <c r="O833" s="170"/>
    </row>
    <row r="834" ht="15.75" customHeight="1" spans="1:15">
      <c r="A834" s="183" t="str">
        <f>VLOOKUP(F834,数据集标准分类!A:G,7,0)</f>
        <v>02</v>
      </c>
      <c r="B834" s="183" t="str">
        <f>VLOOKUP(F834,数据集标准分类!A:F,6,0)</f>
        <v>电子病历</v>
      </c>
      <c r="C834" s="183" t="str">
        <f>VLOOKUP(F834,数据集标准分类!A:E,5,0)</f>
        <v>0210</v>
      </c>
      <c r="D834" s="183" t="str">
        <f>VLOOKUP(F834,数据集标准分类!A:D,4,0)</f>
        <v>知情同意书</v>
      </c>
      <c r="E834" s="183" t="str">
        <f>VLOOKUP(F834,数据集标准分类!A:C,3,0)</f>
        <v>021001</v>
      </c>
      <c r="F834" s="170" t="s">
        <v>2313</v>
      </c>
      <c r="G834" s="183" t="str">
        <f>VLOOKUP(F834,数据集标准分类!A:B,2,0)</f>
        <v>blood_transfusion_icf</v>
      </c>
      <c r="H834" s="294">
        <f>VLOOKUP(F834,数据集标准分类!A:H,8,0)</f>
        <v>36</v>
      </c>
      <c r="I834" s="170" t="s">
        <v>1323</v>
      </c>
      <c r="J834" s="170" t="s">
        <v>1324</v>
      </c>
      <c r="K834" s="170" t="s">
        <v>1325</v>
      </c>
      <c r="L834" s="170" t="s">
        <v>1326</v>
      </c>
      <c r="M834" s="170" t="s">
        <v>1327</v>
      </c>
      <c r="N834" s="294">
        <v>2</v>
      </c>
      <c r="O834" s="170"/>
    </row>
    <row r="835" ht="15.75" customHeight="1" spans="1:15">
      <c r="A835" s="183" t="str">
        <f>VLOOKUP(F835,数据集标准分类!A:G,7,0)</f>
        <v>02</v>
      </c>
      <c r="B835" s="183" t="str">
        <f>VLOOKUP(F835,数据集标准分类!A:F,6,0)</f>
        <v>电子病历</v>
      </c>
      <c r="C835" s="183" t="str">
        <f>VLOOKUP(F835,数据集标准分类!A:E,5,0)</f>
        <v>0210</v>
      </c>
      <c r="D835" s="183" t="str">
        <f>VLOOKUP(F835,数据集标准分类!A:D,4,0)</f>
        <v>知情同意书</v>
      </c>
      <c r="E835" s="183" t="str">
        <f>VLOOKUP(F835,数据集标准分类!A:C,3,0)</f>
        <v>021001</v>
      </c>
      <c r="F835" s="170" t="s">
        <v>2313</v>
      </c>
      <c r="G835" s="183" t="str">
        <f>VLOOKUP(F835,数据集标准分类!A:B,2,0)</f>
        <v>blood_transfusion_icf</v>
      </c>
      <c r="H835" s="294">
        <f>VLOOKUP(F835,数据集标准分类!A:H,8,0)</f>
        <v>36</v>
      </c>
      <c r="I835" s="170" t="s">
        <v>1343</v>
      </c>
      <c r="J835" s="170" t="s">
        <v>1344</v>
      </c>
      <c r="K835" s="170" t="s">
        <v>1345</v>
      </c>
      <c r="L835" s="170" t="s">
        <v>1346</v>
      </c>
      <c r="M835" s="170" t="s">
        <v>1347</v>
      </c>
      <c r="N835" s="294">
        <v>3</v>
      </c>
      <c r="O835" s="170"/>
    </row>
    <row r="836" ht="15.75" customHeight="1" spans="1:15">
      <c r="A836" s="183" t="str">
        <f>VLOOKUP(F836,数据集标准分类!A:G,7,0)</f>
        <v>02</v>
      </c>
      <c r="B836" s="183" t="str">
        <f>VLOOKUP(F836,数据集标准分类!A:F,6,0)</f>
        <v>电子病历</v>
      </c>
      <c r="C836" s="183" t="str">
        <f>VLOOKUP(F836,数据集标准分类!A:E,5,0)</f>
        <v>0210</v>
      </c>
      <c r="D836" s="183" t="str">
        <f>VLOOKUP(F836,数据集标准分类!A:D,4,0)</f>
        <v>知情同意书</v>
      </c>
      <c r="E836" s="183" t="str">
        <f>VLOOKUP(F836,数据集标准分类!A:C,3,0)</f>
        <v>021001</v>
      </c>
      <c r="F836" s="170" t="s">
        <v>2313</v>
      </c>
      <c r="G836" s="183" t="str">
        <f>VLOOKUP(F836,数据集标准分类!A:B,2,0)</f>
        <v>blood_transfusion_icf</v>
      </c>
      <c r="H836" s="294">
        <f>VLOOKUP(F836,数据集标准分类!A:H,8,0)</f>
        <v>36</v>
      </c>
      <c r="I836" s="170" t="s">
        <v>1349</v>
      </c>
      <c r="J836" s="170" t="s">
        <v>1350</v>
      </c>
      <c r="K836" s="170" t="s">
        <v>1351</v>
      </c>
      <c r="L836" s="170" t="s">
        <v>1352</v>
      </c>
      <c r="M836" s="170" t="s">
        <v>1353</v>
      </c>
      <c r="N836" s="294">
        <v>4</v>
      </c>
      <c r="O836" s="170"/>
    </row>
    <row r="837" ht="15.75" customHeight="1" spans="1:15">
      <c r="A837" s="183" t="str">
        <f>VLOOKUP(F837,数据集标准分类!A:G,7,0)</f>
        <v>02</v>
      </c>
      <c r="B837" s="183" t="str">
        <f>VLOOKUP(F837,数据集标准分类!A:F,6,0)</f>
        <v>电子病历</v>
      </c>
      <c r="C837" s="183" t="str">
        <f>VLOOKUP(F837,数据集标准分类!A:E,5,0)</f>
        <v>0210</v>
      </c>
      <c r="D837" s="183" t="str">
        <f>VLOOKUP(F837,数据集标准分类!A:D,4,0)</f>
        <v>知情同意书</v>
      </c>
      <c r="E837" s="183" t="str">
        <f>VLOOKUP(F837,数据集标准分类!A:C,3,0)</f>
        <v>021001</v>
      </c>
      <c r="F837" s="170" t="s">
        <v>2313</v>
      </c>
      <c r="G837" s="183" t="str">
        <f>VLOOKUP(F837,数据集标准分类!A:B,2,0)</f>
        <v>blood_transfusion_icf</v>
      </c>
      <c r="H837" s="294">
        <f>VLOOKUP(F837,数据集标准分类!A:H,8,0)</f>
        <v>36</v>
      </c>
      <c r="I837" s="170" t="s">
        <v>2314</v>
      </c>
      <c r="J837" s="170" t="s">
        <v>2315</v>
      </c>
      <c r="K837" s="170" t="s">
        <v>2316</v>
      </c>
      <c r="L837" s="170" t="s">
        <v>2317</v>
      </c>
      <c r="M837" s="170" t="s">
        <v>2318</v>
      </c>
      <c r="N837" s="294">
        <v>5</v>
      </c>
      <c r="O837" s="170"/>
    </row>
    <row r="838" ht="15.75" customHeight="1" spans="1:15">
      <c r="A838" s="183" t="str">
        <f>VLOOKUP(F838,数据集标准分类!A:G,7,0)</f>
        <v>02</v>
      </c>
      <c r="B838" s="183" t="str">
        <f>VLOOKUP(F838,数据集标准分类!A:F,6,0)</f>
        <v>电子病历</v>
      </c>
      <c r="C838" s="183" t="str">
        <f>VLOOKUP(F838,数据集标准分类!A:E,5,0)</f>
        <v>0210</v>
      </c>
      <c r="D838" s="183" t="str">
        <f>VLOOKUP(F838,数据集标准分类!A:D,4,0)</f>
        <v>知情同意书</v>
      </c>
      <c r="E838" s="183" t="str">
        <f>VLOOKUP(F838,数据集标准分类!A:C,3,0)</f>
        <v>021001</v>
      </c>
      <c r="F838" s="170" t="s">
        <v>2313</v>
      </c>
      <c r="G838" s="183" t="str">
        <f>VLOOKUP(F838,数据集标准分类!A:B,2,0)</f>
        <v>blood_transfusion_icf</v>
      </c>
      <c r="H838" s="294">
        <f>VLOOKUP(F838,数据集标准分类!A:H,8,0)</f>
        <v>36</v>
      </c>
      <c r="I838" s="170" t="s">
        <v>1399</v>
      </c>
      <c r="J838" s="170" t="s">
        <v>1400</v>
      </c>
      <c r="K838" s="170" t="s">
        <v>1401</v>
      </c>
      <c r="L838" s="170" t="s">
        <v>1402</v>
      </c>
      <c r="M838" s="170" t="s">
        <v>2319</v>
      </c>
      <c r="N838" s="294">
        <v>6</v>
      </c>
      <c r="O838" s="170"/>
    </row>
    <row r="839" ht="15.75" customHeight="1" spans="1:15">
      <c r="A839" s="183" t="str">
        <f>VLOOKUP(F839,数据集标准分类!A:G,7,0)</f>
        <v>02</v>
      </c>
      <c r="B839" s="183" t="str">
        <f>VLOOKUP(F839,数据集标准分类!A:F,6,0)</f>
        <v>电子病历</v>
      </c>
      <c r="C839" s="183" t="str">
        <f>VLOOKUP(F839,数据集标准分类!A:E,5,0)</f>
        <v>0210</v>
      </c>
      <c r="D839" s="183" t="str">
        <f>VLOOKUP(F839,数据集标准分类!A:D,4,0)</f>
        <v>知情同意书</v>
      </c>
      <c r="E839" s="183" t="str">
        <f>VLOOKUP(F839,数据集标准分类!A:C,3,0)</f>
        <v>021001</v>
      </c>
      <c r="F839" s="170" t="s">
        <v>2313</v>
      </c>
      <c r="G839" s="183" t="str">
        <f>VLOOKUP(F839,数据集标准分类!A:B,2,0)</f>
        <v>blood_transfusion_icf</v>
      </c>
      <c r="H839" s="294">
        <f>VLOOKUP(F839,数据集标准分类!A:H,8,0)</f>
        <v>36</v>
      </c>
      <c r="I839" s="170" t="s">
        <v>2320</v>
      </c>
      <c r="J839" s="170" t="s">
        <v>2321</v>
      </c>
      <c r="K839" s="170" t="s">
        <v>2322</v>
      </c>
      <c r="L839" s="170" t="s">
        <v>2323</v>
      </c>
      <c r="M839" s="170" t="s">
        <v>2324</v>
      </c>
      <c r="N839" s="294">
        <v>7</v>
      </c>
      <c r="O839" s="170"/>
    </row>
    <row r="840" ht="15.75" customHeight="1" spans="1:15">
      <c r="A840" s="183" t="str">
        <f>VLOOKUP(F840,数据集标准分类!A:G,7,0)</f>
        <v>02</v>
      </c>
      <c r="B840" s="183" t="str">
        <f>VLOOKUP(F840,数据集标准分类!A:F,6,0)</f>
        <v>电子病历</v>
      </c>
      <c r="C840" s="183" t="str">
        <f>VLOOKUP(F840,数据集标准分类!A:E,5,0)</f>
        <v>0210</v>
      </c>
      <c r="D840" s="183" t="str">
        <f>VLOOKUP(F840,数据集标准分类!A:D,4,0)</f>
        <v>知情同意书</v>
      </c>
      <c r="E840" s="183" t="str">
        <f>VLOOKUP(F840,数据集标准分类!A:C,3,0)</f>
        <v>021001</v>
      </c>
      <c r="F840" s="170" t="s">
        <v>2313</v>
      </c>
      <c r="G840" s="183" t="str">
        <f>VLOOKUP(F840,数据集标准分类!A:B,2,0)</f>
        <v>blood_transfusion_icf</v>
      </c>
      <c r="H840" s="294">
        <f>VLOOKUP(F840,数据集标准分类!A:H,8,0)</f>
        <v>36</v>
      </c>
      <c r="I840" s="170" t="s">
        <v>2325</v>
      </c>
      <c r="J840" s="170" t="s">
        <v>2326</v>
      </c>
      <c r="K840" s="170" t="s">
        <v>2327</v>
      </c>
      <c r="L840" s="170" t="s">
        <v>2328</v>
      </c>
      <c r="M840" s="170" t="s">
        <v>2329</v>
      </c>
      <c r="N840" s="294">
        <v>8</v>
      </c>
      <c r="O840" s="170"/>
    </row>
    <row r="841" ht="15.75" customHeight="1" spans="1:15">
      <c r="A841" s="183" t="str">
        <f>VLOOKUP(F841,数据集标准分类!A:G,7,0)</f>
        <v>02</v>
      </c>
      <c r="B841" s="183" t="str">
        <f>VLOOKUP(F841,数据集标准分类!A:F,6,0)</f>
        <v>电子病历</v>
      </c>
      <c r="C841" s="183" t="str">
        <f>VLOOKUP(F841,数据集标准分类!A:E,5,0)</f>
        <v>0210</v>
      </c>
      <c r="D841" s="183" t="str">
        <f>VLOOKUP(F841,数据集标准分类!A:D,4,0)</f>
        <v>知情同意书</v>
      </c>
      <c r="E841" s="183" t="str">
        <f>VLOOKUP(F841,数据集标准分类!A:C,3,0)</f>
        <v>021001</v>
      </c>
      <c r="F841" s="170" t="s">
        <v>2313</v>
      </c>
      <c r="G841" s="183" t="str">
        <f>VLOOKUP(F841,数据集标准分类!A:B,2,0)</f>
        <v>blood_transfusion_icf</v>
      </c>
      <c r="H841" s="294">
        <f>VLOOKUP(F841,数据集标准分类!A:H,8,0)</f>
        <v>36</v>
      </c>
      <c r="I841" s="170" t="s">
        <v>1418</v>
      </c>
      <c r="J841" s="170" t="s">
        <v>1419</v>
      </c>
      <c r="K841" s="170" t="s">
        <v>1420</v>
      </c>
      <c r="L841" s="170" t="s">
        <v>1421</v>
      </c>
      <c r="M841" s="170" t="s">
        <v>2330</v>
      </c>
      <c r="N841" s="294">
        <v>9</v>
      </c>
      <c r="O841" s="170"/>
    </row>
    <row r="842" ht="15.75" customHeight="1" spans="1:15">
      <c r="A842" s="183" t="str">
        <f>VLOOKUP(F842,数据集标准分类!A:G,7,0)</f>
        <v>02</v>
      </c>
      <c r="B842" s="183" t="str">
        <f>VLOOKUP(F842,数据集标准分类!A:F,6,0)</f>
        <v>电子病历</v>
      </c>
      <c r="C842" s="183" t="str">
        <f>VLOOKUP(F842,数据集标准分类!A:E,5,0)</f>
        <v>0210</v>
      </c>
      <c r="D842" s="183" t="str">
        <f>VLOOKUP(F842,数据集标准分类!A:D,4,0)</f>
        <v>知情同意书</v>
      </c>
      <c r="E842" s="183" t="str">
        <f>VLOOKUP(F842,数据集标准分类!A:C,3,0)</f>
        <v>021001</v>
      </c>
      <c r="F842" s="170" t="s">
        <v>2313</v>
      </c>
      <c r="G842" s="183" t="str">
        <f>VLOOKUP(F842,数据集标准分类!A:B,2,0)</f>
        <v>blood_transfusion_icf</v>
      </c>
      <c r="H842" s="294">
        <f>VLOOKUP(F842,数据集标准分类!A:H,8,0)</f>
        <v>36</v>
      </c>
      <c r="I842" s="170" t="s">
        <v>1418</v>
      </c>
      <c r="J842" s="170" t="s">
        <v>1419</v>
      </c>
      <c r="K842" s="170" t="s">
        <v>1420</v>
      </c>
      <c r="L842" s="170" t="s">
        <v>1421</v>
      </c>
      <c r="M842" s="170" t="s">
        <v>2331</v>
      </c>
      <c r="N842" s="294">
        <v>10</v>
      </c>
      <c r="O842" s="170"/>
    </row>
    <row r="843" ht="15.75" customHeight="1" spans="1:15">
      <c r="A843" s="183" t="str">
        <f>VLOOKUP(F843,数据集标准分类!A:G,7,0)</f>
        <v>02</v>
      </c>
      <c r="B843" s="183" t="str">
        <f>VLOOKUP(F843,数据集标准分类!A:F,6,0)</f>
        <v>电子病历</v>
      </c>
      <c r="C843" s="183" t="str">
        <f>VLOOKUP(F843,数据集标准分类!A:E,5,0)</f>
        <v>0210</v>
      </c>
      <c r="D843" s="183" t="str">
        <f>VLOOKUP(F843,数据集标准分类!A:D,4,0)</f>
        <v>知情同意书</v>
      </c>
      <c r="E843" s="183" t="str">
        <f>VLOOKUP(F843,数据集标准分类!A:C,3,0)</f>
        <v>021002</v>
      </c>
      <c r="F843" s="170" t="s">
        <v>2332</v>
      </c>
      <c r="G843" s="183" t="str">
        <f>VLOOKUP(F843,数据集标准分类!A:B,2,0)</f>
        <v>critical_severe_notification</v>
      </c>
      <c r="H843" s="294">
        <f>VLOOKUP(F843,数据集标准分类!A:H,8,0)</f>
        <v>37</v>
      </c>
      <c r="I843" s="170" t="s">
        <v>172</v>
      </c>
      <c r="J843" s="170" t="s">
        <v>173</v>
      </c>
      <c r="K843" s="170" t="s">
        <v>174</v>
      </c>
      <c r="L843" s="170" t="s">
        <v>175</v>
      </c>
      <c r="M843" s="170" t="s">
        <v>1245</v>
      </c>
      <c r="N843" s="294">
        <v>1</v>
      </c>
      <c r="O843" s="170"/>
    </row>
    <row r="844" ht="15.75" customHeight="1" spans="1:15">
      <c r="A844" s="183" t="str">
        <f>VLOOKUP(F844,数据集标准分类!A:G,7,0)</f>
        <v>02</v>
      </c>
      <c r="B844" s="183" t="str">
        <f>VLOOKUP(F844,数据集标准分类!A:F,6,0)</f>
        <v>电子病历</v>
      </c>
      <c r="C844" s="183" t="str">
        <f>VLOOKUP(F844,数据集标准分类!A:E,5,0)</f>
        <v>0210</v>
      </c>
      <c r="D844" s="183" t="str">
        <f>VLOOKUP(F844,数据集标准分类!A:D,4,0)</f>
        <v>知情同意书</v>
      </c>
      <c r="E844" s="183" t="str">
        <f>VLOOKUP(F844,数据集标准分类!A:C,3,0)</f>
        <v>021002</v>
      </c>
      <c r="F844" s="170" t="s">
        <v>2332</v>
      </c>
      <c r="G844" s="183" t="str">
        <f>VLOOKUP(F844,数据集标准分类!A:B,2,0)</f>
        <v>critical_severe_notification</v>
      </c>
      <c r="H844" s="294">
        <f>VLOOKUP(F844,数据集标准分类!A:H,8,0)</f>
        <v>37</v>
      </c>
      <c r="I844" s="170" t="s">
        <v>2333</v>
      </c>
      <c r="J844" s="170" t="s">
        <v>2334</v>
      </c>
      <c r="K844" s="170" t="s">
        <v>2335</v>
      </c>
      <c r="L844" s="170" t="s">
        <v>2336</v>
      </c>
      <c r="M844" s="170" t="s">
        <v>2337</v>
      </c>
      <c r="N844" s="294">
        <v>2</v>
      </c>
      <c r="O844" s="170"/>
    </row>
    <row r="845" ht="15.75" customHeight="1" spans="1:15">
      <c r="A845" s="183" t="str">
        <f>VLOOKUP(F845,数据集标准分类!A:G,7,0)</f>
        <v>02</v>
      </c>
      <c r="B845" s="183" t="str">
        <f>VLOOKUP(F845,数据集标准分类!A:F,6,0)</f>
        <v>电子病历</v>
      </c>
      <c r="C845" s="183" t="str">
        <f>VLOOKUP(F845,数据集标准分类!A:E,5,0)</f>
        <v>0210</v>
      </c>
      <c r="D845" s="183" t="str">
        <f>VLOOKUP(F845,数据集标准分类!A:D,4,0)</f>
        <v>知情同意书</v>
      </c>
      <c r="E845" s="183" t="str">
        <f>VLOOKUP(F845,数据集标准分类!A:C,3,0)</f>
        <v>021002</v>
      </c>
      <c r="F845" s="170" t="s">
        <v>2332</v>
      </c>
      <c r="G845" s="183" t="str">
        <f>VLOOKUP(F845,数据集标准分类!A:B,2,0)</f>
        <v>critical_severe_notification</v>
      </c>
      <c r="H845" s="294">
        <f>VLOOKUP(F845,数据集标准分类!A:H,8,0)</f>
        <v>37</v>
      </c>
      <c r="I845" s="170" t="s">
        <v>2338</v>
      </c>
      <c r="J845" s="170" t="s">
        <v>2339</v>
      </c>
      <c r="K845" s="170" t="s">
        <v>2340</v>
      </c>
      <c r="L845" s="170" t="s">
        <v>2341</v>
      </c>
      <c r="M845" s="170" t="s">
        <v>2342</v>
      </c>
      <c r="N845" s="294">
        <v>3</v>
      </c>
      <c r="O845" s="170"/>
    </row>
    <row r="846" ht="15.75" customHeight="1" spans="1:15">
      <c r="A846" s="183" t="str">
        <f>VLOOKUP(F846,数据集标准分类!A:G,7,0)</f>
        <v>02</v>
      </c>
      <c r="B846" s="183" t="str">
        <f>VLOOKUP(F846,数据集标准分类!A:F,6,0)</f>
        <v>电子病历</v>
      </c>
      <c r="C846" s="183" t="str">
        <f>VLOOKUP(F846,数据集标准分类!A:E,5,0)</f>
        <v>0210</v>
      </c>
      <c r="D846" s="183" t="str">
        <f>VLOOKUP(F846,数据集标准分类!A:D,4,0)</f>
        <v>知情同意书</v>
      </c>
      <c r="E846" s="183" t="str">
        <f>VLOOKUP(F846,数据集标准分类!A:C,3,0)</f>
        <v>021002</v>
      </c>
      <c r="F846" s="170" t="s">
        <v>2332</v>
      </c>
      <c r="G846" s="183" t="str">
        <f>VLOOKUP(F846,数据集标准分类!A:B,2,0)</f>
        <v>critical_severe_notification</v>
      </c>
      <c r="H846" s="294">
        <f>VLOOKUP(F846,数据集标准分类!A:H,8,0)</f>
        <v>37</v>
      </c>
      <c r="I846" s="170" t="s">
        <v>1394</v>
      </c>
      <c r="J846" s="170" t="s">
        <v>1395</v>
      </c>
      <c r="K846" s="170" t="s">
        <v>1396</v>
      </c>
      <c r="L846" s="170" t="s">
        <v>1397</v>
      </c>
      <c r="M846" s="170" t="s">
        <v>2343</v>
      </c>
      <c r="N846" s="294">
        <v>4</v>
      </c>
      <c r="O846" s="170"/>
    </row>
    <row r="847" ht="15.75" customHeight="1" spans="1:15">
      <c r="A847" s="183" t="str">
        <f>VLOOKUP(F847,数据集标准分类!A:G,7,0)</f>
        <v>02</v>
      </c>
      <c r="B847" s="183" t="str">
        <f>VLOOKUP(F847,数据集标准分类!A:F,6,0)</f>
        <v>电子病历</v>
      </c>
      <c r="C847" s="183" t="str">
        <f>VLOOKUP(F847,数据集标准分类!A:E,5,0)</f>
        <v>0210</v>
      </c>
      <c r="D847" s="183" t="str">
        <f>VLOOKUP(F847,数据集标准分类!A:D,4,0)</f>
        <v>知情同意书</v>
      </c>
      <c r="E847" s="183" t="str">
        <f>VLOOKUP(F847,数据集标准分类!A:C,3,0)</f>
        <v>021003</v>
      </c>
      <c r="F847" s="170" t="s">
        <v>2344</v>
      </c>
      <c r="G847" s="183" t="str">
        <f>VLOOKUP(F847,数据集标准分类!A:B,2,0)</f>
        <v>surgical_iinformed_consent_form</v>
      </c>
      <c r="H847" s="294">
        <f>VLOOKUP(F847,数据集标准分类!A:H,8,0)</f>
        <v>38</v>
      </c>
      <c r="I847" s="170" t="s">
        <v>172</v>
      </c>
      <c r="J847" s="170" t="s">
        <v>173</v>
      </c>
      <c r="K847" s="170" t="s">
        <v>174</v>
      </c>
      <c r="L847" s="170" t="s">
        <v>175</v>
      </c>
      <c r="M847" s="170" t="s">
        <v>1587</v>
      </c>
      <c r="N847" s="294">
        <v>1</v>
      </c>
      <c r="O847" s="170"/>
    </row>
    <row r="848" ht="15.75" customHeight="1" spans="1:15">
      <c r="A848" s="183" t="str">
        <f>VLOOKUP(F848,数据集标准分类!A:G,7,0)</f>
        <v>02</v>
      </c>
      <c r="B848" s="183" t="str">
        <f>VLOOKUP(F848,数据集标准分类!A:F,6,0)</f>
        <v>电子病历</v>
      </c>
      <c r="C848" s="183" t="str">
        <f>VLOOKUP(F848,数据集标准分类!A:E,5,0)</f>
        <v>0210</v>
      </c>
      <c r="D848" s="183" t="str">
        <f>VLOOKUP(F848,数据集标准分类!A:D,4,0)</f>
        <v>知情同意书</v>
      </c>
      <c r="E848" s="183" t="str">
        <f>VLOOKUP(F848,数据集标准分类!A:C,3,0)</f>
        <v>021003</v>
      </c>
      <c r="F848" s="170" t="s">
        <v>2344</v>
      </c>
      <c r="G848" s="183" t="str">
        <f>VLOOKUP(F848,数据集标准分类!A:B,2,0)</f>
        <v>surgical_iinformed_consent_form</v>
      </c>
      <c r="H848" s="294">
        <f>VLOOKUP(F848,数据集标准分类!A:H,8,0)</f>
        <v>38</v>
      </c>
      <c r="I848" s="170" t="s">
        <v>192</v>
      </c>
      <c r="J848" s="170" t="s">
        <v>193</v>
      </c>
      <c r="K848" s="170" t="s">
        <v>194</v>
      </c>
      <c r="L848" s="170" t="s">
        <v>195</v>
      </c>
      <c r="M848" s="170" t="s">
        <v>1722</v>
      </c>
      <c r="N848" s="294">
        <v>2</v>
      </c>
      <c r="O848" s="170"/>
    </row>
    <row r="849" ht="15.75" customHeight="1" spans="1:15">
      <c r="A849" s="183" t="str">
        <f>VLOOKUP(F849,数据集标准分类!A:G,7,0)</f>
        <v>02</v>
      </c>
      <c r="B849" s="183" t="str">
        <f>VLOOKUP(F849,数据集标准分类!A:F,6,0)</f>
        <v>电子病历</v>
      </c>
      <c r="C849" s="183" t="str">
        <f>VLOOKUP(F849,数据集标准分类!A:E,5,0)</f>
        <v>0210</v>
      </c>
      <c r="D849" s="183" t="str">
        <f>VLOOKUP(F849,数据集标准分类!A:D,4,0)</f>
        <v>知情同意书</v>
      </c>
      <c r="E849" s="183" t="str">
        <f>VLOOKUP(F849,数据集标准分类!A:C,3,0)</f>
        <v>021003</v>
      </c>
      <c r="F849" s="170" t="s">
        <v>2344</v>
      </c>
      <c r="G849" s="183" t="str">
        <f>VLOOKUP(F849,数据集标准分类!A:B,2,0)</f>
        <v>surgical_iinformed_consent_form</v>
      </c>
      <c r="H849" s="294">
        <f>VLOOKUP(F849,数据集标准分类!A:H,8,0)</f>
        <v>38</v>
      </c>
      <c r="I849" s="170" t="s">
        <v>2345</v>
      </c>
      <c r="J849" s="170" t="s">
        <v>2346</v>
      </c>
      <c r="K849" s="170" t="s">
        <v>2347</v>
      </c>
      <c r="L849" s="170" t="s">
        <v>2348</v>
      </c>
      <c r="M849" s="170" t="s">
        <v>1723</v>
      </c>
      <c r="N849" s="294">
        <v>3</v>
      </c>
      <c r="O849" s="170"/>
    </row>
    <row r="850" ht="15.75" customHeight="1" spans="1:15">
      <c r="A850" s="183" t="str">
        <f>VLOOKUP(F850,数据集标准分类!A:G,7,0)</f>
        <v>02</v>
      </c>
      <c r="B850" s="183" t="str">
        <f>VLOOKUP(F850,数据集标准分类!A:F,6,0)</f>
        <v>电子病历</v>
      </c>
      <c r="C850" s="183" t="str">
        <f>VLOOKUP(F850,数据集标准分类!A:E,5,0)</f>
        <v>0210</v>
      </c>
      <c r="D850" s="183" t="str">
        <f>VLOOKUP(F850,数据集标准分类!A:D,4,0)</f>
        <v>知情同意书</v>
      </c>
      <c r="E850" s="183" t="str">
        <f>VLOOKUP(F850,数据集标准分类!A:C,3,0)</f>
        <v>021003</v>
      </c>
      <c r="F850" s="170" t="s">
        <v>2344</v>
      </c>
      <c r="G850" s="183" t="str">
        <f>VLOOKUP(F850,数据集标准分类!A:B,2,0)</f>
        <v>surgical_iinformed_consent_form</v>
      </c>
      <c r="H850" s="294">
        <f>VLOOKUP(F850,数据集标准分类!A:H,8,0)</f>
        <v>38</v>
      </c>
      <c r="I850" s="170" t="s">
        <v>1678</v>
      </c>
      <c r="J850" s="170" t="s">
        <v>1679</v>
      </c>
      <c r="K850" s="170" t="s">
        <v>1680</v>
      </c>
      <c r="L850" s="170" t="s">
        <v>1681</v>
      </c>
      <c r="M850" s="170" t="s">
        <v>1735</v>
      </c>
      <c r="N850" s="294">
        <v>4</v>
      </c>
      <c r="O850" s="170"/>
    </row>
    <row r="851" ht="15.75" customHeight="1" spans="1:15">
      <c r="A851" s="183" t="str">
        <f>VLOOKUP(F851,数据集标准分类!A:G,7,0)</f>
        <v>02</v>
      </c>
      <c r="B851" s="183" t="str">
        <f>VLOOKUP(F851,数据集标准分类!A:F,6,0)</f>
        <v>电子病历</v>
      </c>
      <c r="C851" s="183" t="str">
        <f>VLOOKUP(F851,数据集标准分类!A:E,5,0)</f>
        <v>0210</v>
      </c>
      <c r="D851" s="183" t="str">
        <f>VLOOKUP(F851,数据集标准分类!A:D,4,0)</f>
        <v>知情同意书</v>
      </c>
      <c r="E851" s="183" t="str">
        <f>VLOOKUP(F851,数据集标准分类!A:C,3,0)</f>
        <v>021003</v>
      </c>
      <c r="F851" s="170" t="s">
        <v>2344</v>
      </c>
      <c r="G851" s="183" t="str">
        <f>VLOOKUP(F851,数据集标准分类!A:B,2,0)</f>
        <v>surgical_iinformed_consent_form</v>
      </c>
      <c r="H851" s="294">
        <f>VLOOKUP(F851,数据集标准分类!A:H,8,0)</f>
        <v>38</v>
      </c>
      <c r="I851" s="170" t="s">
        <v>1785</v>
      </c>
      <c r="J851" s="170" t="s">
        <v>1786</v>
      </c>
      <c r="K851" s="170" t="s">
        <v>1787</v>
      </c>
      <c r="L851" s="170" t="s">
        <v>1788</v>
      </c>
      <c r="M851" s="170" t="s">
        <v>1789</v>
      </c>
      <c r="N851" s="294">
        <v>5</v>
      </c>
      <c r="O851" s="170"/>
    </row>
    <row r="852" ht="15.75" customHeight="1" spans="1:15">
      <c r="A852" s="183" t="str">
        <f>VLOOKUP(F852,数据集标准分类!A:G,7,0)</f>
        <v>02</v>
      </c>
      <c r="B852" s="183" t="str">
        <f>VLOOKUP(F852,数据集标准分类!A:F,6,0)</f>
        <v>电子病历</v>
      </c>
      <c r="C852" s="183" t="str">
        <f>VLOOKUP(F852,数据集标准分类!A:E,5,0)</f>
        <v>0210</v>
      </c>
      <c r="D852" s="183" t="str">
        <f>VLOOKUP(F852,数据集标准分类!A:D,4,0)</f>
        <v>知情同意书</v>
      </c>
      <c r="E852" s="183" t="str">
        <f>VLOOKUP(F852,数据集标准分类!A:C,3,0)</f>
        <v>021003</v>
      </c>
      <c r="F852" s="170" t="s">
        <v>2344</v>
      </c>
      <c r="G852" s="183" t="str">
        <f>VLOOKUP(F852,数据集标准分类!A:B,2,0)</f>
        <v>surgical_iinformed_consent_form</v>
      </c>
      <c r="H852" s="294">
        <f>VLOOKUP(F852,数据集标准分类!A:H,8,0)</f>
        <v>38</v>
      </c>
      <c r="I852" s="170" t="s">
        <v>2349</v>
      </c>
      <c r="J852" s="170" t="s">
        <v>2350</v>
      </c>
      <c r="K852" s="170" t="s">
        <v>2351</v>
      </c>
      <c r="L852" s="170" t="s">
        <v>2352</v>
      </c>
      <c r="M852" s="170" t="s">
        <v>2353</v>
      </c>
      <c r="N852" s="294">
        <v>6</v>
      </c>
      <c r="O852" s="170"/>
    </row>
    <row r="853" ht="15.75" customHeight="1" spans="1:15">
      <c r="A853" s="183" t="str">
        <f>VLOOKUP(F853,数据集标准分类!A:G,7,0)</f>
        <v>02</v>
      </c>
      <c r="B853" s="183" t="str">
        <f>VLOOKUP(F853,数据集标准分类!A:F,6,0)</f>
        <v>电子病历</v>
      </c>
      <c r="C853" s="183" t="str">
        <f>VLOOKUP(F853,数据集标准分类!A:E,5,0)</f>
        <v>0210</v>
      </c>
      <c r="D853" s="183" t="str">
        <f>VLOOKUP(F853,数据集标准分类!A:D,4,0)</f>
        <v>知情同意书</v>
      </c>
      <c r="E853" s="183" t="str">
        <f>VLOOKUP(F853,数据集标准分类!A:C,3,0)</f>
        <v>021003</v>
      </c>
      <c r="F853" s="170" t="s">
        <v>2344</v>
      </c>
      <c r="G853" s="183" t="str">
        <f>VLOOKUP(F853,数据集标准分类!A:B,2,0)</f>
        <v>surgical_iinformed_consent_form</v>
      </c>
      <c r="H853" s="294">
        <f>VLOOKUP(F853,数据集标准分类!A:H,8,0)</f>
        <v>38</v>
      </c>
      <c r="I853" s="170" t="s">
        <v>421</v>
      </c>
      <c r="J853" s="170" t="s">
        <v>422</v>
      </c>
      <c r="K853" s="170" t="s">
        <v>423</v>
      </c>
      <c r="L853" s="170" t="s">
        <v>424</v>
      </c>
      <c r="M853" s="170" t="s">
        <v>1724</v>
      </c>
      <c r="N853" s="294">
        <v>7</v>
      </c>
      <c r="O853" s="170"/>
    </row>
    <row r="854" ht="15.75" customHeight="1" spans="1:15">
      <c r="A854" s="183" t="str">
        <f>VLOOKUP(F854,数据集标准分类!A:G,7,0)</f>
        <v>02</v>
      </c>
      <c r="B854" s="183" t="str">
        <f>VLOOKUP(F854,数据集标准分类!A:F,6,0)</f>
        <v>电子病历</v>
      </c>
      <c r="C854" s="183" t="str">
        <f>VLOOKUP(F854,数据集标准分类!A:E,5,0)</f>
        <v>0210</v>
      </c>
      <c r="D854" s="183" t="str">
        <f>VLOOKUP(F854,数据集标准分类!A:D,4,0)</f>
        <v>知情同意书</v>
      </c>
      <c r="E854" s="183" t="str">
        <f>VLOOKUP(F854,数据集标准分类!A:C,3,0)</f>
        <v>021003</v>
      </c>
      <c r="F854" s="170" t="s">
        <v>2344</v>
      </c>
      <c r="G854" s="183" t="str">
        <f>VLOOKUP(F854,数据集标准分类!A:B,2,0)</f>
        <v>surgical_iinformed_consent_form</v>
      </c>
      <c r="H854" s="294">
        <f>VLOOKUP(F854,数据集标准分类!A:H,8,0)</f>
        <v>38</v>
      </c>
      <c r="I854" s="170" t="s">
        <v>1730</v>
      </c>
      <c r="J854" s="170" t="s">
        <v>1731</v>
      </c>
      <c r="K854" s="170" t="s">
        <v>1732</v>
      </c>
      <c r="L854" s="170" t="s">
        <v>1733</v>
      </c>
      <c r="M854" s="170" t="s">
        <v>1734</v>
      </c>
      <c r="N854" s="294">
        <v>8</v>
      </c>
      <c r="O854" s="170"/>
    </row>
    <row r="855" ht="15.75" customHeight="1" spans="1:15">
      <c r="A855" s="183" t="str">
        <f>VLOOKUP(F855,数据集标准分类!A:G,7,0)</f>
        <v>02</v>
      </c>
      <c r="B855" s="183" t="str">
        <f>VLOOKUP(F855,数据集标准分类!A:F,6,0)</f>
        <v>电子病历</v>
      </c>
      <c r="C855" s="183" t="str">
        <f>VLOOKUP(F855,数据集标准分类!A:E,5,0)</f>
        <v>0210</v>
      </c>
      <c r="D855" s="183" t="str">
        <f>VLOOKUP(F855,数据集标准分类!A:D,4,0)</f>
        <v>知情同意书</v>
      </c>
      <c r="E855" s="183" t="str">
        <f>VLOOKUP(F855,数据集标准分类!A:C,3,0)</f>
        <v>021003</v>
      </c>
      <c r="F855" s="170" t="s">
        <v>2344</v>
      </c>
      <c r="G855" s="183" t="str">
        <f>VLOOKUP(F855,数据集标准分类!A:B,2,0)</f>
        <v>surgical_iinformed_consent_form</v>
      </c>
      <c r="H855" s="294">
        <f>VLOOKUP(F855,数据集标准分类!A:H,8,0)</f>
        <v>38</v>
      </c>
      <c r="I855" s="170" t="s">
        <v>1446</v>
      </c>
      <c r="J855" s="170" t="s">
        <v>1447</v>
      </c>
      <c r="K855" s="170" t="s">
        <v>1448</v>
      </c>
      <c r="L855" s="170" t="s">
        <v>1449</v>
      </c>
      <c r="M855" s="170" t="s">
        <v>2354</v>
      </c>
      <c r="N855" s="294">
        <v>9</v>
      </c>
      <c r="O855" s="170"/>
    </row>
    <row r="856" ht="15.75" customHeight="1" spans="1:15">
      <c r="A856" s="183" t="str">
        <f>VLOOKUP(F856,数据集标准分类!A:G,7,0)</f>
        <v>02</v>
      </c>
      <c r="B856" s="183" t="str">
        <f>VLOOKUP(F856,数据集标准分类!A:F,6,0)</f>
        <v>电子病历</v>
      </c>
      <c r="C856" s="183" t="str">
        <f>VLOOKUP(F856,数据集标准分类!A:E,5,0)</f>
        <v>0210</v>
      </c>
      <c r="D856" s="183" t="str">
        <f>VLOOKUP(F856,数据集标准分类!A:D,4,0)</f>
        <v>知情同意书</v>
      </c>
      <c r="E856" s="183" t="str">
        <f>VLOOKUP(F856,数据集标准分类!A:C,3,0)</f>
        <v>021003</v>
      </c>
      <c r="F856" s="170" t="s">
        <v>2344</v>
      </c>
      <c r="G856" s="183" t="str">
        <f>VLOOKUP(F856,数据集标准分类!A:B,2,0)</f>
        <v>surgical_iinformed_consent_form</v>
      </c>
      <c r="H856" s="294">
        <f>VLOOKUP(F856,数据集标准分类!A:H,8,0)</f>
        <v>38</v>
      </c>
      <c r="I856" s="170" t="s">
        <v>2355</v>
      </c>
      <c r="J856" s="170" t="s">
        <v>2356</v>
      </c>
      <c r="K856" s="170" t="s">
        <v>2357</v>
      </c>
      <c r="L856" s="170" t="s">
        <v>2358</v>
      </c>
      <c r="M856" s="170" t="s">
        <v>2359</v>
      </c>
      <c r="N856" s="294">
        <v>10</v>
      </c>
      <c r="O856" s="170"/>
    </row>
    <row r="857" ht="15.75" customHeight="1" spans="1:15">
      <c r="A857" s="183" t="str">
        <f>VLOOKUP(F857,数据集标准分类!A:G,7,0)</f>
        <v>02</v>
      </c>
      <c r="B857" s="183" t="str">
        <f>VLOOKUP(F857,数据集标准分类!A:F,6,0)</f>
        <v>电子病历</v>
      </c>
      <c r="C857" s="183" t="str">
        <f>VLOOKUP(F857,数据集标准分类!A:E,5,0)</f>
        <v>0210</v>
      </c>
      <c r="D857" s="183" t="str">
        <f>VLOOKUP(F857,数据集标准分类!A:D,4,0)</f>
        <v>知情同意书</v>
      </c>
      <c r="E857" s="183" t="str">
        <f>VLOOKUP(F857,数据集标准分类!A:C,3,0)</f>
        <v>021003</v>
      </c>
      <c r="F857" s="170" t="s">
        <v>2344</v>
      </c>
      <c r="G857" s="183" t="str">
        <f>VLOOKUP(F857,数据集标准分类!A:B,2,0)</f>
        <v>surgical_iinformed_consent_form</v>
      </c>
      <c r="H857" s="294">
        <f>VLOOKUP(F857,数据集标准分类!A:H,8,0)</f>
        <v>38</v>
      </c>
      <c r="I857" s="170" t="s">
        <v>2360</v>
      </c>
      <c r="J857" s="170" t="s">
        <v>2361</v>
      </c>
      <c r="K857" s="170" t="s">
        <v>2362</v>
      </c>
      <c r="L857" s="170" t="s">
        <v>2363</v>
      </c>
      <c r="M857" s="170" t="s">
        <v>2364</v>
      </c>
      <c r="N857" s="294">
        <v>11</v>
      </c>
      <c r="O857" s="170"/>
    </row>
    <row r="858" ht="15.75" customHeight="1" spans="1:15">
      <c r="A858" s="183" t="str">
        <f>VLOOKUP(F858,数据集标准分类!A:G,7,0)</f>
        <v>02</v>
      </c>
      <c r="B858" s="183" t="str">
        <f>VLOOKUP(F858,数据集标准分类!A:F,6,0)</f>
        <v>电子病历</v>
      </c>
      <c r="C858" s="183" t="str">
        <f>VLOOKUP(F858,数据集标准分类!A:E,5,0)</f>
        <v>0210</v>
      </c>
      <c r="D858" s="183" t="str">
        <f>VLOOKUP(F858,数据集标准分类!A:D,4,0)</f>
        <v>知情同意书</v>
      </c>
      <c r="E858" s="183" t="str">
        <f>VLOOKUP(F858,数据集标准分类!A:C,3,0)</f>
        <v>021003</v>
      </c>
      <c r="F858" s="170" t="s">
        <v>2344</v>
      </c>
      <c r="G858" s="183" t="str">
        <f>VLOOKUP(F858,数据集标准分类!A:B,2,0)</f>
        <v>surgical_iinformed_consent_form</v>
      </c>
      <c r="H858" s="294">
        <f>VLOOKUP(F858,数据集标准分类!A:H,8,0)</f>
        <v>38</v>
      </c>
      <c r="I858" s="170" t="s">
        <v>2365</v>
      </c>
      <c r="J858" s="170" t="s">
        <v>2366</v>
      </c>
      <c r="K858" s="170" t="s">
        <v>2367</v>
      </c>
      <c r="L858" s="170" t="s">
        <v>2368</v>
      </c>
      <c r="M858" s="170" t="s">
        <v>2330</v>
      </c>
      <c r="N858" s="294">
        <v>12</v>
      </c>
      <c r="O858" s="170"/>
    </row>
    <row r="859" ht="15.75" customHeight="1" spans="1:15">
      <c r="A859" s="183" t="str">
        <f>VLOOKUP(F859,数据集标准分类!A:G,7,0)</f>
        <v>02</v>
      </c>
      <c r="B859" s="183" t="str">
        <f>VLOOKUP(F859,数据集标准分类!A:F,6,0)</f>
        <v>电子病历</v>
      </c>
      <c r="C859" s="183" t="str">
        <f>VLOOKUP(F859,数据集标准分类!A:E,5,0)</f>
        <v>0210</v>
      </c>
      <c r="D859" s="183" t="str">
        <f>VLOOKUP(F859,数据集标准分类!A:D,4,0)</f>
        <v>知情同意书</v>
      </c>
      <c r="E859" s="183" t="str">
        <f>VLOOKUP(F859,数据集标准分类!A:C,3,0)</f>
        <v>021003</v>
      </c>
      <c r="F859" s="170" t="s">
        <v>2344</v>
      </c>
      <c r="G859" s="183" t="str">
        <f>VLOOKUP(F859,数据集标准分类!A:B,2,0)</f>
        <v>surgical_iinformed_consent_form</v>
      </c>
      <c r="H859" s="294">
        <f>VLOOKUP(F859,数据集标准分类!A:H,8,0)</f>
        <v>38</v>
      </c>
      <c r="I859" s="170" t="s">
        <v>2369</v>
      </c>
      <c r="J859" s="170" t="s">
        <v>2370</v>
      </c>
      <c r="K859" s="170" t="s">
        <v>2371</v>
      </c>
      <c r="L859" s="170" t="s">
        <v>2372</v>
      </c>
      <c r="M859" s="170" t="s">
        <v>2373</v>
      </c>
      <c r="N859" s="294">
        <v>13</v>
      </c>
      <c r="O859" s="170"/>
    </row>
    <row r="860" ht="15.75" customHeight="1" spans="1:15">
      <c r="A860" s="183" t="str">
        <f>VLOOKUP(F860,数据集标准分类!A:G,7,0)</f>
        <v>02</v>
      </c>
      <c r="B860" s="183" t="str">
        <f>VLOOKUP(F860,数据集标准分类!A:F,6,0)</f>
        <v>电子病历</v>
      </c>
      <c r="C860" s="183" t="str">
        <f>VLOOKUP(F860,数据集标准分类!A:E,5,0)</f>
        <v>0210</v>
      </c>
      <c r="D860" s="183" t="str">
        <f>VLOOKUP(F860,数据集标准分类!A:D,4,0)</f>
        <v>知情同意书</v>
      </c>
      <c r="E860" s="183" t="str">
        <f>VLOOKUP(F860,数据集标准分类!A:C,3,0)</f>
        <v>021004</v>
      </c>
      <c r="F860" s="170" t="s">
        <v>2374</v>
      </c>
      <c r="G860" s="183" t="str">
        <f>VLOOKUP(F860,数据集标准分类!A:B,2,0)</f>
        <v>anes_icf_record</v>
      </c>
      <c r="H860" s="294">
        <f>VLOOKUP(F860,数据集标准分类!A:H,8,0)</f>
        <v>39</v>
      </c>
      <c r="I860" s="170" t="s">
        <v>172</v>
      </c>
      <c r="J860" s="170" t="s">
        <v>173</v>
      </c>
      <c r="K860" s="170" t="s">
        <v>174</v>
      </c>
      <c r="L860" s="170" t="s">
        <v>175</v>
      </c>
      <c r="M860" s="170" t="s">
        <v>1587</v>
      </c>
      <c r="N860" s="294">
        <v>1</v>
      </c>
      <c r="O860" s="170"/>
    </row>
    <row r="861" ht="15.75" customHeight="1" spans="1:15">
      <c r="A861" s="183" t="str">
        <f>VLOOKUP(F861,数据集标准分类!A:G,7,0)</f>
        <v>02</v>
      </c>
      <c r="B861" s="183" t="str">
        <f>VLOOKUP(F861,数据集标准分类!A:F,6,0)</f>
        <v>电子病历</v>
      </c>
      <c r="C861" s="183" t="str">
        <f>VLOOKUP(F861,数据集标准分类!A:E,5,0)</f>
        <v>0210</v>
      </c>
      <c r="D861" s="183" t="str">
        <f>VLOOKUP(F861,数据集标准分类!A:D,4,0)</f>
        <v>知情同意书</v>
      </c>
      <c r="E861" s="183" t="str">
        <f>VLOOKUP(F861,数据集标准分类!A:C,3,0)</f>
        <v>021004</v>
      </c>
      <c r="F861" s="170" t="s">
        <v>2374</v>
      </c>
      <c r="G861" s="183" t="str">
        <f>VLOOKUP(F861,数据集标准分类!A:B,2,0)</f>
        <v>anes_icf_record</v>
      </c>
      <c r="H861" s="294">
        <f>VLOOKUP(F861,数据集标准分类!A:H,8,0)</f>
        <v>39</v>
      </c>
      <c r="I861" s="170" t="s">
        <v>192</v>
      </c>
      <c r="J861" s="170" t="s">
        <v>193</v>
      </c>
      <c r="K861" s="170" t="s">
        <v>194</v>
      </c>
      <c r="L861" s="170" t="s">
        <v>195</v>
      </c>
      <c r="M861" s="170" t="s">
        <v>1722</v>
      </c>
      <c r="N861" s="294">
        <v>2</v>
      </c>
      <c r="O861" s="170"/>
    </row>
    <row r="862" ht="15.75" customHeight="1" spans="1:15">
      <c r="A862" s="183" t="str">
        <f>VLOOKUP(F862,数据集标准分类!A:G,7,0)</f>
        <v>02</v>
      </c>
      <c r="B862" s="183" t="str">
        <f>VLOOKUP(F862,数据集标准分类!A:F,6,0)</f>
        <v>电子病历</v>
      </c>
      <c r="C862" s="183" t="str">
        <f>VLOOKUP(F862,数据集标准分类!A:E,5,0)</f>
        <v>0210</v>
      </c>
      <c r="D862" s="183" t="str">
        <f>VLOOKUP(F862,数据集标准分类!A:D,4,0)</f>
        <v>知情同意书</v>
      </c>
      <c r="E862" s="183" t="str">
        <f>VLOOKUP(F862,数据集标准分类!A:C,3,0)</f>
        <v>021004</v>
      </c>
      <c r="F862" s="170" t="s">
        <v>2374</v>
      </c>
      <c r="G862" s="183" t="str">
        <f>VLOOKUP(F862,数据集标准分类!A:B,2,0)</f>
        <v>anes_icf_record</v>
      </c>
      <c r="H862" s="294">
        <f>VLOOKUP(F862,数据集标准分类!A:H,8,0)</f>
        <v>39</v>
      </c>
      <c r="I862" s="170" t="s">
        <v>2345</v>
      </c>
      <c r="J862" s="170" t="s">
        <v>2346</v>
      </c>
      <c r="K862" s="170" t="s">
        <v>2347</v>
      </c>
      <c r="L862" s="170" t="s">
        <v>2348</v>
      </c>
      <c r="M862" s="170" t="s">
        <v>1723</v>
      </c>
      <c r="N862" s="294">
        <v>3</v>
      </c>
      <c r="O862" s="170"/>
    </row>
    <row r="863" ht="15.75" customHeight="1" spans="1:15">
      <c r="A863" s="183" t="str">
        <f>VLOOKUP(F863,数据集标准分类!A:G,7,0)</f>
        <v>02</v>
      </c>
      <c r="B863" s="183" t="str">
        <f>VLOOKUP(F863,数据集标准分类!A:F,6,0)</f>
        <v>电子病历</v>
      </c>
      <c r="C863" s="183" t="str">
        <f>VLOOKUP(F863,数据集标准分类!A:E,5,0)</f>
        <v>0210</v>
      </c>
      <c r="D863" s="183" t="str">
        <f>VLOOKUP(F863,数据集标准分类!A:D,4,0)</f>
        <v>知情同意书</v>
      </c>
      <c r="E863" s="183" t="str">
        <f>VLOOKUP(F863,数据集标准分类!A:C,3,0)</f>
        <v>021004</v>
      </c>
      <c r="F863" s="170" t="s">
        <v>2374</v>
      </c>
      <c r="G863" s="183" t="str">
        <f>VLOOKUP(F863,数据集标准分类!A:B,2,0)</f>
        <v>anes_icf_record</v>
      </c>
      <c r="H863" s="294">
        <f>VLOOKUP(F863,数据集标准分类!A:H,8,0)</f>
        <v>39</v>
      </c>
      <c r="I863" s="170" t="s">
        <v>421</v>
      </c>
      <c r="J863" s="170" t="s">
        <v>422</v>
      </c>
      <c r="K863" s="170" t="s">
        <v>423</v>
      </c>
      <c r="L863" s="170" t="s">
        <v>424</v>
      </c>
      <c r="M863" s="170" t="s">
        <v>1724</v>
      </c>
      <c r="N863" s="294">
        <v>4</v>
      </c>
      <c r="O863" s="170"/>
    </row>
    <row r="864" ht="15.75" customHeight="1" spans="1:15">
      <c r="A864" s="183" t="str">
        <f>VLOOKUP(F864,数据集标准分类!A:G,7,0)</f>
        <v>02</v>
      </c>
      <c r="B864" s="183" t="str">
        <f>VLOOKUP(F864,数据集标准分类!A:F,6,0)</f>
        <v>电子病历</v>
      </c>
      <c r="C864" s="183" t="str">
        <f>VLOOKUP(F864,数据集标准分类!A:E,5,0)</f>
        <v>0210</v>
      </c>
      <c r="D864" s="183" t="str">
        <f>VLOOKUP(F864,数据集标准分类!A:D,4,0)</f>
        <v>知情同意书</v>
      </c>
      <c r="E864" s="183" t="str">
        <f>VLOOKUP(F864,数据集标准分类!A:C,3,0)</f>
        <v>021004</v>
      </c>
      <c r="F864" s="170" t="s">
        <v>2374</v>
      </c>
      <c r="G864" s="183" t="str">
        <f>VLOOKUP(F864,数据集标准分类!A:B,2,0)</f>
        <v>anes_icf_record</v>
      </c>
      <c r="H864" s="294">
        <f>VLOOKUP(F864,数据集标准分类!A:H,8,0)</f>
        <v>39</v>
      </c>
      <c r="I864" s="170" t="s">
        <v>2375</v>
      </c>
      <c r="J864" s="170" t="s">
        <v>2376</v>
      </c>
      <c r="K864" s="170" t="s">
        <v>2377</v>
      </c>
      <c r="L864" s="170" t="s">
        <v>2378</v>
      </c>
      <c r="M864" s="170" t="s">
        <v>2379</v>
      </c>
      <c r="N864" s="294">
        <v>5</v>
      </c>
      <c r="O864" s="170"/>
    </row>
    <row r="865" ht="15.75" customHeight="1" spans="1:15">
      <c r="A865" s="183" t="str">
        <f>VLOOKUP(F865,数据集标准分类!A:G,7,0)</f>
        <v>02</v>
      </c>
      <c r="B865" s="183" t="str">
        <f>VLOOKUP(F865,数据集标准分类!A:F,6,0)</f>
        <v>电子病历</v>
      </c>
      <c r="C865" s="183" t="str">
        <f>VLOOKUP(F865,数据集标准分类!A:E,5,0)</f>
        <v>0210</v>
      </c>
      <c r="D865" s="183" t="str">
        <f>VLOOKUP(F865,数据集标准分类!A:D,4,0)</f>
        <v>知情同意书</v>
      </c>
      <c r="E865" s="183" t="str">
        <f>VLOOKUP(F865,数据集标准分类!A:C,3,0)</f>
        <v>021004</v>
      </c>
      <c r="F865" s="170" t="s">
        <v>2374</v>
      </c>
      <c r="G865" s="183" t="str">
        <f>VLOOKUP(F865,数据集标准分类!A:B,2,0)</f>
        <v>anes_icf_record</v>
      </c>
      <c r="H865" s="294">
        <f>VLOOKUP(F865,数据集标准分类!A:H,8,0)</f>
        <v>39</v>
      </c>
      <c r="I865" s="170" t="s">
        <v>2380</v>
      </c>
      <c r="J865" s="170" t="s">
        <v>2381</v>
      </c>
      <c r="K865" s="170" t="s">
        <v>2382</v>
      </c>
      <c r="L865" s="170" t="s">
        <v>2383</v>
      </c>
      <c r="M865" s="170" t="s">
        <v>2384</v>
      </c>
      <c r="N865" s="294">
        <v>6</v>
      </c>
      <c r="O865" s="170"/>
    </row>
    <row r="866" ht="15.75" customHeight="1" spans="1:15">
      <c r="A866" s="183" t="str">
        <f>VLOOKUP(F866,数据集标准分类!A:G,7,0)</f>
        <v>02</v>
      </c>
      <c r="B866" s="183" t="str">
        <f>VLOOKUP(F866,数据集标准分类!A:F,6,0)</f>
        <v>电子病历</v>
      </c>
      <c r="C866" s="183" t="str">
        <f>VLOOKUP(F866,数据集标准分类!A:E,5,0)</f>
        <v>0210</v>
      </c>
      <c r="D866" s="183" t="str">
        <f>VLOOKUP(F866,数据集标准分类!A:D,4,0)</f>
        <v>知情同意书</v>
      </c>
      <c r="E866" s="183" t="str">
        <f>VLOOKUP(F866,数据集标准分类!A:C,3,0)</f>
        <v>021004</v>
      </c>
      <c r="F866" s="170" t="s">
        <v>2374</v>
      </c>
      <c r="G866" s="183" t="str">
        <f>VLOOKUP(F866,数据集标准分类!A:B,2,0)</f>
        <v>anes_icf_record</v>
      </c>
      <c r="H866" s="294">
        <f>VLOOKUP(F866,数据集标准分类!A:H,8,0)</f>
        <v>39</v>
      </c>
      <c r="I866" s="170" t="s">
        <v>216</v>
      </c>
      <c r="J866" s="170" t="s">
        <v>217</v>
      </c>
      <c r="K866" s="170" t="s">
        <v>218</v>
      </c>
      <c r="L866" s="170" t="s">
        <v>219</v>
      </c>
      <c r="M866" s="170" t="s">
        <v>2385</v>
      </c>
      <c r="N866" s="294">
        <v>7</v>
      </c>
      <c r="O866" s="170"/>
    </row>
    <row r="867" ht="15.75" customHeight="1" spans="1:15">
      <c r="A867" s="183" t="str">
        <f>VLOOKUP(F867,数据集标准分类!A:G,7,0)</f>
        <v>02</v>
      </c>
      <c r="B867" s="183" t="str">
        <f>VLOOKUP(F867,数据集标准分类!A:F,6,0)</f>
        <v>电子病历</v>
      </c>
      <c r="C867" s="183" t="str">
        <f>VLOOKUP(F867,数据集标准分类!A:E,5,0)</f>
        <v>0210</v>
      </c>
      <c r="D867" s="183" t="str">
        <f>VLOOKUP(F867,数据集标准分类!A:D,4,0)</f>
        <v>知情同意书</v>
      </c>
      <c r="E867" s="183" t="str">
        <f>VLOOKUP(F867,数据集标准分类!A:C,3,0)</f>
        <v>021004</v>
      </c>
      <c r="F867" s="170" t="s">
        <v>2374</v>
      </c>
      <c r="G867" s="183" t="str">
        <f>VLOOKUP(F867,数据集标准分类!A:B,2,0)</f>
        <v>anes_icf_record</v>
      </c>
      <c r="H867" s="294">
        <f>VLOOKUP(F867,数据集标准分类!A:H,8,0)</f>
        <v>39</v>
      </c>
      <c r="I867" s="170" t="s">
        <v>2355</v>
      </c>
      <c r="J867" s="170" t="s">
        <v>2356</v>
      </c>
      <c r="K867" s="170" t="s">
        <v>2357</v>
      </c>
      <c r="L867" s="170" t="s">
        <v>2358</v>
      </c>
      <c r="M867" s="170" t="s">
        <v>2386</v>
      </c>
      <c r="N867" s="294">
        <v>8</v>
      </c>
      <c r="O867" s="170"/>
    </row>
    <row r="868" ht="15.75" customHeight="1" spans="1:15">
      <c r="A868" s="183" t="str">
        <f>VLOOKUP(F868,数据集标准分类!A:G,7,0)</f>
        <v>02</v>
      </c>
      <c r="B868" s="183" t="str">
        <f>VLOOKUP(F868,数据集标准分类!A:F,6,0)</f>
        <v>电子病历</v>
      </c>
      <c r="C868" s="183" t="str">
        <f>VLOOKUP(F868,数据集标准分类!A:E,5,0)</f>
        <v>0210</v>
      </c>
      <c r="D868" s="183" t="str">
        <f>VLOOKUP(F868,数据集标准分类!A:D,4,0)</f>
        <v>知情同意书</v>
      </c>
      <c r="E868" s="183" t="str">
        <f>VLOOKUP(F868,数据集标准分类!A:C,3,0)</f>
        <v>021004</v>
      </c>
      <c r="F868" s="170" t="s">
        <v>2374</v>
      </c>
      <c r="G868" s="183" t="str">
        <f>VLOOKUP(F868,数据集标准分类!A:B,2,0)</f>
        <v>anes_icf_record</v>
      </c>
      <c r="H868" s="294">
        <f>VLOOKUP(F868,数据集标准分类!A:H,8,0)</f>
        <v>39</v>
      </c>
      <c r="I868" s="170" t="s">
        <v>2387</v>
      </c>
      <c r="J868" s="170" t="s">
        <v>2388</v>
      </c>
      <c r="K868" s="170" t="s">
        <v>2389</v>
      </c>
      <c r="L868" s="170" t="s">
        <v>2390</v>
      </c>
      <c r="M868" s="170" t="s">
        <v>2391</v>
      </c>
      <c r="N868" s="294">
        <v>9</v>
      </c>
      <c r="O868" s="170"/>
    </row>
    <row r="869" ht="15.75" customHeight="1" spans="1:15">
      <c r="A869" s="183" t="str">
        <f>VLOOKUP(F869,数据集标准分类!A:G,7,0)</f>
        <v>02</v>
      </c>
      <c r="B869" s="183" t="str">
        <f>VLOOKUP(F869,数据集标准分类!A:F,6,0)</f>
        <v>电子病历</v>
      </c>
      <c r="C869" s="183" t="str">
        <f>VLOOKUP(F869,数据集标准分类!A:E,5,0)</f>
        <v>0210</v>
      </c>
      <c r="D869" s="183" t="str">
        <f>VLOOKUP(F869,数据集标准分类!A:D,4,0)</f>
        <v>知情同意书</v>
      </c>
      <c r="E869" s="183" t="str">
        <f>VLOOKUP(F869,数据集标准分类!A:C,3,0)</f>
        <v>021004</v>
      </c>
      <c r="F869" s="170" t="s">
        <v>2374</v>
      </c>
      <c r="G869" s="183" t="str">
        <f>VLOOKUP(F869,数据集标准分类!A:B,2,0)</f>
        <v>anes_icf_record</v>
      </c>
      <c r="H869" s="294">
        <f>VLOOKUP(F869,数据集标准分类!A:H,8,0)</f>
        <v>39</v>
      </c>
      <c r="I869" s="170" t="s">
        <v>2392</v>
      </c>
      <c r="J869" s="170" t="s">
        <v>2393</v>
      </c>
      <c r="K869" s="170" t="s">
        <v>2394</v>
      </c>
      <c r="L869" s="170" t="s">
        <v>2395</v>
      </c>
      <c r="M869" s="170" t="s">
        <v>2396</v>
      </c>
      <c r="N869" s="294">
        <v>10</v>
      </c>
      <c r="O869" s="170"/>
    </row>
    <row r="870" ht="15.75" customHeight="1" spans="1:15">
      <c r="A870" s="183" t="str">
        <f>VLOOKUP(F870,数据集标准分类!A:G,7,0)</f>
        <v>02</v>
      </c>
      <c r="B870" s="183" t="str">
        <f>VLOOKUP(F870,数据集标准分类!A:F,6,0)</f>
        <v>电子病历</v>
      </c>
      <c r="C870" s="183" t="str">
        <f>VLOOKUP(F870,数据集标准分类!A:E,5,0)</f>
        <v>0210</v>
      </c>
      <c r="D870" s="183" t="str">
        <f>VLOOKUP(F870,数据集标准分类!A:D,4,0)</f>
        <v>知情同意书</v>
      </c>
      <c r="E870" s="183" t="str">
        <f>VLOOKUP(F870,数据集标准分类!A:C,3,0)</f>
        <v>021004</v>
      </c>
      <c r="F870" s="170" t="s">
        <v>2374</v>
      </c>
      <c r="G870" s="183" t="str">
        <f>VLOOKUP(F870,数据集标准分类!A:B,2,0)</f>
        <v>anes_icf_record</v>
      </c>
      <c r="H870" s="294">
        <f>VLOOKUP(F870,数据集标准分类!A:H,8,0)</f>
        <v>39</v>
      </c>
      <c r="I870" s="170" t="s">
        <v>2365</v>
      </c>
      <c r="J870" s="170" t="s">
        <v>2366</v>
      </c>
      <c r="K870" s="170" t="s">
        <v>2367</v>
      </c>
      <c r="L870" s="170" t="s">
        <v>2368</v>
      </c>
      <c r="M870" s="170" t="s">
        <v>2330</v>
      </c>
      <c r="N870" s="294">
        <v>11</v>
      </c>
      <c r="O870" s="170"/>
    </row>
    <row r="871" ht="15.75" customHeight="1" spans="1:15">
      <c r="A871" s="183" t="str">
        <f>VLOOKUP(F871,数据集标准分类!A:G,7,0)</f>
        <v>02</v>
      </c>
      <c r="B871" s="183" t="str">
        <f>VLOOKUP(F871,数据集标准分类!A:F,6,0)</f>
        <v>电子病历</v>
      </c>
      <c r="C871" s="183" t="str">
        <f>VLOOKUP(F871,数据集标准分类!A:E,5,0)</f>
        <v>0210</v>
      </c>
      <c r="D871" s="183" t="str">
        <f>VLOOKUP(F871,数据集标准分类!A:D,4,0)</f>
        <v>知情同意书</v>
      </c>
      <c r="E871" s="183" t="str">
        <f>VLOOKUP(F871,数据集标准分类!A:C,3,0)</f>
        <v>021004</v>
      </c>
      <c r="F871" s="170" t="s">
        <v>2374</v>
      </c>
      <c r="G871" s="183" t="str">
        <f>VLOOKUP(F871,数据集标准分类!A:B,2,0)</f>
        <v>anes_icf_record</v>
      </c>
      <c r="H871" s="294">
        <f>VLOOKUP(F871,数据集标准分类!A:H,8,0)</f>
        <v>39</v>
      </c>
      <c r="I871" s="170" t="s">
        <v>2369</v>
      </c>
      <c r="J871" s="170" t="s">
        <v>2370</v>
      </c>
      <c r="K871" s="170" t="s">
        <v>2371</v>
      </c>
      <c r="L871" s="170" t="s">
        <v>2372</v>
      </c>
      <c r="M871" s="170" t="s">
        <v>2373</v>
      </c>
      <c r="N871" s="294">
        <v>12</v>
      </c>
      <c r="O871" s="170"/>
    </row>
    <row r="872" ht="15.75" customHeight="1" spans="1:15">
      <c r="A872" s="183" t="str">
        <f>VLOOKUP(F872,数据集标准分类!A:G,7,0)</f>
        <v>02</v>
      </c>
      <c r="B872" s="183" t="str">
        <f>VLOOKUP(F872,数据集标准分类!A:F,6,0)</f>
        <v>电子病历</v>
      </c>
      <c r="C872" s="183" t="str">
        <f>VLOOKUP(F872,数据集标准分类!A:E,5,0)</f>
        <v>0210</v>
      </c>
      <c r="D872" s="183" t="str">
        <f>VLOOKUP(F872,数据集标准分类!A:D,4,0)</f>
        <v>知情同意书</v>
      </c>
      <c r="E872" s="183" t="str">
        <f>VLOOKUP(F872,数据集标准分类!A:C,3,0)</f>
        <v>021005</v>
      </c>
      <c r="F872" s="170" t="s">
        <v>2397</v>
      </c>
      <c r="G872" s="183" t="str">
        <f>VLOOKUP(F872,数据集标准分类!A:B,2,0)</f>
        <v>spcl_exam_trtmt_icf</v>
      </c>
      <c r="H872" s="294">
        <f>VLOOKUP(F872,数据集标准分类!A:H,8,0)</f>
        <v>40</v>
      </c>
      <c r="I872" s="170" t="s">
        <v>172</v>
      </c>
      <c r="J872" s="170" t="s">
        <v>173</v>
      </c>
      <c r="K872" s="170" t="s">
        <v>174</v>
      </c>
      <c r="L872" s="170" t="s">
        <v>175</v>
      </c>
      <c r="M872" s="170" t="s">
        <v>1245</v>
      </c>
      <c r="N872" s="294">
        <v>1</v>
      </c>
      <c r="O872" s="170"/>
    </row>
    <row r="873" ht="15.75" customHeight="1" spans="1:15">
      <c r="A873" s="183" t="str">
        <f>VLOOKUP(F873,数据集标准分类!A:G,7,0)</f>
        <v>02</v>
      </c>
      <c r="B873" s="183" t="str">
        <f>VLOOKUP(F873,数据集标准分类!A:F,6,0)</f>
        <v>电子病历</v>
      </c>
      <c r="C873" s="183" t="str">
        <f>VLOOKUP(F873,数据集标准分类!A:E,5,0)</f>
        <v>0210</v>
      </c>
      <c r="D873" s="183" t="str">
        <f>VLOOKUP(F873,数据集标准分类!A:D,4,0)</f>
        <v>知情同意书</v>
      </c>
      <c r="E873" s="183" t="str">
        <f>VLOOKUP(F873,数据集标准分类!A:C,3,0)</f>
        <v>021005</v>
      </c>
      <c r="F873" s="170" t="s">
        <v>2397</v>
      </c>
      <c r="G873" s="183" t="str">
        <f>VLOOKUP(F873,数据集标准分类!A:B,2,0)</f>
        <v>spcl_exam_trtmt_icf</v>
      </c>
      <c r="H873" s="294">
        <f>VLOOKUP(F873,数据集标准分类!A:H,8,0)</f>
        <v>40</v>
      </c>
      <c r="I873" s="170" t="s">
        <v>2398</v>
      </c>
      <c r="J873" s="170" t="s">
        <v>2399</v>
      </c>
      <c r="K873" s="170" t="s">
        <v>2400</v>
      </c>
      <c r="L873" s="170" t="s">
        <v>2401</v>
      </c>
      <c r="M873" s="170" t="s">
        <v>2402</v>
      </c>
      <c r="N873" s="294">
        <v>2</v>
      </c>
      <c r="O873" s="170"/>
    </row>
    <row r="874" ht="15.75" customHeight="1" spans="1:15">
      <c r="A874" s="183" t="str">
        <f>VLOOKUP(F874,数据集标准分类!A:G,7,0)</f>
        <v>02</v>
      </c>
      <c r="B874" s="183" t="str">
        <f>VLOOKUP(F874,数据集标准分类!A:F,6,0)</f>
        <v>电子病历</v>
      </c>
      <c r="C874" s="183" t="str">
        <f>VLOOKUP(F874,数据集标准分类!A:E,5,0)</f>
        <v>0210</v>
      </c>
      <c r="D874" s="183" t="str">
        <f>VLOOKUP(F874,数据集标准分类!A:D,4,0)</f>
        <v>知情同意书</v>
      </c>
      <c r="E874" s="183" t="str">
        <f>VLOOKUP(F874,数据集标准分类!A:C,3,0)</f>
        <v>021005</v>
      </c>
      <c r="F874" s="170" t="s">
        <v>2397</v>
      </c>
      <c r="G874" s="183" t="str">
        <f>VLOOKUP(F874,数据集标准分类!A:B,2,0)</f>
        <v>spcl_exam_trtmt_icf</v>
      </c>
      <c r="H874" s="294">
        <f>VLOOKUP(F874,数据集标准分类!A:H,8,0)</f>
        <v>40</v>
      </c>
      <c r="I874" s="170" t="s">
        <v>2403</v>
      </c>
      <c r="J874" s="170" t="s">
        <v>2404</v>
      </c>
      <c r="K874" s="170" t="s">
        <v>2405</v>
      </c>
      <c r="L874" s="170" t="s">
        <v>2406</v>
      </c>
      <c r="M874" s="170" t="s">
        <v>2407</v>
      </c>
      <c r="N874" s="294">
        <v>3</v>
      </c>
      <c r="O874" s="170"/>
    </row>
    <row r="875" ht="15.75" customHeight="1" spans="1:15">
      <c r="A875" s="183" t="str">
        <f>VLOOKUP(F875,数据集标准分类!A:G,7,0)</f>
        <v>02</v>
      </c>
      <c r="B875" s="183" t="str">
        <f>VLOOKUP(F875,数据集标准分类!A:F,6,0)</f>
        <v>电子病历</v>
      </c>
      <c r="C875" s="183" t="str">
        <f>VLOOKUP(F875,数据集标准分类!A:E,5,0)</f>
        <v>0210</v>
      </c>
      <c r="D875" s="183" t="str">
        <f>VLOOKUP(F875,数据集标准分类!A:D,4,0)</f>
        <v>知情同意书</v>
      </c>
      <c r="E875" s="183" t="str">
        <f>VLOOKUP(F875,数据集标准分类!A:C,3,0)</f>
        <v>021005</v>
      </c>
      <c r="F875" s="170" t="s">
        <v>2397</v>
      </c>
      <c r="G875" s="183" t="str">
        <f>VLOOKUP(F875,数据集标准分类!A:B,2,0)</f>
        <v>spcl_exam_trtmt_icf</v>
      </c>
      <c r="H875" s="294">
        <f>VLOOKUP(F875,数据集标准分类!A:H,8,0)</f>
        <v>40</v>
      </c>
      <c r="I875" s="170" t="s">
        <v>2355</v>
      </c>
      <c r="J875" s="170" t="s">
        <v>2356</v>
      </c>
      <c r="K875" s="170" t="s">
        <v>2357</v>
      </c>
      <c r="L875" s="170" t="s">
        <v>2358</v>
      </c>
      <c r="M875" s="170" t="s">
        <v>2408</v>
      </c>
      <c r="N875" s="294">
        <v>4</v>
      </c>
      <c r="O875" s="170"/>
    </row>
    <row r="876" ht="15.75" customHeight="1" spans="1:15">
      <c r="A876" s="183" t="str">
        <f>VLOOKUP(F876,数据集标准分类!A:G,7,0)</f>
        <v>02</v>
      </c>
      <c r="B876" s="183" t="str">
        <f>VLOOKUP(F876,数据集标准分类!A:F,6,0)</f>
        <v>电子病历</v>
      </c>
      <c r="C876" s="183" t="str">
        <f>VLOOKUP(F876,数据集标准分类!A:E,5,0)</f>
        <v>0210</v>
      </c>
      <c r="D876" s="183" t="str">
        <f>VLOOKUP(F876,数据集标准分类!A:D,4,0)</f>
        <v>知情同意书</v>
      </c>
      <c r="E876" s="183" t="str">
        <f>VLOOKUP(F876,数据集标准分类!A:C,3,0)</f>
        <v>021005</v>
      </c>
      <c r="F876" s="170" t="s">
        <v>2397</v>
      </c>
      <c r="G876" s="183" t="str">
        <f>VLOOKUP(F876,数据集标准分类!A:B,2,0)</f>
        <v>spcl_exam_trtmt_icf</v>
      </c>
      <c r="H876" s="294">
        <f>VLOOKUP(F876,数据集标准分类!A:H,8,0)</f>
        <v>40</v>
      </c>
      <c r="I876" s="170" t="s">
        <v>2360</v>
      </c>
      <c r="J876" s="170" t="s">
        <v>2361</v>
      </c>
      <c r="K876" s="170" t="s">
        <v>2362</v>
      </c>
      <c r="L876" s="170" t="s">
        <v>2363</v>
      </c>
      <c r="M876" s="170" t="s">
        <v>2364</v>
      </c>
      <c r="N876" s="294">
        <v>5</v>
      </c>
      <c r="O876" s="170"/>
    </row>
    <row r="877" ht="15.75" customHeight="1" spans="1:15">
      <c r="A877" s="183" t="str">
        <f>VLOOKUP(F877,数据集标准分类!A:G,7,0)</f>
        <v>02</v>
      </c>
      <c r="B877" s="183" t="str">
        <f>VLOOKUP(F877,数据集标准分类!A:F,6,0)</f>
        <v>电子病历</v>
      </c>
      <c r="C877" s="183" t="str">
        <f>VLOOKUP(F877,数据集标准分类!A:E,5,0)</f>
        <v>0210</v>
      </c>
      <c r="D877" s="183" t="str">
        <f>VLOOKUP(F877,数据集标准分类!A:D,4,0)</f>
        <v>知情同意书</v>
      </c>
      <c r="E877" s="183" t="str">
        <f>VLOOKUP(F877,数据集标准分类!A:C,3,0)</f>
        <v>021006</v>
      </c>
      <c r="F877" s="170" t="s">
        <v>2409</v>
      </c>
      <c r="G877" s="183" t="str">
        <f>VLOOKUP(F877,数据集标准分类!A:B,2,0)</f>
        <v>other_icf</v>
      </c>
      <c r="H877" s="294">
        <f>VLOOKUP(F877,数据集标准分类!A:H,8,0)</f>
        <v>41</v>
      </c>
      <c r="I877" s="170" t="s">
        <v>172</v>
      </c>
      <c r="J877" s="170" t="s">
        <v>173</v>
      </c>
      <c r="K877" s="170" t="s">
        <v>174</v>
      </c>
      <c r="L877" s="170" t="s">
        <v>175</v>
      </c>
      <c r="M877" s="170" t="s">
        <v>1245</v>
      </c>
      <c r="N877" s="294">
        <v>1</v>
      </c>
      <c r="O877" s="170"/>
    </row>
    <row r="878" ht="15.75" customHeight="1" spans="1:15">
      <c r="A878" s="183" t="str">
        <f>VLOOKUP(F878,数据集标准分类!A:G,7,0)</f>
        <v>02</v>
      </c>
      <c r="B878" s="183" t="str">
        <f>VLOOKUP(F878,数据集标准分类!A:F,6,0)</f>
        <v>电子病历</v>
      </c>
      <c r="C878" s="183" t="str">
        <f>VLOOKUP(F878,数据集标准分类!A:E,5,0)</f>
        <v>0210</v>
      </c>
      <c r="D878" s="183" t="str">
        <f>VLOOKUP(F878,数据集标准分类!A:D,4,0)</f>
        <v>知情同意书</v>
      </c>
      <c r="E878" s="183" t="str">
        <f>VLOOKUP(F878,数据集标准分类!A:C,3,0)</f>
        <v>021006</v>
      </c>
      <c r="F878" s="170" t="s">
        <v>2409</v>
      </c>
      <c r="G878" s="183" t="str">
        <f>VLOOKUP(F878,数据集标准分类!A:B,2,0)</f>
        <v>other_icf</v>
      </c>
      <c r="H878" s="294">
        <f>VLOOKUP(F878,数据集标准分类!A:H,8,0)</f>
        <v>41</v>
      </c>
      <c r="I878" s="170" t="s">
        <v>2410</v>
      </c>
      <c r="J878" s="170" t="s">
        <v>2411</v>
      </c>
      <c r="K878" s="170" t="s">
        <v>2412</v>
      </c>
      <c r="L878" s="170" t="s">
        <v>2413</v>
      </c>
      <c r="M878" s="170" t="s">
        <v>2414</v>
      </c>
      <c r="N878" s="294">
        <v>2</v>
      </c>
      <c r="O878" s="170"/>
    </row>
    <row r="879" ht="15.75" customHeight="1" spans="1:15">
      <c r="A879" s="183" t="str">
        <f>VLOOKUP(F879,数据集标准分类!A:G,7,0)</f>
        <v>02</v>
      </c>
      <c r="B879" s="183" t="str">
        <f>VLOOKUP(F879,数据集标准分类!A:F,6,0)</f>
        <v>电子病历</v>
      </c>
      <c r="C879" s="183" t="str">
        <f>VLOOKUP(F879,数据集标准分类!A:E,5,0)</f>
        <v>0210</v>
      </c>
      <c r="D879" s="183" t="str">
        <f>VLOOKUP(F879,数据集标准分类!A:D,4,0)</f>
        <v>知情同意书</v>
      </c>
      <c r="E879" s="183" t="str">
        <f>VLOOKUP(F879,数据集标准分类!A:C,3,0)</f>
        <v>021006</v>
      </c>
      <c r="F879" s="170" t="s">
        <v>2409</v>
      </c>
      <c r="G879" s="183" t="str">
        <f>VLOOKUP(F879,数据集标准分类!A:B,2,0)</f>
        <v>other_icf</v>
      </c>
      <c r="H879" s="294">
        <f>VLOOKUP(F879,数据集标准分类!A:H,8,0)</f>
        <v>41</v>
      </c>
      <c r="I879" s="170" t="s">
        <v>2365</v>
      </c>
      <c r="J879" s="170" t="s">
        <v>2366</v>
      </c>
      <c r="K879" s="170" t="s">
        <v>2367</v>
      </c>
      <c r="L879" s="170" t="s">
        <v>2368</v>
      </c>
      <c r="M879" s="170" t="s">
        <v>2330</v>
      </c>
      <c r="N879" s="294">
        <v>3</v>
      </c>
      <c r="O879" s="170"/>
    </row>
    <row r="880" ht="15.75" customHeight="1" spans="1:15">
      <c r="A880" s="183" t="str">
        <f>VLOOKUP(F880,数据集标准分类!A:G,7,0)</f>
        <v>02</v>
      </c>
      <c r="B880" s="183" t="str">
        <f>VLOOKUP(F880,数据集标准分类!A:F,6,0)</f>
        <v>电子病历</v>
      </c>
      <c r="C880" s="183" t="str">
        <f>VLOOKUP(F880,数据集标准分类!A:E,5,0)</f>
        <v>0210</v>
      </c>
      <c r="D880" s="183" t="str">
        <f>VLOOKUP(F880,数据集标准分类!A:D,4,0)</f>
        <v>知情同意书</v>
      </c>
      <c r="E880" s="183" t="str">
        <f>VLOOKUP(F880,数据集标准分类!A:C,3,0)</f>
        <v>021006</v>
      </c>
      <c r="F880" s="170" t="s">
        <v>2409</v>
      </c>
      <c r="G880" s="183" t="str">
        <f>VLOOKUP(F880,数据集标准分类!A:B,2,0)</f>
        <v>other_icf</v>
      </c>
      <c r="H880" s="294">
        <f>VLOOKUP(F880,数据集标准分类!A:H,8,0)</f>
        <v>41</v>
      </c>
      <c r="I880" s="170" t="s">
        <v>2369</v>
      </c>
      <c r="J880" s="170" t="s">
        <v>2370</v>
      </c>
      <c r="K880" s="170" t="s">
        <v>2371</v>
      </c>
      <c r="L880" s="170" t="s">
        <v>2372</v>
      </c>
      <c r="M880" s="170" t="s">
        <v>2415</v>
      </c>
      <c r="N880" s="294">
        <v>4</v>
      </c>
      <c r="O880" s="170"/>
    </row>
    <row r="881" ht="15.75" customHeight="1" spans="1:15">
      <c r="A881" s="183" t="str">
        <f>VLOOKUP(F881,数据集标准分类!A:G,7,0)</f>
        <v>02</v>
      </c>
      <c r="B881" s="183" t="str">
        <f>VLOOKUP(F881,数据集标准分类!A:F,6,0)</f>
        <v>电子病历</v>
      </c>
      <c r="C881" s="183" t="str">
        <f>VLOOKUP(F881,数据集标准分类!A:E,5,0)</f>
        <v>0211</v>
      </c>
      <c r="D881" s="183" t="str">
        <f>VLOOKUP(F881,数据集标准分类!A:D,4,0)</f>
        <v>检验记录</v>
      </c>
      <c r="E881" s="183" t="s">
        <v>2416</v>
      </c>
      <c r="F881" s="170" t="s">
        <v>2417</v>
      </c>
      <c r="G881" s="183" t="s">
        <v>2418</v>
      </c>
      <c r="H881" s="294">
        <f>VLOOKUP(F881,数据集标准分类!A:H,8,0)</f>
        <v>42</v>
      </c>
      <c r="I881" s="170" t="s">
        <v>137</v>
      </c>
      <c r="J881" s="170" t="s">
        <v>138</v>
      </c>
      <c r="K881" s="170" t="s">
        <v>139</v>
      </c>
      <c r="L881" s="170" t="s">
        <v>140</v>
      </c>
      <c r="M881" s="170" t="s">
        <v>141</v>
      </c>
      <c r="N881" s="294">
        <v>1</v>
      </c>
      <c r="O881" s="170"/>
    </row>
    <row r="882" ht="15.75" customHeight="1" spans="1:15">
      <c r="A882" s="183" t="str">
        <f>VLOOKUP(F882,数据集标准分类!A:G,7,0)</f>
        <v>02</v>
      </c>
      <c r="B882" s="183" t="str">
        <f>VLOOKUP(F882,数据集标准分类!A:F,6,0)</f>
        <v>电子病历</v>
      </c>
      <c r="C882" s="183" t="str">
        <f>VLOOKUP(F882,数据集标准分类!A:E,5,0)</f>
        <v>0211</v>
      </c>
      <c r="D882" s="183" t="str">
        <f>VLOOKUP(F882,数据集标准分类!A:D,4,0)</f>
        <v>检验记录</v>
      </c>
      <c r="E882" s="183" t="str">
        <f>VLOOKUP(F882,数据集标准分类!A:C,3,0)</f>
        <v>021101</v>
      </c>
      <c r="F882" s="170" t="s">
        <v>2417</v>
      </c>
      <c r="G882" s="183" t="str">
        <f>VLOOKUP(F882,数据集标准分类!A:B,2,0)</f>
        <v>dx_test_record</v>
      </c>
      <c r="H882" s="294">
        <f>VLOOKUP(F882,数据集标准分类!A:H,8,0)</f>
        <v>42</v>
      </c>
      <c r="I882" s="170" t="s">
        <v>172</v>
      </c>
      <c r="J882" s="170" t="s">
        <v>173</v>
      </c>
      <c r="K882" s="170" t="s">
        <v>174</v>
      </c>
      <c r="L882" s="170" t="s">
        <v>175</v>
      </c>
      <c r="M882" s="170" t="s">
        <v>1245</v>
      </c>
      <c r="N882" s="294">
        <v>2</v>
      </c>
      <c r="O882" s="170"/>
    </row>
    <row r="883" ht="15.75" customHeight="1" spans="1:15">
      <c r="A883" s="183" t="str">
        <f>VLOOKUP(F883,数据集标准分类!A:G,7,0)</f>
        <v>02</v>
      </c>
      <c r="B883" s="183" t="str">
        <f>VLOOKUP(F883,数据集标准分类!A:F,6,0)</f>
        <v>电子病历</v>
      </c>
      <c r="C883" s="183" t="str">
        <f>VLOOKUP(F883,数据集标准分类!A:E,5,0)</f>
        <v>0211</v>
      </c>
      <c r="D883" s="183" t="str">
        <f>VLOOKUP(F883,数据集标准分类!A:D,4,0)</f>
        <v>检验记录</v>
      </c>
      <c r="E883" s="183" t="str">
        <f>VLOOKUP(F883,数据集标准分类!A:C,3,0)</f>
        <v>021101</v>
      </c>
      <c r="F883" s="170" t="s">
        <v>2417</v>
      </c>
      <c r="G883" s="183" t="str">
        <f>VLOOKUP(F883,数据集标准分类!A:B,2,0)</f>
        <v>dx_test_record</v>
      </c>
      <c r="H883" s="294">
        <f>VLOOKUP(F883,数据集标准分类!A:H,8,0)</f>
        <v>42</v>
      </c>
      <c r="I883" s="170" t="s">
        <v>2419</v>
      </c>
      <c r="J883" s="170" t="s">
        <v>2420</v>
      </c>
      <c r="K883" s="170" t="s">
        <v>2421</v>
      </c>
      <c r="L883" s="170" t="s">
        <v>2422</v>
      </c>
      <c r="M883" s="170" t="s">
        <v>2423</v>
      </c>
      <c r="N883" s="294">
        <v>3</v>
      </c>
      <c r="O883" s="170"/>
    </row>
    <row r="884" ht="15.75" customHeight="1" spans="1:15">
      <c r="A884" s="183" t="str">
        <f>VLOOKUP(F884,数据集标准分类!A:G,7,0)</f>
        <v>02</v>
      </c>
      <c r="B884" s="183" t="str">
        <f>VLOOKUP(F884,数据集标准分类!A:F,6,0)</f>
        <v>电子病历</v>
      </c>
      <c r="C884" s="183" t="str">
        <f>VLOOKUP(F884,数据集标准分类!A:E,5,0)</f>
        <v>0211</v>
      </c>
      <c r="D884" s="183" t="str">
        <f>VLOOKUP(F884,数据集标准分类!A:D,4,0)</f>
        <v>检验记录</v>
      </c>
      <c r="E884" s="183" t="str">
        <f>VLOOKUP(F884,数据集标准分类!A:C,3,0)</f>
        <v>021101</v>
      </c>
      <c r="F884" s="170" t="s">
        <v>2417</v>
      </c>
      <c r="G884" s="183" t="str">
        <f>VLOOKUP(F884,数据集标准分类!A:B,2,0)</f>
        <v>dx_test_record</v>
      </c>
      <c r="H884" s="294">
        <f>VLOOKUP(F884,数据集标准分类!A:H,8,0)</f>
        <v>42</v>
      </c>
      <c r="I884" s="170" t="s">
        <v>1463</v>
      </c>
      <c r="J884" s="170" t="s">
        <v>1464</v>
      </c>
      <c r="K884" s="170" t="s">
        <v>1465</v>
      </c>
      <c r="L884" s="170" t="s">
        <v>1466</v>
      </c>
      <c r="M884" s="170" t="s">
        <v>1467</v>
      </c>
      <c r="N884" s="294">
        <v>4</v>
      </c>
      <c r="O884" s="170"/>
    </row>
    <row r="885" ht="15.75" customHeight="1" spans="1:15">
      <c r="A885" s="183" t="str">
        <f>VLOOKUP(F885,数据集标准分类!A:G,7,0)</f>
        <v>02</v>
      </c>
      <c r="B885" s="183" t="str">
        <f>VLOOKUP(F885,数据集标准分类!A:F,6,0)</f>
        <v>电子病历</v>
      </c>
      <c r="C885" s="183" t="str">
        <f>VLOOKUP(F885,数据集标准分类!A:E,5,0)</f>
        <v>0211</v>
      </c>
      <c r="D885" s="183" t="str">
        <f>VLOOKUP(F885,数据集标准分类!A:D,4,0)</f>
        <v>检验记录</v>
      </c>
      <c r="E885" s="183" t="str">
        <f>VLOOKUP(F885,数据集标准分类!A:C,3,0)</f>
        <v>021101</v>
      </c>
      <c r="F885" s="170" t="s">
        <v>2417</v>
      </c>
      <c r="G885" s="183" t="str">
        <f>VLOOKUP(F885,数据集标准分类!A:B,2,0)</f>
        <v>dx_test_record</v>
      </c>
      <c r="H885" s="294">
        <f>VLOOKUP(F885,数据集标准分类!A:H,8,0)</f>
        <v>42</v>
      </c>
      <c r="I885" s="170" t="s">
        <v>2424</v>
      </c>
      <c r="J885" s="170" t="s">
        <v>2425</v>
      </c>
      <c r="K885" s="170" t="s">
        <v>2426</v>
      </c>
      <c r="L885" s="170" t="s">
        <v>2427</v>
      </c>
      <c r="M885" s="170" t="s">
        <v>2428</v>
      </c>
      <c r="N885" s="294">
        <v>5</v>
      </c>
      <c r="O885" s="170"/>
    </row>
    <row r="886" ht="15.75" customHeight="1" spans="1:15">
      <c r="A886" s="183" t="str">
        <f>VLOOKUP(F886,数据集标准分类!A:G,7,0)</f>
        <v>02</v>
      </c>
      <c r="B886" s="183" t="str">
        <f>VLOOKUP(F886,数据集标准分类!A:F,6,0)</f>
        <v>电子病历</v>
      </c>
      <c r="C886" s="183" t="str">
        <f>VLOOKUP(F886,数据集标准分类!A:E,5,0)</f>
        <v>0211</v>
      </c>
      <c r="D886" s="183" t="str">
        <f>VLOOKUP(F886,数据集标准分类!A:D,4,0)</f>
        <v>检验记录</v>
      </c>
      <c r="E886" s="183" t="str">
        <f>VLOOKUP(F886,数据集标准分类!A:C,3,0)</f>
        <v>021101</v>
      </c>
      <c r="F886" s="170" t="s">
        <v>2417</v>
      </c>
      <c r="G886" s="183" t="str">
        <f>VLOOKUP(F886,数据集标准分类!A:B,2,0)</f>
        <v>dx_test_record</v>
      </c>
      <c r="H886" s="294">
        <f>VLOOKUP(F886,数据集标准分类!A:H,8,0)</f>
        <v>42</v>
      </c>
      <c r="I886" s="170" t="s">
        <v>2429</v>
      </c>
      <c r="J886" s="170" t="s">
        <v>2430</v>
      </c>
      <c r="K886" s="170" t="s">
        <v>2431</v>
      </c>
      <c r="L886" s="170" t="s">
        <v>2432</v>
      </c>
      <c r="M886" s="170" t="s">
        <v>2433</v>
      </c>
      <c r="N886" s="294">
        <v>6</v>
      </c>
      <c r="O886" s="170"/>
    </row>
    <row r="887" ht="15.75" customHeight="1" spans="1:15">
      <c r="A887" s="183" t="str">
        <f>VLOOKUP(F887,数据集标准分类!A:G,7,0)</f>
        <v>02</v>
      </c>
      <c r="B887" s="183" t="str">
        <f>VLOOKUP(F887,数据集标准分类!A:F,6,0)</f>
        <v>电子病历</v>
      </c>
      <c r="C887" s="183" t="str">
        <f>VLOOKUP(F887,数据集标准分类!A:E,5,0)</f>
        <v>0211</v>
      </c>
      <c r="D887" s="183" t="str">
        <f>VLOOKUP(F887,数据集标准分类!A:D,4,0)</f>
        <v>检验记录</v>
      </c>
      <c r="E887" s="183" t="str">
        <f>VLOOKUP(F887,数据集标准分类!A:C,3,0)</f>
        <v>021101</v>
      </c>
      <c r="F887" s="170" t="s">
        <v>2417</v>
      </c>
      <c r="G887" s="183" t="str">
        <f>VLOOKUP(F887,数据集标准分类!A:B,2,0)</f>
        <v>dx_test_record</v>
      </c>
      <c r="H887" s="294">
        <f>VLOOKUP(F887,数据集标准分类!A:H,8,0)</f>
        <v>42</v>
      </c>
      <c r="I887" s="170" t="s">
        <v>2434</v>
      </c>
      <c r="J887" s="170" t="s">
        <v>2435</v>
      </c>
      <c r="K887" s="170" t="s">
        <v>2436</v>
      </c>
      <c r="L887" s="170" t="s">
        <v>2437</v>
      </c>
      <c r="M887" s="170" t="s">
        <v>2438</v>
      </c>
      <c r="N887" s="294">
        <v>7</v>
      </c>
      <c r="O887" s="170"/>
    </row>
    <row r="888" ht="15.75" customHeight="1" spans="1:15">
      <c r="A888" s="183" t="str">
        <f>VLOOKUP(F888,数据集标准分类!A:G,7,0)</f>
        <v>02</v>
      </c>
      <c r="B888" s="183" t="str">
        <f>VLOOKUP(F888,数据集标准分类!A:F,6,0)</f>
        <v>电子病历</v>
      </c>
      <c r="C888" s="183" t="str">
        <f>VLOOKUP(F888,数据集标准分类!A:E,5,0)</f>
        <v>0211</v>
      </c>
      <c r="D888" s="183" t="str">
        <f>VLOOKUP(F888,数据集标准分类!A:D,4,0)</f>
        <v>检验记录</v>
      </c>
      <c r="E888" s="183" t="str">
        <f>VLOOKUP(F888,数据集标准分类!A:C,3,0)</f>
        <v>021101</v>
      </c>
      <c r="F888" s="170" t="s">
        <v>2417</v>
      </c>
      <c r="G888" s="183" t="s">
        <v>2418</v>
      </c>
      <c r="H888" s="294">
        <f>VLOOKUP(F888,数据集标准分类!A:H,8,0)</f>
        <v>42</v>
      </c>
      <c r="I888" s="170" t="s">
        <v>2439</v>
      </c>
      <c r="J888" s="170" t="s">
        <v>2440</v>
      </c>
      <c r="K888" s="170" t="s">
        <v>2441</v>
      </c>
      <c r="L888" s="170" t="s">
        <v>2442</v>
      </c>
      <c r="M888" s="170" t="s">
        <v>2443</v>
      </c>
      <c r="N888" s="294">
        <v>8</v>
      </c>
      <c r="O888" s="170"/>
    </row>
    <row r="889" ht="15.75" customHeight="1" spans="1:15">
      <c r="A889" s="183" t="str">
        <f>VLOOKUP(F889,数据集标准分类!A:G,7,0)</f>
        <v>02</v>
      </c>
      <c r="B889" s="183" t="str">
        <f>VLOOKUP(F889,数据集标准分类!A:F,6,0)</f>
        <v>电子病历</v>
      </c>
      <c r="C889" s="183" t="str">
        <f>VLOOKUP(F889,数据集标准分类!A:E,5,0)</f>
        <v>0211</v>
      </c>
      <c r="D889" s="183" t="str">
        <f>VLOOKUP(F889,数据集标准分类!A:D,4,0)</f>
        <v>检验记录</v>
      </c>
      <c r="E889" s="183" t="str">
        <f>VLOOKUP(F889,数据集标准分类!A:C,3,0)</f>
        <v>021101</v>
      </c>
      <c r="F889" s="170" t="s">
        <v>2417</v>
      </c>
      <c r="G889" s="183" t="str">
        <f>VLOOKUP(F889,数据集标准分类!A:B,2,0)</f>
        <v>dx_test_record</v>
      </c>
      <c r="H889" s="294">
        <f>VLOOKUP(F889,数据集标准分类!A:H,8,0)</f>
        <v>42</v>
      </c>
      <c r="I889" s="170" t="s">
        <v>2444</v>
      </c>
      <c r="J889" s="170" t="s">
        <v>2445</v>
      </c>
      <c r="K889" s="170" t="s">
        <v>2446</v>
      </c>
      <c r="L889" s="170" t="s">
        <v>2447</v>
      </c>
      <c r="M889" s="170" t="s">
        <v>2448</v>
      </c>
      <c r="N889" s="294">
        <v>9</v>
      </c>
      <c r="O889" s="170"/>
    </row>
    <row r="890" ht="15.75" customHeight="1" spans="1:15">
      <c r="A890" s="183" t="str">
        <f>VLOOKUP(F890,数据集标准分类!A:G,7,0)</f>
        <v>02</v>
      </c>
      <c r="B890" s="183" t="str">
        <f>VLOOKUP(F890,数据集标准分类!A:F,6,0)</f>
        <v>电子病历</v>
      </c>
      <c r="C890" s="183" t="str">
        <f>VLOOKUP(F890,数据集标准分类!A:E,5,0)</f>
        <v>0211</v>
      </c>
      <c r="D890" s="183" t="str">
        <f>VLOOKUP(F890,数据集标准分类!A:D,4,0)</f>
        <v>检验记录</v>
      </c>
      <c r="E890" s="183" t="str">
        <f>VLOOKUP(F890,数据集标准分类!A:C,3,0)</f>
        <v>021101</v>
      </c>
      <c r="F890" s="170" t="s">
        <v>2417</v>
      </c>
      <c r="G890" s="183" t="str">
        <f>VLOOKUP(F890,数据集标准分类!A:B,2,0)</f>
        <v>dx_test_record</v>
      </c>
      <c r="H890" s="294">
        <f>VLOOKUP(F890,数据集标准分类!A:H,8,0)</f>
        <v>42</v>
      </c>
      <c r="I890" s="170" t="s">
        <v>2449</v>
      </c>
      <c r="J890" s="170" t="s">
        <v>2450</v>
      </c>
      <c r="K890" s="170" t="s">
        <v>2451</v>
      </c>
      <c r="L890" s="170" t="s">
        <v>2452</v>
      </c>
      <c r="M890" s="170" t="s">
        <v>2453</v>
      </c>
      <c r="N890" s="294">
        <v>10</v>
      </c>
      <c r="O890" s="170"/>
    </row>
    <row r="891" ht="15.75" customHeight="1" spans="1:15">
      <c r="A891" s="183" t="str">
        <f>VLOOKUP(F891,数据集标准分类!A:G,7,0)</f>
        <v>02</v>
      </c>
      <c r="B891" s="183" t="str">
        <f>VLOOKUP(F891,数据集标准分类!A:F,6,0)</f>
        <v>电子病历</v>
      </c>
      <c r="C891" s="183" t="str">
        <f>VLOOKUP(F891,数据集标准分类!A:E,5,0)</f>
        <v>0211</v>
      </c>
      <c r="D891" s="183" t="str">
        <f>VLOOKUP(F891,数据集标准分类!A:D,4,0)</f>
        <v>检验记录</v>
      </c>
      <c r="E891" s="183" t="str">
        <f>VLOOKUP(F891,数据集标准分类!A:C,3,0)</f>
        <v>021101</v>
      </c>
      <c r="F891" s="170" t="s">
        <v>2417</v>
      </c>
      <c r="G891" s="183" t="str">
        <f>VLOOKUP(F891,数据集标准分类!A:B,2,0)</f>
        <v>dx_test_record</v>
      </c>
      <c r="H891" s="294">
        <f>VLOOKUP(F891,数据集标准分类!A:H,8,0)</f>
        <v>42</v>
      </c>
      <c r="I891" s="170" t="s">
        <v>2454</v>
      </c>
      <c r="J891" s="170" t="s">
        <v>2455</v>
      </c>
      <c r="K891" s="170" t="s">
        <v>2456</v>
      </c>
      <c r="L891" s="170" t="s">
        <v>2457</v>
      </c>
      <c r="M891" s="170" t="s">
        <v>2458</v>
      </c>
      <c r="N891" s="294">
        <v>11</v>
      </c>
      <c r="O891" s="170"/>
    </row>
    <row r="892" ht="15.75" customHeight="1" spans="1:15">
      <c r="A892" s="183" t="str">
        <f>VLOOKUP(F892,数据集标准分类!A:G,7,0)</f>
        <v>02</v>
      </c>
      <c r="B892" s="183" t="str">
        <f>VLOOKUP(F892,数据集标准分类!A:F,6,0)</f>
        <v>电子病历</v>
      </c>
      <c r="C892" s="183" t="str">
        <f>VLOOKUP(F892,数据集标准分类!A:E,5,0)</f>
        <v>0211</v>
      </c>
      <c r="D892" s="183" t="str">
        <f>VLOOKUP(F892,数据集标准分类!A:D,4,0)</f>
        <v>检验记录</v>
      </c>
      <c r="E892" s="183" t="str">
        <f>VLOOKUP(F892,数据集标准分类!A:C,3,0)</f>
        <v>021101</v>
      </c>
      <c r="F892" s="170" t="s">
        <v>2417</v>
      </c>
      <c r="G892" s="183" t="str">
        <f>VLOOKUP(F892,数据集标准分类!A:B,2,0)</f>
        <v>dx_test_record</v>
      </c>
      <c r="H892" s="294">
        <f>VLOOKUP(F892,数据集标准分类!A:H,8,0)</f>
        <v>42</v>
      </c>
      <c r="I892" s="170" t="s">
        <v>2459</v>
      </c>
      <c r="J892" s="170" t="s">
        <v>2460</v>
      </c>
      <c r="K892" s="170" t="s">
        <v>2461</v>
      </c>
      <c r="L892" s="170" t="s">
        <v>2462</v>
      </c>
      <c r="M892" s="170" t="s">
        <v>2463</v>
      </c>
      <c r="N892" s="294">
        <v>12</v>
      </c>
      <c r="O892" s="170"/>
    </row>
    <row r="893" ht="15.75" customHeight="1" spans="1:15">
      <c r="A893" s="183" t="str">
        <f>VLOOKUP(F893,数据集标准分类!A:G,7,0)</f>
        <v>02</v>
      </c>
      <c r="B893" s="183" t="str">
        <f>VLOOKUP(F893,数据集标准分类!A:F,6,0)</f>
        <v>电子病历</v>
      </c>
      <c r="C893" s="183" t="str">
        <f>VLOOKUP(F893,数据集标准分类!A:E,5,0)</f>
        <v>0211</v>
      </c>
      <c r="D893" s="183" t="str">
        <f>VLOOKUP(F893,数据集标准分类!A:D,4,0)</f>
        <v>检验记录</v>
      </c>
      <c r="E893" s="183" t="str">
        <f>VLOOKUP(F893,数据集标准分类!A:C,3,0)</f>
        <v>021101</v>
      </c>
      <c r="F893" s="170" t="s">
        <v>2417</v>
      </c>
      <c r="G893" s="183" t="str">
        <f>VLOOKUP(F893,数据集标准分类!A:B,2,0)</f>
        <v>dx_test_record</v>
      </c>
      <c r="H893" s="294">
        <f>VLOOKUP(F893,数据集标准分类!A:H,8,0)</f>
        <v>42</v>
      </c>
      <c r="I893" s="170" t="s">
        <v>1298</v>
      </c>
      <c r="J893" s="170" t="s">
        <v>1299</v>
      </c>
      <c r="K893" s="170" t="s">
        <v>1300</v>
      </c>
      <c r="L893" s="170" t="s">
        <v>1301</v>
      </c>
      <c r="M893" s="170" t="s">
        <v>2464</v>
      </c>
      <c r="N893" s="294">
        <v>13</v>
      </c>
      <c r="O893" s="170"/>
    </row>
    <row r="894" ht="15.75" customHeight="1" spans="1:15">
      <c r="A894" s="183" t="str">
        <f>VLOOKUP(F894,数据集标准分类!A:G,7,0)</f>
        <v>02</v>
      </c>
      <c r="B894" s="183" t="str">
        <f>VLOOKUP(F894,数据集标准分类!A:F,6,0)</f>
        <v>电子病历</v>
      </c>
      <c r="C894" s="183" t="str">
        <f>VLOOKUP(F894,数据集标准分类!A:E,5,0)</f>
        <v>0211</v>
      </c>
      <c r="D894" s="183" t="str">
        <f>VLOOKUP(F894,数据集标准分类!A:D,4,0)</f>
        <v>检验记录</v>
      </c>
      <c r="E894" s="183" t="str">
        <f>VLOOKUP(F894,数据集标准分类!A:C,3,0)</f>
        <v>021101</v>
      </c>
      <c r="F894" s="170" t="s">
        <v>2417</v>
      </c>
      <c r="G894" s="183" t="str">
        <f>VLOOKUP(F894,数据集标准分类!A:B,2,0)</f>
        <v>dx_test_record</v>
      </c>
      <c r="H894" s="294">
        <f>VLOOKUP(F894,数据集标准分类!A:H,8,0)</f>
        <v>42</v>
      </c>
      <c r="I894" s="170" t="s">
        <v>1293</v>
      </c>
      <c r="J894" s="170" t="s">
        <v>1294</v>
      </c>
      <c r="K894" s="170" t="s">
        <v>1295</v>
      </c>
      <c r="L894" s="170" t="s">
        <v>1296</v>
      </c>
      <c r="M894" s="170" t="s">
        <v>2465</v>
      </c>
      <c r="N894" s="294">
        <v>14</v>
      </c>
      <c r="O894" s="170"/>
    </row>
    <row r="895" ht="15.75" customHeight="1" spans="1:15">
      <c r="A895" s="183" t="str">
        <f>VLOOKUP(F895,数据集标准分类!A:G,7,0)</f>
        <v>02</v>
      </c>
      <c r="B895" s="183" t="str">
        <f>VLOOKUP(F895,数据集标准分类!A:F,6,0)</f>
        <v>电子病历</v>
      </c>
      <c r="C895" s="183" t="str">
        <f>VLOOKUP(F895,数据集标准分类!A:E,5,0)</f>
        <v>0211</v>
      </c>
      <c r="D895" s="183" t="str">
        <f>VLOOKUP(F895,数据集标准分类!A:D,4,0)</f>
        <v>检验记录</v>
      </c>
      <c r="E895" s="183" t="str">
        <f>VLOOKUP(F895,数据集标准分类!A:C,3,0)</f>
        <v>021101</v>
      </c>
      <c r="F895" s="170" t="s">
        <v>2417</v>
      </c>
      <c r="G895" s="183" t="str">
        <f>VLOOKUP(F895,数据集标准分类!A:B,2,0)</f>
        <v>dx_test_record</v>
      </c>
      <c r="H895" s="294">
        <f>VLOOKUP(F895,数据集标准分类!A:H,8,0)</f>
        <v>42</v>
      </c>
      <c r="I895" s="170" t="s">
        <v>2466</v>
      </c>
      <c r="J895" s="170" t="s">
        <v>2467</v>
      </c>
      <c r="K895" s="170" t="s">
        <v>2468</v>
      </c>
      <c r="L895" s="170" t="s">
        <v>2469</v>
      </c>
      <c r="M895" s="170" t="s">
        <v>2470</v>
      </c>
      <c r="N895" s="294">
        <v>15</v>
      </c>
      <c r="O895" s="170"/>
    </row>
    <row r="896" ht="15.75" customHeight="1" spans="1:15">
      <c r="A896" s="183" t="str">
        <f>VLOOKUP(F896,数据集标准分类!A:G,7,0)</f>
        <v>02</v>
      </c>
      <c r="B896" s="183" t="str">
        <f>VLOOKUP(F896,数据集标准分类!A:F,6,0)</f>
        <v>电子病历</v>
      </c>
      <c r="C896" s="183" t="str">
        <f>VLOOKUP(F896,数据集标准分类!A:E,5,0)</f>
        <v>0211</v>
      </c>
      <c r="D896" s="183" t="str">
        <f>VLOOKUP(F896,数据集标准分类!A:D,4,0)</f>
        <v>检验记录</v>
      </c>
      <c r="E896" s="183" t="s">
        <v>2416</v>
      </c>
      <c r="F896" s="170" t="s">
        <v>2417</v>
      </c>
      <c r="G896" s="183" t="str">
        <f>VLOOKUP(F896,数据集标准分类!A:B,2,0)</f>
        <v>dx_test_record</v>
      </c>
      <c r="H896" s="294">
        <f>VLOOKUP(F896,数据集标准分类!A:H,8,0)</f>
        <v>42</v>
      </c>
      <c r="I896" s="170" t="s">
        <v>2471</v>
      </c>
      <c r="J896" s="170" t="s">
        <v>2472</v>
      </c>
      <c r="K896" s="170" t="s">
        <v>2473</v>
      </c>
      <c r="L896" s="170" t="s">
        <v>2474</v>
      </c>
      <c r="M896" s="170" t="s">
        <v>2475</v>
      </c>
      <c r="N896" s="294">
        <v>16</v>
      </c>
      <c r="O896" s="170"/>
    </row>
    <row r="897" ht="15.75" customHeight="1" spans="1:15">
      <c r="A897" s="183" t="str">
        <f>VLOOKUP(F897,数据集标准分类!A:G,7,0)</f>
        <v>02</v>
      </c>
      <c r="B897" s="183" t="str">
        <f>VLOOKUP(F897,数据集标准分类!A:F,6,0)</f>
        <v>电子病历</v>
      </c>
      <c r="C897" s="183" t="str">
        <f>VLOOKUP(F897,数据集标准分类!A:E,5,0)</f>
        <v>0211</v>
      </c>
      <c r="D897" s="183" t="str">
        <f>VLOOKUP(F897,数据集标准分类!A:D,4,0)</f>
        <v>检验记录</v>
      </c>
      <c r="E897" s="183" t="str">
        <f>VLOOKUP(F897,数据集标准分类!A:C,3,0)</f>
        <v>021101</v>
      </c>
      <c r="F897" s="170" t="s">
        <v>2417</v>
      </c>
      <c r="G897" s="183" t="str">
        <f>VLOOKUP(F897,数据集标准分类!A:B,2,0)</f>
        <v>dx_test_record</v>
      </c>
      <c r="H897" s="294">
        <f>VLOOKUP(F897,数据集标准分类!A:H,8,0)</f>
        <v>42</v>
      </c>
      <c r="I897" s="170" t="s">
        <v>2476</v>
      </c>
      <c r="J897" s="170" t="s">
        <v>2477</v>
      </c>
      <c r="K897" s="170" t="s">
        <v>2478</v>
      </c>
      <c r="L897" s="170" t="s">
        <v>2479</v>
      </c>
      <c r="M897" s="170" t="s">
        <v>2480</v>
      </c>
      <c r="N897" s="294">
        <v>17</v>
      </c>
      <c r="O897" s="170"/>
    </row>
    <row r="898" ht="15.75" customHeight="1" spans="1:15">
      <c r="A898" s="183" t="str">
        <f>VLOOKUP(F898,数据集标准分类!A:G,7,0)</f>
        <v>02</v>
      </c>
      <c r="B898" s="183" t="str">
        <f>VLOOKUP(F898,数据集标准分类!A:F,6,0)</f>
        <v>电子病历</v>
      </c>
      <c r="C898" s="183" t="str">
        <f>VLOOKUP(F898,数据集标准分类!A:E,5,0)</f>
        <v>0211</v>
      </c>
      <c r="D898" s="183" t="str">
        <f>VLOOKUP(F898,数据集标准分类!A:D,4,0)</f>
        <v>检验记录</v>
      </c>
      <c r="E898" s="183" t="str">
        <f>VLOOKUP(F898,数据集标准分类!A:C,3,0)</f>
        <v>021101</v>
      </c>
      <c r="F898" s="170" t="s">
        <v>2417</v>
      </c>
      <c r="G898" s="183" t="str">
        <f>VLOOKUP(F898,数据集标准分类!A:B,2,0)</f>
        <v>dx_test_record</v>
      </c>
      <c r="H898" s="294">
        <f>VLOOKUP(F898,数据集标准分类!A:H,8,0)</f>
        <v>42</v>
      </c>
      <c r="I898" s="170" t="s">
        <v>2481</v>
      </c>
      <c r="J898" s="170" t="s">
        <v>2482</v>
      </c>
      <c r="K898" s="170" t="s">
        <v>2483</v>
      </c>
      <c r="L898" s="170" t="s">
        <v>2484</v>
      </c>
      <c r="M898" s="170" t="s">
        <v>2485</v>
      </c>
      <c r="N898" s="294">
        <v>18</v>
      </c>
      <c r="O898" s="170"/>
    </row>
    <row r="899" ht="15.75" customHeight="1" spans="1:15">
      <c r="A899" s="183" t="str">
        <f>VLOOKUP(F899,数据集标准分类!A:G,7,0)</f>
        <v>02</v>
      </c>
      <c r="B899" s="183" t="str">
        <f>VLOOKUP(F899,数据集标准分类!A:F,6,0)</f>
        <v>电子病历</v>
      </c>
      <c r="C899" s="183" t="str">
        <f>VLOOKUP(F899,数据集标准分类!A:E,5,0)</f>
        <v>0211</v>
      </c>
      <c r="D899" s="183" t="str">
        <f>VLOOKUP(F899,数据集标准分类!A:D,4,0)</f>
        <v>检验记录</v>
      </c>
      <c r="E899" s="183" t="str">
        <f>VLOOKUP(F899,数据集标准分类!A:C,3,0)</f>
        <v>021101</v>
      </c>
      <c r="F899" s="170" t="s">
        <v>2417</v>
      </c>
      <c r="G899" s="183" t="str">
        <f>VLOOKUP(F899,数据集标准分类!A:B,2,0)</f>
        <v>dx_test_record</v>
      </c>
      <c r="H899" s="294">
        <f>VLOOKUP(F899,数据集标准分类!A:H,8,0)</f>
        <v>42</v>
      </c>
      <c r="I899" s="170" t="s">
        <v>2486</v>
      </c>
      <c r="J899" s="170" t="s">
        <v>2487</v>
      </c>
      <c r="K899" s="170" t="s">
        <v>2488</v>
      </c>
      <c r="L899" s="170" t="s">
        <v>2489</v>
      </c>
      <c r="M899" s="170" t="s">
        <v>2490</v>
      </c>
      <c r="N899" s="294">
        <v>19</v>
      </c>
      <c r="O899" s="170"/>
    </row>
    <row r="900" ht="15.75" customHeight="1" spans="1:15">
      <c r="A900" s="183" t="str">
        <f>VLOOKUP(F900,数据集标准分类!A:G,7,0)</f>
        <v>02</v>
      </c>
      <c r="B900" s="183" t="str">
        <f>VLOOKUP(F900,数据集标准分类!A:F,6,0)</f>
        <v>电子病历</v>
      </c>
      <c r="C900" s="183" t="str">
        <f>VLOOKUP(F900,数据集标准分类!A:E,5,0)</f>
        <v>0211</v>
      </c>
      <c r="D900" s="183" t="str">
        <f>VLOOKUP(F900,数据集标准分类!A:D,4,0)</f>
        <v>检验记录</v>
      </c>
      <c r="E900" s="183" t="str">
        <f>VLOOKUP(F900,数据集标准分类!A:C,3,0)</f>
        <v>021101</v>
      </c>
      <c r="F900" s="170" t="s">
        <v>2417</v>
      </c>
      <c r="G900" s="183" t="str">
        <f>VLOOKUP(F900,数据集标准分类!A:B,2,0)</f>
        <v>dx_test_record</v>
      </c>
      <c r="H900" s="294">
        <f>VLOOKUP(F900,数据集标准分类!A:H,8,0)</f>
        <v>42</v>
      </c>
      <c r="I900" s="170" t="s">
        <v>2491</v>
      </c>
      <c r="J900" s="170" t="s">
        <v>2492</v>
      </c>
      <c r="K900" s="170" t="s">
        <v>2493</v>
      </c>
      <c r="L900" s="170" t="s">
        <v>2494</v>
      </c>
      <c r="M900" s="170" t="s">
        <v>2495</v>
      </c>
      <c r="N900" s="294">
        <v>20</v>
      </c>
      <c r="O900" s="170"/>
    </row>
    <row r="901" ht="15.75" customHeight="1" spans="1:15">
      <c r="A901" s="183" t="str">
        <f>VLOOKUP(F901,数据集标准分类!A:G,7,0)</f>
        <v>02</v>
      </c>
      <c r="B901" s="183" t="str">
        <f>VLOOKUP(F901,数据集标准分类!A:F,6,0)</f>
        <v>电子病历</v>
      </c>
      <c r="C901" s="183" t="str">
        <f>VLOOKUP(F901,数据集标准分类!A:E,5,0)</f>
        <v>0211</v>
      </c>
      <c r="D901" s="183" t="str">
        <f>VLOOKUP(F901,数据集标准分类!A:D,4,0)</f>
        <v>检验记录</v>
      </c>
      <c r="E901" s="183" t="str">
        <f>VLOOKUP(F901,数据集标准分类!A:C,3,0)</f>
        <v>021101</v>
      </c>
      <c r="F901" s="170" t="s">
        <v>2417</v>
      </c>
      <c r="G901" s="183" t="str">
        <f>VLOOKUP(F901,数据集标准分类!A:B,2,0)</f>
        <v>dx_test_record</v>
      </c>
      <c r="H901" s="294">
        <f>VLOOKUP(F901,数据集标准分类!A:H,8,0)</f>
        <v>42</v>
      </c>
      <c r="I901" s="170" t="s">
        <v>2496</v>
      </c>
      <c r="J901" s="170" t="s">
        <v>2497</v>
      </c>
      <c r="K901" s="170" t="s">
        <v>2498</v>
      </c>
      <c r="L901" s="170" t="s">
        <v>2499</v>
      </c>
      <c r="M901" s="170" t="s">
        <v>2500</v>
      </c>
      <c r="N901" s="294">
        <v>21</v>
      </c>
      <c r="O901" s="170"/>
    </row>
    <row r="902" ht="15.75" customHeight="1" spans="1:15">
      <c r="A902" s="183" t="str">
        <f>VLOOKUP(F902,数据集标准分类!A:G,7,0)</f>
        <v>02</v>
      </c>
      <c r="B902" s="183" t="str">
        <f>VLOOKUP(F902,数据集标准分类!A:F,6,0)</f>
        <v>电子病历</v>
      </c>
      <c r="C902" s="183" t="str">
        <f>VLOOKUP(F902,数据集标准分类!A:E,5,0)</f>
        <v>0211</v>
      </c>
      <c r="D902" s="183" t="str">
        <f>VLOOKUP(F902,数据集标准分类!A:D,4,0)</f>
        <v>检验记录</v>
      </c>
      <c r="E902" s="183" t="str">
        <f>VLOOKUP(F902,数据集标准分类!A:C,3,0)</f>
        <v>021101</v>
      </c>
      <c r="F902" s="170" t="s">
        <v>2417</v>
      </c>
      <c r="G902" s="183" t="str">
        <f>VLOOKUP(F902,数据集标准分类!A:B,2,0)</f>
        <v>dx_test_record</v>
      </c>
      <c r="H902" s="294">
        <f>VLOOKUP(F902,数据集标准分类!A:H,8,0)</f>
        <v>42</v>
      </c>
      <c r="I902" s="170" t="s">
        <v>2501</v>
      </c>
      <c r="J902" s="170" t="s">
        <v>2502</v>
      </c>
      <c r="K902" s="170" t="s">
        <v>2503</v>
      </c>
      <c r="L902" s="170" t="s">
        <v>2504</v>
      </c>
      <c r="M902" s="170" t="s">
        <v>2505</v>
      </c>
      <c r="N902" s="294">
        <v>22</v>
      </c>
      <c r="O902" s="170"/>
    </row>
    <row r="903" ht="15.75" customHeight="1" spans="1:15">
      <c r="A903" s="183" t="str">
        <f>VLOOKUP(F903,数据集标准分类!A:G,7,0)</f>
        <v>02</v>
      </c>
      <c r="B903" s="183" t="str">
        <f>VLOOKUP(F903,数据集标准分类!A:F,6,0)</f>
        <v>电子病历</v>
      </c>
      <c r="C903" s="183" t="str">
        <f>VLOOKUP(F903,数据集标准分类!A:E,5,0)</f>
        <v>0211</v>
      </c>
      <c r="D903" s="183" t="str">
        <f>VLOOKUP(F903,数据集标准分类!A:D,4,0)</f>
        <v>检验记录</v>
      </c>
      <c r="E903" s="183" t="str">
        <f>VLOOKUP(F903,数据集标准分类!A:C,3,0)</f>
        <v>021101</v>
      </c>
      <c r="F903" s="170" t="s">
        <v>2417</v>
      </c>
      <c r="G903" s="183" t="str">
        <f>VLOOKUP(F903,数据集标准分类!A:B,2,0)</f>
        <v>dx_test_record</v>
      </c>
      <c r="H903" s="294">
        <f>VLOOKUP(F903,数据集标准分类!A:H,8,0)</f>
        <v>42</v>
      </c>
      <c r="I903" s="170" t="s">
        <v>2506</v>
      </c>
      <c r="J903" s="170" t="s">
        <v>2507</v>
      </c>
      <c r="K903" s="170" t="s">
        <v>2508</v>
      </c>
      <c r="L903" s="170" t="s">
        <v>2509</v>
      </c>
      <c r="M903" s="170"/>
      <c r="N903" s="294">
        <v>23</v>
      </c>
      <c r="O903" s="170"/>
    </row>
    <row r="904" ht="15.75" customHeight="1" spans="1:15">
      <c r="A904" s="183" t="str">
        <f>VLOOKUP(F904,数据集标准分类!A:G,7,0)</f>
        <v>02</v>
      </c>
      <c r="B904" s="183" t="str">
        <f>VLOOKUP(F904,数据集标准分类!A:F,6,0)</f>
        <v>电子病历</v>
      </c>
      <c r="C904" s="183" t="str">
        <f>VLOOKUP(F904,数据集标准分类!A:E,5,0)</f>
        <v>0211</v>
      </c>
      <c r="D904" s="183" t="str">
        <f>VLOOKUP(F904,数据集标准分类!A:D,4,0)</f>
        <v>检验记录</v>
      </c>
      <c r="E904" s="183" t="str">
        <f>VLOOKUP(F904,数据集标准分类!A:C,3,0)</f>
        <v>021101</v>
      </c>
      <c r="F904" s="170" t="s">
        <v>2417</v>
      </c>
      <c r="G904" s="183" t="str">
        <f>VLOOKUP(F904,数据集标准分类!A:B,2,0)</f>
        <v>dx_test_record</v>
      </c>
      <c r="H904" s="294">
        <f>VLOOKUP(F904,数据集标准分类!A:H,8,0)</f>
        <v>42</v>
      </c>
      <c r="I904" s="170" t="s">
        <v>2510</v>
      </c>
      <c r="J904" s="170" t="s">
        <v>2511</v>
      </c>
      <c r="K904" s="170" t="s">
        <v>2512</v>
      </c>
      <c r="L904" s="170" t="s">
        <v>2513</v>
      </c>
      <c r="M904" s="170"/>
      <c r="N904" s="294">
        <v>24</v>
      </c>
      <c r="O904" s="170"/>
    </row>
    <row r="905" ht="15.75" customHeight="1" spans="1:15">
      <c r="A905" s="183" t="str">
        <f>VLOOKUP(F905,数据集标准分类!A:G,7,0)</f>
        <v>02</v>
      </c>
      <c r="B905" s="183" t="str">
        <f>VLOOKUP(F905,数据集标准分类!A:F,6,0)</f>
        <v>电子病历</v>
      </c>
      <c r="C905" s="183" t="str">
        <f>VLOOKUP(F905,数据集标准分类!A:E,5,0)</f>
        <v>0211</v>
      </c>
      <c r="D905" s="183" t="str">
        <f>VLOOKUP(F905,数据集标准分类!A:D,4,0)</f>
        <v>检验记录</v>
      </c>
      <c r="E905" s="183" t="str">
        <f>VLOOKUP(F905,数据集标准分类!A:C,3,0)</f>
        <v>021101</v>
      </c>
      <c r="F905" s="170" t="s">
        <v>2417</v>
      </c>
      <c r="G905" s="183" t="str">
        <f>VLOOKUP(F905,数据集标准分类!A:B,2,0)</f>
        <v>dx_test_record</v>
      </c>
      <c r="H905" s="294">
        <f>VLOOKUP(F905,数据集标准分类!A:H,8,0)</f>
        <v>42</v>
      </c>
      <c r="I905" s="170" t="s">
        <v>2514</v>
      </c>
      <c r="J905" s="170" t="s">
        <v>2515</v>
      </c>
      <c r="K905" s="170" t="s">
        <v>2516</v>
      </c>
      <c r="L905" s="170" t="s">
        <v>2517</v>
      </c>
      <c r="M905" s="170"/>
      <c r="N905" s="294">
        <v>25</v>
      </c>
      <c r="O905" s="170"/>
    </row>
    <row r="906" ht="15.75" customHeight="1" spans="1:15">
      <c r="A906" s="183" t="str">
        <f>VLOOKUP(F906,数据集标准分类!A:G,7,0)</f>
        <v>02</v>
      </c>
      <c r="B906" s="183" t="str">
        <f>VLOOKUP(F906,数据集标准分类!A:F,6,0)</f>
        <v>电子病历</v>
      </c>
      <c r="C906" s="183" t="str">
        <f>VLOOKUP(F906,数据集标准分类!A:E,5,0)</f>
        <v>0211</v>
      </c>
      <c r="D906" s="183" t="str">
        <f>VLOOKUP(F906,数据集标准分类!A:D,4,0)</f>
        <v>检验记录</v>
      </c>
      <c r="E906" s="183" t="str">
        <f>VLOOKUP(F906,数据集标准分类!A:C,3,0)</f>
        <v>021101</v>
      </c>
      <c r="F906" s="170" t="s">
        <v>2417</v>
      </c>
      <c r="G906" s="183" t="str">
        <f>VLOOKUP(F906,数据集标准分类!A:B,2,0)</f>
        <v>dx_test_record</v>
      </c>
      <c r="H906" s="294">
        <f>VLOOKUP(F906,数据集标准分类!A:H,8,0)</f>
        <v>42</v>
      </c>
      <c r="I906" s="170" t="s">
        <v>2518</v>
      </c>
      <c r="J906" s="170" t="s">
        <v>2519</v>
      </c>
      <c r="K906" s="170" t="s">
        <v>2520</v>
      </c>
      <c r="L906" s="170" t="s">
        <v>2521</v>
      </c>
      <c r="M906" s="170"/>
      <c r="N906" s="294">
        <v>26</v>
      </c>
      <c r="O906" s="170"/>
    </row>
    <row r="907" ht="15.75" customHeight="1" spans="1:15">
      <c r="A907" s="183" t="str">
        <f>VLOOKUP(F907,数据集标准分类!A:G,7,0)</f>
        <v>02</v>
      </c>
      <c r="B907" s="183" t="str">
        <f>VLOOKUP(F907,数据集标准分类!A:F,6,0)</f>
        <v>电子病历</v>
      </c>
      <c r="C907" s="183" t="str">
        <f>VLOOKUP(F907,数据集标准分类!A:E,5,0)</f>
        <v>0212</v>
      </c>
      <c r="D907" s="183" t="str">
        <f>VLOOKUP(F907,数据集标准分类!A:D,4,0)</f>
        <v>检查记录</v>
      </c>
      <c r="E907" s="183" t="str">
        <f>VLOOKUP(F907,数据集标准分类!A:C,3,0)</f>
        <v>021201</v>
      </c>
      <c r="F907" s="170" t="s">
        <v>2522</v>
      </c>
      <c r="G907" s="183" t="str">
        <f>VLOOKUP(F907,数据集标准分类!A:B,2,0)</f>
        <v>exam_record</v>
      </c>
      <c r="H907" s="294">
        <f>VLOOKUP(F907,数据集标准分类!A:H,8,0)</f>
        <v>43</v>
      </c>
      <c r="I907" s="170" t="s">
        <v>137</v>
      </c>
      <c r="J907" s="170" t="s">
        <v>138</v>
      </c>
      <c r="K907" s="170" t="s">
        <v>139</v>
      </c>
      <c r="L907" s="170" t="s">
        <v>140</v>
      </c>
      <c r="M907" s="170" t="s">
        <v>141</v>
      </c>
      <c r="N907" s="294">
        <v>1</v>
      </c>
      <c r="O907" s="170"/>
    </row>
    <row r="908" ht="15.75" customHeight="1" spans="1:15">
      <c r="A908" s="183" t="str">
        <f>VLOOKUP(F908,数据集标准分类!A:G,7,0)</f>
        <v>02</v>
      </c>
      <c r="B908" s="183" t="str">
        <f>VLOOKUP(F908,数据集标准分类!A:F,6,0)</f>
        <v>电子病历</v>
      </c>
      <c r="C908" s="183" t="str">
        <f>VLOOKUP(F908,数据集标准分类!A:E,5,0)</f>
        <v>0212</v>
      </c>
      <c r="D908" s="183" t="str">
        <f>VLOOKUP(F908,数据集标准分类!A:D,4,0)</f>
        <v>检查记录</v>
      </c>
      <c r="E908" s="183" t="str">
        <f>VLOOKUP(F908,数据集标准分类!A:C,3,0)</f>
        <v>021201</v>
      </c>
      <c r="F908" s="170" t="s">
        <v>2522</v>
      </c>
      <c r="G908" s="183" t="str">
        <f>VLOOKUP(F908,数据集标准分类!A:B,2,0)</f>
        <v>exam_record</v>
      </c>
      <c r="H908" s="294">
        <f>VLOOKUP(F908,数据集标准分类!A:H,8,0)</f>
        <v>43</v>
      </c>
      <c r="I908" s="170" t="s">
        <v>2523</v>
      </c>
      <c r="J908" s="170" t="s">
        <v>2524</v>
      </c>
      <c r="K908" s="170" t="s">
        <v>2525</v>
      </c>
      <c r="L908" s="170" t="s">
        <v>2526</v>
      </c>
      <c r="M908" s="170" t="s">
        <v>2527</v>
      </c>
      <c r="N908" s="294">
        <v>2</v>
      </c>
      <c r="O908" s="170"/>
    </row>
    <row r="909" ht="15.75" customHeight="1" spans="1:15">
      <c r="A909" s="183" t="str">
        <f>VLOOKUP(F909,数据集标准分类!A:G,7,0)</f>
        <v>02</v>
      </c>
      <c r="B909" s="183" t="str">
        <f>VLOOKUP(F909,数据集标准分类!A:F,6,0)</f>
        <v>电子病历</v>
      </c>
      <c r="C909" s="183" t="str">
        <f>VLOOKUP(F909,数据集标准分类!A:E,5,0)</f>
        <v>0212</v>
      </c>
      <c r="D909" s="183" t="str">
        <f>VLOOKUP(F909,数据集标准分类!A:D,4,0)</f>
        <v>检查记录</v>
      </c>
      <c r="E909" s="183" t="str">
        <f>VLOOKUP(F909,数据集标准分类!A:C,3,0)</f>
        <v>021201</v>
      </c>
      <c r="F909" s="170" t="s">
        <v>2522</v>
      </c>
      <c r="G909" s="183" t="str">
        <f>VLOOKUP(F909,数据集标准分类!A:B,2,0)</f>
        <v>exam_record</v>
      </c>
      <c r="H909" s="294">
        <f>VLOOKUP(F909,数据集标准分类!A:H,8,0)</f>
        <v>43</v>
      </c>
      <c r="I909" s="170" t="s">
        <v>172</v>
      </c>
      <c r="J909" s="170" t="s">
        <v>173</v>
      </c>
      <c r="K909" s="170" t="s">
        <v>174</v>
      </c>
      <c r="L909" s="170" t="s">
        <v>175</v>
      </c>
      <c r="M909" s="170" t="s">
        <v>1245</v>
      </c>
      <c r="N909" s="294">
        <v>3</v>
      </c>
      <c r="O909" s="170"/>
    </row>
    <row r="910" ht="15.75" customHeight="1" spans="1:15">
      <c r="A910" s="183" t="str">
        <f>VLOOKUP(F910,数据集标准分类!A:G,7,0)</f>
        <v>02</v>
      </c>
      <c r="B910" s="183" t="str">
        <f>VLOOKUP(F910,数据集标准分类!A:F,6,0)</f>
        <v>电子病历</v>
      </c>
      <c r="C910" s="183" t="str">
        <f>VLOOKUP(F910,数据集标准分类!A:E,5,0)</f>
        <v>0212</v>
      </c>
      <c r="D910" s="183" t="str">
        <f>VLOOKUP(F910,数据集标准分类!A:D,4,0)</f>
        <v>检查记录</v>
      </c>
      <c r="E910" s="183" t="str">
        <f>VLOOKUP(F910,数据集标准分类!A:C,3,0)</f>
        <v>021201</v>
      </c>
      <c r="F910" s="170" t="s">
        <v>2522</v>
      </c>
      <c r="G910" s="183" t="str">
        <f>VLOOKUP(F910,数据集标准分类!A:B,2,0)</f>
        <v>exam_record</v>
      </c>
      <c r="H910" s="294">
        <f>VLOOKUP(F910,数据集标准分类!A:H,8,0)</f>
        <v>43</v>
      </c>
      <c r="I910" s="170" t="s">
        <v>1463</v>
      </c>
      <c r="J910" s="170" t="s">
        <v>1464</v>
      </c>
      <c r="K910" s="170" t="s">
        <v>1465</v>
      </c>
      <c r="L910" s="170" t="s">
        <v>1466</v>
      </c>
      <c r="M910" s="170" t="s">
        <v>1467</v>
      </c>
      <c r="N910" s="294">
        <v>4</v>
      </c>
      <c r="O910" s="170"/>
    </row>
    <row r="911" ht="15.75" customHeight="1" spans="1:15">
      <c r="A911" s="183" t="str">
        <f>VLOOKUP(F911,数据集标准分类!A:G,7,0)</f>
        <v>02</v>
      </c>
      <c r="B911" s="183" t="str">
        <f>VLOOKUP(F911,数据集标准分类!A:F,6,0)</f>
        <v>电子病历</v>
      </c>
      <c r="C911" s="183" t="str">
        <f>VLOOKUP(F911,数据集标准分类!A:E,5,0)</f>
        <v>0212</v>
      </c>
      <c r="D911" s="183" t="str">
        <f>VLOOKUP(F911,数据集标准分类!A:D,4,0)</f>
        <v>检查记录</v>
      </c>
      <c r="E911" s="183" t="str">
        <f>VLOOKUP(F911,数据集标准分类!A:C,3,0)</f>
        <v>021201</v>
      </c>
      <c r="F911" s="170" t="s">
        <v>2522</v>
      </c>
      <c r="G911" s="183" t="str">
        <f>VLOOKUP(F911,数据集标准分类!A:B,2,0)</f>
        <v>exam_record</v>
      </c>
      <c r="H911" s="294">
        <f>VLOOKUP(F911,数据集标准分类!A:H,8,0)</f>
        <v>43</v>
      </c>
      <c r="I911" s="170" t="s">
        <v>663</v>
      </c>
      <c r="J911" s="170" t="s">
        <v>664</v>
      </c>
      <c r="K911" s="170" t="s">
        <v>665</v>
      </c>
      <c r="L911" s="170" t="s">
        <v>666</v>
      </c>
      <c r="M911" s="170" t="s">
        <v>667</v>
      </c>
      <c r="N911" s="294">
        <v>5</v>
      </c>
      <c r="O911" s="170"/>
    </row>
    <row r="912" ht="15.75" customHeight="1" spans="1:15">
      <c r="A912" s="183" t="str">
        <f>VLOOKUP(F912,数据集标准分类!A:G,7,0)</f>
        <v>02</v>
      </c>
      <c r="B912" s="183" t="str">
        <f>VLOOKUP(F912,数据集标准分类!A:F,6,0)</f>
        <v>电子病历</v>
      </c>
      <c r="C912" s="183" t="str">
        <f>VLOOKUP(F912,数据集标准分类!A:E,5,0)</f>
        <v>0212</v>
      </c>
      <c r="D912" s="183" t="str">
        <f>VLOOKUP(F912,数据集标准分类!A:D,4,0)</f>
        <v>检查记录</v>
      </c>
      <c r="E912" s="183" t="str">
        <f>VLOOKUP(F912,数据集标准分类!A:C,3,0)</f>
        <v>021201</v>
      </c>
      <c r="F912" s="170" t="s">
        <v>2522</v>
      </c>
      <c r="G912" s="183" t="str">
        <f>VLOOKUP(F912,数据集标准分类!A:B,2,0)</f>
        <v>exam_record</v>
      </c>
      <c r="H912" s="294">
        <f>VLOOKUP(F912,数据集标准分类!A:H,8,0)</f>
        <v>43</v>
      </c>
      <c r="I912" s="170" t="s">
        <v>2528</v>
      </c>
      <c r="J912" s="170" t="s">
        <v>2529</v>
      </c>
      <c r="K912" s="170" t="s">
        <v>2530</v>
      </c>
      <c r="L912" s="170" t="s">
        <v>2531</v>
      </c>
      <c r="M912" s="170" t="s">
        <v>2532</v>
      </c>
      <c r="N912" s="294">
        <v>6</v>
      </c>
      <c r="O912" s="170"/>
    </row>
    <row r="913" ht="15.75" customHeight="1" spans="1:15">
      <c r="A913" s="183" t="str">
        <f>VLOOKUP(F913,数据集标准分类!A:G,7,0)</f>
        <v>02</v>
      </c>
      <c r="B913" s="183" t="str">
        <f>VLOOKUP(F913,数据集标准分类!A:F,6,0)</f>
        <v>电子病历</v>
      </c>
      <c r="C913" s="183" t="str">
        <f>VLOOKUP(F913,数据集标准分类!A:E,5,0)</f>
        <v>0212</v>
      </c>
      <c r="D913" s="183" t="str">
        <f>VLOOKUP(F913,数据集标准分类!A:D,4,0)</f>
        <v>检查记录</v>
      </c>
      <c r="E913" s="183" t="str">
        <f>VLOOKUP(F913,数据集标准分类!A:C,3,0)</f>
        <v>021201</v>
      </c>
      <c r="F913" s="170" t="s">
        <v>2522</v>
      </c>
      <c r="G913" s="183" t="str">
        <f>VLOOKUP(F913,数据集标准分类!A:B,2,0)</f>
        <v>exam_record</v>
      </c>
      <c r="H913" s="294">
        <f>VLOOKUP(F913,数据集标准分类!A:H,8,0)</f>
        <v>43</v>
      </c>
      <c r="I913" s="170" t="s">
        <v>2533</v>
      </c>
      <c r="J913" s="170" t="s">
        <v>2534</v>
      </c>
      <c r="K913" s="170" t="s">
        <v>2535</v>
      </c>
      <c r="L913" s="170" t="s">
        <v>2536</v>
      </c>
      <c r="M913" s="170" t="s">
        <v>2537</v>
      </c>
      <c r="N913" s="294">
        <v>7</v>
      </c>
      <c r="O913" s="170"/>
    </row>
    <row r="914" ht="15.75" customHeight="1" spans="1:15">
      <c r="A914" s="183" t="str">
        <f>VLOOKUP(F914,数据集标准分类!A:G,7,0)</f>
        <v>02</v>
      </c>
      <c r="B914" s="183" t="str">
        <f>VLOOKUP(F914,数据集标准分类!A:F,6,0)</f>
        <v>电子病历</v>
      </c>
      <c r="C914" s="183" t="str">
        <f>VLOOKUP(F914,数据集标准分类!A:E,5,0)</f>
        <v>0212</v>
      </c>
      <c r="D914" s="183" t="str">
        <f>VLOOKUP(F914,数据集标准分类!A:D,4,0)</f>
        <v>检查记录</v>
      </c>
      <c r="E914" s="183" t="str">
        <f>VLOOKUP(F914,数据集标准分类!A:C,3,0)</f>
        <v>021201</v>
      </c>
      <c r="F914" s="170" t="s">
        <v>2522</v>
      </c>
      <c r="G914" s="183" t="str">
        <f>VLOOKUP(F914,数据集标准分类!A:B,2,0)</f>
        <v>exam_record</v>
      </c>
      <c r="H914" s="294">
        <f>VLOOKUP(F914,数据集标准分类!A:H,8,0)</f>
        <v>43</v>
      </c>
      <c r="I914" s="170" t="s">
        <v>934</v>
      </c>
      <c r="J914" s="170" t="s">
        <v>935</v>
      </c>
      <c r="K914" s="170" t="s">
        <v>936</v>
      </c>
      <c r="L914" s="170" t="s">
        <v>937</v>
      </c>
      <c r="M914" s="170" t="s">
        <v>938</v>
      </c>
      <c r="N914" s="294">
        <v>8</v>
      </c>
      <c r="O914" s="170"/>
    </row>
    <row r="915" ht="15.75" customHeight="1" spans="1:15">
      <c r="A915" s="183" t="str">
        <f>VLOOKUP(F915,数据集标准分类!A:G,7,0)</f>
        <v>02</v>
      </c>
      <c r="B915" s="183" t="str">
        <f>VLOOKUP(F915,数据集标准分类!A:F,6,0)</f>
        <v>电子病历</v>
      </c>
      <c r="C915" s="183" t="str">
        <f>VLOOKUP(F915,数据集标准分类!A:E,5,0)</f>
        <v>0212</v>
      </c>
      <c r="D915" s="183" t="str">
        <f>VLOOKUP(F915,数据集标准分类!A:D,4,0)</f>
        <v>检查记录</v>
      </c>
      <c r="E915" s="183" t="str">
        <f>VLOOKUP(F915,数据集标准分类!A:C,3,0)</f>
        <v>021201</v>
      </c>
      <c r="F915" s="170" t="s">
        <v>2522</v>
      </c>
      <c r="G915" s="183" t="str">
        <f>VLOOKUP(F915,数据集标准分类!A:B,2,0)</f>
        <v>exam_record</v>
      </c>
      <c r="H915" s="294">
        <f>VLOOKUP(F915,数据集标准分类!A:H,8,0)</f>
        <v>43</v>
      </c>
      <c r="I915" s="170" t="s">
        <v>2538</v>
      </c>
      <c r="J915" s="170" t="s">
        <v>2539</v>
      </c>
      <c r="K915" s="170" t="s">
        <v>2540</v>
      </c>
      <c r="L915" s="170" t="s">
        <v>2541</v>
      </c>
      <c r="M915" s="170" t="s">
        <v>2542</v>
      </c>
      <c r="N915" s="294">
        <v>9</v>
      </c>
      <c r="O915" s="170"/>
    </row>
    <row r="916" ht="15.75" customHeight="1" spans="1:15">
      <c r="A916" s="183" t="str">
        <f>VLOOKUP(F916,数据集标准分类!A:G,7,0)</f>
        <v>02</v>
      </c>
      <c r="B916" s="183" t="str">
        <f>VLOOKUP(F916,数据集标准分类!A:F,6,0)</f>
        <v>电子病历</v>
      </c>
      <c r="C916" s="183" t="str">
        <f>VLOOKUP(F916,数据集标准分类!A:E,5,0)</f>
        <v>0212</v>
      </c>
      <c r="D916" s="183" t="str">
        <f>VLOOKUP(F916,数据集标准分类!A:D,4,0)</f>
        <v>检查记录</v>
      </c>
      <c r="E916" s="183" t="str">
        <f>VLOOKUP(F916,数据集标准分类!A:C,3,0)</f>
        <v>021201</v>
      </c>
      <c r="F916" s="170" t="s">
        <v>2522</v>
      </c>
      <c r="G916" s="183" t="str">
        <f>VLOOKUP(F916,数据集标准分类!A:B,2,0)</f>
        <v>exam_record</v>
      </c>
      <c r="H916" s="294">
        <f>VLOOKUP(F916,数据集标准分类!A:H,8,0)</f>
        <v>43</v>
      </c>
      <c r="I916" s="170" t="s">
        <v>192</v>
      </c>
      <c r="J916" s="170" t="s">
        <v>193</v>
      </c>
      <c r="K916" s="170" t="s">
        <v>194</v>
      </c>
      <c r="L916" s="170" t="s">
        <v>195</v>
      </c>
      <c r="M916" s="170" t="s">
        <v>2543</v>
      </c>
      <c r="N916" s="294">
        <v>10</v>
      </c>
      <c r="O916" s="170"/>
    </row>
    <row r="917" ht="15.75" customHeight="1" spans="1:15">
      <c r="A917" s="183" t="str">
        <f>VLOOKUP(F917,数据集标准分类!A:G,7,0)</f>
        <v>02</v>
      </c>
      <c r="B917" s="183" t="str">
        <f>VLOOKUP(F917,数据集标准分类!A:F,6,0)</f>
        <v>电子病历</v>
      </c>
      <c r="C917" s="183" t="str">
        <f>VLOOKUP(F917,数据集标准分类!A:E,5,0)</f>
        <v>0212</v>
      </c>
      <c r="D917" s="183" t="str">
        <f>VLOOKUP(F917,数据集标准分类!A:D,4,0)</f>
        <v>检查记录</v>
      </c>
      <c r="E917" s="183" t="str">
        <f>VLOOKUP(F917,数据集标准分类!A:C,3,0)</f>
        <v>021201</v>
      </c>
      <c r="F917" s="170" t="s">
        <v>2522</v>
      </c>
      <c r="G917" s="183" t="str">
        <f>VLOOKUP(F917,数据集标准分类!A:B,2,0)</f>
        <v>exam_record</v>
      </c>
      <c r="H917" s="294">
        <f>VLOOKUP(F917,数据集标准分类!A:H,8,0)</f>
        <v>43</v>
      </c>
      <c r="I917" s="170" t="s">
        <v>396</v>
      </c>
      <c r="J917" s="170" t="s">
        <v>397</v>
      </c>
      <c r="K917" s="170" t="s">
        <v>398</v>
      </c>
      <c r="L917" s="170" t="s">
        <v>399</v>
      </c>
      <c r="M917" s="170" t="s">
        <v>1260</v>
      </c>
      <c r="N917" s="294">
        <v>11</v>
      </c>
      <c r="O917" s="170"/>
    </row>
    <row r="918" ht="15.75" customHeight="1" spans="1:15">
      <c r="A918" s="183" t="str">
        <f>VLOOKUP(F918,数据集标准分类!A:G,7,0)</f>
        <v>02</v>
      </c>
      <c r="B918" s="183" t="str">
        <f>VLOOKUP(F918,数据集标准分类!A:F,6,0)</f>
        <v>电子病历</v>
      </c>
      <c r="C918" s="183" t="str">
        <f>VLOOKUP(F918,数据集标准分类!A:E,5,0)</f>
        <v>0212</v>
      </c>
      <c r="D918" s="183" t="str">
        <f>VLOOKUP(F918,数据集标准分类!A:D,4,0)</f>
        <v>检查记录</v>
      </c>
      <c r="E918" s="183" t="str">
        <f>VLOOKUP(F918,数据集标准分类!A:C,3,0)</f>
        <v>021201</v>
      </c>
      <c r="F918" s="170" t="s">
        <v>2522</v>
      </c>
      <c r="G918" s="183" t="str">
        <f>VLOOKUP(F918,数据集标准分类!A:B,2,0)</f>
        <v>exam_record</v>
      </c>
      <c r="H918" s="294">
        <f>VLOOKUP(F918,数据集标准分类!A:H,8,0)</f>
        <v>43</v>
      </c>
      <c r="I918" s="170" t="s">
        <v>2544</v>
      </c>
      <c r="J918" s="170" t="s">
        <v>2545</v>
      </c>
      <c r="K918" s="170" t="s">
        <v>2546</v>
      </c>
      <c r="L918" s="170" t="s">
        <v>2547</v>
      </c>
      <c r="M918" s="170" t="s">
        <v>2548</v>
      </c>
      <c r="N918" s="294">
        <v>12</v>
      </c>
      <c r="O918" s="170"/>
    </row>
    <row r="919" ht="15.75" customHeight="1" spans="1:15">
      <c r="A919" s="183" t="str">
        <f>VLOOKUP(F919,数据集标准分类!A:G,7,0)</f>
        <v>02</v>
      </c>
      <c r="B919" s="183" t="str">
        <f>VLOOKUP(F919,数据集标准分类!A:F,6,0)</f>
        <v>电子病历</v>
      </c>
      <c r="C919" s="183" t="str">
        <f>VLOOKUP(F919,数据集标准分类!A:E,5,0)</f>
        <v>0212</v>
      </c>
      <c r="D919" s="183" t="str">
        <f>VLOOKUP(F919,数据集标准分类!A:D,4,0)</f>
        <v>检查记录</v>
      </c>
      <c r="E919" s="183" t="str">
        <f>VLOOKUP(F919,数据集标准分类!A:C,3,0)</f>
        <v>021201</v>
      </c>
      <c r="F919" s="170" t="s">
        <v>2522</v>
      </c>
      <c r="G919" s="183" t="str">
        <f>VLOOKUP(F919,数据集标准分类!A:B,2,0)</f>
        <v>exam_record</v>
      </c>
      <c r="H919" s="294">
        <f>VLOOKUP(F919,数据集标准分类!A:H,8,0)</f>
        <v>43</v>
      </c>
      <c r="I919" s="170" t="s">
        <v>1266</v>
      </c>
      <c r="J919" s="170" t="s">
        <v>1267</v>
      </c>
      <c r="K919" s="170" t="s">
        <v>1268</v>
      </c>
      <c r="L919" s="170" t="s">
        <v>1269</v>
      </c>
      <c r="M919" s="170" t="s">
        <v>1270</v>
      </c>
      <c r="N919" s="294">
        <v>13</v>
      </c>
      <c r="O919" s="170"/>
    </row>
    <row r="920" ht="15.75" customHeight="1" spans="1:15">
      <c r="A920" s="183" t="str">
        <f>VLOOKUP(F920,数据集标准分类!A:G,7,0)</f>
        <v>02</v>
      </c>
      <c r="B920" s="183" t="str">
        <f>VLOOKUP(F920,数据集标准分类!A:F,6,0)</f>
        <v>电子病历</v>
      </c>
      <c r="C920" s="183" t="str">
        <f>VLOOKUP(F920,数据集标准分类!A:E,5,0)</f>
        <v>0212</v>
      </c>
      <c r="D920" s="183" t="str">
        <f>VLOOKUP(F920,数据集标准分类!A:D,4,0)</f>
        <v>检查记录</v>
      </c>
      <c r="E920" s="183" t="str">
        <f>VLOOKUP(F920,数据集标准分类!A:C,3,0)</f>
        <v>021201</v>
      </c>
      <c r="F920" s="170" t="s">
        <v>2522</v>
      </c>
      <c r="G920" s="183" t="str">
        <f>VLOOKUP(F920,数据集标准分类!A:B,2,0)</f>
        <v>exam_record</v>
      </c>
      <c r="H920" s="294">
        <f>VLOOKUP(F920,数据集标准分类!A:H,8,0)</f>
        <v>43</v>
      </c>
      <c r="I920" s="170" t="s">
        <v>216</v>
      </c>
      <c r="J920" s="170" t="s">
        <v>217</v>
      </c>
      <c r="K920" s="170" t="s">
        <v>218</v>
      </c>
      <c r="L920" s="170" t="s">
        <v>219</v>
      </c>
      <c r="M920" s="170" t="s">
        <v>2549</v>
      </c>
      <c r="N920" s="294">
        <v>14</v>
      </c>
      <c r="O920" s="170"/>
    </row>
    <row r="921" ht="15.75" customHeight="1" spans="1:15">
      <c r="A921" s="183" t="str">
        <f>VLOOKUP(F921,数据集标准分类!A:G,7,0)</f>
        <v>02</v>
      </c>
      <c r="B921" s="183" t="str">
        <f>VLOOKUP(F921,数据集标准分类!A:F,6,0)</f>
        <v>电子病历</v>
      </c>
      <c r="C921" s="183" t="str">
        <f>VLOOKUP(F921,数据集标准分类!A:E,5,0)</f>
        <v>0212</v>
      </c>
      <c r="D921" s="183" t="str">
        <f>VLOOKUP(F921,数据集标准分类!A:D,4,0)</f>
        <v>检查记录</v>
      </c>
      <c r="E921" s="183" t="str">
        <f>VLOOKUP(F921,数据集标准分类!A:C,3,0)</f>
        <v>021201</v>
      </c>
      <c r="F921" s="170" t="s">
        <v>2522</v>
      </c>
      <c r="G921" s="183" t="str">
        <f>VLOOKUP(F921,数据集标准分类!A:B,2,0)</f>
        <v>exam_record</v>
      </c>
      <c r="H921" s="294">
        <f>VLOOKUP(F921,数据集标准分类!A:H,8,0)</f>
        <v>43</v>
      </c>
      <c r="I921" s="170" t="s">
        <v>1272</v>
      </c>
      <c r="J921" s="170" t="s">
        <v>1273</v>
      </c>
      <c r="K921" s="170" t="s">
        <v>1274</v>
      </c>
      <c r="L921" s="170" t="s">
        <v>1275</v>
      </c>
      <c r="M921" s="170" t="s">
        <v>1276</v>
      </c>
      <c r="N921" s="294">
        <v>15</v>
      </c>
      <c r="O921" s="170"/>
    </row>
    <row r="922" ht="15.75" customHeight="1" spans="1:15">
      <c r="A922" s="183" t="str">
        <f>VLOOKUP(F922,数据集标准分类!A:G,7,0)</f>
        <v>02</v>
      </c>
      <c r="B922" s="183" t="str">
        <f>VLOOKUP(F922,数据集标准分类!A:F,6,0)</f>
        <v>电子病历</v>
      </c>
      <c r="C922" s="183" t="str">
        <f>VLOOKUP(F922,数据集标准分类!A:E,5,0)</f>
        <v>0212</v>
      </c>
      <c r="D922" s="183" t="str">
        <f>VLOOKUP(F922,数据集标准分类!A:D,4,0)</f>
        <v>检查记录</v>
      </c>
      <c r="E922" s="183" t="str">
        <f>VLOOKUP(F922,数据集标准分类!A:C,3,0)</f>
        <v>021201</v>
      </c>
      <c r="F922" s="170" t="s">
        <v>2522</v>
      </c>
      <c r="G922" s="183" t="str">
        <f>VLOOKUP(F922,数据集标准分类!A:B,2,0)</f>
        <v>exam_record</v>
      </c>
      <c r="H922" s="294">
        <f>VLOOKUP(F922,数据集标准分类!A:H,8,0)</f>
        <v>43</v>
      </c>
      <c r="I922" s="170" t="s">
        <v>1430</v>
      </c>
      <c r="J922" s="170" t="s">
        <v>1431</v>
      </c>
      <c r="K922" s="170" t="s">
        <v>1432</v>
      </c>
      <c r="L922" s="170" t="s">
        <v>1433</v>
      </c>
      <c r="M922" s="170" t="s">
        <v>2550</v>
      </c>
      <c r="N922" s="294">
        <v>16</v>
      </c>
      <c r="O922" s="170"/>
    </row>
    <row r="923" ht="15.75" customHeight="1" spans="1:15">
      <c r="A923" s="183" t="str">
        <f>VLOOKUP(F923,数据集标准分类!A:G,7,0)</f>
        <v>02</v>
      </c>
      <c r="B923" s="183" t="str">
        <f>VLOOKUP(F923,数据集标准分类!A:F,6,0)</f>
        <v>电子病历</v>
      </c>
      <c r="C923" s="183" t="str">
        <f>VLOOKUP(F923,数据集标准分类!A:E,5,0)</f>
        <v>0212</v>
      </c>
      <c r="D923" s="183" t="str">
        <f>VLOOKUP(F923,数据集标准分类!A:D,4,0)</f>
        <v>检查记录</v>
      </c>
      <c r="E923" s="183" t="str">
        <f>VLOOKUP(F923,数据集标准分类!A:C,3,0)</f>
        <v>021201</v>
      </c>
      <c r="F923" s="170" t="s">
        <v>2522</v>
      </c>
      <c r="G923" s="183" t="str">
        <f>VLOOKUP(F923,数据集标准分类!A:B,2,0)</f>
        <v>exam_record</v>
      </c>
      <c r="H923" s="294">
        <f>VLOOKUP(F923,数据集标准分类!A:H,8,0)</f>
        <v>43</v>
      </c>
      <c r="I923" s="170" t="s">
        <v>421</v>
      </c>
      <c r="J923" s="170" t="s">
        <v>422</v>
      </c>
      <c r="K923" s="170" t="s">
        <v>423</v>
      </c>
      <c r="L923" s="170" t="s">
        <v>424</v>
      </c>
      <c r="M923" s="170" t="s">
        <v>425</v>
      </c>
      <c r="N923" s="294">
        <v>17</v>
      </c>
      <c r="O923" s="170"/>
    </row>
    <row r="924" ht="15.75" customHeight="1" spans="1:15">
      <c r="A924" s="183" t="str">
        <f>VLOOKUP(F924,数据集标准分类!A:G,7,0)</f>
        <v>02</v>
      </c>
      <c r="B924" s="183" t="str">
        <f>VLOOKUP(F924,数据集标准分类!A:F,6,0)</f>
        <v>电子病历</v>
      </c>
      <c r="C924" s="183" t="str">
        <f>VLOOKUP(F924,数据集标准分类!A:E,5,0)</f>
        <v>0212</v>
      </c>
      <c r="D924" s="183" t="str">
        <f>VLOOKUP(F924,数据集标准分类!A:D,4,0)</f>
        <v>检查记录</v>
      </c>
      <c r="E924" s="183" t="str">
        <f>VLOOKUP(F924,数据集标准分类!A:C,3,0)</f>
        <v>021201</v>
      </c>
      <c r="F924" s="170" t="s">
        <v>2522</v>
      </c>
      <c r="G924" s="183" t="str">
        <f>VLOOKUP(F924,数据集标准分类!A:B,2,0)</f>
        <v>exam_record</v>
      </c>
      <c r="H924" s="294">
        <f>VLOOKUP(F924,数据集标准分类!A:H,8,0)</f>
        <v>43</v>
      </c>
      <c r="I924" s="170" t="s">
        <v>784</v>
      </c>
      <c r="J924" s="170" t="s">
        <v>785</v>
      </c>
      <c r="K924" s="170" t="s">
        <v>786</v>
      </c>
      <c r="L924" s="170" t="s">
        <v>787</v>
      </c>
      <c r="M924" s="170" t="s">
        <v>2551</v>
      </c>
      <c r="N924" s="294">
        <v>18</v>
      </c>
      <c r="O924" s="170"/>
    </row>
    <row r="925" ht="15.75" customHeight="1" spans="1:15">
      <c r="A925" s="183" t="str">
        <f>VLOOKUP(F925,数据集标准分类!A:G,7,0)</f>
        <v>02</v>
      </c>
      <c r="B925" s="183" t="str">
        <f>VLOOKUP(F925,数据集标准分类!A:F,6,0)</f>
        <v>电子病历</v>
      </c>
      <c r="C925" s="183" t="str">
        <f>VLOOKUP(F925,数据集标准分类!A:E,5,0)</f>
        <v>0212</v>
      </c>
      <c r="D925" s="183" t="str">
        <f>VLOOKUP(F925,数据集标准分类!A:D,4,0)</f>
        <v>检查记录</v>
      </c>
      <c r="E925" s="183" t="str">
        <f>VLOOKUP(F925,数据集标准分类!A:C,3,0)</f>
        <v>021201</v>
      </c>
      <c r="F925" s="170" t="s">
        <v>2522</v>
      </c>
      <c r="G925" s="183" t="s">
        <v>2552</v>
      </c>
      <c r="H925" s="294">
        <f>VLOOKUP(F925,数据集标准分类!A:H,8,0)</f>
        <v>43</v>
      </c>
      <c r="I925" s="170" t="s">
        <v>2553</v>
      </c>
      <c r="J925" s="170" t="s">
        <v>2554</v>
      </c>
      <c r="K925" s="170" t="s">
        <v>2555</v>
      </c>
      <c r="L925" s="170" t="s">
        <v>2556</v>
      </c>
      <c r="M925" s="170" t="s">
        <v>2557</v>
      </c>
      <c r="N925" s="294">
        <v>19</v>
      </c>
      <c r="O925" s="170"/>
    </row>
    <row r="926" ht="15.75" customHeight="1" spans="1:15">
      <c r="A926" s="183" t="str">
        <f>VLOOKUP(F926,数据集标准分类!A:G,7,0)</f>
        <v>02</v>
      </c>
      <c r="B926" s="183" t="str">
        <f>VLOOKUP(F926,数据集标准分类!A:F,6,0)</f>
        <v>电子病历</v>
      </c>
      <c r="C926" s="183" t="str">
        <f>VLOOKUP(F926,数据集标准分类!A:E,5,0)</f>
        <v>0212</v>
      </c>
      <c r="D926" s="183" t="str">
        <f>VLOOKUP(F926,数据集标准分类!A:D,4,0)</f>
        <v>检查记录</v>
      </c>
      <c r="E926" s="183" t="str">
        <f>VLOOKUP(F926,数据集标准分类!A:C,3,0)</f>
        <v>021201</v>
      </c>
      <c r="F926" s="170" t="s">
        <v>2522</v>
      </c>
      <c r="G926" s="183" t="str">
        <f>VLOOKUP(F926,数据集标准分类!A:B,2,0)</f>
        <v>exam_record</v>
      </c>
      <c r="H926" s="294">
        <f>VLOOKUP(F926,数据集标准分类!A:H,8,0)</f>
        <v>43</v>
      </c>
      <c r="I926" s="170" t="s">
        <v>966</v>
      </c>
      <c r="J926" s="170" t="s">
        <v>967</v>
      </c>
      <c r="K926" s="170" t="s">
        <v>968</v>
      </c>
      <c r="L926" s="170" t="s">
        <v>969</v>
      </c>
      <c r="M926" s="170" t="s">
        <v>970</v>
      </c>
      <c r="N926" s="294">
        <v>20</v>
      </c>
      <c r="O926" s="170"/>
    </row>
    <row r="927" ht="15.75" customHeight="1" spans="1:15">
      <c r="A927" s="183" t="str">
        <f>VLOOKUP(F927,数据集标准分类!A:G,7,0)</f>
        <v>02</v>
      </c>
      <c r="B927" s="183" t="str">
        <f>VLOOKUP(F927,数据集标准分类!A:F,6,0)</f>
        <v>电子病历</v>
      </c>
      <c r="C927" s="183" t="str">
        <f>VLOOKUP(F927,数据集标准分类!A:E,5,0)</f>
        <v>0212</v>
      </c>
      <c r="D927" s="183" t="str">
        <f>VLOOKUP(F927,数据集标准分类!A:D,4,0)</f>
        <v>检查记录</v>
      </c>
      <c r="E927" s="183" t="str">
        <f>VLOOKUP(F927,数据集标准分类!A:C,3,0)</f>
        <v>021201</v>
      </c>
      <c r="F927" s="170" t="s">
        <v>2522</v>
      </c>
      <c r="G927" s="183" t="str">
        <f>VLOOKUP(F927,数据集标准分类!A:B,2,0)</f>
        <v>exam_record</v>
      </c>
      <c r="H927" s="294">
        <f>VLOOKUP(F927,数据集标准分类!A:H,8,0)</f>
        <v>43</v>
      </c>
      <c r="I927" s="170" t="s">
        <v>2424</v>
      </c>
      <c r="J927" s="170" t="s">
        <v>2425</v>
      </c>
      <c r="K927" s="170" t="s">
        <v>2426</v>
      </c>
      <c r="L927" s="170" t="s">
        <v>2427</v>
      </c>
      <c r="M927" s="170" t="s">
        <v>2428</v>
      </c>
      <c r="N927" s="294">
        <v>21</v>
      </c>
      <c r="O927" s="170"/>
    </row>
    <row r="928" ht="15.75" customHeight="1" spans="1:15">
      <c r="A928" s="183" t="str">
        <f>VLOOKUP(F928,数据集标准分类!A:G,7,0)</f>
        <v>02</v>
      </c>
      <c r="B928" s="183" t="str">
        <f>VLOOKUP(F928,数据集标准分类!A:F,6,0)</f>
        <v>电子病历</v>
      </c>
      <c r="C928" s="183" t="str">
        <f>VLOOKUP(F928,数据集标准分类!A:E,5,0)</f>
        <v>0212</v>
      </c>
      <c r="D928" s="183" t="str">
        <f>VLOOKUP(F928,数据集标准分类!A:D,4,0)</f>
        <v>检查记录</v>
      </c>
      <c r="E928" s="183" t="str">
        <f>VLOOKUP(F928,数据集标准分类!A:C,3,0)</f>
        <v>021201</v>
      </c>
      <c r="F928" s="170" t="s">
        <v>2522</v>
      </c>
      <c r="G928" s="183" t="str">
        <f>VLOOKUP(F928,数据集标准分类!A:B,2,0)</f>
        <v>exam_record</v>
      </c>
      <c r="H928" s="294">
        <f>VLOOKUP(F928,数据集标准分类!A:H,8,0)</f>
        <v>43</v>
      </c>
      <c r="I928" s="170" t="s">
        <v>2434</v>
      </c>
      <c r="J928" s="170" t="s">
        <v>2435</v>
      </c>
      <c r="K928" s="170" t="s">
        <v>2436</v>
      </c>
      <c r="L928" s="170" t="s">
        <v>2437</v>
      </c>
      <c r="M928" s="170" t="s">
        <v>2438</v>
      </c>
      <c r="N928" s="294">
        <v>22</v>
      </c>
      <c r="O928" s="170"/>
    </row>
    <row r="929" ht="15.75" customHeight="1" spans="1:15">
      <c r="A929" s="183" t="str">
        <f>VLOOKUP(F929,数据集标准分类!A:G,7,0)</f>
        <v>02</v>
      </c>
      <c r="B929" s="183" t="str">
        <f>VLOOKUP(F929,数据集标准分类!A:F,6,0)</f>
        <v>电子病历</v>
      </c>
      <c r="C929" s="183" t="str">
        <f>VLOOKUP(F929,数据集标准分类!A:E,5,0)</f>
        <v>0212</v>
      </c>
      <c r="D929" s="183" t="str">
        <f>VLOOKUP(F929,数据集标准分类!A:D,4,0)</f>
        <v>检查记录</v>
      </c>
      <c r="E929" s="183" t="s">
        <v>2558</v>
      </c>
      <c r="F929" s="170" t="s">
        <v>2522</v>
      </c>
      <c r="G929" s="183" t="s">
        <v>2552</v>
      </c>
      <c r="H929" s="294">
        <f>VLOOKUP(F929,数据集标准分类!A:H,8,0)</f>
        <v>43</v>
      </c>
      <c r="I929" s="170" t="s">
        <v>2559</v>
      </c>
      <c r="J929" s="170" t="s">
        <v>2560</v>
      </c>
      <c r="K929" s="170" t="s">
        <v>2561</v>
      </c>
      <c r="L929" s="170" t="s">
        <v>2562</v>
      </c>
      <c r="M929" s="170" t="s">
        <v>2563</v>
      </c>
      <c r="N929" s="294">
        <v>23</v>
      </c>
      <c r="O929" s="170"/>
    </row>
    <row r="930" ht="15.75" customHeight="1" spans="1:15">
      <c r="A930" s="183" t="str">
        <f>VLOOKUP(F930,数据集标准分类!A:G,7,0)</f>
        <v>02</v>
      </c>
      <c r="B930" s="183" t="str">
        <f>VLOOKUP(F930,数据集标准分类!A:F,6,0)</f>
        <v>电子病历</v>
      </c>
      <c r="C930" s="183" t="str">
        <f>VLOOKUP(F930,数据集标准分类!A:E,5,0)</f>
        <v>0212</v>
      </c>
      <c r="D930" s="183" t="str">
        <f>VLOOKUP(F930,数据集标准分类!A:D,4,0)</f>
        <v>检查记录</v>
      </c>
      <c r="E930" s="183" t="str">
        <f>VLOOKUP(F930,数据集标准分类!A:C,3,0)</f>
        <v>021201</v>
      </c>
      <c r="F930" s="170" t="s">
        <v>2522</v>
      </c>
      <c r="G930" s="183" t="str">
        <f>VLOOKUP(F930,数据集标准分类!A:B,2,0)</f>
        <v>exam_record</v>
      </c>
      <c r="H930" s="294">
        <f>VLOOKUP(F930,数据集标准分类!A:H,8,0)</f>
        <v>43</v>
      </c>
      <c r="I930" s="170" t="s">
        <v>2439</v>
      </c>
      <c r="J930" s="170" t="s">
        <v>2440</v>
      </c>
      <c r="K930" s="170" t="s">
        <v>2441</v>
      </c>
      <c r="L930" s="170" t="s">
        <v>2442</v>
      </c>
      <c r="M930" s="170" t="s">
        <v>2443</v>
      </c>
      <c r="N930" s="294">
        <v>24</v>
      </c>
      <c r="O930" s="170"/>
    </row>
    <row r="931" ht="15.75" customHeight="1" spans="1:15">
      <c r="A931" s="183" t="str">
        <f>VLOOKUP(F931,数据集标准分类!A:G,7,0)</f>
        <v>02</v>
      </c>
      <c r="B931" s="183" t="str">
        <f>VLOOKUP(F931,数据集标准分类!A:F,6,0)</f>
        <v>电子病历</v>
      </c>
      <c r="C931" s="183" t="str">
        <f>VLOOKUP(F931,数据集标准分类!A:E,5,0)</f>
        <v>0212</v>
      </c>
      <c r="D931" s="183" t="str">
        <f>VLOOKUP(F931,数据集标准分类!A:D,4,0)</f>
        <v>检查记录</v>
      </c>
      <c r="E931" s="183" t="str">
        <f>VLOOKUP(F931,数据集标准分类!A:C,3,0)</f>
        <v>021201</v>
      </c>
      <c r="F931" s="170" t="s">
        <v>2522</v>
      </c>
      <c r="G931" s="183" t="str">
        <f>VLOOKUP(F931,数据集标准分类!A:B,2,0)</f>
        <v>exam_record</v>
      </c>
      <c r="H931" s="294">
        <f>VLOOKUP(F931,数据集标准分类!A:H,8,0)</f>
        <v>43</v>
      </c>
      <c r="I931" s="170" t="s">
        <v>2444</v>
      </c>
      <c r="J931" s="170" t="s">
        <v>2445</v>
      </c>
      <c r="K931" s="170" t="s">
        <v>2446</v>
      </c>
      <c r="L931" s="170" t="s">
        <v>2447</v>
      </c>
      <c r="M931" s="170" t="s">
        <v>2564</v>
      </c>
      <c r="N931" s="294">
        <v>25</v>
      </c>
      <c r="O931" s="170"/>
    </row>
    <row r="932" ht="15.75" customHeight="1" spans="1:15">
      <c r="A932" s="183" t="str">
        <f>VLOOKUP(F932,数据集标准分类!A:G,7,0)</f>
        <v>02</v>
      </c>
      <c r="B932" s="183" t="str">
        <f>VLOOKUP(F932,数据集标准分类!A:F,6,0)</f>
        <v>电子病历</v>
      </c>
      <c r="C932" s="183" t="str">
        <f>VLOOKUP(F932,数据集标准分类!A:E,5,0)</f>
        <v>0212</v>
      </c>
      <c r="D932" s="183" t="str">
        <f>VLOOKUP(F932,数据集标准分类!A:D,4,0)</f>
        <v>检查记录</v>
      </c>
      <c r="E932" s="183" t="str">
        <f>VLOOKUP(F932,数据集标准分类!A:C,3,0)</f>
        <v>021201</v>
      </c>
      <c r="F932" s="170" t="s">
        <v>2522</v>
      </c>
      <c r="G932" s="183" t="str">
        <f>VLOOKUP(F932,数据集标准分类!A:B,2,0)</f>
        <v>exam_record</v>
      </c>
      <c r="H932" s="294">
        <f>VLOOKUP(F932,数据集标准分类!A:H,8,0)</f>
        <v>43</v>
      </c>
      <c r="I932" s="170" t="s">
        <v>2565</v>
      </c>
      <c r="J932" s="170" t="s">
        <v>2566</v>
      </c>
      <c r="K932" s="170" t="s">
        <v>2567</v>
      </c>
      <c r="L932" s="170" t="s">
        <v>2568</v>
      </c>
      <c r="M932" s="170" t="s">
        <v>2569</v>
      </c>
      <c r="N932" s="294">
        <v>26</v>
      </c>
      <c r="O932" s="170"/>
    </row>
    <row r="933" ht="15.75" customHeight="1" spans="1:15">
      <c r="A933" s="183" t="str">
        <f>VLOOKUP(F933,数据集标准分类!A:G,7,0)</f>
        <v>02</v>
      </c>
      <c r="B933" s="183" t="str">
        <f>VLOOKUP(F933,数据集标准分类!A:F,6,0)</f>
        <v>电子病历</v>
      </c>
      <c r="C933" s="183" t="str">
        <f>VLOOKUP(F933,数据集标准分类!A:E,5,0)</f>
        <v>0212</v>
      </c>
      <c r="D933" s="183" t="str">
        <f>VLOOKUP(F933,数据集标准分类!A:D,4,0)</f>
        <v>检查记录</v>
      </c>
      <c r="E933" s="183" t="str">
        <f>VLOOKUP(F933,数据集标准分类!A:C,3,0)</f>
        <v>021201</v>
      </c>
      <c r="F933" s="170" t="s">
        <v>2522</v>
      </c>
      <c r="G933" s="183" t="str">
        <f>VLOOKUP(F933,数据集标准分类!A:B,2,0)</f>
        <v>exam_record</v>
      </c>
      <c r="H933" s="294">
        <f>VLOOKUP(F933,数据集标准分类!A:H,8,0)</f>
        <v>43</v>
      </c>
      <c r="I933" s="170" t="s">
        <v>2570</v>
      </c>
      <c r="J933" s="170" t="s">
        <v>2571</v>
      </c>
      <c r="K933" s="170" t="s">
        <v>2572</v>
      </c>
      <c r="L933" s="170" t="s">
        <v>2573</v>
      </c>
      <c r="M933" s="170" t="s">
        <v>2574</v>
      </c>
      <c r="N933" s="294">
        <v>27</v>
      </c>
      <c r="O933" s="170"/>
    </row>
    <row r="934" ht="15.75" customHeight="1" spans="1:15">
      <c r="A934" s="183" t="str">
        <f>VLOOKUP(F934,数据集标准分类!A:G,7,0)</f>
        <v>02</v>
      </c>
      <c r="B934" s="183" t="str">
        <f>VLOOKUP(F934,数据集标准分类!A:F,6,0)</f>
        <v>电子病历</v>
      </c>
      <c r="C934" s="183" t="str">
        <f>VLOOKUP(F934,数据集标准分类!A:E,5,0)</f>
        <v>0212</v>
      </c>
      <c r="D934" s="183" t="str">
        <f>VLOOKUP(F934,数据集标准分类!A:D,4,0)</f>
        <v>检查记录</v>
      </c>
      <c r="E934" s="183" t="str">
        <f>VLOOKUP(F934,数据集标准分类!A:C,3,0)</f>
        <v>021201</v>
      </c>
      <c r="F934" s="170" t="s">
        <v>2522</v>
      </c>
      <c r="G934" s="183" t="str">
        <f>VLOOKUP(F934,数据集标准分类!A:B,2,0)</f>
        <v>exam_record</v>
      </c>
      <c r="H934" s="294">
        <f>VLOOKUP(F934,数据集标准分类!A:H,8,0)</f>
        <v>43</v>
      </c>
      <c r="I934" s="170" t="s">
        <v>2575</v>
      </c>
      <c r="J934" s="170" t="s">
        <v>2576</v>
      </c>
      <c r="K934" s="170" t="s">
        <v>2577</v>
      </c>
      <c r="L934" s="170" t="s">
        <v>2578</v>
      </c>
      <c r="M934" s="170" t="s">
        <v>2579</v>
      </c>
      <c r="N934" s="294">
        <v>28</v>
      </c>
      <c r="O934" s="170"/>
    </row>
    <row r="935" ht="15.75" customHeight="1" spans="1:15">
      <c r="A935" s="183" t="str">
        <f>VLOOKUP(F935,数据集标准分类!A:G,7,0)</f>
        <v>02</v>
      </c>
      <c r="B935" s="183" t="str">
        <f>VLOOKUP(F935,数据集标准分类!A:F,6,0)</f>
        <v>电子病历</v>
      </c>
      <c r="C935" s="183" t="str">
        <f>VLOOKUP(F935,数据集标准分类!A:E,5,0)</f>
        <v>0212</v>
      </c>
      <c r="D935" s="183" t="str">
        <f>VLOOKUP(F935,数据集标准分类!A:D,4,0)</f>
        <v>检查记录</v>
      </c>
      <c r="E935" s="183" t="str">
        <f>VLOOKUP(F935,数据集标准分类!A:C,3,0)</f>
        <v>021201</v>
      </c>
      <c r="F935" s="170" t="s">
        <v>2522</v>
      </c>
      <c r="G935" s="183" t="str">
        <f>VLOOKUP(F935,数据集标准分类!A:B,2,0)</f>
        <v>exam_record</v>
      </c>
      <c r="H935" s="294">
        <f>VLOOKUP(F935,数据集标准分类!A:H,8,0)</f>
        <v>43</v>
      </c>
      <c r="I935" s="170" t="s">
        <v>1298</v>
      </c>
      <c r="J935" s="170" t="s">
        <v>1299</v>
      </c>
      <c r="K935" s="170" t="s">
        <v>1300</v>
      </c>
      <c r="L935" s="170" t="s">
        <v>1301</v>
      </c>
      <c r="M935" s="170" t="s">
        <v>2580</v>
      </c>
      <c r="N935" s="294">
        <v>29</v>
      </c>
      <c r="O935" s="170"/>
    </row>
    <row r="936" ht="15.75" customHeight="1" spans="1:15">
      <c r="A936" s="183" t="str">
        <f>VLOOKUP(F936,数据集标准分类!A:G,7,0)</f>
        <v>02</v>
      </c>
      <c r="B936" s="183" t="str">
        <f>VLOOKUP(F936,数据集标准分类!A:F,6,0)</f>
        <v>电子病历</v>
      </c>
      <c r="C936" s="183" t="str">
        <f>VLOOKUP(F936,数据集标准分类!A:E,5,0)</f>
        <v>0212</v>
      </c>
      <c r="D936" s="183" t="str">
        <f>VLOOKUP(F936,数据集标准分类!A:D,4,0)</f>
        <v>检查记录</v>
      </c>
      <c r="E936" s="183" t="str">
        <f>VLOOKUP(F936,数据集标准分类!A:C,3,0)</f>
        <v>021201</v>
      </c>
      <c r="F936" s="170" t="s">
        <v>2522</v>
      </c>
      <c r="G936" s="183" t="str">
        <f>VLOOKUP(F936,数据集标准分类!A:B,2,0)</f>
        <v>exam_record</v>
      </c>
      <c r="H936" s="294">
        <f>VLOOKUP(F936,数据集标准分类!A:H,8,0)</f>
        <v>43</v>
      </c>
      <c r="I936" s="170" t="s">
        <v>1293</v>
      </c>
      <c r="J936" s="170" t="s">
        <v>1294</v>
      </c>
      <c r="K936" s="170" t="s">
        <v>1295</v>
      </c>
      <c r="L936" s="170" t="s">
        <v>1296</v>
      </c>
      <c r="M936" s="170" t="s">
        <v>2581</v>
      </c>
      <c r="N936" s="294">
        <v>30</v>
      </c>
      <c r="O936" s="170"/>
    </row>
    <row r="937" ht="15.75" customHeight="1" spans="1:15">
      <c r="A937" s="183" t="str">
        <f>VLOOKUP(F937,数据集标准分类!A:G,7,0)</f>
        <v>02</v>
      </c>
      <c r="B937" s="183" t="str">
        <f>VLOOKUP(F937,数据集标准分类!A:F,6,0)</f>
        <v>电子病历</v>
      </c>
      <c r="C937" s="183" t="str">
        <f>VLOOKUP(F937,数据集标准分类!A:E,5,0)</f>
        <v>0212</v>
      </c>
      <c r="D937" s="183" t="str">
        <f>VLOOKUP(F937,数据集标准分类!A:D,4,0)</f>
        <v>检查记录</v>
      </c>
      <c r="E937" s="183" t="str">
        <f>VLOOKUP(F937,数据集标准分类!A:C,3,0)</f>
        <v>021201</v>
      </c>
      <c r="F937" s="170" t="s">
        <v>2522</v>
      </c>
      <c r="G937" s="183" t="str">
        <f>VLOOKUP(F937,数据集标准分类!A:B,2,0)</f>
        <v>exam_record</v>
      </c>
      <c r="H937" s="294">
        <f>VLOOKUP(F937,数据集标准分类!A:H,8,0)</f>
        <v>43</v>
      </c>
      <c r="I937" s="170" t="s">
        <v>2466</v>
      </c>
      <c r="J937" s="170" t="s">
        <v>2467</v>
      </c>
      <c r="K937" s="170" t="s">
        <v>2468</v>
      </c>
      <c r="L937" s="170" t="s">
        <v>2469</v>
      </c>
      <c r="M937" s="170" t="s">
        <v>2582</v>
      </c>
      <c r="N937" s="294">
        <v>31</v>
      </c>
      <c r="O937" s="170"/>
    </row>
    <row r="938" ht="15.75" customHeight="1" spans="1:15">
      <c r="A938" s="183" t="str">
        <f>VLOOKUP(F938,数据集标准分类!A:G,7,0)</f>
        <v>02</v>
      </c>
      <c r="B938" s="183" t="str">
        <f>VLOOKUP(F938,数据集标准分类!A:F,6,0)</f>
        <v>电子病历</v>
      </c>
      <c r="C938" s="183" t="str">
        <f>VLOOKUP(F938,数据集标准分类!A:E,5,0)</f>
        <v>0212</v>
      </c>
      <c r="D938" s="183" t="str">
        <f>VLOOKUP(F938,数据集标准分类!A:D,4,0)</f>
        <v>检查记录</v>
      </c>
      <c r="E938" s="183" t="str">
        <f>VLOOKUP(F938,数据集标准分类!A:C,3,0)</f>
        <v>021201</v>
      </c>
      <c r="F938" s="170" t="s">
        <v>2522</v>
      </c>
      <c r="G938" s="183" t="str">
        <f>VLOOKUP(F938,数据集标准分类!A:B,2,0)</f>
        <v>exam_record</v>
      </c>
      <c r="H938" s="294">
        <f>VLOOKUP(F938,数据集标准分类!A:H,8,0)</f>
        <v>43</v>
      </c>
      <c r="I938" s="170" t="s">
        <v>2583</v>
      </c>
      <c r="J938" s="170" t="s">
        <v>2584</v>
      </c>
      <c r="K938" s="170" t="s">
        <v>2585</v>
      </c>
      <c r="L938" s="170" t="s">
        <v>2586</v>
      </c>
      <c r="M938" s="170" t="s">
        <v>2587</v>
      </c>
      <c r="N938" s="294">
        <v>32</v>
      </c>
      <c r="O938" s="170"/>
    </row>
    <row r="939" ht="15.75" customHeight="1" spans="1:15">
      <c r="A939" s="183" t="str">
        <f>VLOOKUP(F939,数据集标准分类!A:G,7,0)</f>
        <v>02</v>
      </c>
      <c r="B939" s="183" t="str">
        <f>VLOOKUP(F939,数据集标准分类!A:F,6,0)</f>
        <v>电子病历</v>
      </c>
      <c r="C939" s="183" t="str">
        <f>VLOOKUP(F939,数据集标准分类!A:E,5,0)</f>
        <v>0212</v>
      </c>
      <c r="D939" s="183" t="str">
        <f>VLOOKUP(F939,数据集标准分类!A:D,4,0)</f>
        <v>检查记录</v>
      </c>
      <c r="E939" s="183" t="str">
        <f>VLOOKUP(F939,数据集标准分类!A:C,3,0)</f>
        <v>021201</v>
      </c>
      <c r="F939" s="170" t="s">
        <v>2522</v>
      </c>
      <c r="G939" s="183" t="str">
        <f>VLOOKUP(F939,数据集标准分类!A:B,2,0)</f>
        <v>exam_record</v>
      </c>
      <c r="H939" s="294">
        <f>VLOOKUP(F939,数据集标准分类!A:H,8,0)</f>
        <v>43</v>
      </c>
      <c r="I939" s="170" t="s">
        <v>2588</v>
      </c>
      <c r="J939" s="170" t="s">
        <v>2589</v>
      </c>
      <c r="K939" s="170" t="s">
        <v>2590</v>
      </c>
      <c r="L939" s="170" t="s">
        <v>2591</v>
      </c>
      <c r="M939" s="170" t="s">
        <v>2592</v>
      </c>
      <c r="N939" s="294">
        <v>33</v>
      </c>
      <c r="O939" s="170"/>
    </row>
    <row r="940" ht="15.75" customHeight="1" spans="1:15">
      <c r="A940" s="183" t="str">
        <f>VLOOKUP(F940,数据集标准分类!A:G,7,0)</f>
        <v>02</v>
      </c>
      <c r="B940" s="183" t="str">
        <f>VLOOKUP(F940,数据集标准分类!A:F,6,0)</f>
        <v>电子病历</v>
      </c>
      <c r="C940" s="183" t="str">
        <f>VLOOKUP(F940,数据集标准分类!A:E,5,0)</f>
        <v>0212</v>
      </c>
      <c r="D940" s="183" t="str">
        <f>VLOOKUP(F940,数据集标准分类!A:D,4,0)</f>
        <v>检查记录</v>
      </c>
      <c r="E940" s="183" t="str">
        <f>VLOOKUP(F940,数据集标准分类!A:C,3,0)</f>
        <v>021201</v>
      </c>
      <c r="F940" s="170" t="s">
        <v>2522</v>
      </c>
      <c r="G940" s="183" t="str">
        <f>VLOOKUP(F940,数据集标准分类!A:B,2,0)</f>
        <v>exam_record</v>
      </c>
      <c r="H940" s="294">
        <f>VLOOKUP(F940,数据集标准分类!A:H,8,0)</f>
        <v>43</v>
      </c>
      <c r="I940" s="170" t="s">
        <v>2593</v>
      </c>
      <c r="J940" s="170" t="s">
        <v>2594</v>
      </c>
      <c r="K940" s="170" t="s">
        <v>2595</v>
      </c>
      <c r="L940" s="170" t="s">
        <v>2596</v>
      </c>
      <c r="M940" s="170" t="s">
        <v>2597</v>
      </c>
      <c r="N940" s="294">
        <v>34</v>
      </c>
      <c r="O940" s="170"/>
    </row>
    <row r="941" ht="15.75" customHeight="1" spans="1:15">
      <c r="A941" s="183" t="str">
        <f>VLOOKUP(F941,数据集标准分类!A:G,7,0)</f>
        <v>02</v>
      </c>
      <c r="B941" s="183" t="str">
        <f>VLOOKUP(F941,数据集标准分类!A:F,6,0)</f>
        <v>电子病历</v>
      </c>
      <c r="C941" s="183" t="str">
        <f>VLOOKUP(F941,数据集标准分类!A:E,5,0)</f>
        <v>0212</v>
      </c>
      <c r="D941" s="183" t="str">
        <f>VLOOKUP(F941,数据集标准分类!A:D,4,0)</f>
        <v>检查记录</v>
      </c>
      <c r="E941" s="183" t="str">
        <f>VLOOKUP(F941,数据集标准分类!A:C,3,0)</f>
        <v>021201</v>
      </c>
      <c r="F941" s="170" t="s">
        <v>2522</v>
      </c>
      <c r="G941" s="183" t="str">
        <f>VLOOKUP(F941,数据集标准分类!A:B,2,0)</f>
        <v>exam_record</v>
      </c>
      <c r="H941" s="294">
        <f>VLOOKUP(F941,数据集标准分类!A:H,8,0)</f>
        <v>43</v>
      </c>
      <c r="I941" s="170" t="s">
        <v>2598</v>
      </c>
      <c r="J941" s="170" t="s">
        <v>2599</v>
      </c>
      <c r="K941" s="170" t="s">
        <v>2600</v>
      </c>
      <c r="L941" s="170" t="s">
        <v>2601</v>
      </c>
      <c r="M941" s="170" t="s">
        <v>2602</v>
      </c>
      <c r="N941" s="294">
        <v>35</v>
      </c>
      <c r="O941" s="170"/>
    </row>
    <row r="942" ht="15.75" customHeight="1" spans="1:15">
      <c r="A942" s="183" t="str">
        <f>VLOOKUP(F942,数据集标准分类!A:G,7,0)</f>
        <v>02</v>
      </c>
      <c r="B942" s="183" t="str">
        <f>VLOOKUP(F942,数据集标准分类!A:F,6,0)</f>
        <v>电子病历</v>
      </c>
      <c r="C942" s="183" t="str">
        <f>VLOOKUP(F942,数据集标准分类!A:E,5,0)</f>
        <v>0212</v>
      </c>
      <c r="D942" s="183" t="str">
        <f>VLOOKUP(F942,数据集标准分类!A:D,4,0)</f>
        <v>检查记录</v>
      </c>
      <c r="E942" s="183" t="str">
        <f>VLOOKUP(F942,数据集标准分类!A:C,3,0)</f>
        <v>021201</v>
      </c>
      <c r="F942" s="170" t="s">
        <v>2522</v>
      </c>
      <c r="G942" s="183" t="str">
        <f>VLOOKUP(F942,数据集标准分类!A:B,2,0)</f>
        <v>exam_record</v>
      </c>
      <c r="H942" s="294">
        <f>VLOOKUP(F942,数据集标准分类!A:H,8,0)</f>
        <v>43</v>
      </c>
      <c r="I942" s="170" t="s">
        <v>2603</v>
      </c>
      <c r="J942" s="170" t="s">
        <v>2604</v>
      </c>
      <c r="K942" s="170" t="s">
        <v>2605</v>
      </c>
      <c r="L942" s="170" t="s">
        <v>2606</v>
      </c>
      <c r="M942" s="170" t="s">
        <v>2607</v>
      </c>
      <c r="N942" s="294">
        <v>36</v>
      </c>
      <c r="O942" s="170"/>
    </row>
    <row r="943" ht="15.75" customHeight="1" spans="1:15">
      <c r="A943" s="183" t="str">
        <f>VLOOKUP(F943,数据集标准分类!A:G,7,0)</f>
        <v>02</v>
      </c>
      <c r="B943" s="183" t="str">
        <f>VLOOKUP(F943,数据集标准分类!A:F,6,0)</f>
        <v>电子病历</v>
      </c>
      <c r="C943" s="183" t="str">
        <f>VLOOKUP(F943,数据集标准分类!A:E,5,0)</f>
        <v>0212</v>
      </c>
      <c r="D943" s="183" t="str">
        <f>VLOOKUP(F943,数据集标准分类!A:D,4,0)</f>
        <v>检查记录</v>
      </c>
      <c r="E943" s="183" t="str">
        <f>VLOOKUP(F943,数据集标准分类!A:C,3,0)</f>
        <v>021201</v>
      </c>
      <c r="F943" s="170" t="s">
        <v>2522</v>
      </c>
      <c r="G943" s="183" t="str">
        <f>VLOOKUP(F943,数据集标准分类!A:B,2,0)</f>
        <v>exam_record</v>
      </c>
      <c r="H943" s="294">
        <f>VLOOKUP(F943,数据集标准分类!A:H,8,0)</f>
        <v>43</v>
      </c>
      <c r="I943" s="170" t="s">
        <v>2608</v>
      </c>
      <c r="J943" s="170" t="s">
        <v>2609</v>
      </c>
      <c r="K943" s="170" t="s">
        <v>2610</v>
      </c>
      <c r="L943" s="170" t="s">
        <v>2611</v>
      </c>
      <c r="M943" s="170" t="s">
        <v>2611</v>
      </c>
      <c r="N943" s="294">
        <v>37</v>
      </c>
      <c r="O943" s="170"/>
    </row>
    <row r="944" ht="15.75" customHeight="1" spans="1:15">
      <c r="A944" s="183" t="str">
        <f>VLOOKUP(F944,数据集标准分类!A:G,7,0)</f>
        <v>02</v>
      </c>
      <c r="B944" s="183" t="str">
        <f>VLOOKUP(F944,数据集标准分类!A:F,6,0)</f>
        <v>电子病历</v>
      </c>
      <c r="C944" s="183" t="str">
        <f>VLOOKUP(F944,数据集标准分类!A:E,5,0)</f>
        <v>0212</v>
      </c>
      <c r="D944" s="183" t="str">
        <f>VLOOKUP(F944,数据集标准分类!A:D,4,0)</f>
        <v>检查记录</v>
      </c>
      <c r="E944" s="183" t="str">
        <f>VLOOKUP(F944,数据集标准分类!A:C,3,0)</f>
        <v>021201</v>
      </c>
      <c r="F944" s="170" t="s">
        <v>2522</v>
      </c>
      <c r="G944" s="183" t="str">
        <f>VLOOKUP(F944,数据集标准分类!A:B,2,0)</f>
        <v>exam_record</v>
      </c>
      <c r="H944" s="294">
        <f>VLOOKUP(F944,数据集标准分类!A:H,8,0)</f>
        <v>43</v>
      </c>
      <c r="I944" s="170" t="s">
        <v>2612</v>
      </c>
      <c r="J944" s="170" t="s">
        <v>2613</v>
      </c>
      <c r="K944" s="170" t="s">
        <v>2614</v>
      </c>
      <c r="L944" s="170" t="s">
        <v>2615</v>
      </c>
      <c r="M944" s="170" t="s">
        <v>2615</v>
      </c>
      <c r="N944" s="294">
        <v>38</v>
      </c>
      <c r="O944" s="170"/>
    </row>
    <row r="945" ht="15.75" customHeight="1" spans="1:15">
      <c r="A945" s="183" t="str">
        <f>VLOOKUP(F945,数据集标准分类!A:G,7,0)</f>
        <v>02</v>
      </c>
      <c r="B945" s="183" t="str">
        <f>VLOOKUP(F945,数据集标准分类!A:F,6,0)</f>
        <v>电子病历</v>
      </c>
      <c r="C945" s="183" t="str">
        <f>VLOOKUP(F945,数据集标准分类!A:E,5,0)</f>
        <v>0212</v>
      </c>
      <c r="D945" s="183" t="str">
        <f>VLOOKUP(F945,数据集标准分类!A:D,4,0)</f>
        <v>检查记录</v>
      </c>
      <c r="E945" s="183" t="str">
        <f>VLOOKUP(F945,数据集标准分类!A:C,3,0)</f>
        <v>021201</v>
      </c>
      <c r="F945" s="170" t="s">
        <v>2522</v>
      </c>
      <c r="G945" s="183" t="str">
        <f>VLOOKUP(F945,数据集标准分类!A:B,2,0)</f>
        <v>exam_record</v>
      </c>
      <c r="H945" s="294">
        <f>VLOOKUP(F945,数据集标准分类!A:H,8,0)</f>
        <v>43</v>
      </c>
      <c r="I945" s="170" t="s">
        <v>2616</v>
      </c>
      <c r="J945" s="170" t="s">
        <v>2617</v>
      </c>
      <c r="K945" s="170" t="s">
        <v>2618</v>
      </c>
      <c r="L945" s="170" t="s">
        <v>2619</v>
      </c>
      <c r="M945" s="170" t="s">
        <v>2619</v>
      </c>
      <c r="N945" s="294">
        <v>39</v>
      </c>
      <c r="O945" s="170"/>
    </row>
    <row r="946" ht="15.75" customHeight="1" spans="1:15">
      <c r="A946" s="183" t="str">
        <f>VLOOKUP(F946,数据集标准分类!A:G,7,0)</f>
        <v>02</v>
      </c>
      <c r="B946" s="183" t="str">
        <f>VLOOKUP(F946,数据集标准分类!A:F,6,0)</f>
        <v>电子病历</v>
      </c>
      <c r="C946" s="183" t="str">
        <f>VLOOKUP(F946,数据集标准分类!A:E,5,0)</f>
        <v>0212</v>
      </c>
      <c r="D946" s="183" t="str">
        <f>VLOOKUP(F946,数据集标准分类!A:D,4,0)</f>
        <v>检查记录</v>
      </c>
      <c r="E946" s="183" t="str">
        <f>VLOOKUP(F946,数据集标准分类!A:C,3,0)</f>
        <v>021201</v>
      </c>
      <c r="F946" s="170" t="s">
        <v>2522</v>
      </c>
      <c r="G946" s="183" t="str">
        <f>VLOOKUP(F946,数据集标准分类!A:B,2,0)</f>
        <v>exam_record</v>
      </c>
      <c r="H946" s="294">
        <f>VLOOKUP(F946,数据集标准分类!A:H,8,0)</f>
        <v>43</v>
      </c>
      <c r="I946" s="170" t="s">
        <v>2620</v>
      </c>
      <c r="J946" s="170" t="s">
        <v>2621</v>
      </c>
      <c r="K946" s="170" t="s">
        <v>2622</v>
      </c>
      <c r="L946" s="170" t="s">
        <v>2623</v>
      </c>
      <c r="M946" s="170" t="s">
        <v>2623</v>
      </c>
      <c r="N946" s="294">
        <v>40</v>
      </c>
      <c r="O946" s="170"/>
    </row>
    <row r="947" ht="15.75" customHeight="1" spans="1:15">
      <c r="A947" s="183" t="str">
        <f>VLOOKUP(F947,数据集标准分类!A:G,7,0)</f>
        <v>02</v>
      </c>
      <c r="B947" s="183" t="str">
        <f>VLOOKUP(F947,数据集标准分类!A:F,6,0)</f>
        <v>电子病历</v>
      </c>
      <c r="C947" s="183" t="str">
        <f>VLOOKUP(F947,数据集标准分类!A:E,5,0)</f>
        <v>0212</v>
      </c>
      <c r="D947" s="183" t="str">
        <f>VLOOKUP(F947,数据集标准分类!A:D,4,0)</f>
        <v>检查记录</v>
      </c>
      <c r="E947" s="183" t="str">
        <f>VLOOKUP(F947,数据集标准分类!A:C,3,0)</f>
        <v>021201</v>
      </c>
      <c r="F947" s="170" t="s">
        <v>2522</v>
      </c>
      <c r="G947" s="183" t="str">
        <f>VLOOKUP(F947,数据集标准分类!A:B,2,0)</f>
        <v>exam_record</v>
      </c>
      <c r="H947" s="294">
        <f>VLOOKUP(F947,数据集标准分类!A:H,8,0)</f>
        <v>43</v>
      </c>
      <c r="I947" s="170" t="s">
        <v>2506</v>
      </c>
      <c r="J947" s="170" t="s">
        <v>2507</v>
      </c>
      <c r="K947" s="170" t="s">
        <v>2508</v>
      </c>
      <c r="L947" s="170" t="s">
        <v>2624</v>
      </c>
      <c r="M947" s="170" t="s">
        <v>2624</v>
      </c>
      <c r="N947" s="294">
        <v>41</v>
      </c>
      <c r="O947" s="170"/>
    </row>
    <row r="948" ht="15.75" customHeight="1" spans="1:15">
      <c r="A948" s="183" t="str">
        <f>VLOOKUP(F948,数据集标准分类!A:G,7,0)</f>
        <v>02</v>
      </c>
      <c r="B948" s="183" t="str">
        <f>VLOOKUP(F948,数据集标准分类!A:F,6,0)</f>
        <v>电子病历</v>
      </c>
      <c r="C948" s="183" t="str">
        <f>VLOOKUP(F948,数据集标准分类!A:E,5,0)</f>
        <v>0213</v>
      </c>
      <c r="D948" s="183" t="str">
        <f>VLOOKUP(F948,数据集标准分类!A:D,4,0)</f>
        <v>治疗记录</v>
      </c>
      <c r="E948" s="183" t="str">
        <f>VLOOKUP(F948,数据集标准分类!A:C,3,0)</f>
        <v>021301</v>
      </c>
      <c r="F948" s="170" t="s">
        <v>2625</v>
      </c>
      <c r="G948" s="183" t="str">
        <f>VLOOKUP(F948,数据集标准分类!A:B,2,0)</f>
        <v>treatment_record</v>
      </c>
      <c r="H948" s="294">
        <f>VLOOKUP(F948,数据集标准分类!A:H,8,0)</f>
        <v>44</v>
      </c>
      <c r="I948" s="170" t="s">
        <v>711</v>
      </c>
      <c r="J948" s="170" t="s">
        <v>712</v>
      </c>
      <c r="K948" s="170" t="s">
        <v>712</v>
      </c>
      <c r="L948" s="170" t="s">
        <v>713</v>
      </c>
      <c r="M948" s="170" t="s">
        <v>714</v>
      </c>
      <c r="N948" s="294">
        <v>1</v>
      </c>
      <c r="O948" s="170"/>
    </row>
    <row r="949" ht="15.75" customHeight="1" spans="1:15">
      <c r="A949" s="183" t="str">
        <f>VLOOKUP(F949,数据集标准分类!A:G,7,0)</f>
        <v>02</v>
      </c>
      <c r="B949" s="183" t="str">
        <f>VLOOKUP(F949,数据集标准分类!A:F,6,0)</f>
        <v>电子病历</v>
      </c>
      <c r="C949" s="183" t="str">
        <f>VLOOKUP(F949,数据集标准分类!A:E,5,0)</f>
        <v>0213</v>
      </c>
      <c r="D949" s="183" t="str">
        <f>VLOOKUP(F949,数据集标准分类!A:D,4,0)</f>
        <v>治疗记录</v>
      </c>
      <c r="E949" s="183" t="str">
        <f>VLOOKUP(F949,数据集标准分类!A:C,3,0)</f>
        <v>021301</v>
      </c>
      <c r="F949" s="170" t="s">
        <v>2625</v>
      </c>
      <c r="G949" s="183" t="str">
        <f>VLOOKUP(F949,数据集标准分类!A:B,2,0)</f>
        <v>treatment_record</v>
      </c>
      <c r="H949" s="294">
        <f>VLOOKUP(F949,数据集标准分类!A:H,8,0)</f>
        <v>44</v>
      </c>
      <c r="I949" s="170" t="s">
        <v>172</v>
      </c>
      <c r="J949" s="170" t="s">
        <v>173</v>
      </c>
      <c r="K949" s="170" t="s">
        <v>174</v>
      </c>
      <c r="L949" s="170" t="s">
        <v>175</v>
      </c>
      <c r="M949" s="170" t="s">
        <v>1245</v>
      </c>
      <c r="N949" s="294">
        <v>2</v>
      </c>
      <c r="O949" s="170"/>
    </row>
    <row r="950" ht="15.75" customHeight="1" spans="1:15">
      <c r="A950" s="183" t="str">
        <f>VLOOKUP(F950,数据集标准分类!A:G,7,0)</f>
        <v>02</v>
      </c>
      <c r="B950" s="183" t="str">
        <f>VLOOKUP(F950,数据集标准分类!A:F,6,0)</f>
        <v>电子病历</v>
      </c>
      <c r="C950" s="183" t="str">
        <f>VLOOKUP(F950,数据集标准分类!A:E,5,0)</f>
        <v>0213</v>
      </c>
      <c r="D950" s="183" t="str">
        <f>VLOOKUP(F950,数据集标准分类!A:D,4,0)</f>
        <v>治疗记录</v>
      </c>
      <c r="E950" s="183" t="str">
        <f>VLOOKUP(F950,数据集标准分类!A:C,3,0)</f>
        <v>021301</v>
      </c>
      <c r="F950" s="170" t="s">
        <v>2625</v>
      </c>
      <c r="G950" s="183" t="str">
        <f>VLOOKUP(F950,数据集标准分类!A:B,2,0)</f>
        <v>treatment_record</v>
      </c>
      <c r="H950" s="294">
        <f>VLOOKUP(F950,数据集标准分类!A:H,8,0)</f>
        <v>44</v>
      </c>
      <c r="I950" s="170" t="s">
        <v>1418</v>
      </c>
      <c r="J950" s="170" t="s">
        <v>1419</v>
      </c>
      <c r="K950" s="170" t="s">
        <v>1420</v>
      </c>
      <c r="L950" s="170" t="s">
        <v>1421</v>
      </c>
      <c r="M950" s="170" t="s">
        <v>2626</v>
      </c>
      <c r="N950" s="294">
        <v>3</v>
      </c>
      <c r="O950" s="170"/>
    </row>
    <row r="951" ht="15.75" customHeight="1" spans="1:15">
      <c r="A951" s="183" t="str">
        <f>VLOOKUP(F951,数据集标准分类!A:G,7,0)</f>
        <v>02</v>
      </c>
      <c r="B951" s="183" t="str">
        <f>VLOOKUP(F951,数据集标准分类!A:F,6,0)</f>
        <v>电子病历</v>
      </c>
      <c r="C951" s="183" t="str">
        <f>VLOOKUP(F951,数据集标准分类!A:E,5,0)</f>
        <v>0213</v>
      </c>
      <c r="D951" s="183" t="str">
        <f>VLOOKUP(F951,数据集标准分类!A:D,4,0)</f>
        <v>治疗记录</v>
      </c>
      <c r="E951" s="183" t="str">
        <f>VLOOKUP(F951,数据集标准分类!A:C,3,0)</f>
        <v>021301</v>
      </c>
      <c r="F951" s="170" t="s">
        <v>2625</v>
      </c>
      <c r="G951" s="183" t="str">
        <f>VLOOKUP(F951,数据集标准分类!A:B,2,0)</f>
        <v>treatment_record</v>
      </c>
      <c r="H951" s="294">
        <f>VLOOKUP(F951,数据集标准分类!A:H,8,0)</f>
        <v>44</v>
      </c>
      <c r="I951" s="170" t="s">
        <v>2627</v>
      </c>
      <c r="J951" s="170" t="s">
        <v>2628</v>
      </c>
      <c r="K951" s="170" t="s">
        <v>2629</v>
      </c>
      <c r="L951" s="170" t="s">
        <v>2630</v>
      </c>
      <c r="M951" s="170" t="s">
        <v>2631</v>
      </c>
      <c r="N951" s="294">
        <v>4</v>
      </c>
      <c r="O951" s="170"/>
    </row>
    <row r="952" ht="15.75" customHeight="1" spans="1:15">
      <c r="A952" s="183" t="str">
        <f>VLOOKUP(F952,数据集标准分类!A:G,7,0)</f>
        <v>02</v>
      </c>
      <c r="B952" s="183" t="str">
        <f>VLOOKUP(F952,数据集标准分类!A:F,6,0)</f>
        <v>电子病历</v>
      </c>
      <c r="C952" s="183" t="str">
        <f>VLOOKUP(F952,数据集标准分类!A:E,5,0)</f>
        <v>0213</v>
      </c>
      <c r="D952" s="183" t="str">
        <f>VLOOKUP(F952,数据集标准分类!A:D,4,0)</f>
        <v>治疗记录</v>
      </c>
      <c r="E952" s="183" t="str">
        <f>VLOOKUP(F952,数据集标准分类!A:C,3,0)</f>
        <v>021301</v>
      </c>
      <c r="F952" s="170" t="s">
        <v>2625</v>
      </c>
      <c r="G952" s="183" t="str">
        <f>VLOOKUP(F952,数据集标准分类!A:B,2,0)</f>
        <v>treatment_record</v>
      </c>
      <c r="H952" s="294">
        <f>VLOOKUP(F952,数据集标准分类!A:H,8,0)</f>
        <v>44</v>
      </c>
      <c r="I952" s="170" t="s">
        <v>192</v>
      </c>
      <c r="J952" s="170" t="s">
        <v>193</v>
      </c>
      <c r="K952" s="170" t="s">
        <v>194</v>
      </c>
      <c r="L952" s="170" t="s">
        <v>195</v>
      </c>
      <c r="M952" s="170" t="s">
        <v>2543</v>
      </c>
      <c r="N952" s="294">
        <v>5</v>
      </c>
      <c r="O952" s="170"/>
    </row>
    <row r="953" ht="15.75" customHeight="1" spans="1:15">
      <c r="A953" s="183" t="str">
        <f>VLOOKUP(F953,数据集标准分类!A:G,7,0)</f>
        <v>02</v>
      </c>
      <c r="B953" s="183" t="str">
        <f>VLOOKUP(F953,数据集标准分类!A:F,6,0)</f>
        <v>电子病历</v>
      </c>
      <c r="C953" s="183" t="str">
        <f>VLOOKUP(F953,数据集标准分类!A:E,5,0)</f>
        <v>0213</v>
      </c>
      <c r="D953" s="183" t="str">
        <f>VLOOKUP(F953,数据集标准分类!A:D,4,0)</f>
        <v>治疗记录</v>
      </c>
      <c r="E953" s="183" t="str">
        <f>VLOOKUP(F953,数据集标准分类!A:C,3,0)</f>
        <v>021301</v>
      </c>
      <c r="F953" s="170" t="s">
        <v>2625</v>
      </c>
      <c r="G953" s="183" t="str">
        <f>VLOOKUP(F953,数据集标准分类!A:B,2,0)</f>
        <v>treatment_record</v>
      </c>
      <c r="H953" s="294">
        <f>VLOOKUP(F953,数据集标准分类!A:H,8,0)</f>
        <v>44</v>
      </c>
      <c r="I953" s="170" t="s">
        <v>396</v>
      </c>
      <c r="J953" s="170" t="s">
        <v>397</v>
      </c>
      <c r="K953" s="170" t="s">
        <v>398</v>
      </c>
      <c r="L953" s="170" t="s">
        <v>399</v>
      </c>
      <c r="M953" s="170" t="s">
        <v>1260</v>
      </c>
      <c r="N953" s="294">
        <v>6</v>
      </c>
      <c r="O953" s="170"/>
    </row>
    <row r="954" ht="15.75" customHeight="1" spans="1:15">
      <c r="A954" s="183" t="str">
        <f>VLOOKUP(F954,数据集标准分类!A:G,7,0)</f>
        <v>02</v>
      </c>
      <c r="B954" s="183" t="str">
        <f>VLOOKUP(F954,数据集标准分类!A:F,6,0)</f>
        <v>电子病历</v>
      </c>
      <c r="C954" s="183" t="str">
        <f>VLOOKUP(F954,数据集标准分类!A:E,5,0)</f>
        <v>0213</v>
      </c>
      <c r="D954" s="183" t="str">
        <f>VLOOKUP(F954,数据集标准分类!A:D,4,0)</f>
        <v>治疗记录</v>
      </c>
      <c r="E954" s="183" t="str">
        <f>VLOOKUP(F954,数据集标准分类!A:C,3,0)</f>
        <v>021301</v>
      </c>
      <c r="F954" s="170" t="s">
        <v>2625</v>
      </c>
      <c r="G954" s="183" t="str">
        <f>VLOOKUP(F954,数据集标准分类!A:B,2,0)</f>
        <v>treatment_record</v>
      </c>
      <c r="H954" s="294">
        <f>VLOOKUP(F954,数据集标准分类!A:H,8,0)</f>
        <v>44</v>
      </c>
      <c r="I954" s="170" t="s">
        <v>1261</v>
      </c>
      <c r="J954" s="170" t="s">
        <v>1262</v>
      </c>
      <c r="K954" s="170" t="s">
        <v>1263</v>
      </c>
      <c r="L954" s="170" t="s">
        <v>1264</v>
      </c>
      <c r="M954" s="170" t="s">
        <v>2632</v>
      </c>
      <c r="N954" s="294">
        <v>7</v>
      </c>
      <c r="O954" s="170"/>
    </row>
    <row r="955" ht="15.75" customHeight="1" spans="1:15">
      <c r="A955" s="183" t="str">
        <f>VLOOKUP(F955,数据集标准分类!A:G,7,0)</f>
        <v>02</v>
      </c>
      <c r="B955" s="183" t="str">
        <f>VLOOKUP(F955,数据集标准分类!A:F,6,0)</f>
        <v>电子病历</v>
      </c>
      <c r="C955" s="183" t="str">
        <f>VLOOKUP(F955,数据集标准分类!A:E,5,0)</f>
        <v>0213</v>
      </c>
      <c r="D955" s="183" t="str">
        <f>VLOOKUP(F955,数据集标准分类!A:D,4,0)</f>
        <v>治疗记录</v>
      </c>
      <c r="E955" s="183" t="str">
        <f>VLOOKUP(F955,数据集标准分类!A:C,3,0)</f>
        <v>021301</v>
      </c>
      <c r="F955" s="170" t="s">
        <v>2625</v>
      </c>
      <c r="G955" s="183" t="str">
        <f>VLOOKUP(F955,数据集标准分类!A:B,2,0)</f>
        <v>treatment_record</v>
      </c>
      <c r="H955" s="294">
        <f>VLOOKUP(F955,数据集标准分类!A:H,8,0)</f>
        <v>44</v>
      </c>
      <c r="I955" s="170" t="s">
        <v>1266</v>
      </c>
      <c r="J955" s="170" t="s">
        <v>1267</v>
      </c>
      <c r="K955" s="170" t="s">
        <v>1268</v>
      </c>
      <c r="L955" s="170" t="s">
        <v>1269</v>
      </c>
      <c r="M955" s="170" t="s">
        <v>1270</v>
      </c>
      <c r="N955" s="294">
        <v>8</v>
      </c>
      <c r="O955" s="170"/>
    </row>
    <row r="956" ht="15.75" customHeight="1" spans="1:15">
      <c r="A956" s="183" t="str">
        <f>VLOOKUP(F956,数据集标准分类!A:G,7,0)</f>
        <v>02</v>
      </c>
      <c r="B956" s="183" t="str">
        <f>VLOOKUP(F956,数据集标准分类!A:F,6,0)</f>
        <v>电子病历</v>
      </c>
      <c r="C956" s="183" t="str">
        <f>VLOOKUP(F956,数据集标准分类!A:E,5,0)</f>
        <v>0213</v>
      </c>
      <c r="D956" s="183" t="str">
        <f>VLOOKUP(F956,数据集标准分类!A:D,4,0)</f>
        <v>治疗记录</v>
      </c>
      <c r="E956" s="183" t="str">
        <f>VLOOKUP(F956,数据集标准分类!A:C,3,0)</f>
        <v>021301</v>
      </c>
      <c r="F956" s="170" t="s">
        <v>2625</v>
      </c>
      <c r="G956" s="183" t="str">
        <f>VLOOKUP(F956,数据集标准分类!A:B,2,0)</f>
        <v>treatment_record</v>
      </c>
      <c r="H956" s="294">
        <f>VLOOKUP(F956,数据集标准分类!A:H,8,0)</f>
        <v>44</v>
      </c>
      <c r="I956" s="170" t="s">
        <v>216</v>
      </c>
      <c r="J956" s="170" t="s">
        <v>217</v>
      </c>
      <c r="K956" s="170" t="s">
        <v>218</v>
      </c>
      <c r="L956" s="170" t="s">
        <v>219</v>
      </c>
      <c r="M956" s="170" t="s">
        <v>2549</v>
      </c>
      <c r="N956" s="294">
        <v>9</v>
      </c>
      <c r="O956" s="170"/>
    </row>
    <row r="957" ht="15.75" customHeight="1" spans="1:15">
      <c r="A957" s="183" t="str">
        <f>VLOOKUP(F957,数据集标准分类!A:G,7,0)</f>
        <v>02</v>
      </c>
      <c r="B957" s="183" t="str">
        <f>VLOOKUP(F957,数据集标准分类!A:F,6,0)</f>
        <v>电子病历</v>
      </c>
      <c r="C957" s="183" t="str">
        <f>VLOOKUP(F957,数据集标准分类!A:E,5,0)</f>
        <v>0213</v>
      </c>
      <c r="D957" s="183" t="str">
        <f>VLOOKUP(F957,数据集标准分类!A:D,4,0)</f>
        <v>治疗记录</v>
      </c>
      <c r="E957" s="183" t="str">
        <f>VLOOKUP(F957,数据集标准分类!A:C,3,0)</f>
        <v>021301</v>
      </c>
      <c r="F957" s="170" t="s">
        <v>2625</v>
      </c>
      <c r="G957" s="183" t="str">
        <f>VLOOKUP(F957,数据集标准分类!A:B,2,0)</f>
        <v>treatment_record</v>
      </c>
      <c r="H957" s="294">
        <f>VLOOKUP(F957,数据集标准分类!A:H,8,0)</f>
        <v>44</v>
      </c>
      <c r="I957" s="170" t="s">
        <v>1272</v>
      </c>
      <c r="J957" s="170" t="s">
        <v>1273</v>
      </c>
      <c r="K957" s="170" t="s">
        <v>1274</v>
      </c>
      <c r="L957" s="170" t="s">
        <v>1275</v>
      </c>
      <c r="M957" s="170" t="s">
        <v>1276</v>
      </c>
      <c r="N957" s="294">
        <v>10</v>
      </c>
      <c r="O957" s="170"/>
    </row>
    <row r="958" ht="15.75" customHeight="1" spans="1:15">
      <c r="A958" s="183" t="str">
        <f>VLOOKUP(F958,数据集标准分类!A:G,7,0)</f>
        <v>02</v>
      </c>
      <c r="B958" s="183" t="str">
        <f>VLOOKUP(F958,数据集标准分类!A:F,6,0)</f>
        <v>电子病历</v>
      </c>
      <c r="C958" s="183" t="str">
        <f>VLOOKUP(F958,数据集标准分类!A:E,5,0)</f>
        <v>0213</v>
      </c>
      <c r="D958" s="183" t="str">
        <f>VLOOKUP(F958,数据集标准分类!A:D,4,0)</f>
        <v>治疗记录</v>
      </c>
      <c r="E958" s="183" t="str">
        <f>VLOOKUP(F958,数据集标准分类!A:C,3,0)</f>
        <v>021301</v>
      </c>
      <c r="F958" s="170" t="s">
        <v>2625</v>
      </c>
      <c r="G958" s="183" t="str">
        <f>VLOOKUP(F958,数据集标准分类!A:B,2,0)</f>
        <v>treatment_record</v>
      </c>
      <c r="H958" s="294">
        <f>VLOOKUP(F958,数据集标准分类!A:H,8,0)</f>
        <v>44</v>
      </c>
      <c r="I958" s="170" t="s">
        <v>1430</v>
      </c>
      <c r="J958" s="170" t="s">
        <v>1431</v>
      </c>
      <c r="K958" s="170" t="s">
        <v>1432</v>
      </c>
      <c r="L958" s="170" t="s">
        <v>1433</v>
      </c>
      <c r="M958" s="170" t="s">
        <v>2550</v>
      </c>
      <c r="N958" s="294">
        <v>11</v>
      </c>
      <c r="O958" s="170"/>
    </row>
    <row r="959" ht="15.75" customHeight="1" spans="1:15">
      <c r="A959" s="183" t="str">
        <f>VLOOKUP(F959,数据集标准分类!A:G,7,0)</f>
        <v>02</v>
      </c>
      <c r="B959" s="183" t="str">
        <f>VLOOKUP(F959,数据集标准分类!A:F,6,0)</f>
        <v>电子病历</v>
      </c>
      <c r="C959" s="183" t="str">
        <f>VLOOKUP(F959,数据集标准分类!A:E,5,0)</f>
        <v>0213</v>
      </c>
      <c r="D959" s="183" t="str">
        <f>VLOOKUP(F959,数据集标准分类!A:D,4,0)</f>
        <v>治疗记录</v>
      </c>
      <c r="E959" s="183" t="str">
        <f>VLOOKUP(F959,数据集标准分类!A:C,3,0)</f>
        <v>021301</v>
      </c>
      <c r="F959" s="170" t="s">
        <v>2625</v>
      </c>
      <c r="G959" s="183" t="str">
        <f>VLOOKUP(F959,数据集标准分类!A:B,2,0)</f>
        <v>treatment_record</v>
      </c>
      <c r="H959" s="294">
        <f>VLOOKUP(F959,数据集标准分类!A:H,8,0)</f>
        <v>44</v>
      </c>
      <c r="I959" s="170" t="s">
        <v>197</v>
      </c>
      <c r="J959" s="170" t="s">
        <v>198</v>
      </c>
      <c r="K959" s="170" t="s">
        <v>2074</v>
      </c>
      <c r="L959" s="170" t="s">
        <v>199</v>
      </c>
      <c r="M959" s="170" t="s">
        <v>2019</v>
      </c>
      <c r="N959" s="294">
        <v>12</v>
      </c>
      <c r="O959" s="170"/>
    </row>
    <row r="960" ht="15.75" customHeight="1" spans="1:15">
      <c r="A960" s="183" t="str">
        <f>VLOOKUP(F960,数据集标准分类!A:G,7,0)</f>
        <v>02</v>
      </c>
      <c r="B960" s="183" t="str">
        <f>VLOOKUP(F960,数据集标准分类!A:F,6,0)</f>
        <v>电子病历</v>
      </c>
      <c r="C960" s="183" t="str">
        <f>VLOOKUP(F960,数据集标准分类!A:E,5,0)</f>
        <v>0213</v>
      </c>
      <c r="D960" s="183" t="str">
        <f>VLOOKUP(F960,数据集标准分类!A:D,4,0)</f>
        <v>治疗记录</v>
      </c>
      <c r="E960" s="183" t="str">
        <f>VLOOKUP(F960,数据集标准分类!A:C,3,0)</f>
        <v>021301</v>
      </c>
      <c r="F960" s="170" t="s">
        <v>2625</v>
      </c>
      <c r="G960" s="183" t="str">
        <f>VLOOKUP(F960,数据集标准分类!A:B,2,0)</f>
        <v>treatment_record</v>
      </c>
      <c r="H960" s="294">
        <f>VLOOKUP(F960,数据集标准分类!A:H,8,0)</f>
        <v>44</v>
      </c>
      <c r="I960" s="170" t="s">
        <v>201</v>
      </c>
      <c r="J960" s="170" t="s">
        <v>202</v>
      </c>
      <c r="K960" s="170" t="s">
        <v>203</v>
      </c>
      <c r="L960" s="170" t="s">
        <v>204</v>
      </c>
      <c r="M960" s="170" t="s">
        <v>2075</v>
      </c>
      <c r="N960" s="294">
        <v>13</v>
      </c>
      <c r="O960" s="170"/>
    </row>
    <row r="961" ht="15.75" customHeight="1" spans="1:15">
      <c r="A961" s="183" t="str">
        <f>VLOOKUP(F961,数据集标准分类!A:G,7,0)</f>
        <v>02</v>
      </c>
      <c r="B961" s="183" t="str">
        <f>VLOOKUP(F961,数据集标准分类!A:F,6,0)</f>
        <v>电子病历</v>
      </c>
      <c r="C961" s="183" t="str">
        <f>VLOOKUP(F961,数据集标准分类!A:E,5,0)</f>
        <v>0213</v>
      </c>
      <c r="D961" s="183" t="str">
        <f>VLOOKUP(F961,数据集标准分类!A:D,4,0)</f>
        <v>治疗记录</v>
      </c>
      <c r="E961" s="183" t="str">
        <f>VLOOKUP(F961,数据集标准分类!A:C,3,0)</f>
        <v>021301</v>
      </c>
      <c r="F961" s="170" t="s">
        <v>2625</v>
      </c>
      <c r="G961" s="183" t="str">
        <f>VLOOKUP(F961,数据集标准分类!A:B,2,0)</f>
        <v>treatment_record</v>
      </c>
      <c r="H961" s="294">
        <f>VLOOKUP(F961,数据集标准分类!A:H,8,0)</f>
        <v>44</v>
      </c>
      <c r="I961" s="170" t="s">
        <v>211</v>
      </c>
      <c r="J961" s="170" t="s">
        <v>212</v>
      </c>
      <c r="K961" s="170" t="s">
        <v>213</v>
      </c>
      <c r="L961" s="170" t="s">
        <v>214</v>
      </c>
      <c r="M961" s="170" t="s">
        <v>215</v>
      </c>
      <c r="N961" s="294">
        <v>14</v>
      </c>
      <c r="O961" s="170"/>
    </row>
    <row r="962" ht="15.75" customHeight="1" spans="1:15">
      <c r="A962" s="183" t="str">
        <f>VLOOKUP(F962,数据集标准分类!A:G,7,0)</f>
        <v>02</v>
      </c>
      <c r="B962" s="183" t="str">
        <f>VLOOKUP(F962,数据集标准分类!A:F,6,0)</f>
        <v>电子病历</v>
      </c>
      <c r="C962" s="183" t="str">
        <f>VLOOKUP(F962,数据集标准分类!A:E,5,0)</f>
        <v>0213</v>
      </c>
      <c r="D962" s="183" t="str">
        <f>VLOOKUP(F962,数据集标准分类!A:D,4,0)</f>
        <v>治疗记录</v>
      </c>
      <c r="E962" s="183" t="str">
        <f>VLOOKUP(F962,数据集标准分类!A:C,3,0)</f>
        <v>021301</v>
      </c>
      <c r="F962" s="170" t="s">
        <v>2625</v>
      </c>
      <c r="G962" s="183" t="str">
        <f>VLOOKUP(F962,数据集标准分类!A:B,2,0)</f>
        <v>treatment_record</v>
      </c>
      <c r="H962" s="294">
        <f>VLOOKUP(F962,数据集标准分类!A:H,8,0)</f>
        <v>44</v>
      </c>
      <c r="I962" s="170" t="s">
        <v>2076</v>
      </c>
      <c r="J962" s="170" t="s">
        <v>2077</v>
      </c>
      <c r="K962" s="170" t="s">
        <v>2078</v>
      </c>
      <c r="L962" s="170" t="s">
        <v>2079</v>
      </c>
      <c r="M962" s="170" t="s">
        <v>2080</v>
      </c>
      <c r="N962" s="294">
        <v>15</v>
      </c>
      <c r="O962" s="170"/>
    </row>
    <row r="963" ht="15.75" customHeight="1" spans="1:15">
      <c r="A963" s="183" t="str">
        <f>VLOOKUP(F963,数据集标准分类!A:G,7,0)</f>
        <v>02</v>
      </c>
      <c r="B963" s="183" t="str">
        <f>VLOOKUP(F963,数据集标准分类!A:F,6,0)</f>
        <v>电子病历</v>
      </c>
      <c r="C963" s="183" t="str">
        <f>VLOOKUP(F963,数据集标准分类!A:E,5,0)</f>
        <v>0213</v>
      </c>
      <c r="D963" s="183" t="str">
        <f>VLOOKUP(F963,数据集标准分类!A:D,4,0)</f>
        <v>治疗记录</v>
      </c>
      <c r="E963" s="183" t="str">
        <f>VLOOKUP(F963,数据集标准分类!A:C,3,0)</f>
        <v>021301</v>
      </c>
      <c r="F963" s="170" t="s">
        <v>2625</v>
      </c>
      <c r="G963" s="183" t="str">
        <f>VLOOKUP(F963,数据集标准分类!A:B,2,0)</f>
        <v>treatment_record</v>
      </c>
      <c r="H963" s="294">
        <f>VLOOKUP(F963,数据集标准分类!A:H,8,0)</f>
        <v>44</v>
      </c>
      <c r="I963" s="170" t="s">
        <v>2633</v>
      </c>
      <c r="J963" s="170" t="s">
        <v>2634</v>
      </c>
      <c r="K963" s="170" t="s">
        <v>2635</v>
      </c>
      <c r="L963" s="170" t="s">
        <v>2636</v>
      </c>
      <c r="M963" s="170" t="s">
        <v>2637</v>
      </c>
      <c r="N963" s="294">
        <v>16</v>
      </c>
      <c r="O963" s="170"/>
    </row>
    <row r="964" ht="15.75" customHeight="1" spans="1:15">
      <c r="A964" s="183" t="str">
        <f>VLOOKUP(F964,数据集标准分类!A:G,7,0)</f>
        <v>02</v>
      </c>
      <c r="B964" s="183" t="str">
        <f>VLOOKUP(F964,数据集标准分类!A:F,6,0)</f>
        <v>电子病历</v>
      </c>
      <c r="C964" s="183" t="str">
        <f>VLOOKUP(F964,数据集标准分类!A:E,5,0)</f>
        <v>0213</v>
      </c>
      <c r="D964" s="183" t="str">
        <f>VLOOKUP(F964,数据集标准分类!A:D,4,0)</f>
        <v>治疗记录</v>
      </c>
      <c r="E964" s="183" t="str">
        <f>VLOOKUP(F964,数据集标准分类!A:C,3,0)</f>
        <v>021301</v>
      </c>
      <c r="F964" s="170" t="s">
        <v>2625</v>
      </c>
      <c r="G964" s="183" t="str">
        <f>VLOOKUP(F964,数据集标准分类!A:B,2,0)</f>
        <v>treatment_record</v>
      </c>
      <c r="H964" s="294">
        <f>VLOOKUP(F964,数据集标准分类!A:H,8,0)</f>
        <v>44</v>
      </c>
      <c r="I964" s="170" t="s">
        <v>2081</v>
      </c>
      <c r="J964" s="170" t="s">
        <v>2082</v>
      </c>
      <c r="K964" s="170" t="s">
        <v>2083</v>
      </c>
      <c r="L964" s="170" t="s">
        <v>2084</v>
      </c>
      <c r="M964" s="170" t="s">
        <v>2085</v>
      </c>
      <c r="N964" s="294">
        <v>17</v>
      </c>
      <c r="O964" s="170"/>
    </row>
    <row r="965" ht="15.75" customHeight="1" spans="1:15">
      <c r="A965" s="183" t="str">
        <f>VLOOKUP(F965,数据集标准分类!A:G,7,0)</f>
        <v>02</v>
      </c>
      <c r="B965" s="183" t="str">
        <f>VLOOKUP(F965,数据集标准分类!A:F,6,0)</f>
        <v>电子病历</v>
      </c>
      <c r="C965" s="183" t="str">
        <f>VLOOKUP(F965,数据集标准分类!A:E,5,0)</f>
        <v>0213</v>
      </c>
      <c r="D965" s="183" t="str">
        <f>VLOOKUP(F965,数据集标准分类!A:D,4,0)</f>
        <v>治疗记录</v>
      </c>
      <c r="E965" s="183" t="str">
        <f>VLOOKUP(F965,数据集标准分类!A:C,3,0)</f>
        <v>021301</v>
      </c>
      <c r="F965" s="170" t="s">
        <v>2625</v>
      </c>
      <c r="G965" s="183" t="str">
        <f>VLOOKUP(F965,数据集标准分类!A:B,2,0)</f>
        <v>treatment_record</v>
      </c>
      <c r="H965" s="294">
        <f>VLOOKUP(F965,数据集标准分类!A:H,8,0)</f>
        <v>44</v>
      </c>
      <c r="I965" s="170" t="s">
        <v>2086</v>
      </c>
      <c r="J965" s="170" t="s">
        <v>2087</v>
      </c>
      <c r="K965" s="170" t="s">
        <v>2088</v>
      </c>
      <c r="L965" s="170" t="s">
        <v>2089</v>
      </c>
      <c r="M965" s="170" t="s">
        <v>2090</v>
      </c>
      <c r="N965" s="294">
        <v>18</v>
      </c>
      <c r="O965" s="170"/>
    </row>
    <row r="966" ht="15.75" customHeight="1" spans="1:15">
      <c r="A966" s="183" t="str">
        <f>VLOOKUP(F966,数据集标准分类!A:G,7,0)</f>
        <v>02</v>
      </c>
      <c r="B966" s="183" t="str">
        <f>VLOOKUP(F966,数据集标准分类!A:F,6,0)</f>
        <v>电子病历</v>
      </c>
      <c r="C966" s="183" t="str">
        <f>VLOOKUP(F966,数据集标准分类!A:E,5,0)</f>
        <v>0213</v>
      </c>
      <c r="D966" s="183" t="str">
        <f>VLOOKUP(F966,数据集标准分类!A:D,4,0)</f>
        <v>治疗记录</v>
      </c>
      <c r="E966" s="183" t="str">
        <f>VLOOKUP(F966,数据集标准分类!A:C,3,0)</f>
        <v>021301</v>
      </c>
      <c r="F966" s="170" t="s">
        <v>2625</v>
      </c>
      <c r="G966" s="183" t="str">
        <f>VLOOKUP(F966,数据集标准分类!A:B,2,0)</f>
        <v>treatment_record</v>
      </c>
      <c r="H966" s="294">
        <f>VLOOKUP(F966,数据集标准分类!A:H,8,0)</f>
        <v>44</v>
      </c>
      <c r="I966" s="170" t="s">
        <v>2091</v>
      </c>
      <c r="J966" s="170" t="s">
        <v>2092</v>
      </c>
      <c r="K966" s="170" t="s">
        <v>2093</v>
      </c>
      <c r="L966" s="170" t="s">
        <v>2094</v>
      </c>
      <c r="M966" s="170" t="s">
        <v>2095</v>
      </c>
      <c r="N966" s="294">
        <v>19</v>
      </c>
      <c r="O966" s="170"/>
    </row>
    <row r="967" ht="15.75" customHeight="1" spans="1:15">
      <c r="A967" s="183" t="str">
        <f>VLOOKUP(F967,数据集标准分类!A:G,7,0)</f>
        <v>02</v>
      </c>
      <c r="B967" s="183" t="str">
        <f>VLOOKUP(F967,数据集标准分类!A:F,6,0)</f>
        <v>电子病历</v>
      </c>
      <c r="C967" s="183" t="str">
        <f>VLOOKUP(F967,数据集标准分类!A:E,5,0)</f>
        <v>0213</v>
      </c>
      <c r="D967" s="183" t="str">
        <f>VLOOKUP(F967,数据集标准分类!A:D,4,0)</f>
        <v>治疗记录</v>
      </c>
      <c r="E967" s="183" t="str">
        <f>VLOOKUP(F967,数据集标准分类!A:C,3,0)</f>
        <v>021301</v>
      </c>
      <c r="F967" s="170" t="s">
        <v>2625</v>
      </c>
      <c r="G967" s="183" t="str">
        <f>VLOOKUP(F967,数据集标准分类!A:B,2,0)</f>
        <v>treatment_record</v>
      </c>
      <c r="H967" s="294">
        <f>VLOOKUP(F967,数据集标准分类!A:H,8,0)</f>
        <v>44</v>
      </c>
      <c r="I967" s="170" t="s">
        <v>2096</v>
      </c>
      <c r="J967" s="170" t="s">
        <v>2097</v>
      </c>
      <c r="K967" s="170" t="s">
        <v>2098</v>
      </c>
      <c r="L967" s="170" t="s">
        <v>2099</v>
      </c>
      <c r="M967" s="170" t="s">
        <v>2100</v>
      </c>
      <c r="N967" s="294">
        <v>20</v>
      </c>
      <c r="O967" s="170"/>
    </row>
    <row r="968" ht="15.75" customHeight="1" spans="1:15">
      <c r="A968" s="183" t="str">
        <f>VLOOKUP(F968,数据集标准分类!A:G,7,0)</f>
        <v>02</v>
      </c>
      <c r="B968" s="183" t="str">
        <f>VLOOKUP(F968,数据集标准分类!A:F,6,0)</f>
        <v>电子病历</v>
      </c>
      <c r="C968" s="183" t="str">
        <f>VLOOKUP(F968,数据集标准分类!A:E,5,0)</f>
        <v>0213</v>
      </c>
      <c r="D968" s="183" t="str">
        <f>VLOOKUP(F968,数据集标准分类!A:D,4,0)</f>
        <v>治疗记录</v>
      </c>
      <c r="E968" s="183" t="str">
        <f>VLOOKUP(F968,数据集标准分类!A:C,3,0)</f>
        <v>021301</v>
      </c>
      <c r="F968" s="170" t="s">
        <v>2625</v>
      </c>
      <c r="G968" s="183" t="str">
        <f>VLOOKUP(F968,数据集标准分类!A:B,2,0)</f>
        <v>treatment_record</v>
      </c>
      <c r="H968" s="294">
        <f>VLOOKUP(F968,数据集标准分类!A:H,8,0)</f>
        <v>44</v>
      </c>
      <c r="I968" s="170" t="s">
        <v>503</v>
      </c>
      <c r="J968" s="170" t="s">
        <v>504</v>
      </c>
      <c r="K968" s="170" t="s">
        <v>505</v>
      </c>
      <c r="L968" s="170" t="s">
        <v>506</v>
      </c>
      <c r="M968" s="170" t="s">
        <v>1779</v>
      </c>
      <c r="N968" s="294">
        <v>21</v>
      </c>
      <c r="O968" s="170"/>
    </row>
    <row r="969" ht="15.75" customHeight="1" spans="1:15">
      <c r="A969" s="183" t="str">
        <f>VLOOKUP(F969,数据集标准分类!A:G,7,0)</f>
        <v>02</v>
      </c>
      <c r="B969" s="183" t="str">
        <f>VLOOKUP(F969,数据集标准分类!A:F,6,0)</f>
        <v>电子病历</v>
      </c>
      <c r="C969" s="183" t="str">
        <f>VLOOKUP(F969,数据集标准分类!A:E,5,0)</f>
        <v>0213</v>
      </c>
      <c r="D969" s="183" t="str">
        <f>VLOOKUP(F969,数据集标准分类!A:D,4,0)</f>
        <v>治疗记录</v>
      </c>
      <c r="E969" s="183" t="str">
        <f>VLOOKUP(F969,数据集标准分类!A:C,3,0)</f>
        <v>021301</v>
      </c>
      <c r="F969" s="170" t="s">
        <v>2625</v>
      </c>
      <c r="G969" s="183" t="str">
        <f>VLOOKUP(F969,数据集标准分类!A:B,2,0)</f>
        <v>treatment_record</v>
      </c>
      <c r="H969" s="294">
        <f>VLOOKUP(F969,数据集标准分类!A:H,8,0)</f>
        <v>44</v>
      </c>
      <c r="I969" s="170" t="s">
        <v>508</v>
      </c>
      <c r="J969" s="170" t="s">
        <v>509</v>
      </c>
      <c r="K969" s="170" t="s">
        <v>510</v>
      </c>
      <c r="L969" s="170" t="s">
        <v>511</v>
      </c>
      <c r="M969" s="170" t="s">
        <v>116</v>
      </c>
      <c r="N969" s="294">
        <v>22</v>
      </c>
      <c r="O969" s="170"/>
    </row>
    <row r="970" ht="15.75" customHeight="1" spans="1:15">
      <c r="A970" s="183" t="str">
        <f>VLOOKUP(F970,数据集标准分类!A:G,7,0)</f>
        <v>02</v>
      </c>
      <c r="B970" s="183" t="str">
        <f>VLOOKUP(F970,数据集标准分类!A:F,6,0)</f>
        <v>电子病历</v>
      </c>
      <c r="C970" s="183" t="str">
        <f>VLOOKUP(F970,数据集标准分类!A:E,5,0)</f>
        <v>0213</v>
      </c>
      <c r="D970" s="183" t="str">
        <f>VLOOKUP(F970,数据集标准分类!A:D,4,0)</f>
        <v>治疗记录</v>
      </c>
      <c r="E970" s="183" t="str">
        <f>VLOOKUP(F970,数据集标准分类!A:C,3,0)</f>
        <v>021301</v>
      </c>
      <c r="F970" s="170" t="s">
        <v>2625</v>
      </c>
      <c r="G970" s="183" t="str">
        <f>VLOOKUP(F970,数据集标准分类!A:B,2,0)</f>
        <v>treatment_record</v>
      </c>
      <c r="H970" s="294">
        <f>VLOOKUP(F970,数据集标准分类!A:H,8,0)</f>
        <v>44</v>
      </c>
      <c r="I970" s="170" t="s">
        <v>1921</v>
      </c>
      <c r="J970" s="170" t="s">
        <v>1922</v>
      </c>
      <c r="K970" s="170" t="s">
        <v>1923</v>
      </c>
      <c r="L970" s="170" t="s">
        <v>1924</v>
      </c>
      <c r="M970" s="170" t="s">
        <v>2638</v>
      </c>
      <c r="N970" s="294">
        <v>23</v>
      </c>
      <c r="O970" s="170"/>
    </row>
    <row r="971" ht="15.75" customHeight="1" spans="1:15">
      <c r="A971" s="183" t="str">
        <f>VLOOKUP(F971,数据集标准分类!A:G,7,0)</f>
        <v>02</v>
      </c>
      <c r="B971" s="183" t="str">
        <f>VLOOKUP(F971,数据集标准分类!A:F,6,0)</f>
        <v>电子病历</v>
      </c>
      <c r="C971" s="183" t="str">
        <f>VLOOKUP(F971,数据集标准分类!A:E,5,0)</f>
        <v>0213</v>
      </c>
      <c r="D971" s="183" t="str">
        <f>VLOOKUP(F971,数据集标准分类!A:D,4,0)</f>
        <v>治疗记录</v>
      </c>
      <c r="E971" s="183" t="str">
        <f>VLOOKUP(F971,数据集标准分类!A:C,3,0)</f>
        <v>021301</v>
      </c>
      <c r="F971" s="170" t="s">
        <v>2625</v>
      </c>
      <c r="G971" s="183" t="str">
        <f>VLOOKUP(F971,数据集标准分类!A:B,2,0)</f>
        <v>treatment_record</v>
      </c>
      <c r="H971" s="294">
        <f>VLOOKUP(F971,数据集标准分类!A:H,8,0)</f>
        <v>44</v>
      </c>
      <c r="I971" s="170" t="s">
        <v>1234</v>
      </c>
      <c r="J971" s="170" t="s">
        <v>1235</v>
      </c>
      <c r="K971" s="170" t="s">
        <v>1236</v>
      </c>
      <c r="L971" s="170" t="s">
        <v>1237</v>
      </c>
      <c r="M971" s="170" t="s">
        <v>2639</v>
      </c>
      <c r="N971" s="294">
        <v>24</v>
      </c>
      <c r="O971" s="170"/>
    </row>
    <row r="972" ht="15.75" customHeight="1" spans="1:15">
      <c r="A972" s="183" t="str">
        <f>VLOOKUP(F972,数据集标准分类!A:G,7,0)</f>
        <v>02</v>
      </c>
      <c r="B972" s="183" t="str">
        <f>VLOOKUP(F972,数据集标准分类!A:F,6,0)</f>
        <v>电子病历</v>
      </c>
      <c r="C972" s="183" t="str">
        <f>VLOOKUP(F972,数据集标准分类!A:E,5,0)</f>
        <v>0213</v>
      </c>
      <c r="D972" s="183" t="str">
        <f>VLOOKUP(F972,数据集标准分类!A:D,4,0)</f>
        <v>治疗记录</v>
      </c>
      <c r="E972" s="183" t="str">
        <f>VLOOKUP(F972,数据集标准分类!A:C,3,0)</f>
        <v>021301</v>
      </c>
      <c r="F972" s="170" t="s">
        <v>2625</v>
      </c>
      <c r="G972" s="183" t="str">
        <f>VLOOKUP(F972,数据集标准分类!A:B,2,0)</f>
        <v>treatment_record</v>
      </c>
      <c r="H972" s="294">
        <f>VLOOKUP(F972,数据集标准分类!A:H,8,0)</f>
        <v>44</v>
      </c>
      <c r="I972" s="170" t="s">
        <v>2640</v>
      </c>
      <c r="J972" s="170" t="s">
        <v>2641</v>
      </c>
      <c r="K972" s="170" t="s">
        <v>2642</v>
      </c>
      <c r="L972" s="170" t="s">
        <v>2643</v>
      </c>
      <c r="M972" s="170" t="s">
        <v>2644</v>
      </c>
      <c r="N972" s="294">
        <v>25</v>
      </c>
      <c r="O972" s="170"/>
    </row>
    <row r="973" ht="15.75" customHeight="1" spans="1:15">
      <c r="A973" s="183" t="str">
        <f>VLOOKUP(F973,数据集标准分类!A:G,7,0)</f>
        <v>02</v>
      </c>
      <c r="B973" s="183" t="str">
        <f>VLOOKUP(F973,数据集标准分类!A:F,6,0)</f>
        <v>电子病历</v>
      </c>
      <c r="C973" s="183" t="str">
        <f>VLOOKUP(F973,数据集标准分类!A:E,5,0)</f>
        <v>0213</v>
      </c>
      <c r="D973" s="183" t="str">
        <f>VLOOKUP(F973,数据集标准分类!A:D,4,0)</f>
        <v>治疗记录</v>
      </c>
      <c r="E973" s="183" t="str">
        <f>VLOOKUP(F973,数据集标准分类!A:C,3,0)</f>
        <v>021301</v>
      </c>
      <c r="F973" s="170" t="s">
        <v>2625</v>
      </c>
      <c r="G973" s="183" t="str">
        <f>VLOOKUP(F973,数据集标准分类!A:B,2,0)</f>
        <v>treatment_record</v>
      </c>
      <c r="H973" s="294">
        <f>VLOOKUP(F973,数据集标准分类!A:H,8,0)</f>
        <v>44</v>
      </c>
      <c r="I973" s="170" t="s">
        <v>2645</v>
      </c>
      <c r="J973" s="170" t="s">
        <v>2646</v>
      </c>
      <c r="K973" s="170" t="s">
        <v>2647</v>
      </c>
      <c r="L973" s="170" t="s">
        <v>2648</v>
      </c>
      <c r="M973" s="170" t="s">
        <v>2649</v>
      </c>
      <c r="N973" s="294">
        <v>26</v>
      </c>
      <c r="O973" s="170"/>
    </row>
    <row r="974" ht="15.75" customHeight="1" spans="1:15">
      <c r="A974" s="183" t="str">
        <f>VLOOKUP(F974,数据集标准分类!A:G,7,0)</f>
        <v>02</v>
      </c>
      <c r="B974" s="183" t="str">
        <f>VLOOKUP(F974,数据集标准分类!A:F,6,0)</f>
        <v>电子病历</v>
      </c>
      <c r="C974" s="183" t="str">
        <f>VLOOKUP(F974,数据集标准分类!A:E,5,0)</f>
        <v>0214</v>
      </c>
      <c r="D974" s="183" t="str">
        <f>VLOOKUP(F974,数据集标准分类!A:D,4,0)</f>
        <v>门(急)诊病历</v>
      </c>
      <c r="E974" s="183" t="str">
        <f>VLOOKUP(F974,数据集标准分类!A:C,3,0)</f>
        <v>021401</v>
      </c>
      <c r="F974" s="170" t="s">
        <v>2650</v>
      </c>
      <c r="G974" s="183" t="s">
        <v>2651</v>
      </c>
      <c r="H974" s="294">
        <f>VLOOKUP(F974,数据集标准分类!A:H,8,0)</f>
        <v>45</v>
      </c>
      <c r="I974" s="170" t="s">
        <v>503</v>
      </c>
      <c r="J974" s="170" t="s">
        <v>504</v>
      </c>
      <c r="K974" s="170" t="s">
        <v>505</v>
      </c>
      <c r="L974" s="170" t="s">
        <v>506</v>
      </c>
      <c r="M974" s="170" t="s">
        <v>1779</v>
      </c>
      <c r="N974" s="294">
        <v>1</v>
      </c>
      <c r="O974" s="170"/>
    </row>
    <row r="975" ht="15.75" customHeight="1" spans="1:15">
      <c r="A975" s="183" t="str">
        <f>VLOOKUP(F975,数据集标准分类!A:G,7,0)</f>
        <v>02</v>
      </c>
      <c r="B975" s="183" t="str">
        <f>VLOOKUP(F975,数据集标准分类!A:F,6,0)</f>
        <v>电子病历</v>
      </c>
      <c r="C975" s="183" t="str">
        <f>VLOOKUP(F975,数据集标准分类!A:E,5,0)</f>
        <v>0214</v>
      </c>
      <c r="D975" s="183" t="str">
        <f>VLOOKUP(F975,数据集标准分类!A:D,4,0)</f>
        <v>门(急)诊病历</v>
      </c>
      <c r="E975" s="183" t="str">
        <f>VLOOKUP(F975,数据集标准分类!A:C,3,0)</f>
        <v>021401</v>
      </c>
      <c r="F975" s="170" t="s">
        <v>2650</v>
      </c>
      <c r="G975" s="183" t="str">
        <f>VLOOKUP(F975,数据集标准分类!A:B,2,0)</f>
        <v>outp_emer_mr</v>
      </c>
      <c r="H975" s="294">
        <f>VLOOKUP(F975,数据集标准分类!A:H,8,0)</f>
        <v>45</v>
      </c>
      <c r="I975" s="170" t="s">
        <v>508</v>
      </c>
      <c r="J975" s="170" t="s">
        <v>509</v>
      </c>
      <c r="K975" s="170" t="s">
        <v>510</v>
      </c>
      <c r="L975" s="170" t="s">
        <v>511</v>
      </c>
      <c r="M975" s="170" t="s">
        <v>116</v>
      </c>
      <c r="N975" s="294">
        <v>2</v>
      </c>
      <c r="O975" s="170"/>
    </row>
    <row r="976" ht="15.75" customHeight="1" spans="1:15">
      <c r="A976" s="183" t="str">
        <f>VLOOKUP(F976,数据集标准分类!A:G,7,0)</f>
        <v>02</v>
      </c>
      <c r="B976" s="183" t="str">
        <f>VLOOKUP(F976,数据集标准分类!A:F,6,0)</f>
        <v>电子病历</v>
      </c>
      <c r="C976" s="183" t="str">
        <f>VLOOKUP(F976,数据集标准分类!A:E,5,0)</f>
        <v>0214</v>
      </c>
      <c r="D976" s="183" t="str">
        <f>VLOOKUP(F976,数据集标准分类!A:D,4,0)</f>
        <v>门(急)诊病历</v>
      </c>
      <c r="E976" s="183" t="str">
        <f>VLOOKUP(F976,数据集标准分类!A:C,3,0)</f>
        <v>021401</v>
      </c>
      <c r="F976" s="170" t="s">
        <v>2650</v>
      </c>
      <c r="G976" s="183" t="str">
        <f>VLOOKUP(F976,数据集标准分类!A:B,2,0)</f>
        <v>outp_emer_mr</v>
      </c>
      <c r="H976" s="294">
        <f>VLOOKUP(F976,数据集标准分类!A:H,8,0)</f>
        <v>45</v>
      </c>
      <c r="I976" s="170" t="s">
        <v>147</v>
      </c>
      <c r="J976" s="170" t="s">
        <v>148</v>
      </c>
      <c r="K976" s="170" t="s">
        <v>149</v>
      </c>
      <c r="L976" s="170" t="s">
        <v>150</v>
      </c>
      <c r="M976" s="170" t="s">
        <v>151</v>
      </c>
      <c r="N976" s="294">
        <v>3</v>
      </c>
      <c r="O976" s="170"/>
    </row>
    <row r="977" ht="15.75" customHeight="1" spans="1:15">
      <c r="A977" s="183" t="str">
        <f>VLOOKUP(F977,数据集标准分类!A:G,7,0)</f>
        <v>02</v>
      </c>
      <c r="B977" s="183" t="str">
        <f>VLOOKUP(F977,数据集标准分类!A:F,6,0)</f>
        <v>电子病历</v>
      </c>
      <c r="C977" s="183" t="str">
        <f>VLOOKUP(F977,数据集标准分类!A:E,5,0)</f>
        <v>0214</v>
      </c>
      <c r="D977" s="183" t="str">
        <f>VLOOKUP(F977,数据集标准分类!A:D,4,0)</f>
        <v>门(急)诊病历</v>
      </c>
      <c r="E977" s="183" t="str">
        <f>VLOOKUP(F977,数据集标准分类!A:C,3,0)</f>
        <v>021401</v>
      </c>
      <c r="F977" s="170" t="s">
        <v>2650</v>
      </c>
      <c r="G977" s="183" t="str">
        <f>VLOOKUP(F977,数据集标准分类!A:B,2,0)</f>
        <v>outp_emer_mr</v>
      </c>
      <c r="H977" s="294">
        <f>VLOOKUP(F977,数据集标准分类!A:H,8,0)</f>
        <v>45</v>
      </c>
      <c r="I977" s="170" t="s">
        <v>2652</v>
      </c>
      <c r="J977" s="170" t="s">
        <v>2653</v>
      </c>
      <c r="K977" s="170" t="s">
        <v>2654</v>
      </c>
      <c r="L977" s="170" t="s">
        <v>2655</v>
      </c>
      <c r="M977" s="170" t="s">
        <v>2656</v>
      </c>
      <c r="N977" s="294">
        <v>4</v>
      </c>
      <c r="O977" s="170"/>
    </row>
    <row r="978" ht="15.75" customHeight="1" spans="1:15">
      <c r="A978" s="183" t="str">
        <f>VLOOKUP(F978,数据集标准分类!A:G,7,0)</f>
        <v>02</v>
      </c>
      <c r="B978" s="183" t="str">
        <f>VLOOKUP(F978,数据集标准分类!A:F,6,0)</f>
        <v>电子病历</v>
      </c>
      <c r="C978" s="183" t="str">
        <f>VLOOKUP(F978,数据集标准分类!A:E,5,0)</f>
        <v>0214</v>
      </c>
      <c r="D978" s="183" t="str">
        <f>VLOOKUP(F978,数据集标准分类!A:D,4,0)</f>
        <v>门(急)诊病历</v>
      </c>
      <c r="E978" s="183" t="str">
        <f>VLOOKUP(F978,数据集标准分类!A:C,3,0)</f>
        <v>021401</v>
      </c>
      <c r="F978" s="170" t="s">
        <v>2650</v>
      </c>
      <c r="G978" s="183" t="str">
        <f>VLOOKUP(F978,数据集标准分类!A:B,2,0)</f>
        <v>outp_emer_mr</v>
      </c>
      <c r="H978" s="294">
        <f>VLOOKUP(F978,数据集标准分类!A:H,8,0)</f>
        <v>45</v>
      </c>
      <c r="I978" s="170" t="s">
        <v>663</v>
      </c>
      <c r="J978" s="170" t="s">
        <v>664</v>
      </c>
      <c r="K978" s="170" t="s">
        <v>665</v>
      </c>
      <c r="L978" s="170" t="s">
        <v>666</v>
      </c>
      <c r="M978" s="170" t="s">
        <v>667</v>
      </c>
      <c r="N978" s="294">
        <v>5</v>
      </c>
      <c r="O978" s="170"/>
    </row>
    <row r="979" ht="15.75" customHeight="1" spans="1:15">
      <c r="A979" s="183" t="str">
        <f>VLOOKUP(F979,数据集标准分类!A:G,7,0)</f>
        <v>02</v>
      </c>
      <c r="B979" s="183" t="str">
        <f>VLOOKUP(F979,数据集标准分类!A:F,6,0)</f>
        <v>电子病历</v>
      </c>
      <c r="C979" s="183" t="str">
        <f>VLOOKUP(F979,数据集标准分类!A:E,5,0)</f>
        <v>0214</v>
      </c>
      <c r="D979" s="183" t="str">
        <f>VLOOKUP(F979,数据集标准分类!A:D,4,0)</f>
        <v>门(急)诊病历</v>
      </c>
      <c r="E979" s="183" t="str">
        <f>VLOOKUP(F979,数据集标准分类!A:C,3,0)</f>
        <v>021401</v>
      </c>
      <c r="F979" s="170" t="s">
        <v>2650</v>
      </c>
      <c r="G979" s="183" t="str">
        <f>VLOOKUP(F979,数据集标准分类!A:B,2,0)</f>
        <v>outp_emer_mr</v>
      </c>
      <c r="H979" s="294">
        <f>VLOOKUP(F979,数据集标准分类!A:H,8,0)</f>
        <v>45</v>
      </c>
      <c r="I979" s="170" t="s">
        <v>668</v>
      </c>
      <c r="J979" s="170" t="s">
        <v>669</v>
      </c>
      <c r="K979" s="170" t="s">
        <v>670</v>
      </c>
      <c r="L979" s="170" t="s">
        <v>671</v>
      </c>
      <c r="M979" s="170" t="s">
        <v>672</v>
      </c>
      <c r="N979" s="294">
        <v>6</v>
      </c>
      <c r="O979" s="170"/>
    </row>
    <row r="980" ht="15.75" customHeight="1" spans="1:15">
      <c r="A980" s="183" t="str">
        <f>VLOOKUP(F980,数据集标准分类!A:G,7,0)</f>
        <v>02</v>
      </c>
      <c r="B980" s="183" t="str">
        <f>VLOOKUP(F980,数据集标准分类!A:F,6,0)</f>
        <v>电子病历</v>
      </c>
      <c r="C980" s="183" t="str">
        <f>VLOOKUP(F980,数据集标准分类!A:E,5,0)</f>
        <v>0214</v>
      </c>
      <c r="D980" s="183" t="str">
        <f>VLOOKUP(F980,数据集标准分类!A:D,4,0)</f>
        <v>门(急)诊病历</v>
      </c>
      <c r="E980" s="183" t="str">
        <f>VLOOKUP(F980,数据集标准分类!A:C,3,0)</f>
        <v>021401</v>
      </c>
      <c r="F980" s="170" t="s">
        <v>2650</v>
      </c>
      <c r="G980" s="183" t="str">
        <f>VLOOKUP(F980,数据集标准分类!A:B,2,0)</f>
        <v>outp_emer_mr</v>
      </c>
      <c r="H980" s="294">
        <f>VLOOKUP(F980,数据集标准分类!A:H,8,0)</f>
        <v>45</v>
      </c>
      <c r="I980" s="170" t="s">
        <v>918</v>
      </c>
      <c r="J980" s="170" t="s">
        <v>919</v>
      </c>
      <c r="K980" s="170" t="s">
        <v>920</v>
      </c>
      <c r="L980" s="170" t="s">
        <v>921</v>
      </c>
      <c r="M980" s="170" t="s">
        <v>922</v>
      </c>
      <c r="N980" s="294">
        <v>7</v>
      </c>
      <c r="O980" s="170"/>
    </row>
    <row r="981" ht="15.75" customHeight="1" spans="1:15">
      <c r="A981" s="183" t="str">
        <f>VLOOKUP(F981,数据集标准分类!A:G,7,0)</f>
        <v>02</v>
      </c>
      <c r="B981" s="183" t="str">
        <f>VLOOKUP(F981,数据集标准分类!A:F,6,0)</f>
        <v>电子病历</v>
      </c>
      <c r="C981" s="183" t="str">
        <f>VLOOKUP(F981,数据集标准分类!A:E,5,0)</f>
        <v>0214</v>
      </c>
      <c r="D981" s="183" t="str">
        <f>VLOOKUP(F981,数据集标准分类!A:D,4,0)</f>
        <v>门(急)诊病历</v>
      </c>
      <c r="E981" s="183" t="str">
        <f>VLOOKUP(F981,数据集标准分类!A:C,3,0)</f>
        <v>021401</v>
      </c>
      <c r="F981" s="170" t="s">
        <v>2650</v>
      </c>
      <c r="G981" s="183" t="str">
        <f>VLOOKUP(F981,数据集标准分类!A:B,2,0)</f>
        <v>outp_emer_mr</v>
      </c>
      <c r="H981" s="294">
        <f>VLOOKUP(F981,数据集标准分类!A:H,8,0)</f>
        <v>45</v>
      </c>
      <c r="I981" s="170" t="s">
        <v>2657</v>
      </c>
      <c r="J981" s="170" t="s">
        <v>2658</v>
      </c>
      <c r="K981" s="170" t="s">
        <v>2659</v>
      </c>
      <c r="L981" s="170" t="s">
        <v>2660</v>
      </c>
      <c r="M981" s="170" t="s">
        <v>2661</v>
      </c>
      <c r="N981" s="294">
        <v>8</v>
      </c>
      <c r="O981" s="170"/>
    </row>
    <row r="982" ht="15.75" customHeight="1" spans="1:15">
      <c r="A982" s="183" t="str">
        <f>VLOOKUP(F982,数据集标准分类!A:G,7,0)</f>
        <v>02</v>
      </c>
      <c r="B982" s="183" t="str">
        <f>VLOOKUP(F982,数据集标准分类!A:F,6,0)</f>
        <v>电子病历</v>
      </c>
      <c r="C982" s="183" t="str">
        <f>VLOOKUP(F982,数据集标准分类!A:E,5,0)</f>
        <v>0214</v>
      </c>
      <c r="D982" s="183" t="str">
        <f>VLOOKUP(F982,数据集标准分类!A:D,4,0)</f>
        <v>门(急)诊病历</v>
      </c>
      <c r="E982" s="183" t="str">
        <f>VLOOKUP(F982,数据集标准分类!A:C,3,0)</f>
        <v>021401</v>
      </c>
      <c r="F982" s="170" t="s">
        <v>2650</v>
      </c>
      <c r="G982" s="183" t="str">
        <f>VLOOKUP(F982,数据集标准分类!A:B,2,0)</f>
        <v>outp_emer_mr</v>
      </c>
      <c r="H982" s="294">
        <f>VLOOKUP(F982,数据集标准分类!A:H,8,0)</f>
        <v>45</v>
      </c>
      <c r="I982" s="170" t="s">
        <v>2662</v>
      </c>
      <c r="J982" s="170" t="s">
        <v>2663</v>
      </c>
      <c r="K982" s="170" t="s">
        <v>2664</v>
      </c>
      <c r="L982" s="170" t="s">
        <v>2665</v>
      </c>
      <c r="M982" s="170" t="s">
        <v>2666</v>
      </c>
      <c r="N982" s="294">
        <v>9</v>
      </c>
      <c r="O982" s="170"/>
    </row>
    <row r="983" ht="15.75" customHeight="1" spans="1:15">
      <c r="A983" s="183" t="str">
        <f>VLOOKUP(F983,数据集标准分类!A:G,7,0)</f>
        <v>02</v>
      </c>
      <c r="B983" s="183" t="str">
        <f>VLOOKUP(F983,数据集标准分类!A:F,6,0)</f>
        <v>电子病历</v>
      </c>
      <c r="C983" s="183" t="str">
        <f>VLOOKUP(F983,数据集标准分类!A:E,5,0)</f>
        <v>0214</v>
      </c>
      <c r="D983" s="183" t="str">
        <f>VLOOKUP(F983,数据集标准分类!A:D,4,0)</f>
        <v>门(急)诊病历</v>
      </c>
      <c r="E983" s="183" t="str">
        <f>VLOOKUP(F983,数据集标准分类!A:C,3,0)</f>
        <v>021401</v>
      </c>
      <c r="F983" s="170" t="s">
        <v>2650</v>
      </c>
      <c r="G983" s="183" t="str">
        <f>VLOOKUP(F983,数据集标准分类!A:B,2,0)</f>
        <v>outp_emer_mr</v>
      </c>
      <c r="H983" s="294">
        <f>VLOOKUP(F983,数据集标准分类!A:H,8,0)</f>
        <v>45</v>
      </c>
      <c r="I983" s="170" t="s">
        <v>784</v>
      </c>
      <c r="J983" s="170" t="s">
        <v>785</v>
      </c>
      <c r="K983" s="170" t="s">
        <v>786</v>
      </c>
      <c r="L983" s="170" t="s">
        <v>787</v>
      </c>
      <c r="M983" s="170" t="s">
        <v>788</v>
      </c>
      <c r="N983" s="294">
        <v>10</v>
      </c>
      <c r="O983" s="170"/>
    </row>
    <row r="984" ht="15.75" customHeight="1" spans="1:15">
      <c r="A984" s="183" t="str">
        <f>VLOOKUP(F984,数据集标准分类!A:G,7,0)</f>
        <v>02</v>
      </c>
      <c r="B984" s="183" t="str">
        <f>VLOOKUP(F984,数据集标准分类!A:F,6,0)</f>
        <v>电子病历</v>
      </c>
      <c r="C984" s="183" t="str">
        <f>VLOOKUP(F984,数据集标准分类!A:E,5,0)</f>
        <v>0214</v>
      </c>
      <c r="D984" s="183" t="str">
        <f>VLOOKUP(F984,数据集标准分类!A:D,4,0)</f>
        <v>门(急)诊病历</v>
      </c>
      <c r="E984" s="183" t="str">
        <f>VLOOKUP(F984,数据集标准分类!A:C,3,0)</f>
        <v>021401</v>
      </c>
      <c r="F984" s="170" t="s">
        <v>2650</v>
      </c>
      <c r="G984" s="183" t="str">
        <f>VLOOKUP(F984,数据集标准分类!A:B,2,0)</f>
        <v>outp_emer_mr</v>
      </c>
      <c r="H984" s="294">
        <f>VLOOKUP(F984,数据集标准分类!A:H,8,0)</f>
        <v>45</v>
      </c>
      <c r="I984" s="170" t="s">
        <v>2667</v>
      </c>
      <c r="J984" s="170" t="s">
        <v>2668</v>
      </c>
      <c r="K984" s="170" t="s">
        <v>2669</v>
      </c>
      <c r="L984" s="170" t="s">
        <v>2670</v>
      </c>
      <c r="M984" s="170" t="s">
        <v>2671</v>
      </c>
      <c r="N984" s="294">
        <v>11</v>
      </c>
      <c r="O984" s="170"/>
    </row>
    <row r="985" ht="15.75" customHeight="1" spans="1:15">
      <c r="A985" s="183" t="str">
        <f>VLOOKUP(F985,数据集标准分类!A:G,7,0)</f>
        <v>02</v>
      </c>
      <c r="B985" s="183" t="str">
        <f>VLOOKUP(F985,数据集标准分类!A:F,6,0)</f>
        <v>电子病历</v>
      </c>
      <c r="C985" s="183" t="str">
        <f>VLOOKUP(F985,数据集标准分类!A:E,5,0)</f>
        <v>0214</v>
      </c>
      <c r="D985" s="183" t="str">
        <f>VLOOKUP(F985,数据集标准分类!A:D,4,0)</f>
        <v>门(急)诊病历</v>
      </c>
      <c r="E985" s="183" t="str">
        <f>VLOOKUP(F985,数据集标准分类!A:C,3,0)</f>
        <v>021401</v>
      </c>
      <c r="F985" s="170" t="s">
        <v>2650</v>
      </c>
      <c r="G985" s="183" t="str">
        <f>VLOOKUP(F985,数据集标准分类!A:B,2,0)</f>
        <v>outp_emer_mr</v>
      </c>
      <c r="H985" s="294">
        <f>VLOOKUP(F985,数据集标准分类!A:H,8,0)</f>
        <v>45</v>
      </c>
      <c r="I985" s="170" t="s">
        <v>779</v>
      </c>
      <c r="J985" s="170" t="s">
        <v>780</v>
      </c>
      <c r="K985" s="170" t="s">
        <v>781</v>
      </c>
      <c r="L985" s="170" t="s">
        <v>782</v>
      </c>
      <c r="M985" s="170" t="s">
        <v>2672</v>
      </c>
      <c r="N985" s="294">
        <v>12</v>
      </c>
      <c r="O985" s="170"/>
    </row>
    <row r="986" ht="15.75" customHeight="1" spans="1:15">
      <c r="A986" s="183" t="str">
        <f>VLOOKUP(F986,数据集标准分类!A:G,7,0)</f>
        <v>02</v>
      </c>
      <c r="B986" s="183" t="str">
        <f>VLOOKUP(F986,数据集标准分类!A:F,6,0)</f>
        <v>电子病历</v>
      </c>
      <c r="C986" s="183" t="str">
        <f>VLOOKUP(F986,数据集标准分类!A:E,5,0)</f>
        <v>0214</v>
      </c>
      <c r="D986" s="183" t="str">
        <f>VLOOKUP(F986,数据集标准分类!A:D,4,0)</f>
        <v>门(急)诊病历</v>
      </c>
      <c r="E986" s="183" t="str">
        <f>VLOOKUP(F986,数据集标准分类!A:C,3,0)</f>
        <v>021401</v>
      </c>
      <c r="F986" s="170" t="s">
        <v>2650</v>
      </c>
      <c r="G986" s="183" t="str">
        <f>VLOOKUP(F986,数据集标准分类!A:B,2,0)</f>
        <v>outp_emer_mr</v>
      </c>
      <c r="H986" s="294">
        <f>VLOOKUP(F986,数据集标准分类!A:H,8,0)</f>
        <v>45</v>
      </c>
      <c r="I986" s="170" t="s">
        <v>798</v>
      </c>
      <c r="J986" s="170" t="s">
        <v>799</v>
      </c>
      <c r="K986" s="170" t="s">
        <v>800</v>
      </c>
      <c r="L986" s="170" t="s">
        <v>801</v>
      </c>
      <c r="M986" s="170" t="s">
        <v>2673</v>
      </c>
      <c r="N986" s="294">
        <v>13</v>
      </c>
      <c r="O986" s="170"/>
    </row>
    <row r="987" ht="15.75" customHeight="1" spans="1:15">
      <c r="A987" s="183" t="str">
        <f>VLOOKUP(F987,数据集标准分类!A:G,7,0)</f>
        <v>02</v>
      </c>
      <c r="B987" s="183" t="str">
        <f>VLOOKUP(F987,数据集标准分类!A:F,6,0)</f>
        <v>电子病历</v>
      </c>
      <c r="C987" s="183" t="str">
        <f>VLOOKUP(F987,数据集标准分类!A:E,5,0)</f>
        <v>0214</v>
      </c>
      <c r="D987" s="183" t="str">
        <f>VLOOKUP(F987,数据集标准分类!A:D,4,0)</f>
        <v>门(急)诊病历</v>
      </c>
      <c r="E987" s="183" t="str">
        <f>VLOOKUP(F987,数据集标准分类!A:C,3,0)</f>
        <v>021401</v>
      </c>
      <c r="F987" s="170" t="s">
        <v>2650</v>
      </c>
      <c r="G987" s="183" t="str">
        <f>VLOOKUP(F987,数据集标准分类!A:B,2,0)</f>
        <v>outp_emer_mr</v>
      </c>
      <c r="H987" s="294">
        <f>VLOOKUP(F987,数据集标准分类!A:H,8,0)</f>
        <v>45</v>
      </c>
      <c r="I987" s="170" t="s">
        <v>793</v>
      </c>
      <c r="J987" s="170" t="s">
        <v>794</v>
      </c>
      <c r="K987" s="170" t="s">
        <v>795</v>
      </c>
      <c r="L987" s="170" t="s">
        <v>796</v>
      </c>
      <c r="M987" s="170" t="s">
        <v>2674</v>
      </c>
      <c r="N987" s="294">
        <v>14</v>
      </c>
      <c r="O987" s="170"/>
    </row>
    <row r="988" ht="15.75" customHeight="1" spans="1:15">
      <c r="A988" s="183" t="str">
        <f>VLOOKUP(F988,数据集标准分类!A:G,7,0)</f>
        <v>02</v>
      </c>
      <c r="B988" s="183" t="str">
        <f>VLOOKUP(F988,数据集标准分类!A:F,6,0)</f>
        <v>电子病历</v>
      </c>
      <c r="C988" s="183" t="str">
        <f>VLOOKUP(F988,数据集标准分类!A:E,5,0)</f>
        <v>0214</v>
      </c>
      <c r="D988" s="183" t="str">
        <f>VLOOKUP(F988,数据集标准分类!A:D,4,0)</f>
        <v>门(急)诊病历</v>
      </c>
      <c r="E988" s="183" t="str">
        <f>VLOOKUP(F988,数据集标准分类!A:C,3,0)</f>
        <v>021401</v>
      </c>
      <c r="F988" s="170" t="s">
        <v>2650</v>
      </c>
      <c r="G988" s="183" t="str">
        <f>VLOOKUP(F988,数据集标准分类!A:B,2,0)</f>
        <v>outp_emer_mr</v>
      </c>
      <c r="H988" s="294">
        <f>VLOOKUP(F988,数据集标准分类!A:H,8,0)</f>
        <v>45</v>
      </c>
      <c r="I988" s="170" t="s">
        <v>808</v>
      </c>
      <c r="J988" s="170" t="s">
        <v>809</v>
      </c>
      <c r="K988" s="170" t="s">
        <v>810</v>
      </c>
      <c r="L988" s="170" t="s">
        <v>811</v>
      </c>
      <c r="M988" s="170" t="s">
        <v>2675</v>
      </c>
      <c r="N988" s="294">
        <v>15</v>
      </c>
      <c r="O988" s="170"/>
    </row>
    <row r="989" ht="15.75" customHeight="1" spans="1:15">
      <c r="A989" s="183" t="str">
        <f>VLOOKUP(F989,数据集标准分类!A:G,7,0)</f>
        <v>02</v>
      </c>
      <c r="B989" s="183" t="str">
        <f>VLOOKUP(F989,数据集标准分类!A:F,6,0)</f>
        <v>电子病历</v>
      </c>
      <c r="C989" s="183" t="str">
        <f>VLOOKUP(F989,数据集标准分类!A:E,5,0)</f>
        <v>0214</v>
      </c>
      <c r="D989" s="183" t="str">
        <f>VLOOKUP(F989,数据集标准分类!A:D,4,0)</f>
        <v>门(急)诊病历</v>
      </c>
      <c r="E989" s="183" t="str">
        <f>VLOOKUP(F989,数据集标准分类!A:C,3,0)</f>
        <v>021401</v>
      </c>
      <c r="F989" s="170" t="s">
        <v>2650</v>
      </c>
      <c r="G989" s="183" t="str">
        <f>VLOOKUP(F989,数据集标准分类!A:B,2,0)</f>
        <v>outp_emer_mr</v>
      </c>
      <c r="H989" s="294">
        <f>VLOOKUP(F989,数据集标准分类!A:H,8,0)</f>
        <v>45</v>
      </c>
      <c r="I989" s="170" t="s">
        <v>803</v>
      </c>
      <c r="J989" s="170" t="s">
        <v>804</v>
      </c>
      <c r="K989" s="170" t="s">
        <v>805</v>
      </c>
      <c r="L989" s="170" t="s">
        <v>806</v>
      </c>
      <c r="M989" s="170" t="s">
        <v>2676</v>
      </c>
      <c r="N989" s="294">
        <v>16</v>
      </c>
      <c r="O989" s="170"/>
    </row>
    <row r="990" ht="15.75" customHeight="1" spans="1:15">
      <c r="A990" s="183" t="str">
        <f>VLOOKUP(F990,数据集标准分类!A:G,7,0)</f>
        <v>02</v>
      </c>
      <c r="B990" s="183" t="str">
        <f>VLOOKUP(F990,数据集标准分类!A:F,6,0)</f>
        <v>电子病历</v>
      </c>
      <c r="C990" s="183" t="str">
        <f>VLOOKUP(F990,数据集标准分类!A:E,5,0)</f>
        <v>0214</v>
      </c>
      <c r="D990" s="183" t="str">
        <f>VLOOKUP(F990,数据集标准分类!A:D,4,0)</f>
        <v>门(急)诊病历</v>
      </c>
      <c r="E990" s="183" t="str">
        <f>VLOOKUP(F990,数据集标准分类!A:C,3,0)</f>
        <v>021401</v>
      </c>
      <c r="F990" s="170" t="s">
        <v>2650</v>
      </c>
      <c r="G990" s="183" t="str">
        <f>VLOOKUP(F990,数据集标准分类!A:B,2,0)</f>
        <v>outp_emer_mr</v>
      </c>
      <c r="H990" s="294">
        <f>VLOOKUP(F990,数据集标准分类!A:H,8,0)</f>
        <v>45</v>
      </c>
      <c r="I990" s="170" t="s">
        <v>818</v>
      </c>
      <c r="J990" s="170" t="s">
        <v>819</v>
      </c>
      <c r="K990" s="170" t="s">
        <v>820</v>
      </c>
      <c r="L990" s="170" t="s">
        <v>821</v>
      </c>
      <c r="M990" s="170" t="s">
        <v>2677</v>
      </c>
      <c r="N990" s="294">
        <v>17</v>
      </c>
      <c r="O990" s="170"/>
    </row>
    <row r="991" ht="15.75" customHeight="1" spans="1:15">
      <c r="A991" s="183" t="str">
        <f>VLOOKUP(F991,数据集标准分类!A:G,7,0)</f>
        <v>02</v>
      </c>
      <c r="B991" s="183" t="str">
        <f>VLOOKUP(F991,数据集标准分类!A:F,6,0)</f>
        <v>电子病历</v>
      </c>
      <c r="C991" s="183" t="str">
        <f>VLOOKUP(F991,数据集标准分类!A:E,5,0)</f>
        <v>0214</v>
      </c>
      <c r="D991" s="183" t="str">
        <f>VLOOKUP(F991,数据集标准分类!A:D,4,0)</f>
        <v>门(急)诊病历</v>
      </c>
      <c r="E991" s="183" t="str">
        <f>VLOOKUP(F991,数据集标准分类!A:C,3,0)</f>
        <v>021401</v>
      </c>
      <c r="F991" s="170" t="s">
        <v>2650</v>
      </c>
      <c r="G991" s="183" t="str">
        <f>VLOOKUP(F991,数据集标准分类!A:B,2,0)</f>
        <v>outp_emer_mr</v>
      </c>
      <c r="H991" s="294">
        <f>VLOOKUP(F991,数据集标准分类!A:H,8,0)</f>
        <v>45</v>
      </c>
      <c r="I991" s="170" t="s">
        <v>813</v>
      </c>
      <c r="J991" s="170" t="s">
        <v>814</v>
      </c>
      <c r="K991" s="170" t="s">
        <v>815</v>
      </c>
      <c r="L991" s="170" t="s">
        <v>816</v>
      </c>
      <c r="M991" s="170" t="s">
        <v>2678</v>
      </c>
      <c r="N991" s="294">
        <v>18</v>
      </c>
      <c r="O991" s="170"/>
    </row>
    <row r="992" ht="15.75" customHeight="1" spans="1:15">
      <c r="A992" s="183" t="str">
        <f>VLOOKUP(F992,数据集标准分类!A:G,7,0)</f>
        <v>02</v>
      </c>
      <c r="B992" s="183" t="str">
        <f>VLOOKUP(F992,数据集标准分类!A:F,6,0)</f>
        <v>电子病历</v>
      </c>
      <c r="C992" s="183" t="str">
        <f>VLOOKUP(F992,数据集标准分类!A:E,5,0)</f>
        <v>0214</v>
      </c>
      <c r="D992" s="183" t="str">
        <f>VLOOKUP(F992,数据集标准分类!A:D,4,0)</f>
        <v>门(急)诊病历</v>
      </c>
      <c r="E992" s="183" t="str">
        <f>VLOOKUP(F992,数据集标准分类!A:C,3,0)</f>
        <v>021401</v>
      </c>
      <c r="F992" s="170" t="s">
        <v>2650</v>
      </c>
      <c r="G992" s="183" t="str">
        <f>VLOOKUP(F992,数据集标准分类!A:B,2,0)</f>
        <v>outp_emer_mr</v>
      </c>
      <c r="H992" s="294">
        <f>VLOOKUP(F992,数据集标准分类!A:H,8,0)</f>
        <v>45</v>
      </c>
      <c r="I992" s="170" t="s">
        <v>2679</v>
      </c>
      <c r="J992" s="170" t="s">
        <v>2680</v>
      </c>
      <c r="K992" s="170" t="s">
        <v>2681</v>
      </c>
      <c r="L992" s="170" t="s">
        <v>2682</v>
      </c>
      <c r="M992" s="170" t="s">
        <v>2683</v>
      </c>
      <c r="N992" s="294">
        <v>19</v>
      </c>
      <c r="O992" s="170"/>
    </row>
    <row r="993" ht="15.75" customHeight="1" spans="1:15">
      <c r="A993" s="183" t="str">
        <f>VLOOKUP(F993,数据集标准分类!A:G,7,0)</f>
        <v>02</v>
      </c>
      <c r="B993" s="183" t="str">
        <f>VLOOKUP(F993,数据集标准分类!A:F,6,0)</f>
        <v>电子病历</v>
      </c>
      <c r="C993" s="183" t="str">
        <f>VLOOKUP(F993,数据集标准分类!A:E,5,0)</f>
        <v>0214</v>
      </c>
      <c r="D993" s="183" t="str">
        <f>VLOOKUP(F993,数据集标准分类!A:D,4,0)</f>
        <v>门(急)诊病历</v>
      </c>
      <c r="E993" s="183" t="str">
        <f>VLOOKUP(F993,数据集标准分类!A:C,3,0)</f>
        <v>021401</v>
      </c>
      <c r="F993" s="170" t="s">
        <v>2650</v>
      </c>
      <c r="G993" s="183" t="str">
        <f>VLOOKUP(F993,数据集标准分类!A:B,2,0)</f>
        <v>outp_emer_mr</v>
      </c>
      <c r="H993" s="294">
        <f>VLOOKUP(F993,数据集标准分类!A:H,8,0)</f>
        <v>45</v>
      </c>
      <c r="I993" s="170" t="s">
        <v>789</v>
      </c>
      <c r="J993" s="170" t="s">
        <v>790</v>
      </c>
      <c r="K993" s="170" t="s">
        <v>790</v>
      </c>
      <c r="L993" s="170" t="s">
        <v>791</v>
      </c>
      <c r="M993" s="170" t="s">
        <v>792</v>
      </c>
      <c r="N993" s="294">
        <v>20</v>
      </c>
      <c r="O993" s="170"/>
    </row>
    <row r="994" ht="15.75" customHeight="1" spans="1:15">
      <c r="A994" s="183" t="str">
        <f>VLOOKUP(F994,数据集标准分类!A:G,7,0)</f>
        <v>02</v>
      </c>
      <c r="B994" s="183" t="str">
        <f>VLOOKUP(F994,数据集标准分类!A:F,6,0)</f>
        <v>电子病历</v>
      </c>
      <c r="C994" s="183" t="str">
        <f>VLOOKUP(F994,数据集标准分类!A:E,5,0)</f>
        <v>0214</v>
      </c>
      <c r="D994" s="183" t="str">
        <f>VLOOKUP(F994,数据集标准分类!A:D,4,0)</f>
        <v>门(急)诊病历</v>
      </c>
      <c r="E994" s="183" t="s">
        <v>2684</v>
      </c>
      <c r="F994" s="170" t="s">
        <v>2650</v>
      </c>
      <c r="G994" s="183" t="str">
        <f>VLOOKUP(F994,数据集标准分类!A:B,2,0)</f>
        <v>outp_emer_mr</v>
      </c>
      <c r="H994" s="294">
        <f>VLOOKUP(F994,数据集标准分类!A:H,8,0)</f>
        <v>45</v>
      </c>
      <c r="I994" s="170" t="s">
        <v>2685</v>
      </c>
      <c r="J994" s="170" t="s">
        <v>2686</v>
      </c>
      <c r="K994" s="170" t="s">
        <v>2687</v>
      </c>
      <c r="L994" s="170" t="s">
        <v>2688</v>
      </c>
      <c r="M994" s="170" t="s">
        <v>2689</v>
      </c>
      <c r="N994" s="294">
        <v>21</v>
      </c>
      <c r="O994" s="170"/>
    </row>
    <row r="995" ht="15.75" customHeight="1" spans="1:15">
      <c r="A995" s="183" t="str">
        <f>VLOOKUP(F995,数据集标准分类!A:G,7,0)</f>
        <v>02</v>
      </c>
      <c r="B995" s="183" t="str">
        <f>VLOOKUP(F995,数据集标准分类!A:F,6,0)</f>
        <v>电子病历</v>
      </c>
      <c r="C995" s="183" t="str">
        <f>VLOOKUP(F995,数据集标准分类!A:E,5,0)</f>
        <v>0214</v>
      </c>
      <c r="D995" s="183" t="str">
        <f>VLOOKUP(F995,数据集标准分类!A:D,4,0)</f>
        <v>门(急)诊病历</v>
      </c>
      <c r="E995" s="183" t="str">
        <f>VLOOKUP(F995,数据集标准分类!A:C,3,0)</f>
        <v>021401</v>
      </c>
      <c r="F995" s="170" t="s">
        <v>2650</v>
      </c>
      <c r="G995" s="183" t="str">
        <f>VLOOKUP(F995,数据集标准分类!A:B,2,0)</f>
        <v>outp_emer_mr</v>
      </c>
      <c r="H995" s="294">
        <f>VLOOKUP(F995,数据集标准分类!A:H,8,0)</f>
        <v>45</v>
      </c>
      <c r="I995" s="170" t="s">
        <v>2690</v>
      </c>
      <c r="J995" s="170" t="s">
        <v>2691</v>
      </c>
      <c r="K995" s="170" t="s">
        <v>2692</v>
      </c>
      <c r="L995" s="170" t="s">
        <v>2693</v>
      </c>
      <c r="M995" s="170" t="s">
        <v>2694</v>
      </c>
      <c r="N995" s="294">
        <v>22</v>
      </c>
      <c r="O995" s="170"/>
    </row>
    <row r="996" ht="15.75" customHeight="1" spans="1:15">
      <c r="A996" s="183" t="str">
        <f>VLOOKUP(F996,数据集标准分类!A:G,7,0)</f>
        <v>02</v>
      </c>
      <c r="B996" s="183" t="str">
        <f>VLOOKUP(F996,数据集标准分类!A:F,6,0)</f>
        <v>电子病历</v>
      </c>
      <c r="C996" s="183" t="str">
        <f>VLOOKUP(F996,数据集标准分类!A:E,5,0)</f>
        <v>0214</v>
      </c>
      <c r="D996" s="183" t="str">
        <f>VLOOKUP(F996,数据集标准分类!A:D,4,0)</f>
        <v>门(急)诊病历</v>
      </c>
      <c r="E996" s="183" t="str">
        <f>VLOOKUP(F996,数据集标准分类!A:C,3,0)</f>
        <v>021401</v>
      </c>
      <c r="F996" s="170" t="s">
        <v>2650</v>
      </c>
      <c r="G996" s="183" t="str">
        <f>VLOOKUP(F996,数据集标准分类!A:B,2,0)</f>
        <v>outp_emer_mr</v>
      </c>
      <c r="H996" s="294">
        <f>VLOOKUP(F996,数据集标准分类!A:H,8,0)</f>
        <v>45</v>
      </c>
      <c r="I996" s="170" t="s">
        <v>1921</v>
      </c>
      <c r="J996" s="170" t="s">
        <v>1922</v>
      </c>
      <c r="K996" s="170" t="s">
        <v>1923</v>
      </c>
      <c r="L996" s="170" t="s">
        <v>1924</v>
      </c>
      <c r="M996" s="170" t="s">
        <v>2695</v>
      </c>
      <c r="N996" s="294">
        <v>23</v>
      </c>
      <c r="O996" s="170"/>
    </row>
    <row r="997" ht="15.75" customHeight="1" spans="1:15">
      <c r="A997" s="183" t="str">
        <f>VLOOKUP(F997,数据集标准分类!A:G,7,0)</f>
        <v>02</v>
      </c>
      <c r="B997" s="183" t="str">
        <f>VLOOKUP(F997,数据集标准分类!A:F,6,0)</f>
        <v>电子病历</v>
      </c>
      <c r="C997" s="183" t="str">
        <f>VLOOKUP(F997,数据集标准分类!A:E,5,0)</f>
        <v>0214</v>
      </c>
      <c r="D997" s="183" t="str">
        <f>VLOOKUP(F997,数据集标准分类!A:D,4,0)</f>
        <v>门(急)诊病历</v>
      </c>
      <c r="E997" s="183" t="str">
        <f>VLOOKUP(F997,数据集标准分类!A:C,3,0)</f>
        <v>021401</v>
      </c>
      <c r="F997" s="170" t="s">
        <v>2650</v>
      </c>
      <c r="G997" s="183" t="str">
        <f>VLOOKUP(F997,数据集标准分类!A:B,2,0)</f>
        <v>outp_emer_mr</v>
      </c>
      <c r="H997" s="294">
        <f>VLOOKUP(F997,数据集标准分类!A:H,8,0)</f>
        <v>45</v>
      </c>
      <c r="I997" s="170" t="s">
        <v>2696</v>
      </c>
      <c r="J997" s="170" t="s">
        <v>2697</v>
      </c>
      <c r="K997" s="170" t="s">
        <v>2698</v>
      </c>
      <c r="L997" s="170" t="s">
        <v>2699</v>
      </c>
      <c r="M997" s="170" t="s">
        <v>2700</v>
      </c>
      <c r="N997" s="294">
        <v>24</v>
      </c>
      <c r="O997" s="170"/>
    </row>
    <row r="998" ht="15.75" customHeight="1" spans="1:15">
      <c r="A998" s="183" t="str">
        <f>VLOOKUP(F998,数据集标准分类!A:G,7,0)</f>
        <v>02</v>
      </c>
      <c r="B998" s="183" t="str">
        <f>VLOOKUP(F998,数据集标准分类!A:F,6,0)</f>
        <v>电子病历</v>
      </c>
      <c r="C998" s="183" t="str">
        <f>VLOOKUP(F998,数据集标准分类!A:E,5,0)</f>
        <v>0214</v>
      </c>
      <c r="D998" s="183" t="str">
        <f>VLOOKUP(F998,数据集标准分类!A:D,4,0)</f>
        <v>门(急)诊病历</v>
      </c>
      <c r="E998" s="183" t="str">
        <f>VLOOKUP(F998,数据集标准分类!A:C,3,0)</f>
        <v>021401</v>
      </c>
      <c r="F998" s="170" t="s">
        <v>2650</v>
      </c>
      <c r="G998" s="183" t="str">
        <f>VLOOKUP(F998,数据集标准分类!A:B,2,0)</f>
        <v>outp_emer_mr</v>
      </c>
      <c r="H998" s="294">
        <f>VLOOKUP(F998,数据集标准分类!A:H,8,0)</f>
        <v>45</v>
      </c>
      <c r="I998" s="170" t="s">
        <v>2701</v>
      </c>
      <c r="J998" s="170" t="s">
        <v>2702</v>
      </c>
      <c r="K998" s="170" t="s">
        <v>2703</v>
      </c>
      <c r="L998" s="170" t="s">
        <v>2704</v>
      </c>
      <c r="M998" s="170" t="s">
        <v>2705</v>
      </c>
      <c r="N998" s="294">
        <v>25</v>
      </c>
      <c r="O998" s="170"/>
    </row>
    <row r="999" ht="15.75" customHeight="1" spans="1:15">
      <c r="A999" s="183" t="str">
        <f>VLOOKUP(F999,数据集标准分类!A:G,7,0)</f>
        <v>02</v>
      </c>
      <c r="B999" s="183" t="str">
        <f>VLOOKUP(F999,数据集标准分类!A:F,6,0)</f>
        <v>电子病历</v>
      </c>
      <c r="C999" s="183" t="str">
        <f>VLOOKUP(F999,数据集标准分类!A:E,5,0)</f>
        <v>0214</v>
      </c>
      <c r="D999" s="183" t="str">
        <f>VLOOKUP(F999,数据集标准分类!A:D,4,0)</f>
        <v>门(急)诊病历</v>
      </c>
      <c r="E999" s="183" t="str">
        <f>VLOOKUP(F999,数据集标准分类!A:C,3,0)</f>
        <v>021401</v>
      </c>
      <c r="F999" s="170" t="s">
        <v>2650</v>
      </c>
      <c r="G999" s="183" t="str">
        <f>VLOOKUP(F999,数据集标准分类!A:B,2,0)</f>
        <v>outp_emer_mr</v>
      </c>
      <c r="H999" s="294">
        <f>VLOOKUP(F999,数据集标准分类!A:H,8,0)</f>
        <v>45</v>
      </c>
      <c r="I999" s="170" t="s">
        <v>2706</v>
      </c>
      <c r="J999" s="170" t="s">
        <v>2707</v>
      </c>
      <c r="K999" s="170" t="s">
        <v>2708</v>
      </c>
      <c r="L999" s="170" t="s">
        <v>2709</v>
      </c>
      <c r="M999" s="170" t="s">
        <v>2710</v>
      </c>
      <c r="N999" s="294">
        <v>26</v>
      </c>
      <c r="O999" s="170"/>
    </row>
    <row r="1000" ht="15.75" customHeight="1" spans="1:15">
      <c r="A1000" s="183" t="str">
        <f>VLOOKUP(F1000,数据集标准分类!A:G,7,0)</f>
        <v>02</v>
      </c>
      <c r="B1000" s="183" t="str">
        <f>VLOOKUP(F1000,数据集标准分类!A:F,6,0)</f>
        <v>电子病历</v>
      </c>
      <c r="C1000" s="183" t="str">
        <f>VLOOKUP(F1000,数据集标准分类!A:E,5,0)</f>
        <v>0214</v>
      </c>
      <c r="D1000" s="183" t="str">
        <f>VLOOKUP(F1000,数据集标准分类!A:D,4,0)</f>
        <v>门(急)诊病历</v>
      </c>
      <c r="E1000" s="183" t="str">
        <f>VLOOKUP(F1000,数据集标准分类!A:C,3,0)</f>
        <v>021401</v>
      </c>
      <c r="F1000" s="170" t="s">
        <v>2650</v>
      </c>
      <c r="G1000" s="183" t="str">
        <f>VLOOKUP(F1000,数据集标准分类!A:B,2,0)</f>
        <v>outp_emer_mr</v>
      </c>
      <c r="H1000" s="294">
        <f>VLOOKUP(F1000,数据集标准分类!A:H,8,0)</f>
        <v>45</v>
      </c>
      <c r="I1000" s="170" t="s">
        <v>2711</v>
      </c>
      <c r="J1000" s="170" t="s">
        <v>2712</v>
      </c>
      <c r="K1000" s="170" t="s">
        <v>2713</v>
      </c>
      <c r="L1000" s="170" t="s">
        <v>2714</v>
      </c>
      <c r="M1000" s="170" t="s">
        <v>2715</v>
      </c>
      <c r="N1000" s="294">
        <v>27</v>
      </c>
      <c r="O1000" s="170"/>
    </row>
    <row r="1001" ht="15.75" customHeight="1" spans="1:15">
      <c r="A1001" s="183" t="str">
        <f>VLOOKUP(F1001,数据集标准分类!A:G,7,0)</f>
        <v>02</v>
      </c>
      <c r="B1001" s="183" t="str">
        <f>VLOOKUP(F1001,数据集标准分类!A:F,6,0)</f>
        <v>电子病历</v>
      </c>
      <c r="C1001" s="183" t="str">
        <f>VLOOKUP(F1001,数据集标准分类!A:E,5,0)</f>
        <v>0218</v>
      </c>
      <c r="D1001" s="183" t="str">
        <f>VLOOKUP(F1001,数据集标准分类!A:D,4,0)</f>
        <v>急诊留观</v>
      </c>
      <c r="E1001" s="183" t="str">
        <f>VLOOKUP(F1001,数据集标准分类!A:C,3,0)</f>
        <v>021801</v>
      </c>
      <c r="F1001" s="170" t="s">
        <v>2716</v>
      </c>
      <c r="G1001" s="183" t="str">
        <f>VLOOKUP(F1001,数据集标准分类!A:B,2,0)</f>
        <v>emer_obs_mr</v>
      </c>
      <c r="H1001" s="294">
        <f>VLOOKUP(F1001,数据集标准分类!A:H,8,0)</f>
        <v>47</v>
      </c>
      <c r="I1001" s="170" t="s">
        <v>503</v>
      </c>
      <c r="J1001" s="170" t="s">
        <v>504</v>
      </c>
      <c r="K1001" s="170" t="s">
        <v>505</v>
      </c>
      <c r="L1001" s="170" t="s">
        <v>506</v>
      </c>
      <c r="M1001" s="170" t="s">
        <v>1779</v>
      </c>
      <c r="N1001" s="294">
        <v>1</v>
      </c>
      <c r="O1001" s="170"/>
    </row>
    <row r="1002" ht="15.75" customHeight="1" spans="1:15">
      <c r="A1002" s="183" t="str">
        <f>VLOOKUP(F1002,数据集标准分类!A:G,7,0)</f>
        <v>02</v>
      </c>
      <c r="B1002" s="183" t="str">
        <f>VLOOKUP(F1002,数据集标准分类!A:F,6,0)</f>
        <v>电子病历</v>
      </c>
      <c r="C1002" s="183" t="str">
        <f>VLOOKUP(F1002,数据集标准分类!A:E,5,0)</f>
        <v>0218</v>
      </c>
      <c r="D1002" s="183" t="str">
        <f>VLOOKUP(F1002,数据集标准分类!A:D,4,0)</f>
        <v>急诊留观</v>
      </c>
      <c r="E1002" s="183" t="str">
        <f>VLOOKUP(F1002,数据集标准分类!A:C,3,0)</f>
        <v>021801</v>
      </c>
      <c r="F1002" s="170" t="s">
        <v>2716</v>
      </c>
      <c r="G1002" s="183" t="str">
        <f>VLOOKUP(F1002,数据集标准分类!A:B,2,0)</f>
        <v>emer_obs_mr</v>
      </c>
      <c r="H1002" s="294">
        <f>VLOOKUP(F1002,数据集标准分类!A:H,8,0)</f>
        <v>47</v>
      </c>
      <c r="I1002" s="170" t="s">
        <v>508</v>
      </c>
      <c r="J1002" s="170" t="s">
        <v>509</v>
      </c>
      <c r="K1002" s="170" t="s">
        <v>510</v>
      </c>
      <c r="L1002" s="170" t="s">
        <v>511</v>
      </c>
      <c r="M1002" s="170" t="s">
        <v>116</v>
      </c>
      <c r="N1002" s="294">
        <v>2</v>
      </c>
      <c r="O1002" s="170"/>
    </row>
    <row r="1003" ht="15.75" customHeight="1" spans="1:15">
      <c r="A1003" s="183" t="str">
        <f>VLOOKUP(F1003,数据集标准分类!A:G,7,0)</f>
        <v>02</v>
      </c>
      <c r="B1003" s="183" t="str">
        <f>VLOOKUP(F1003,数据集标准分类!A:F,6,0)</f>
        <v>电子病历</v>
      </c>
      <c r="C1003" s="183" t="str">
        <f>VLOOKUP(F1003,数据集标准分类!A:E,5,0)</f>
        <v>0218</v>
      </c>
      <c r="D1003" s="183" t="str">
        <f>VLOOKUP(F1003,数据集标准分类!A:D,4,0)</f>
        <v>急诊留观</v>
      </c>
      <c r="E1003" s="183" t="str">
        <f>VLOOKUP(F1003,数据集标准分类!A:C,3,0)</f>
        <v>021801</v>
      </c>
      <c r="F1003" s="170" t="s">
        <v>2716</v>
      </c>
      <c r="G1003" s="183" t="str">
        <f>VLOOKUP(F1003,数据集标准分类!A:B,2,0)</f>
        <v>emer_obs_mr</v>
      </c>
      <c r="H1003" s="294">
        <f>VLOOKUP(F1003,数据集标准分类!A:H,8,0)</f>
        <v>47</v>
      </c>
      <c r="I1003" s="170" t="s">
        <v>147</v>
      </c>
      <c r="J1003" s="170" t="s">
        <v>148</v>
      </c>
      <c r="K1003" s="170" t="s">
        <v>149</v>
      </c>
      <c r="L1003" s="170" t="s">
        <v>150</v>
      </c>
      <c r="M1003" s="170" t="s">
        <v>151</v>
      </c>
      <c r="N1003" s="294">
        <v>3</v>
      </c>
      <c r="O1003" s="170"/>
    </row>
    <row r="1004" ht="15.75" customHeight="1" spans="1:15">
      <c r="A1004" s="183" t="str">
        <f>VLOOKUP(F1004,数据集标准分类!A:G,7,0)</f>
        <v>02</v>
      </c>
      <c r="B1004" s="183" t="str">
        <f>VLOOKUP(F1004,数据集标准分类!A:F,6,0)</f>
        <v>电子病历</v>
      </c>
      <c r="C1004" s="183" t="str">
        <f>VLOOKUP(F1004,数据集标准分类!A:E,5,0)</f>
        <v>0218</v>
      </c>
      <c r="D1004" s="183" t="str">
        <f>VLOOKUP(F1004,数据集标准分类!A:D,4,0)</f>
        <v>急诊留观</v>
      </c>
      <c r="E1004" s="183" t="str">
        <f>VLOOKUP(F1004,数据集标准分类!A:C,3,0)</f>
        <v>021801</v>
      </c>
      <c r="F1004" s="170" t="s">
        <v>2716</v>
      </c>
      <c r="G1004" s="183" t="str">
        <f>VLOOKUP(F1004,数据集标准分类!A:B,2,0)</f>
        <v>emer_obs_mr</v>
      </c>
      <c r="H1004" s="294">
        <f>VLOOKUP(F1004,数据集标准分类!A:H,8,0)</f>
        <v>47</v>
      </c>
      <c r="I1004" s="170" t="s">
        <v>2652</v>
      </c>
      <c r="J1004" s="170" t="s">
        <v>2653</v>
      </c>
      <c r="K1004" s="170" t="s">
        <v>2654</v>
      </c>
      <c r="L1004" s="170" t="s">
        <v>2655</v>
      </c>
      <c r="M1004" s="170" t="s">
        <v>2656</v>
      </c>
      <c r="N1004" s="294">
        <v>4</v>
      </c>
      <c r="O1004" s="170"/>
    </row>
    <row r="1005" ht="15.75" customHeight="1" spans="1:15">
      <c r="A1005" s="183" t="str">
        <f>VLOOKUP(F1005,数据集标准分类!A:G,7,0)</f>
        <v>02</v>
      </c>
      <c r="B1005" s="183" t="str">
        <f>VLOOKUP(F1005,数据集标准分类!A:F,6,0)</f>
        <v>电子病历</v>
      </c>
      <c r="C1005" s="183" t="str">
        <f>VLOOKUP(F1005,数据集标准分类!A:E,5,0)</f>
        <v>0218</v>
      </c>
      <c r="D1005" s="183" t="str">
        <f>VLOOKUP(F1005,数据集标准分类!A:D,4,0)</f>
        <v>急诊留观</v>
      </c>
      <c r="E1005" s="183" t="str">
        <f>VLOOKUP(F1005,数据集标准分类!A:C,3,0)</f>
        <v>021801</v>
      </c>
      <c r="F1005" s="170" t="s">
        <v>2716</v>
      </c>
      <c r="G1005" s="183" t="str">
        <f>VLOOKUP(F1005,数据集标准分类!A:B,2,0)</f>
        <v>emer_obs_mr</v>
      </c>
      <c r="H1005" s="294">
        <f>VLOOKUP(F1005,数据集标准分类!A:H,8,0)</f>
        <v>47</v>
      </c>
      <c r="I1005" s="170" t="s">
        <v>2717</v>
      </c>
      <c r="J1005" s="170" t="s">
        <v>2718</v>
      </c>
      <c r="K1005" s="170" t="s">
        <v>2719</v>
      </c>
      <c r="L1005" s="170" t="s">
        <v>2720</v>
      </c>
      <c r="M1005" s="170" t="s">
        <v>2721</v>
      </c>
      <c r="N1005" s="294">
        <v>5</v>
      </c>
      <c r="O1005" s="170"/>
    </row>
    <row r="1006" ht="15.75" customHeight="1" spans="1:15">
      <c r="A1006" s="183" t="str">
        <f>VLOOKUP(F1006,数据集标准分类!A:G,7,0)</f>
        <v>02</v>
      </c>
      <c r="B1006" s="183" t="str">
        <f>VLOOKUP(F1006,数据集标准分类!A:F,6,0)</f>
        <v>电子病历</v>
      </c>
      <c r="C1006" s="183" t="str">
        <f>VLOOKUP(F1006,数据集标准分类!A:E,5,0)</f>
        <v>0218</v>
      </c>
      <c r="D1006" s="183" t="str">
        <f>VLOOKUP(F1006,数据集标准分类!A:D,4,0)</f>
        <v>急诊留观</v>
      </c>
      <c r="E1006" s="183" t="str">
        <f>VLOOKUP(F1006,数据集标准分类!A:C,3,0)</f>
        <v>021801</v>
      </c>
      <c r="F1006" s="170" t="s">
        <v>2716</v>
      </c>
      <c r="G1006" s="183" t="str">
        <f>VLOOKUP(F1006,数据集标准分类!A:B,2,0)</f>
        <v>emer_obs_mr</v>
      </c>
      <c r="H1006" s="294">
        <f>VLOOKUP(F1006,数据集标准分类!A:H,8,0)</f>
        <v>47</v>
      </c>
      <c r="I1006" s="170" t="s">
        <v>663</v>
      </c>
      <c r="J1006" s="170" t="s">
        <v>664</v>
      </c>
      <c r="K1006" s="170" t="s">
        <v>665</v>
      </c>
      <c r="L1006" s="170" t="s">
        <v>666</v>
      </c>
      <c r="M1006" s="170" t="s">
        <v>667</v>
      </c>
      <c r="N1006" s="294">
        <v>6</v>
      </c>
      <c r="O1006" s="170"/>
    </row>
    <row r="1007" ht="15.75" customHeight="1" spans="1:15">
      <c r="A1007" s="183" t="str">
        <f>VLOOKUP(F1007,数据集标准分类!A:G,7,0)</f>
        <v>02</v>
      </c>
      <c r="B1007" s="183" t="str">
        <f>VLOOKUP(F1007,数据集标准分类!A:F,6,0)</f>
        <v>电子病历</v>
      </c>
      <c r="C1007" s="183" t="str">
        <f>VLOOKUP(F1007,数据集标准分类!A:E,5,0)</f>
        <v>0218</v>
      </c>
      <c r="D1007" s="183" t="str">
        <f>VLOOKUP(F1007,数据集标准分类!A:D,4,0)</f>
        <v>急诊留观</v>
      </c>
      <c r="E1007" s="183" t="str">
        <f>VLOOKUP(F1007,数据集标准分类!A:C,3,0)</f>
        <v>021801</v>
      </c>
      <c r="F1007" s="170" t="s">
        <v>2716</v>
      </c>
      <c r="G1007" s="183" t="str">
        <f>VLOOKUP(F1007,数据集标准分类!A:B,2,0)</f>
        <v>emer_obs_mr</v>
      </c>
      <c r="H1007" s="294">
        <f>VLOOKUP(F1007,数据集标准分类!A:H,8,0)</f>
        <v>47</v>
      </c>
      <c r="I1007" s="170" t="s">
        <v>668</v>
      </c>
      <c r="J1007" s="170" t="s">
        <v>669</v>
      </c>
      <c r="K1007" s="170" t="s">
        <v>670</v>
      </c>
      <c r="L1007" s="170" t="s">
        <v>671</v>
      </c>
      <c r="M1007" s="170" t="s">
        <v>672</v>
      </c>
      <c r="N1007" s="294">
        <v>7</v>
      </c>
      <c r="O1007" s="170"/>
    </row>
    <row r="1008" ht="15.75" customHeight="1" spans="1:15">
      <c r="A1008" s="183" t="str">
        <f>VLOOKUP(F1008,数据集标准分类!A:G,7,0)</f>
        <v>02</v>
      </c>
      <c r="B1008" s="183" t="str">
        <f>VLOOKUP(F1008,数据集标准分类!A:F,6,0)</f>
        <v>电子病历</v>
      </c>
      <c r="C1008" s="183" t="str">
        <f>VLOOKUP(F1008,数据集标准分类!A:E,5,0)</f>
        <v>0218</v>
      </c>
      <c r="D1008" s="183" t="str">
        <f>VLOOKUP(F1008,数据集标准分类!A:D,4,0)</f>
        <v>急诊留观</v>
      </c>
      <c r="E1008" s="183" t="str">
        <f>VLOOKUP(F1008,数据集标准分类!A:C,3,0)</f>
        <v>021801</v>
      </c>
      <c r="F1008" s="170" t="s">
        <v>2716</v>
      </c>
      <c r="G1008" s="183" t="str">
        <f>VLOOKUP(F1008,数据集标准分类!A:B,2,0)</f>
        <v>emer_obs_mr</v>
      </c>
      <c r="H1008" s="294">
        <f>VLOOKUP(F1008,数据集标准分类!A:H,8,0)</f>
        <v>47</v>
      </c>
      <c r="I1008" s="170" t="s">
        <v>918</v>
      </c>
      <c r="J1008" s="170" t="s">
        <v>919</v>
      </c>
      <c r="K1008" s="170" t="s">
        <v>920</v>
      </c>
      <c r="L1008" s="170" t="s">
        <v>921</v>
      </c>
      <c r="M1008" s="170" t="s">
        <v>922</v>
      </c>
      <c r="N1008" s="294">
        <v>8</v>
      </c>
      <c r="O1008" s="170"/>
    </row>
    <row r="1009" ht="15.75" customHeight="1" spans="1:15">
      <c r="A1009" s="183" t="str">
        <f>VLOOKUP(F1009,数据集标准分类!A:G,7,0)</f>
        <v>02</v>
      </c>
      <c r="B1009" s="183" t="str">
        <f>VLOOKUP(F1009,数据集标准分类!A:F,6,0)</f>
        <v>电子病历</v>
      </c>
      <c r="C1009" s="183" t="str">
        <f>VLOOKUP(F1009,数据集标准分类!A:E,5,0)</f>
        <v>0218</v>
      </c>
      <c r="D1009" s="183" t="str">
        <f>VLOOKUP(F1009,数据集标准分类!A:D,4,0)</f>
        <v>急诊留观</v>
      </c>
      <c r="E1009" s="183" t="str">
        <f>VLOOKUP(F1009,数据集标准分类!A:C,3,0)</f>
        <v>021801</v>
      </c>
      <c r="F1009" s="170" t="s">
        <v>2716</v>
      </c>
      <c r="G1009" s="183" t="str">
        <f>VLOOKUP(F1009,数据集标准分类!A:B,2,0)</f>
        <v>emer_obs_mr</v>
      </c>
      <c r="H1009" s="294">
        <f>VLOOKUP(F1009,数据集标准分类!A:H,8,0)</f>
        <v>47</v>
      </c>
      <c r="I1009" s="170" t="s">
        <v>2662</v>
      </c>
      <c r="J1009" s="170" t="s">
        <v>2663</v>
      </c>
      <c r="K1009" s="170" t="s">
        <v>2664</v>
      </c>
      <c r="L1009" s="170" t="s">
        <v>2665</v>
      </c>
      <c r="M1009" s="170" t="s">
        <v>2666</v>
      </c>
      <c r="N1009" s="294">
        <v>9</v>
      </c>
      <c r="O1009" s="170"/>
    </row>
    <row r="1010" ht="15.75" customHeight="1" spans="1:15">
      <c r="A1010" s="183" t="str">
        <f>VLOOKUP(F1010,数据集标准分类!A:G,7,0)</f>
        <v>02</v>
      </c>
      <c r="B1010" s="183" t="str">
        <f>VLOOKUP(F1010,数据集标准分类!A:F,6,0)</f>
        <v>电子病历</v>
      </c>
      <c r="C1010" s="183" t="str">
        <f>VLOOKUP(F1010,数据集标准分类!A:E,5,0)</f>
        <v>0218</v>
      </c>
      <c r="D1010" s="183" t="str">
        <f>VLOOKUP(F1010,数据集标准分类!A:D,4,0)</f>
        <v>急诊留观</v>
      </c>
      <c r="E1010" s="183" t="str">
        <f>VLOOKUP(F1010,数据集标准分类!A:C,3,0)</f>
        <v>021801</v>
      </c>
      <c r="F1010" s="170" t="s">
        <v>2716</v>
      </c>
      <c r="G1010" s="183" t="str">
        <f>VLOOKUP(F1010,数据集标准分类!A:B,2,0)</f>
        <v>emer_obs_mr</v>
      </c>
      <c r="H1010" s="294">
        <f>VLOOKUP(F1010,数据集标准分类!A:H,8,0)</f>
        <v>47</v>
      </c>
      <c r="I1010" s="170" t="s">
        <v>784</v>
      </c>
      <c r="J1010" s="170" t="s">
        <v>785</v>
      </c>
      <c r="K1010" s="170" t="s">
        <v>786</v>
      </c>
      <c r="L1010" s="170" t="s">
        <v>787</v>
      </c>
      <c r="M1010" s="170" t="s">
        <v>788</v>
      </c>
      <c r="N1010" s="294">
        <v>10</v>
      </c>
      <c r="O1010" s="170"/>
    </row>
    <row r="1011" ht="15.75" customHeight="1" spans="1:15">
      <c r="A1011" s="183" t="str">
        <f>VLOOKUP(F1011,数据集标准分类!A:G,7,0)</f>
        <v>02</v>
      </c>
      <c r="B1011" s="183" t="str">
        <f>VLOOKUP(F1011,数据集标准分类!A:F,6,0)</f>
        <v>电子病历</v>
      </c>
      <c r="C1011" s="183" t="str">
        <f>VLOOKUP(F1011,数据集标准分类!A:E,5,0)</f>
        <v>0218</v>
      </c>
      <c r="D1011" s="183" t="str">
        <f>VLOOKUP(F1011,数据集标准分类!A:D,4,0)</f>
        <v>急诊留观</v>
      </c>
      <c r="E1011" s="183" t="str">
        <f>VLOOKUP(F1011,数据集标准分类!A:C,3,0)</f>
        <v>021801</v>
      </c>
      <c r="F1011" s="170" t="s">
        <v>2716</v>
      </c>
      <c r="G1011" s="183" t="str">
        <f>VLOOKUP(F1011,数据集标准分类!A:B,2,0)</f>
        <v>emer_obs_mr</v>
      </c>
      <c r="H1011" s="294">
        <f>VLOOKUP(F1011,数据集标准分类!A:H,8,0)</f>
        <v>47</v>
      </c>
      <c r="I1011" s="170" t="s">
        <v>2667</v>
      </c>
      <c r="J1011" s="170" t="s">
        <v>2668</v>
      </c>
      <c r="K1011" s="170" t="s">
        <v>2669</v>
      </c>
      <c r="L1011" s="170" t="s">
        <v>2670</v>
      </c>
      <c r="M1011" s="170" t="s">
        <v>2671</v>
      </c>
      <c r="N1011" s="294">
        <v>11</v>
      </c>
      <c r="O1011" s="170"/>
    </row>
    <row r="1012" ht="15.75" customHeight="1" spans="1:15">
      <c r="A1012" s="183" t="str">
        <f>VLOOKUP(F1012,数据集标准分类!A:G,7,0)</f>
        <v>02</v>
      </c>
      <c r="B1012" s="183" t="str">
        <f>VLOOKUP(F1012,数据集标准分类!A:F,6,0)</f>
        <v>电子病历</v>
      </c>
      <c r="C1012" s="183" t="str">
        <f>VLOOKUP(F1012,数据集标准分类!A:E,5,0)</f>
        <v>0218</v>
      </c>
      <c r="D1012" s="183" t="str">
        <f>VLOOKUP(F1012,数据集标准分类!A:D,4,0)</f>
        <v>急诊留观</v>
      </c>
      <c r="E1012" s="183" t="str">
        <f>VLOOKUP(F1012,数据集标准分类!A:C,3,0)</f>
        <v>021801</v>
      </c>
      <c r="F1012" s="170" t="s">
        <v>2716</v>
      </c>
      <c r="G1012" s="183" t="str">
        <f>VLOOKUP(F1012,数据集标准分类!A:B,2,0)</f>
        <v>emer_obs_mr</v>
      </c>
      <c r="H1012" s="294">
        <f>VLOOKUP(F1012,数据集标准分类!A:H,8,0)</f>
        <v>47</v>
      </c>
      <c r="I1012" s="170" t="s">
        <v>779</v>
      </c>
      <c r="J1012" s="170" t="s">
        <v>780</v>
      </c>
      <c r="K1012" s="170" t="s">
        <v>781</v>
      </c>
      <c r="L1012" s="170" t="s">
        <v>782</v>
      </c>
      <c r="M1012" s="170" t="s">
        <v>2672</v>
      </c>
      <c r="N1012" s="294">
        <v>12</v>
      </c>
      <c r="O1012" s="170"/>
    </row>
    <row r="1013" ht="15.75" customHeight="1" spans="1:15">
      <c r="A1013" s="183" t="str">
        <f>VLOOKUP(F1013,数据集标准分类!A:G,7,0)</f>
        <v>02</v>
      </c>
      <c r="B1013" s="183" t="str">
        <f>VLOOKUP(F1013,数据集标准分类!A:F,6,0)</f>
        <v>电子病历</v>
      </c>
      <c r="C1013" s="183" t="str">
        <f>VLOOKUP(F1013,数据集标准分类!A:E,5,0)</f>
        <v>0218</v>
      </c>
      <c r="D1013" s="183" t="str">
        <f>VLOOKUP(F1013,数据集标准分类!A:D,4,0)</f>
        <v>急诊留观</v>
      </c>
      <c r="E1013" s="183" t="str">
        <f>VLOOKUP(F1013,数据集标准分类!A:C,3,0)</f>
        <v>021801</v>
      </c>
      <c r="F1013" s="170" t="s">
        <v>2716</v>
      </c>
      <c r="G1013" s="183" t="str">
        <f>VLOOKUP(F1013,数据集标准分类!A:B,2,0)</f>
        <v>emer_obs_mr</v>
      </c>
      <c r="H1013" s="294">
        <f>VLOOKUP(F1013,数据集标准分类!A:H,8,0)</f>
        <v>47</v>
      </c>
      <c r="I1013" s="170" t="s">
        <v>798</v>
      </c>
      <c r="J1013" s="170" t="s">
        <v>799</v>
      </c>
      <c r="K1013" s="170" t="s">
        <v>800</v>
      </c>
      <c r="L1013" s="170" t="s">
        <v>801</v>
      </c>
      <c r="M1013" s="170" t="s">
        <v>2673</v>
      </c>
      <c r="N1013" s="294">
        <v>13</v>
      </c>
      <c r="O1013" s="170"/>
    </row>
    <row r="1014" ht="15.75" customHeight="1" spans="1:15">
      <c r="A1014" s="183" t="str">
        <f>VLOOKUP(F1014,数据集标准分类!A:G,7,0)</f>
        <v>02</v>
      </c>
      <c r="B1014" s="183" t="str">
        <f>VLOOKUP(F1014,数据集标准分类!A:F,6,0)</f>
        <v>电子病历</v>
      </c>
      <c r="C1014" s="183" t="str">
        <f>VLOOKUP(F1014,数据集标准分类!A:E,5,0)</f>
        <v>0218</v>
      </c>
      <c r="D1014" s="183" t="str">
        <f>VLOOKUP(F1014,数据集标准分类!A:D,4,0)</f>
        <v>急诊留观</v>
      </c>
      <c r="E1014" s="183" t="str">
        <f>VLOOKUP(F1014,数据集标准分类!A:C,3,0)</f>
        <v>021801</v>
      </c>
      <c r="F1014" s="170" t="s">
        <v>2716</v>
      </c>
      <c r="G1014" s="183" t="str">
        <f>VLOOKUP(F1014,数据集标准分类!A:B,2,0)</f>
        <v>emer_obs_mr</v>
      </c>
      <c r="H1014" s="294">
        <f>VLOOKUP(F1014,数据集标准分类!A:H,8,0)</f>
        <v>47</v>
      </c>
      <c r="I1014" s="170" t="s">
        <v>793</v>
      </c>
      <c r="J1014" s="170" t="s">
        <v>794</v>
      </c>
      <c r="K1014" s="170" t="s">
        <v>795</v>
      </c>
      <c r="L1014" s="170" t="s">
        <v>796</v>
      </c>
      <c r="M1014" s="170" t="s">
        <v>2674</v>
      </c>
      <c r="N1014" s="294">
        <v>14</v>
      </c>
      <c r="O1014" s="170"/>
    </row>
    <row r="1015" ht="15.75" customHeight="1" spans="1:15">
      <c r="A1015" s="183" t="str">
        <f>VLOOKUP(F1015,数据集标准分类!A:G,7,0)</f>
        <v>02</v>
      </c>
      <c r="B1015" s="183" t="str">
        <f>VLOOKUP(F1015,数据集标准分类!A:F,6,0)</f>
        <v>电子病历</v>
      </c>
      <c r="C1015" s="183" t="str">
        <f>VLOOKUP(F1015,数据集标准分类!A:E,5,0)</f>
        <v>0218</v>
      </c>
      <c r="D1015" s="183" t="str">
        <f>VLOOKUP(F1015,数据集标准分类!A:D,4,0)</f>
        <v>急诊留观</v>
      </c>
      <c r="E1015" s="183" t="str">
        <f>VLOOKUP(F1015,数据集标准分类!A:C,3,0)</f>
        <v>021801</v>
      </c>
      <c r="F1015" s="170" t="s">
        <v>2716</v>
      </c>
      <c r="G1015" s="183" t="str">
        <f>VLOOKUP(F1015,数据集标准分类!A:B,2,0)</f>
        <v>emer_obs_mr</v>
      </c>
      <c r="H1015" s="294">
        <f>VLOOKUP(F1015,数据集标准分类!A:H,8,0)</f>
        <v>47</v>
      </c>
      <c r="I1015" s="170" t="s">
        <v>808</v>
      </c>
      <c r="J1015" s="170" t="s">
        <v>809</v>
      </c>
      <c r="K1015" s="170" t="s">
        <v>810</v>
      </c>
      <c r="L1015" s="170" t="s">
        <v>811</v>
      </c>
      <c r="M1015" s="170" t="s">
        <v>2675</v>
      </c>
      <c r="N1015" s="294">
        <v>15</v>
      </c>
      <c r="O1015" s="170"/>
    </row>
    <row r="1016" ht="15.75" customHeight="1" spans="1:15">
      <c r="A1016" s="183" t="str">
        <f>VLOOKUP(F1016,数据集标准分类!A:G,7,0)</f>
        <v>02</v>
      </c>
      <c r="B1016" s="183" t="str">
        <f>VLOOKUP(F1016,数据集标准分类!A:F,6,0)</f>
        <v>电子病历</v>
      </c>
      <c r="C1016" s="183" t="str">
        <f>VLOOKUP(F1016,数据集标准分类!A:E,5,0)</f>
        <v>0218</v>
      </c>
      <c r="D1016" s="183" t="str">
        <f>VLOOKUP(F1016,数据集标准分类!A:D,4,0)</f>
        <v>急诊留观</v>
      </c>
      <c r="E1016" s="183" t="str">
        <f>VLOOKUP(F1016,数据集标准分类!A:C,3,0)</f>
        <v>021801</v>
      </c>
      <c r="F1016" s="170" t="s">
        <v>2716</v>
      </c>
      <c r="G1016" s="183" t="str">
        <f>VLOOKUP(F1016,数据集标准分类!A:B,2,0)</f>
        <v>emer_obs_mr</v>
      </c>
      <c r="H1016" s="294">
        <f>VLOOKUP(F1016,数据集标准分类!A:H,8,0)</f>
        <v>47</v>
      </c>
      <c r="I1016" s="170" t="s">
        <v>803</v>
      </c>
      <c r="J1016" s="170" t="s">
        <v>804</v>
      </c>
      <c r="K1016" s="170" t="s">
        <v>805</v>
      </c>
      <c r="L1016" s="170" t="s">
        <v>806</v>
      </c>
      <c r="M1016" s="170" t="s">
        <v>2676</v>
      </c>
      <c r="N1016" s="294">
        <v>16</v>
      </c>
      <c r="O1016" s="170"/>
    </row>
    <row r="1017" ht="15.75" customHeight="1" spans="1:15">
      <c r="A1017" s="183" t="str">
        <f>VLOOKUP(F1017,数据集标准分类!A:G,7,0)</f>
        <v>02</v>
      </c>
      <c r="B1017" s="183" t="str">
        <f>VLOOKUP(F1017,数据集标准分类!A:F,6,0)</f>
        <v>电子病历</v>
      </c>
      <c r="C1017" s="183" t="str">
        <f>VLOOKUP(F1017,数据集标准分类!A:E,5,0)</f>
        <v>0218</v>
      </c>
      <c r="D1017" s="183" t="str">
        <f>VLOOKUP(F1017,数据集标准分类!A:D,4,0)</f>
        <v>急诊留观</v>
      </c>
      <c r="E1017" s="183" t="str">
        <f>VLOOKUP(F1017,数据集标准分类!A:C,3,0)</f>
        <v>021801</v>
      </c>
      <c r="F1017" s="170" t="s">
        <v>2716</v>
      </c>
      <c r="G1017" s="183" t="str">
        <f>VLOOKUP(F1017,数据集标准分类!A:B,2,0)</f>
        <v>emer_obs_mr</v>
      </c>
      <c r="H1017" s="294">
        <f>VLOOKUP(F1017,数据集标准分类!A:H,8,0)</f>
        <v>47</v>
      </c>
      <c r="I1017" s="170" t="s">
        <v>818</v>
      </c>
      <c r="J1017" s="170" t="s">
        <v>819</v>
      </c>
      <c r="K1017" s="170" t="s">
        <v>820</v>
      </c>
      <c r="L1017" s="170" t="s">
        <v>821</v>
      </c>
      <c r="M1017" s="170" t="s">
        <v>2677</v>
      </c>
      <c r="N1017" s="294">
        <v>17</v>
      </c>
      <c r="O1017" s="170"/>
    </row>
    <row r="1018" ht="15.75" customHeight="1" spans="1:15">
      <c r="A1018" s="183" t="str">
        <f>VLOOKUP(F1018,数据集标准分类!A:G,7,0)</f>
        <v>02</v>
      </c>
      <c r="B1018" s="183" t="str">
        <f>VLOOKUP(F1018,数据集标准分类!A:F,6,0)</f>
        <v>电子病历</v>
      </c>
      <c r="C1018" s="183" t="str">
        <f>VLOOKUP(F1018,数据集标准分类!A:E,5,0)</f>
        <v>0218</v>
      </c>
      <c r="D1018" s="183" t="str">
        <f>VLOOKUP(F1018,数据集标准分类!A:D,4,0)</f>
        <v>急诊留观</v>
      </c>
      <c r="E1018" s="183" t="str">
        <f>VLOOKUP(F1018,数据集标准分类!A:C,3,0)</f>
        <v>021801</v>
      </c>
      <c r="F1018" s="170" t="s">
        <v>2716</v>
      </c>
      <c r="G1018" s="183" t="str">
        <f>VLOOKUP(F1018,数据集标准分类!A:B,2,0)</f>
        <v>emer_obs_mr</v>
      </c>
      <c r="H1018" s="294">
        <f>VLOOKUP(F1018,数据集标准分类!A:H,8,0)</f>
        <v>47</v>
      </c>
      <c r="I1018" s="170" t="s">
        <v>813</v>
      </c>
      <c r="J1018" s="170" t="s">
        <v>814</v>
      </c>
      <c r="K1018" s="170" t="s">
        <v>815</v>
      </c>
      <c r="L1018" s="170" t="s">
        <v>816</v>
      </c>
      <c r="M1018" s="170" t="s">
        <v>2678</v>
      </c>
      <c r="N1018" s="294">
        <v>18</v>
      </c>
      <c r="O1018" s="170"/>
    </row>
    <row r="1019" ht="15.75" customHeight="1" spans="1:15">
      <c r="A1019" s="183" t="str">
        <f>VLOOKUP(F1019,数据集标准分类!A:G,7,0)</f>
        <v>02</v>
      </c>
      <c r="B1019" s="183" t="str">
        <f>VLOOKUP(F1019,数据集标准分类!A:F,6,0)</f>
        <v>电子病历</v>
      </c>
      <c r="C1019" s="183" t="str">
        <f>VLOOKUP(F1019,数据集标准分类!A:E,5,0)</f>
        <v>0218</v>
      </c>
      <c r="D1019" s="183" t="str">
        <f>VLOOKUP(F1019,数据集标准分类!A:D,4,0)</f>
        <v>急诊留观</v>
      </c>
      <c r="E1019" s="183" t="str">
        <f>VLOOKUP(F1019,数据集标准分类!A:C,3,0)</f>
        <v>021801</v>
      </c>
      <c r="F1019" s="170" t="s">
        <v>2716</v>
      </c>
      <c r="G1019" s="183" t="str">
        <f>VLOOKUP(F1019,数据集标准分类!A:B,2,0)</f>
        <v>emer_obs_mr</v>
      </c>
      <c r="H1019" s="294">
        <f>VLOOKUP(F1019,数据集标准分类!A:H,8,0)</f>
        <v>47</v>
      </c>
      <c r="I1019" s="170" t="s">
        <v>2679</v>
      </c>
      <c r="J1019" s="170" t="s">
        <v>2680</v>
      </c>
      <c r="K1019" s="170" t="s">
        <v>2681</v>
      </c>
      <c r="L1019" s="170" t="s">
        <v>2682</v>
      </c>
      <c r="M1019" s="170" t="s">
        <v>2683</v>
      </c>
      <c r="N1019" s="294">
        <v>19</v>
      </c>
      <c r="O1019" s="170"/>
    </row>
    <row r="1020" ht="15.75" customHeight="1" spans="1:15">
      <c r="A1020" s="183" t="str">
        <f>VLOOKUP(F1020,数据集标准分类!A:G,7,0)</f>
        <v>02</v>
      </c>
      <c r="B1020" s="183" t="str">
        <f>VLOOKUP(F1020,数据集标准分类!A:F,6,0)</f>
        <v>电子病历</v>
      </c>
      <c r="C1020" s="183" t="str">
        <f>VLOOKUP(F1020,数据集标准分类!A:E,5,0)</f>
        <v>0218</v>
      </c>
      <c r="D1020" s="183" t="str">
        <f>VLOOKUP(F1020,数据集标准分类!A:D,4,0)</f>
        <v>急诊留观</v>
      </c>
      <c r="E1020" s="183" t="str">
        <f>VLOOKUP(F1020,数据集标准分类!A:C,3,0)</f>
        <v>021801</v>
      </c>
      <c r="F1020" s="170" t="s">
        <v>2716</v>
      </c>
      <c r="G1020" s="183" t="str">
        <f>VLOOKUP(F1020,数据集标准分类!A:B,2,0)</f>
        <v>emer_obs_mr</v>
      </c>
      <c r="H1020" s="294">
        <f>VLOOKUP(F1020,数据集标准分类!A:H,8,0)</f>
        <v>47</v>
      </c>
      <c r="I1020" s="170" t="s">
        <v>789</v>
      </c>
      <c r="J1020" s="170" t="s">
        <v>790</v>
      </c>
      <c r="K1020" s="170" t="s">
        <v>790</v>
      </c>
      <c r="L1020" s="170" t="s">
        <v>791</v>
      </c>
      <c r="M1020" s="170" t="s">
        <v>792</v>
      </c>
      <c r="N1020" s="294">
        <v>20</v>
      </c>
      <c r="O1020" s="170"/>
    </row>
    <row r="1021" ht="15.75" customHeight="1" spans="1:15">
      <c r="A1021" s="183" t="str">
        <f>VLOOKUP(F1021,数据集标准分类!A:G,7,0)</f>
        <v>02</v>
      </c>
      <c r="B1021" s="183" t="str">
        <f>VLOOKUP(F1021,数据集标准分类!A:F,6,0)</f>
        <v>电子病历</v>
      </c>
      <c r="C1021" s="183" t="str">
        <f>VLOOKUP(F1021,数据集标准分类!A:E,5,0)</f>
        <v>0218</v>
      </c>
      <c r="D1021" s="183" t="str">
        <f>VLOOKUP(F1021,数据集标准分类!A:D,4,0)</f>
        <v>急诊留观</v>
      </c>
      <c r="E1021" s="183" t="str">
        <f>VLOOKUP(F1021,数据集标准分类!A:C,3,0)</f>
        <v>021801</v>
      </c>
      <c r="F1021" s="170" t="s">
        <v>2716</v>
      </c>
      <c r="G1021" s="183" t="str">
        <f>VLOOKUP(F1021,数据集标准分类!A:B,2,0)</f>
        <v>emer_obs_mr</v>
      </c>
      <c r="H1021" s="294">
        <f>VLOOKUP(F1021,数据集标准分类!A:H,8,0)</f>
        <v>47</v>
      </c>
      <c r="I1021" s="170" t="s">
        <v>2685</v>
      </c>
      <c r="J1021" s="170" t="s">
        <v>2686</v>
      </c>
      <c r="K1021" s="170" t="s">
        <v>2687</v>
      </c>
      <c r="L1021" s="170" t="s">
        <v>2688</v>
      </c>
      <c r="M1021" s="170" t="s">
        <v>2689</v>
      </c>
      <c r="N1021" s="294">
        <v>21</v>
      </c>
      <c r="O1021" s="170"/>
    </row>
    <row r="1022" ht="15.75" customHeight="1" spans="1:15">
      <c r="A1022" s="183" t="str">
        <f>VLOOKUP(F1022,数据集标准分类!A:G,7,0)</f>
        <v>02</v>
      </c>
      <c r="B1022" s="183" t="str">
        <f>VLOOKUP(F1022,数据集标准分类!A:F,6,0)</f>
        <v>电子病历</v>
      </c>
      <c r="C1022" s="183" t="str">
        <f>VLOOKUP(F1022,数据集标准分类!A:E,5,0)</f>
        <v>0218</v>
      </c>
      <c r="D1022" s="183" t="str">
        <f>VLOOKUP(F1022,数据集标准分类!A:D,4,0)</f>
        <v>急诊留观</v>
      </c>
      <c r="E1022" s="183" t="str">
        <f>VLOOKUP(F1022,数据集标准分类!A:C,3,0)</f>
        <v>021801</v>
      </c>
      <c r="F1022" s="170" t="s">
        <v>2716</v>
      </c>
      <c r="G1022" s="183" t="str">
        <f>VLOOKUP(F1022,数据集标准分类!A:B,2,0)</f>
        <v>emer_obs_mr</v>
      </c>
      <c r="H1022" s="294">
        <f>VLOOKUP(F1022,数据集标准分类!A:H,8,0)</f>
        <v>47</v>
      </c>
      <c r="I1022" s="170" t="s">
        <v>2690</v>
      </c>
      <c r="J1022" s="170" t="s">
        <v>2691</v>
      </c>
      <c r="K1022" s="170" t="s">
        <v>2692</v>
      </c>
      <c r="L1022" s="170" t="s">
        <v>2693</v>
      </c>
      <c r="M1022" s="170" t="s">
        <v>2694</v>
      </c>
      <c r="N1022" s="294">
        <v>22</v>
      </c>
      <c r="O1022" s="170"/>
    </row>
    <row r="1023" ht="15.75" customHeight="1" spans="1:15">
      <c r="A1023" s="183" t="str">
        <f>VLOOKUP(F1023,数据集标准分类!A:G,7,0)</f>
        <v>02</v>
      </c>
      <c r="B1023" s="183" t="str">
        <f>VLOOKUP(F1023,数据集标准分类!A:F,6,0)</f>
        <v>电子病历</v>
      </c>
      <c r="C1023" s="183" t="str">
        <f>VLOOKUP(F1023,数据集标准分类!A:E,5,0)</f>
        <v>0218</v>
      </c>
      <c r="D1023" s="183" t="str">
        <f>VLOOKUP(F1023,数据集标准分类!A:D,4,0)</f>
        <v>急诊留观</v>
      </c>
      <c r="E1023" s="183" t="str">
        <f>VLOOKUP(F1023,数据集标准分类!A:C,3,0)</f>
        <v>021801</v>
      </c>
      <c r="F1023" s="170" t="s">
        <v>2716</v>
      </c>
      <c r="G1023" s="183" t="str">
        <f>VLOOKUP(F1023,数据集标准分类!A:B,2,0)</f>
        <v>emer_obs_mr</v>
      </c>
      <c r="H1023" s="294">
        <f>VLOOKUP(F1023,数据集标准分类!A:H,8,0)</f>
        <v>47</v>
      </c>
      <c r="I1023" s="170" t="s">
        <v>1921</v>
      </c>
      <c r="J1023" s="170" t="s">
        <v>1922</v>
      </c>
      <c r="K1023" s="170" t="s">
        <v>1923</v>
      </c>
      <c r="L1023" s="170" t="s">
        <v>1924</v>
      </c>
      <c r="M1023" s="170" t="s">
        <v>2695</v>
      </c>
      <c r="N1023" s="294">
        <v>23</v>
      </c>
      <c r="O1023" s="170"/>
    </row>
    <row r="1024" ht="15.75" customHeight="1" spans="1:15">
      <c r="A1024" s="183" t="str">
        <f>VLOOKUP(F1024,数据集标准分类!A:G,7,0)</f>
        <v>02</v>
      </c>
      <c r="B1024" s="183" t="str">
        <f>VLOOKUP(F1024,数据集标准分类!A:F,6,0)</f>
        <v>电子病历</v>
      </c>
      <c r="C1024" s="183" t="str">
        <f>VLOOKUP(F1024,数据集标准分类!A:E,5,0)</f>
        <v>0218</v>
      </c>
      <c r="D1024" s="183" t="str">
        <f>VLOOKUP(F1024,数据集标准分类!A:D,4,0)</f>
        <v>急诊留观</v>
      </c>
      <c r="E1024" s="183" t="str">
        <f>VLOOKUP(F1024,数据集标准分类!A:C,3,0)</f>
        <v>021801</v>
      </c>
      <c r="F1024" s="170" t="s">
        <v>2716</v>
      </c>
      <c r="G1024" s="183" t="str">
        <f>VLOOKUP(F1024,数据集标准分类!A:B,2,0)</f>
        <v>emer_obs_mr</v>
      </c>
      <c r="H1024" s="294">
        <f>VLOOKUP(F1024,数据集标准分类!A:H,8,0)</f>
        <v>47</v>
      </c>
      <c r="I1024" s="170" t="s">
        <v>2696</v>
      </c>
      <c r="J1024" s="170" t="s">
        <v>2697</v>
      </c>
      <c r="K1024" s="170" t="s">
        <v>2698</v>
      </c>
      <c r="L1024" s="170" t="s">
        <v>2699</v>
      </c>
      <c r="M1024" s="170" t="s">
        <v>2700</v>
      </c>
      <c r="N1024" s="294">
        <v>24</v>
      </c>
      <c r="O1024" s="170"/>
    </row>
    <row r="1025" ht="15.75" customHeight="1" spans="1:15">
      <c r="A1025" s="183" t="str">
        <f>VLOOKUP(F1025,数据集标准分类!A:G,7,0)</f>
        <v>02</v>
      </c>
      <c r="B1025" s="183" t="str">
        <f>VLOOKUP(F1025,数据集标准分类!A:F,6,0)</f>
        <v>电子病历</v>
      </c>
      <c r="C1025" s="183" t="str">
        <f>VLOOKUP(F1025,数据集标准分类!A:E,5,0)</f>
        <v>0218</v>
      </c>
      <c r="D1025" s="183" t="str">
        <f>VLOOKUP(F1025,数据集标准分类!A:D,4,0)</f>
        <v>急诊留观</v>
      </c>
      <c r="E1025" s="183" t="str">
        <f>VLOOKUP(F1025,数据集标准分类!A:C,3,0)</f>
        <v>021801</v>
      </c>
      <c r="F1025" s="170" t="s">
        <v>2716</v>
      </c>
      <c r="G1025" s="183" t="str">
        <f>VLOOKUP(F1025,数据集标准分类!A:B,2,0)</f>
        <v>emer_obs_mr</v>
      </c>
      <c r="H1025" s="294">
        <f>VLOOKUP(F1025,数据集标准分类!A:H,8,0)</f>
        <v>47</v>
      </c>
      <c r="I1025" s="170" t="s">
        <v>2701</v>
      </c>
      <c r="J1025" s="170" t="s">
        <v>2702</v>
      </c>
      <c r="K1025" s="170" t="s">
        <v>2703</v>
      </c>
      <c r="L1025" s="170" t="s">
        <v>2704</v>
      </c>
      <c r="M1025" s="170" t="s">
        <v>2705</v>
      </c>
      <c r="N1025" s="294">
        <v>24</v>
      </c>
      <c r="O1025" s="170"/>
    </row>
    <row r="1026" ht="15.75" customHeight="1" spans="1:15">
      <c r="A1026" s="183" t="str">
        <f>VLOOKUP(F1026,数据集标准分类!A:G,7,0)</f>
        <v>02</v>
      </c>
      <c r="B1026" s="183" t="str">
        <f>VLOOKUP(F1026,数据集标准分类!A:F,6,0)</f>
        <v>电子病历</v>
      </c>
      <c r="C1026" s="183" t="str">
        <f>VLOOKUP(F1026,数据集标准分类!A:E,5,0)</f>
        <v>0218</v>
      </c>
      <c r="D1026" s="183" t="str">
        <f>VLOOKUP(F1026,数据集标准分类!A:D,4,0)</f>
        <v>急诊留观</v>
      </c>
      <c r="E1026" s="183" t="str">
        <f>VLOOKUP(F1026,数据集标准分类!A:C,3,0)</f>
        <v>021801</v>
      </c>
      <c r="F1026" s="170" t="s">
        <v>2716</v>
      </c>
      <c r="G1026" s="183" t="str">
        <f>VLOOKUP(F1026,数据集标准分类!A:B,2,0)</f>
        <v>emer_obs_mr</v>
      </c>
      <c r="H1026" s="294">
        <f>VLOOKUP(F1026,数据集标准分类!A:H,8,0)</f>
        <v>47</v>
      </c>
      <c r="I1026" s="170" t="s">
        <v>2706</v>
      </c>
      <c r="J1026" s="170" t="s">
        <v>2707</v>
      </c>
      <c r="K1026" s="170" t="s">
        <v>2708</v>
      </c>
      <c r="L1026" s="170" t="s">
        <v>2709</v>
      </c>
      <c r="M1026" s="170" t="s">
        <v>2710</v>
      </c>
      <c r="N1026" s="294">
        <v>25</v>
      </c>
      <c r="O1026" s="170"/>
    </row>
    <row r="1027" ht="15.75" customHeight="1" spans="1:15">
      <c r="A1027" s="183" t="str">
        <f>VLOOKUP(F1027,数据集标准分类!A:G,7,0)</f>
        <v>02</v>
      </c>
      <c r="B1027" s="183" t="str">
        <f>VLOOKUP(F1027,数据集标准分类!A:F,6,0)</f>
        <v>电子病历</v>
      </c>
      <c r="C1027" s="183" t="str">
        <f>VLOOKUP(F1027,数据集标准分类!A:E,5,0)</f>
        <v>0218</v>
      </c>
      <c r="D1027" s="183" t="str">
        <f>VLOOKUP(F1027,数据集标准分类!A:D,4,0)</f>
        <v>急诊留观</v>
      </c>
      <c r="E1027" s="183" t="str">
        <f>VLOOKUP(F1027,数据集标准分类!A:C,3,0)</f>
        <v>021801</v>
      </c>
      <c r="F1027" s="170" t="s">
        <v>2716</v>
      </c>
      <c r="G1027" s="183" t="str">
        <f>VLOOKUP(F1027,数据集标准分类!A:B,2,0)</f>
        <v>emer_obs_mr</v>
      </c>
      <c r="H1027" s="294">
        <f>VLOOKUP(F1027,数据集标准分类!A:H,8,0)</f>
        <v>47</v>
      </c>
      <c r="I1027" s="170" t="s">
        <v>2711</v>
      </c>
      <c r="J1027" s="170" t="s">
        <v>2712</v>
      </c>
      <c r="K1027" s="170" t="s">
        <v>2713</v>
      </c>
      <c r="L1027" s="170" t="s">
        <v>2714</v>
      </c>
      <c r="M1027" s="170" t="s">
        <v>2715</v>
      </c>
      <c r="N1027" s="294">
        <v>26</v>
      </c>
      <c r="O1027" s="170"/>
    </row>
    <row r="1028" ht="15.75" customHeight="1" spans="1:15">
      <c r="A1028" s="183" t="str">
        <f>VLOOKUP(F1028,数据集标准分类!A:G,7,0)</f>
        <v>02</v>
      </c>
      <c r="B1028" s="183" t="str">
        <f>VLOOKUP(F1028,数据集标准分类!A:F,6,0)</f>
        <v>电子病历</v>
      </c>
      <c r="C1028" s="183" t="str">
        <f>VLOOKUP(F1028,数据集标准分类!A:E,5,0)</f>
        <v>0218</v>
      </c>
      <c r="D1028" s="183" t="str">
        <f>VLOOKUP(F1028,数据集标准分类!A:D,4,0)</f>
        <v>急诊留观</v>
      </c>
      <c r="E1028" s="183" t="str">
        <f>VLOOKUP(F1028,数据集标准分类!A:C,3,0)</f>
        <v>021801</v>
      </c>
      <c r="F1028" s="170" t="s">
        <v>2716</v>
      </c>
      <c r="G1028" s="183" t="str">
        <f>VLOOKUP(F1028,数据集标准分类!A:B,2,0)</f>
        <v>emer_obs_mr</v>
      </c>
      <c r="H1028" s="294">
        <f>VLOOKUP(F1028,数据集标准分类!A:H,8,0)</f>
        <v>47</v>
      </c>
      <c r="I1028" s="170" t="s">
        <v>2722</v>
      </c>
      <c r="J1028" s="170" t="s">
        <v>2723</v>
      </c>
      <c r="K1028" s="170" t="s">
        <v>2724</v>
      </c>
      <c r="L1028" s="170" t="s">
        <v>2725</v>
      </c>
      <c r="M1028" s="170" t="s">
        <v>2726</v>
      </c>
      <c r="N1028" s="294">
        <v>27</v>
      </c>
      <c r="O1028" s="170"/>
    </row>
    <row r="1029" ht="15.75" customHeight="1" spans="1:15">
      <c r="A1029" s="183" t="str">
        <f>VLOOKUP(F1029,数据集标准分类!A:G,7,0)</f>
        <v>02</v>
      </c>
      <c r="B1029" s="183" t="str">
        <f>VLOOKUP(F1029,数据集标准分类!A:F,6,0)</f>
        <v>电子病历</v>
      </c>
      <c r="C1029" s="183" t="str">
        <f>VLOOKUP(F1029,数据集标准分类!A:E,5,0)</f>
        <v>0218</v>
      </c>
      <c r="D1029" s="183" t="str">
        <f>VLOOKUP(F1029,数据集标准分类!A:D,4,0)</f>
        <v>急诊留观</v>
      </c>
      <c r="E1029" s="183" t="str">
        <f>VLOOKUP(F1029,数据集标准分类!A:C,3,0)</f>
        <v>021801</v>
      </c>
      <c r="F1029" s="170" t="s">
        <v>2716</v>
      </c>
      <c r="G1029" s="183" t="str">
        <f>VLOOKUP(F1029,数据集标准分类!A:B,2,0)</f>
        <v>emer_obs_mr</v>
      </c>
      <c r="H1029" s="294">
        <f>VLOOKUP(F1029,数据集标准分类!A:H,8,0)</f>
        <v>47</v>
      </c>
      <c r="I1029" s="170" t="s">
        <v>1277</v>
      </c>
      <c r="J1029" s="170" t="s">
        <v>1278</v>
      </c>
      <c r="K1029" s="170" t="s">
        <v>1279</v>
      </c>
      <c r="L1029" s="170" t="s">
        <v>1280</v>
      </c>
      <c r="M1029" s="170" t="s">
        <v>1281</v>
      </c>
      <c r="N1029" s="294">
        <v>28</v>
      </c>
      <c r="O1029" s="170"/>
    </row>
    <row r="1030" ht="15.75" customHeight="1" spans="1:15">
      <c r="A1030" s="183" t="str">
        <f>VLOOKUP(F1030,数据集标准分类!A:G,7,0)</f>
        <v>02</v>
      </c>
      <c r="B1030" s="183" t="str">
        <f>VLOOKUP(F1030,数据集标准分类!A:F,6,0)</f>
        <v>电子病历</v>
      </c>
      <c r="C1030" s="183" t="str">
        <f>VLOOKUP(F1030,数据集标准分类!A:E,5,0)</f>
        <v>0218</v>
      </c>
      <c r="D1030" s="183" t="str">
        <f>VLOOKUP(F1030,数据集标准分类!A:D,4,0)</f>
        <v>急诊留观</v>
      </c>
      <c r="E1030" s="183" t="str">
        <f>VLOOKUP(F1030,数据集标准分类!A:C,3,0)</f>
        <v>021801</v>
      </c>
      <c r="F1030" s="170" t="s">
        <v>2716</v>
      </c>
      <c r="G1030" s="183" t="str">
        <f>VLOOKUP(F1030,数据集标准分类!A:B,2,0)</f>
        <v>emer_obs_mr</v>
      </c>
      <c r="H1030" s="294">
        <f>VLOOKUP(F1030,数据集标准分类!A:H,8,0)</f>
        <v>47</v>
      </c>
      <c r="I1030" s="170" t="s">
        <v>1282</v>
      </c>
      <c r="J1030" s="170" t="s">
        <v>1283</v>
      </c>
      <c r="K1030" s="170" t="s">
        <v>1284</v>
      </c>
      <c r="L1030" s="170" t="s">
        <v>1285</v>
      </c>
      <c r="M1030" s="170" t="s">
        <v>1286</v>
      </c>
      <c r="N1030" s="294">
        <v>29</v>
      </c>
      <c r="O1030" s="170"/>
    </row>
    <row r="1031" ht="15.75" customHeight="1" spans="1:15">
      <c r="A1031" s="183" t="str">
        <f>VLOOKUP(F1031,数据集标准分类!A:G,7,0)</f>
        <v>02</v>
      </c>
      <c r="B1031" s="183" t="str">
        <f>VLOOKUP(F1031,数据集标准分类!A:F,6,0)</f>
        <v>电子病历</v>
      </c>
      <c r="C1031" s="183" t="str">
        <f>VLOOKUP(F1031,数据集标准分类!A:E,5,0)</f>
        <v>0218</v>
      </c>
      <c r="D1031" s="183" t="str">
        <f>VLOOKUP(F1031,数据集标准分类!A:D,4,0)</f>
        <v>急诊留观</v>
      </c>
      <c r="E1031" s="183" t="str">
        <f>VLOOKUP(F1031,数据集标准分类!A:C,3,0)</f>
        <v>021801</v>
      </c>
      <c r="F1031" s="170" t="s">
        <v>2716</v>
      </c>
      <c r="G1031" s="183" t="str">
        <f>VLOOKUP(F1031,数据集标准分类!A:B,2,0)</f>
        <v>emer_obs_mr</v>
      </c>
      <c r="H1031" s="294">
        <f>VLOOKUP(F1031,数据集标准分类!A:H,8,0)</f>
        <v>47</v>
      </c>
      <c r="I1031" s="170" t="s">
        <v>2727</v>
      </c>
      <c r="J1031" s="170" t="s">
        <v>2728</v>
      </c>
      <c r="K1031" s="170" t="s">
        <v>2729</v>
      </c>
      <c r="L1031" s="170" t="s">
        <v>2730</v>
      </c>
      <c r="M1031" s="170" t="s">
        <v>2731</v>
      </c>
      <c r="N1031" s="294">
        <v>30</v>
      </c>
      <c r="O1031" s="170"/>
    </row>
    <row r="1032" ht="15.75" customHeight="1" spans="1:15">
      <c r="A1032" s="183" t="str">
        <f>VLOOKUP(F1032,数据集标准分类!A:G,7,0)</f>
        <v>02</v>
      </c>
      <c r="B1032" s="183" t="str">
        <f>VLOOKUP(F1032,数据集标准分类!A:F,6,0)</f>
        <v>电子病历</v>
      </c>
      <c r="C1032" s="183" t="str">
        <f>VLOOKUP(F1032,数据集标准分类!A:E,5,0)</f>
        <v>0218</v>
      </c>
      <c r="D1032" s="183" t="str">
        <f>VLOOKUP(F1032,数据集标准分类!A:D,4,0)</f>
        <v>急诊留观</v>
      </c>
      <c r="E1032" s="183" t="str">
        <f>VLOOKUP(F1032,数据集标准分类!A:C,3,0)</f>
        <v>021801</v>
      </c>
      <c r="F1032" s="170" t="s">
        <v>2716</v>
      </c>
      <c r="G1032" s="183" t="str">
        <f>VLOOKUP(F1032,数据集标准分类!A:B,2,0)</f>
        <v>emer_obs_mr</v>
      </c>
      <c r="H1032" s="294">
        <f>VLOOKUP(F1032,数据集标准分类!A:H,8,0)</f>
        <v>47</v>
      </c>
      <c r="I1032" s="170" t="s">
        <v>396</v>
      </c>
      <c r="J1032" s="170" t="s">
        <v>397</v>
      </c>
      <c r="K1032" s="170" t="s">
        <v>398</v>
      </c>
      <c r="L1032" s="170" t="s">
        <v>399</v>
      </c>
      <c r="M1032" s="170" t="s">
        <v>1260</v>
      </c>
      <c r="N1032" s="294">
        <v>31</v>
      </c>
      <c r="O1032" s="170"/>
    </row>
    <row r="1033" ht="15.75" customHeight="1" spans="1:15">
      <c r="A1033" s="183" t="str">
        <f>VLOOKUP(F1033,数据集标准分类!A:G,7,0)</f>
        <v>02</v>
      </c>
      <c r="B1033" s="183" t="str">
        <f>VLOOKUP(F1033,数据集标准分类!A:F,6,0)</f>
        <v>电子病历</v>
      </c>
      <c r="C1033" s="183" t="str">
        <f>VLOOKUP(F1033,数据集标准分类!A:E,5,0)</f>
        <v>0218</v>
      </c>
      <c r="D1033" s="183" t="str">
        <f>VLOOKUP(F1033,数据集标准分类!A:D,4,0)</f>
        <v>急诊留观</v>
      </c>
      <c r="E1033" s="183" t="str">
        <f>VLOOKUP(F1033,数据集标准分类!A:C,3,0)</f>
        <v>021801</v>
      </c>
      <c r="F1033" s="170" t="s">
        <v>2716</v>
      </c>
      <c r="G1033" s="183" t="str">
        <f>VLOOKUP(F1033,数据集标准分类!A:B,2,0)</f>
        <v>emer_obs_mr</v>
      </c>
      <c r="H1033" s="294">
        <f>VLOOKUP(F1033,数据集标准分类!A:H,8,0)</f>
        <v>47</v>
      </c>
      <c r="I1033" s="170" t="s">
        <v>192</v>
      </c>
      <c r="J1033" s="170" t="s">
        <v>193</v>
      </c>
      <c r="K1033" s="170" t="s">
        <v>194</v>
      </c>
      <c r="L1033" s="170" t="s">
        <v>195</v>
      </c>
      <c r="M1033" s="170" t="s">
        <v>385</v>
      </c>
      <c r="N1033" s="294">
        <v>32</v>
      </c>
      <c r="O1033" s="170"/>
    </row>
    <row r="1034" ht="15.75" customHeight="1" spans="1:15">
      <c r="A1034" s="183" t="str">
        <f>VLOOKUP(F1034,数据集标准分类!A:G,7,0)</f>
        <v>02</v>
      </c>
      <c r="B1034" s="183" t="str">
        <f>VLOOKUP(F1034,数据集标准分类!A:F,6,0)</f>
        <v>电子病历</v>
      </c>
      <c r="C1034" s="183" t="str">
        <f>VLOOKUP(F1034,数据集标准分类!A:E,5,0)</f>
        <v>0218</v>
      </c>
      <c r="D1034" s="183" t="str">
        <f>VLOOKUP(F1034,数据集标准分类!A:D,4,0)</f>
        <v>急诊留观</v>
      </c>
      <c r="E1034" s="183" t="str">
        <f>VLOOKUP(F1034,数据集标准分类!A:C,3,0)</f>
        <v>021801</v>
      </c>
      <c r="F1034" s="170" t="s">
        <v>2716</v>
      </c>
      <c r="G1034" s="183" t="str">
        <f>VLOOKUP(F1034,数据集标准分类!A:B,2,0)</f>
        <v>emer_obs_mr</v>
      </c>
      <c r="H1034" s="294">
        <f>VLOOKUP(F1034,数据集标准分类!A:H,8,0)</f>
        <v>47</v>
      </c>
      <c r="I1034" s="170" t="s">
        <v>1261</v>
      </c>
      <c r="J1034" s="170" t="s">
        <v>1262</v>
      </c>
      <c r="K1034" s="170" t="s">
        <v>1263</v>
      </c>
      <c r="L1034" s="170" t="s">
        <v>1264</v>
      </c>
      <c r="M1034" s="170" t="s">
        <v>1265</v>
      </c>
      <c r="N1034" s="294">
        <v>33</v>
      </c>
      <c r="O1034" s="170"/>
    </row>
    <row r="1035" ht="15.75" customHeight="1" spans="1:15">
      <c r="A1035" s="183" t="str">
        <f>VLOOKUP(F1035,数据集标准分类!A:G,7,0)</f>
        <v>02</v>
      </c>
      <c r="B1035" s="183" t="str">
        <f>VLOOKUP(F1035,数据集标准分类!A:F,6,0)</f>
        <v>电子病历</v>
      </c>
      <c r="C1035" s="183" t="str">
        <f>VLOOKUP(F1035,数据集标准分类!A:E,5,0)</f>
        <v>0218</v>
      </c>
      <c r="D1035" s="183" t="str">
        <f>VLOOKUP(F1035,数据集标准分类!A:D,4,0)</f>
        <v>急诊留观</v>
      </c>
      <c r="E1035" s="183" t="str">
        <f>VLOOKUP(F1035,数据集标准分类!A:C,3,0)</f>
        <v>021801</v>
      </c>
      <c r="F1035" s="170" t="s">
        <v>2716</v>
      </c>
      <c r="G1035" s="183" t="str">
        <f>VLOOKUP(F1035,数据集标准分类!A:B,2,0)</f>
        <v>emer_obs_mr</v>
      </c>
      <c r="H1035" s="294">
        <f>VLOOKUP(F1035,数据集标准分类!A:H,8,0)</f>
        <v>47</v>
      </c>
      <c r="I1035" s="170" t="s">
        <v>1266</v>
      </c>
      <c r="J1035" s="170" t="s">
        <v>1267</v>
      </c>
      <c r="K1035" s="170" t="s">
        <v>1268</v>
      </c>
      <c r="L1035" s="170" t="s">
        <v>1269</v>
      </c>
      <c r="M1035" s="170" t="s">
        <v>1270</v>
      </c>
      <c r="N1035" s="294">
        <v>34</v>
      </c>
      <c r="O1035" s="170"/>
    </row>
    <row r="1036" ht="15.75" customHeight="1" spans="1:15">
      <c r="A1036" s="183" t="str">
        <f>VLOOKUP(F1036,数据集标准分类!A:G,7,0)</f>
        <v>02</v>
      </c>
      <c r="B1036" s="183" t="str">
        <f>VLOOKUP(F1036,数据集标准分类!A:F,6,0)</f>
        <v>电子病历</v>
      </c>
      <c r="C1036" s="183" t="str">
        <f>VLOOKUP(F1036,数据集标准分类!A:E,5,0)</f>
        <v>0218</v>
      </c>
      <c r="D1036" s="183" t="str">
        <f>VLOOKUP(F1036,数据集标准分类!A:D,4,0)</f>
        <v>急诊留观</v>
      </c>
      <c r="E1036" s="183" t="str">
        <f>VLOOKUP(F1036,数据集标准分类!A:C,3,0)</f>
        <v>021801</v>
      </c>
      <c r="F1036" s="170" t="s">
        <v>2716</v>
      </c>
      <c r="G1036" s="183" t="str">
        <f>VLOOKUP(F1036,数据集标准分类!A:B,2,0)</f>
        <v>emer_obs_mr</v>
      </c>
      <c r="H1036" s="294">
        <f>VLOOKUP(F1036,数据集标准分类!A:H,8,0)</f>
        <v>47</v>
      </c>
      <c r="I1036" s="170" t="s">
        <v>216</v>
      </c>
      <c r="J1036" s="170" t="s">
        <v>217</v>
      </c>
      <c r="K1036" s="170" t="s">
        <v>218</v>
      </c>
      <c r="L1036" s="170" t="s">
        <v>219</v>
      </c>
      <c r="M1036" s="170" t="s">
        <v>1271</v>
      </c>
      <c r="N1036" s="294">
        <v>35</v>
      </c>
      <c r="O1036" s="170"/>
    </row>
    <row r="1037" ht="15.75" customHeight="1" spans="1:15">
      <c r="A1037" s="183" t="str">
        <f>VLOOKUP(F1037,数据集标准分类!A:G,7,0)</f>
        <v>02</v>
      </c>
      <c r="B1037" s="183" t="str">
        <f>VLOOKUP(F1037,数据集标准分类!A:F,6,0)</f>
        <v>电子病历</v>
      </c>
      <c r="C1037" s="183" t="str">
        <f>VLOOKUP(F1037,数据集标准分类!A:E,5,0)</f>
        <v>0218</v>
      </c>
      <c r="D1037" s="183" t="str">
        <f>VLOOKUP(F1037,数据集标准分类!A:D,4,0)</f>
        <v>急诊留观</v>
      </c>
      <c r="E1037" s="183" t="str">
        <f>VLOOKUP(F1037,数据集标准分类!A:C,3,0)</f>
        <v>021801</v>
      </c>
      <c r="F1037" s="170" t="s">
        <v>2716</v>
      </c>
      <c r="G1037" s="183" t="str">
        <f>VLOOKUP(F1037,数据集标准分类!A:B,2,0)</f>
        <v>emer_obs_mr</v>
      </c>
      <c r="H1037" s="294">
        <f>VLOOKUP(F1037,数据集标准分类!A:H,8,0)</f>
        <v>47</v>
      </c>
      <c r="I1037" s="170" t="s">
        <v>1272</v>
      </c>
      <c r="J1037" s="170" t="s">
        <v>1273</v>
      </c>
      <c r="K1037" s="170" t="s">
        <v>1274</v>
      </c>
      <c r="L1037" s="170" t="s">
        <v>1275</v>
      </c>
      <c r="M1037" s="170" t="s">
        <v>2732</v>
      </c>
      <c r="N1037" s="294">
        <v>36</v>
      </c>
      <c r="O1037" s="170"/>
    </row>
    <row r="1038" ht="15.75" customHeight="1" spans="1:15">
      <c r="A1038" s="183" t="str">
        <f>VLOOKUP(F1038,数据集标准分类!A:G,7,0)</f>
        <v>02</v>
      </c>
      <c r="B1038" s="183" t="str">
        <f>VLOOKUP(F1038,数据集标准分类!A:F,6,0)</f>
        <v>电子病历</v>
      </c>
      <c r="C1038" s="183" t="str">
        <f>VLOOKUP(F1038,数据集标准分类!A:E,5,0)</f>
        <v>0218</v>
      </c>
      <c r="D1038" s="183" t="str">
        <f>VLOOKUP(F1038,数据集标准分类!A:D,4,0)</f>
        <v>急诊留观</v>
      </c>
      <c r="E1038" s="183" t="str">
        <f>VLOOKUP(F1038,数据集标准分类!A:C,3,0)</f>
        <v>021801</v>
      </c>
      <c r="F1038" s="170" t="s">
        <v>2716</v>
      </c>
      <c r="G1038" s="183" t="str">
        <f>VLOOKUP(F1038,数据集标准分类!A:B,2,0)</f>
        <v>emer_obs_mr</v>
      </c>
      <c r="H1038" s="294">
        <f>VLOOKUP(F1038,数据集标准分类!A:H,8,0)</f>
        <v>47</v>
      </c>
      <c r="I1038" s="170" t="s">
        <v>1394</v>
      </c>
      <c r="J1038" s="170" t="s">
        <v>1395</v>
      </c>
      <c r="K1038" s="170" t="s">
        <v>1396</v>
      </c>
      <c r="L1038" s="170" t="s">
        <v>1397</v>
      </c>
      <c r="M1038" s="170" t="s">
        <v>1106</v>
      </c>
      <c r="N1038" s="294">
        <v>37</v>
      </c>
      <c r="O1038" s="170"/>
    </row>
    <row r="1039" ht="15.75" customHeight="1" spans="1:15">
      <c r="A1039" s="183" t="str">
        <f>VLOOKUP(F1039,数据集标准分类!A:G,7,0)</f>
        <v>02</v>
      </c>
      <c r="B1039" s="183" t="str">
        <f>VLOOKUP(F1039,数据集标准分类!A:F,6,0)</f>
        <v>电子病历</v>
      </c>
      <c r="C1039" s="183" t="str">
        <f>VLOOKUP(F1039,数据集标准分类!A:E,5,0)</f>
        <v>0218</v>
      </c>
      <c r="D1039" s="183" t="str">
        <f>VLOOKUP(F1039,数据集标准分类!A:D,4,0)</f>
        <v>急诊留观</v>
      </c>
      <c r="E1039" s="183" t="str">
        <f>VLOOKUP(F1039,数据集标准分类!A:C,3,0)</f>
        <v>021801</v>
      </c>
      <c r="F1039" s="170" t="s">
        <v>2716</v>
      </c>
      <c r="G1039" s="183" t="str">
        <f>VLOOKUP(F1039,数据集标准分类!A:B,2,0)</f>
        <v>emer_obs_mr</v>
      </c>
      <c r="H1039" s="294">
        <f>VLOOKUP(F1039,数据集标准分类!A:H,8,0)</f>
        <v>47</v>
      </c>
      <c r="I1039" s="170" t="s">
        <v>1192</v>
      </c>
      <c r="J1039" s="170" t="s">
        <v>1193</v>
      </c>
      <c r="K1039" s="170" t="s">
        <v>1194</v>
      </c>
      <c r="L1039" s="170" t="s">
        <v>1195</v>
      </c>
      <c r="M1039" s="170" t="s">
        <v>1196</v>
      </c>
      <c r="N1039" s="294">
        <v>38</v>
      </c>
      <c r="O1039" s="170"/>
    </row>
    <row r="1040" ht="15.75" customHeight="1" spans="1:15">
      <c r="A1040" s="183" t="str">
        <f>VLOOKUP(F1040,数据集标准分类!A:G,7,0)</f>
        <v>02</v>
      </c>
      <c r="B1040" s="183" t="str">
        <f>VLOOKUP(F1040,数据集标准分类!A:F,6,0)</f>
        <v>电子病历</v>
      </c>
      <c r="C1040" s="183" t="str">
        <f>VLOOKUP(F1040,数据集标准分类!A:E,5,0)</f>
        <v>0218</v>
      </c>
      <c r="D1040" s="183" t="str">
        <f>VLOOKUP(F1040,数据集标准分类!A:D,4,0)</f>
        <v>急诊留观</v>
      </c>
      <c r="E1040" s="183" t="str">
        <f>VLOOKUP(F1040,数据集标准分类!A:C,3,0)</f>
        <v>021801</v>
      </c>
      <c r="F1040" s="170" t="s">
        <v>2716</v>
      </c>
      <c r="G1040" s="183" t="str">
        <f>VLOOKUP(F1040,数据集标准分类!A:B,2,0)</f>
        <v>emer_obs_mr</v>
      </c>
      <c r="H1040" s="294">
        <f>VLOOKUP(F1040,数据集标准分类!A:H,8,0)</f>
        <v>47</v>
      </c>
      <c r="I1040" s="170" t="s">
        <v>2106</v>
      </c>
      <c r="J1040" s="170" t="s">
        <v>2107</v>
      </c>
      <c r="K1040" s="170" t="s">
        <v>2108</v>
      </c>
      <c r="L1040" s="170" t="s">
        <v>2109</v>
      </c>
      <c r="M1040" s="170" t="s">
        <v>2733</v>
      </c>
      <c r="N1040" s="294">
        <v>39</v>
      </c>
      <c r="O1040" s="170"/>
    </row>
    <row r="1041" ht="15.75" customHeight="1" spans="1:15">
      <c r="A1041" s="183" t="str">
        <f>VLOOKUP(F1041,数据集标准分类!A:G,7,0)</f>
        <v>02</v>
      </c>
      <c r="B1041" s="183" t="str">
        <f>VLOOKUP(F1041,数据集标准分类!A:F,6,0)</f>
        <v>电子病历</v>
      </c>
      <c r="C1041" s="183" t="str">
        <f>VLOOKUP(F1041,数据集标准分类!A:E,5,0)</f>
        <v>0219</v>
      </c>
      <c r="D1041" s="183" t="str">
        <f>VLOOKUP(F1041,数据集标准分类!A:D,4,0)</f>
        <v>危急值数据记录</v>
      </c>
      <c r="E1041" s="183" t="str">
        <f>VLOOKUP(F1041,数据集标准分类!A:C,3,0)</f>
        <v>021901</v>
      </c>
      <c r="F1041" s="170" t="s">
        <v>2734</v>
      </c>
      <c r="G1041" s="183" t="str">
        <f>VLOOKUP(F1041,数据集标准分类!A:B,2,0)</f>
        <v>crit_value_data_record</v>
      </c>
      <c r="H1041" s="294">
        <f>VLOOKUP(F1041,数据集标准分类!A:H,8,0)</f>
        <v>48</v>
      </c>
      <c r="I1041" s="170" t="s">
        <v>2735</v>
      </c>
      <c r="J1041" s="170" t="s">
        <v>2736</v>
      </c>
      <c r="K1041" s="170" t="s">
        <v>2737</v>
      </c>
      <c r="L1041" s="170" t="s">
        <v>2738</v>
      </c>
      <c r="M1041" s="170" t="s">
        <v>2739</v>
      </c>
      <c r="N1041" s="294">
        <v>1</v>
      </c>
      <c r="O1041" s="170"/>
    </row>
    <row r="1042" ht="15.75" customHeight="1" spans="1:15">
      <c r="A1042" s="183" t="str">
        <f>VLOOKUP(F1042,数据集标准分类!A:G,7,0)</f>
        <v>02</v>
      </c>
      <c r="B1042" s="183" t="str">
        <f>VLOOKUP(F1042,数据集标准分类!A:F,6,0)</f>
        <v>电子病历</v>
      </c>
      <c r="C1042" s="183" t="str">
        <f>VLOOKUP(F1042,数据集标准分类!A:E,5,0)</f>
        <v>0219</v>
      </c>
      <c r="D1042" s="183" t="str">
        <f>VLOOKUP(F1042,数据集标准分类!A:D,4,0)</f>
        <v>危急值数据记录</v>
      </c>
      <c r="E1042" s="183" t="str">
        <f>VLOOKUP(F1042,数据集标准分类!A:C,3,0)</f>
        <v>021901</v>
      </c>
      <c r="F1042" s="170" t="s">
        <v>2734</v>
      </c>
      <c r="G1042" s="183" t="str">
        <f>VLOOKUP(F1042,数据集标准分类!A:B,2,0)</f>
        <v>crit_value_data_record</v>
      </c>
      <c r="H1042" s="294">
        <f>VLOOKUP(F1042,数据集标准分类!A:H,8,0)</f>
        <v>48</v>
      </c>
      <c r="I1042" s="170" t="s">
        <v>1287</v>
      </c>
      <c r="J1042" s="170" t="s">
        <v>1288</v>
      </c>
      <c r="K1042" s="170" t="s">
        <v>1289</v>
      </c>
      <c r="L1042" s="170" t="s">
        <v>2740</v>
      </c>
      <c r="M1042" s="170" t="s">
        <v>2741</v>
      </c>
      <c r="N1042" s="294">
        <v>2</v>
      </c>
      <c r="O1042" s="170"/>
    </row>
    <row r="1043" ht="15.75" customHeight="1" spans="1:15">
      <c r="A1043" s="183" t="str">
        <f>VLOOKUP(F1043,数据集标准分类!A:G,7,0)</f>
        <v>02</v>
      </c>
      <c r="B1043" s="183" t="str">
        <f>VLOOKUP(F1043,数据集标准分类!A:F,6,0)</f>
        <v>电子病历</v>
      </c>
      <c r="C1043" s="183" t="str">
        <f>VLOOKUP(F1043,数据集标准分类!A:E,5,0)</f>
        <v>0219</v>
      </c>
      <c r="D1043" s="183" t="str">
        <f>VLOOKUP(F1043,数据集标准分类!A:D,4,0)</f>
        <v>危急值数据记录</v>
      </c>
      <c r="E1043" s="183" t="str">
        <f>VLOOKUP(F1043,数据集标准分类!A:C,3,0)</f>
        <v>021901</v>
      </c>
      <c r="F1043" s="170" t="s">
        <v>2734</v>
      </c>
      <c r="G1043" s="183" t="str">
        <f>VLOOKUP(F1043,数据集标准分类!A:B,2,0)</f>
        <v>crit_value_data_record</v>
      </c>
      <c r="H1043" s="294">
        <f>VLOOKUP(F1043,数据集标准分类!A:H,8,0)</f>
        <v>48</v>
      </c>
      <c r="I1043" s="170" t="s">
        <v>2742</v>
      </c>
      <c r="J1043" s="170" t="s">
        <v>2743</v>
      </c>
      <c r="K1043" s="170" t="s">
        <v>2744</v>
      </c>
      <c r="L1043" s="170" t="s">
        <v>2745</v>
      </c>
      <c r="M1043" s="170" t="s">
        <v>2746</v>
      </c>
      <c r="N1043" s="294">
        <v>3</v>
      </c>
      <c r="O1043" s="170"/>
    </row>
    <row r="1044" ht="15.75" customHeight="1" spans="1:15">
      <c r="A1044" s="183" t="str">
        <f>VLOOKUP(F1044,数据集标准分类!A:G,7,0)</f>
        <v>02</v>
      </c>
      <c r="B1044" s="183" t="str">
        <f>VLOOKUP(F1044,数据集标准分类!A:F,6,0)</f>
        <v>电子病历</v>
      </c>
      <c r="C1044" s="183" t="str">
        <f>VLOOKUP(F1044,数据集标准分类!A:E,5,0)</f>
        <v>0219</v>
      </c>
      <c r="D1044" s="183" t="str">
        <f>VLOOKUP(F1044,数据集标准分类!A:D,4,0)</f>
        <v>危急值数据记录</v>
      </c>
      <c r="E1044" s="183" t="str">
        <f>VLOOKUP(F1044,数据集标准分类!A:C,3,0)</f>
        <v>021901</v>
      </c>
      <c r="F1044" s="170" t="s">
        <v>2734</v>
      </c>
      <c r="G1044" s="183" t="str">
        <f>VLOOKUP(F1044,数据集标准分类!A:B,2,0)</f>
        <v>crit_value_data_record</v>
      </c>
      <c r="H1044" s="294">
        <f>VLOOKUP(F1044,数据集标准分类!A:H,8,0)</f>
        <v>48</v>
      </c>
      <c r="I1044" s="170" t="s">
        <v>2501</v>
      </c>
      <c r="J1044" s="170" t="s">
        <v>2502</v>
      </c>
      <c r="K1044" s="170" t="s">
        <v>2503</v>
      </c>
      <c r="L1044" s="170" t="s">
        <v>2747</v>
      </c>
      <c r="M1044" s="170" t="s">
        <v>2747</v>
      </c>
      <c r="N1044" s="294">
        <v>4</v>
      </c>
      <c r="O1044" s="170"/>
    </row>
    <row r="1045" ht="15.75" customHeight="1" spans="1:15">
      <c r="A1045" s="183" t="str">
        <f>VLOOKUP(F1045,数据集标准分类!A:G,7,0)</f>
        <v>02</v>
      </c>
      <c r="B1045" s="183" t="str">
        <f>VLOOKUP(F1045,数据集标准分类!A:F,6,0)</f>
        <v>电子病历</v>
      </c>
      <c r="C1045" s="183" t="str">
        <f>VLOOKUP(F1045,数据集标准分类!A:E,5,0)</f>
        <v>0219</v>
      </c>
      <c r="D1045" s="183" t="str">
        <f>VLOOKUP(F1045,数据集标准分类!A:D,4,0)</f>
        <v>危急值数据记录</v>
      </c>
      <c r="E1045" s="183" t="str">
        <f>VLOOKUP(F1045,数据集标准分类!A:C,3,0)</f>
        <v>021901</v>
      </c>
      <c r="F1045" s="170" t="s">
        <v>2734</v>
      </c>
      <c r="G1045" s="183" t="str">
        <f>VLOOKUP(F1045,数据集标准分类!A:B,2,0)</f>
        <v>crit_value_data_record</v>
      </c>
      <c r="H1045" s="294">
        <f>VLOOKUP(F1045,数据集标准分类!A:H,8,0)</f>
        <v>48</v>
      </c>
      <c r="I1045" s="170" t="s">
        <v>2496</v>
      </c>
      <c r="J1045" s="170" t="s">
        <v>2497</v>
      </c>
      <c r="K1045" s="170" t="s">
        <v>2498</v>
      </c>
      <c r="L1045" s="170" t="s">
        <v>2748</v>
      </c>
      <c r="M1045" s="170" t="s">
        <v>2748</v>
      </c>
      <c r="N1045" s="294">
        <v>5</v>
      </c>
      <c r="O1045" s="170"/>
    </row>
    <row r="1046" ht="15.75" customHeight="1" spans="1:15">
      <c r="A1046" s="183" t="str">
        <f>VLOOKUP(F1046,数据集标准分类!A:G,7,0)</f>
        <v>02</v>
      </c>
      <c r="B1046" s="183" t="str">
        <f>VLOOKUP(F1046,数据集标准分类!A:F,6,0)</f>
        <v>电子病历</v>
      </c>
      <c r="C1046" s="183" t="str">
        <f>VLOOKUP(F1046,数据集标准分类!A:E,5,0)</f>
        <v>0219</v>
      </c>
      <c r="D1046" s="183" t="str">
        <f>VLOOKUP(F1046,数据集标准分类!A:D,4,0)</f>
        <v>危急值数据记录</v>
      </c>
      <c r="E1046" s="183" t="str">
        <f>VLOOKUP(F1046,数据集标准分类!A:C,3,0)</f>
        <v>021901</v>
      </c>
      <c r="F1046" s="170" t="s">
        <v>2734</v>
      </c>
      <c r="G1046" s="183" t="str">
        <f>VLOOKUP(F1046,数据集标准分类!A:B,2,0)</f>
        <v>crit_value_data_record</v>
      </c>
      <c r="H1046" s="294">
        <f>VLOOKUP(F1046,数据集标准分类!A:H,8,0)</f>
        <v>48</v>
      </c>
      <c r="I1046" s="170" t="s">
        <v>2749</v>
      </c>
      <c r="J1046" s="170" t="s">
        <v>2750</v>
      </c>
      <c r="K1046" s="170" t="s">
        <v>2751</v>
      </c>
      <c r="L1046" s="170" t="s">
        <v>2752</v>
      </c>
      <c r="M1046" s="170" t="s">
        <v>2753</v>
      </c>
      <c r="N1046" s="294">
        <v>6</v>
      </c>
      <c r="O1046" s="170"/>
    </row>
    <row r="1047" ht="15.75" customHeight="1" spans="1:15">
      <c r="A1047" s="183" t="str">
        <f>VLOOKUP(F1047,数据集标准分类!A:G,7,0)</f>
        <v>02</v>
      </c>
      <c r="B1047" s="183" t="str">
        <f>VLOOKUP(F1047,数据集标准分类!A:F,6,0)</f>
        <v>电子病历</v>
      </c>
      <c r="C1047" s="183" t="str">
        <f>VLOOKUP(F1047,数据集标准分类!A:E,5,0)</f>
        <v>0219</v>
      </c>
      <c r="D1047" s="183" t="str">
        <f>VLOOKUP(F1047,数据集标准分类!A:D,4,0)</f>
        <v>危急值数据记录</v>
      </c>
      <c r="E1047" s="183" t="str">
        <f>VLOOKUP(F1047,数据集标准分类!A:C,3,0)</f>
        <v>021901</v>
      </c>
      <c r="F1047" s="170" t="s">
        <v>2734</v>
      </c>
      <c r="G1047" s="183" t="str">
        <f>VLOOKUP(F1047,数据集标准分类!A:B,2,0)</f>
        <v>crit_value_data_record</v>
      </c>
      <c r="H1047" s="294">
        <f>VLOOKUP(F1047,数据集标准分类!A:H,8,0)</f>
        <v>48</v>
      </c>
      <c r="I1047" s="170" t="s">
        <v>2754</v>
      </c>
      <c r="J1047" s="170" t="s">
        <v>2755</v>
      </c>
      <c r="K1047" s="170" t="s">
        <v>2756</v>
      </c>
      <c r="L1047" s="170" t="s">
        <v>2757</v>
      </c>
      <c r="M1047" s="170" t="s">
        <v>2758</v>
      </c>
      <c r="N1047" s="294">
        <v>7</v>
      </c>
      <c r="O1047" s="170"/>
    </row>
    <row r="1048" ht="15.75" customHeight="1" spans="1:15">
      <c r="A1048" s="183" t="str">
        <f>VLOOKUP(F1048,数据集标准分类!A:G,7,0)</f>
        <v>02</v>
      </c>
      <c r="B1048" s="183" t="str">
        <f>VLOOKUP(F1048,数据集标准分类!A:F,6,0)</f>
        <v>电子病历</v>
      </c>
      <c r="C1048" s="183" t="str">
        <f>VLOOKUP(F1048,数据集标准分类!A:E,5,0)</f>
        <v>0219</v>
      </c>
      <c r="D1048" s="183" t="str">
        <f>VLOOKUP(F1048,数据集标准分类!A:D,4,0)</f>
        <v>危急值数据记录</v>
      </c>
      <c r="E1048" s="183" t="str">
        <f>VLOOKUP(F1048,数据集标准分类!A:C,3,0)</f>
        <v>021901</v>
      </c>
      <c r="F1048" s="170" t="s">
        <v>2734</v>
      </c>
      <c r="G1048" s="183" t="str">
        <f>VLOOKUP(F1048,数据集标准分类!A:B,2,0)</f>
        <v>crit_value_data_record</v>
      </c>
      <c r="H1048" s="294">
        <f>VLOOKUP(F1048,数据集标准分类!A:H,8,0)</f>
        <v>48</v>
      </c>
      <c r="I1048" s="170" t="s">
        <v>2759</v>
      </c>
      <c r="J1048" s="170" t="s">
        <v>2760</v>
      </c>
      <c r="K1048" s="170" t="s">
        <v>2761</v>
      </c>
      <c r="L1048" s="170" t="s">
        <v>2762</v>
      </c>
      <c r="M1048" s="170" t="s">
        <v>2762</v>
      </c>
      <c r="N1048" s="294">
        <v>8</v>
      </c>
      <c r="O1048" s="170"/>
    </row>
    <row r="1049" ht="15.75" customHeight="1" spans="1:15">
      <c r="A1049" s="183" t="str">
        <f>VLOOKUP(F1049,数据集标准分类!A:G,7,0)</f>
        <v>02</v>
      </c>
      <c r="B1049" s="183" t="str">
        <f>VLOOKUP(F1049,数据集标准分类!A:F,6,0)</f>
        <v>电子病历</v>
      </c>
      <c r="C1049" s="183" t="str">
        <f>VLOOKUP(F1049,数据集标准分类!A:E,5,0)</f>
        <v>0219</v>
      </c>
      <c r="D1049" s="183" t="str">
        <f>VLOOKUP(F1049,数据集标准分类!A:D,4,0)</f>
        <v>危急值数据记录</v>
      </c>
      <c r="E1049" s="183" t="str">
        <f>VLOOKUP(F1049,数据集标准分类!A:C,3,0)</f>
        <v>021901</v>
      </c>
      <c r="F1049" s="170" t="s">
        <v>2734</v>
      </c>
      <c r="G1049" s="183" t="str">
        <f>VLOOKUP(F1049,数据集标准分类!A:B,2,0)</f>
        <v>crit_value_data_record</v>
      </c>
      <c r="H1049" s="294">
        <f>VLOOKUP(F1049,数据集标准分类!A:H,8,0)</f>
        <v>48</v>
      </c>
      <c r="I1049" s="170" t="s">
        <v>2466</v>
      </c>
      <c r="J1049" s="170" t="s">
        <v>2467</v>
      </c>
      <c r="K1049" s="170" t="s">
        <v>2468</v>
      </c>
      <c r="L1049" s="170" t="s">
        <v>2763</v>
      </c>
      <c r="M1049" s="170" t="s">
        <v>2764</v>
      </c>
      <c r="N1049" s="294">
        <v>9</v>
      </c>
      <c r="O1049" s="170"/>
    </row>
    <row r="1050" ht="15.75" customHeight="1" spans="1:15">
      <c r="A1050" s="183" t="str">
        <f>VLOOKUP(F1050,数据集标准分类!A:G,7,0)</f>
        <v>02</v>
      </c>
      <c r="B1050" s="183" t="str">
        <f>VLOOKUP(F1050,数据集标准分类!A:F,6,0)</f>
        <v>电子病历</v>
      </c>
      <c r="C1050" s="183" t="str">
        <f>VLOOKUP(F1050,数据集标准分类!A:E,5,0)</f>
        <v>0219</v>
      </c>
      <c r="D1050" s="183" t="str">
        <f>VLOOKUP(F1050,数据集标准分类!A:D,4,0)</f>
        <v>危急值数据记录</v>
      </c>
      <c r="E1050" s="183" t="str">
        <f>VLOOKUP(F1050,数据集标准分类!A:C,3,0)</f>
        <v>021901</v>
      </c>
      <c r="F1050" s="170" t="s">
        <v>2734</v>
      </c>
      <c r="G1050" s="183" t="str">
        <f>VLOOKUP(F1050,数据集标准分类!A:B,2,0)</f>
        <v>crit_value_data_record</v>
      </c>
      <c r="H1050" s="294">
        <f>VLOOKUP(F1050,数据集标准分类!A:H,8,0)</f>
        <v>48</v>
      </c>
      <c r="I1050" s="170" t="s">
        <v>1307</v>
      </c>
      <c r="J1050" s="170" t="s">
        <v>1308</v>
      </c>
      <c r="K1050" s="170" t="s">
        <v>1308</v>
      </c>
      <c r="L1050" s="170" t="s">
        <v>1309</v>
      </c>
      <c r="M1050" s="170" t="s">
        <v>1309</v>
      </c>
      <c r="N1050" s="294">
        <v>10</v>
      </c>
      <c r="O1050" s="170"/>
    </row>
    <row r="1051" ht="15.75" customHeight="1" spans="1:15">
      <c r="A1051" s="183" t="str">
        <f>VLOOKUP(F1051,数据集标准分类!A:G,7,0)</f>
        <v>02</v>
      </c>
      <c r="B1051" s="183" t="str">
        <f>VLOOKUP(F1051,数据集标准分类!A:F,6,0)</f>
        <v>电子病历</v>
      </c>
      <c r="C1051" s="183" t="str">
        <f>VLOOKUP(F1051,数据集标准分类!A:E,5,0)</f>
        <v>0219</v>
      </c>
      <c r="D1051" s="183" t="str">
        <f>VLOOKUP(F1051,数据集标准分类!A:D,4,0)</f>
        <v>危急值数据记录</v>
      </c>
      <c r="E1051" s="183" t="str">
        <f>VLOOKUP(F1051,数据集标准分类!A:C,3,0)</f>
        <v>021901</v>
      </c>
      <c r="F1051" s="170" t="s">
        <v>2734</v>
      </c>
      <c r="G1051" s="183" t="str">
        <f>VLOOKUP(F1051,数据集标准分类!A:B,2,0)</f>
        <v>crit_value_data_record</v>
      </c>
      <c r="H1051" s="294">
        <f>VLOOKUP(F1051,数据集标准分类!A:H,8,0)</f>
        <v>48</v>
      </c>
      <c r="I1051" s="170" t="s">
        <v>2765</v>
      </c>
      <c r="J1051" s="170" t="s">
        <v>2766</v>
      </c>
      <c r="K1051" s="170" t="s">
        <v>2767</v>
      </c>
      <c r="L1051" s="170" t="s">
        <v>2768</v>
      </c>
      <c r="M1051" s="170" t="s">
        <v>2768</v>
      </c>
      <c r="N1051" s="294">
        <v>11</v>
      </c>
      <c r="O1051" s="170"/>
    </row>
    <row r="1052" ht="15.75" customHeight="1" spans="1:15">
      <c r="A1052" s="183" t="str">
        <f>VLOOKUP(F1052,数据集标准分类!A:G,7,0)</f>
        <v>03</v>
      </c>
      <c r="B1052" s="183" t="str">
        <f>VLOOKUP(F1052,数据集标准分类!A:F,6,0)</f>
        <v>医嘱处方</v>
      </c>
      <c r="C1052" s="183" t="str">
        <f>VLOOKUP(F1052,数据集标准分类!A:E,5,0)</f>
        <v>0301</v>
      </c>
      <c r="D1052" s="183" t="str">
        <f>VLOOKUP(F1052,数据集标准分类!A:D,4,0)</f>
        <v>住院医嘱</v>
      </c>
      <c r="E1052" s="183" t="s">
        <v>2769</v>
      </c>
      <c r="F1052" s="170" t="s">
        <v>2770</v>
      </c>
      <c r="G1052" s="183" t="s">
        <v>2771</v>
      </c>
      <c r="H1052" s="294">
        <f>VLOOKUP(F1052,数据集标准分类!A:H,8,0)</f>
        <v>49</v>
      </c>
      <c r="I1052" s="170" t="s">
        <v>2772</v>
      </c>
      <c r="J1052" s="170" t="s">
        <v>2773</v>
      </c>
      <c r="K1052" s="170" t="s">
        <v>2774</v>
      </c>
      <c r="L1052" s="170" t="s">
        <v>2775</v>
      </c>
      <c r="M1052" s="170" t="s">
        <v>2776</v>
      </c>
      <c r="N1052" s="294">
        <v>1</v>
      </c>
      <c r="O1052" s="170"/>
    </row>
    <row r="1053" ht="15.75" customHeight="1" spans="1:15">
      <c r="A1053" s="183" t="str">
        <f>VLOOKUP(F1053,数据集标准分类!A:G,7,0)</f>
        <v>03</v>
      </c>
      <c r="B1053" s="183" t="str">
        <f>VLOOKUP(F1053,数据集标准分类!A:F,6,0)</f>
        <v>医嘱处方</v>
      </c>
      <c r="C1053" s="183" t="str">
        <f>VLOOKUP(F1053,数据集标准分类!A:E,5,0)</f>
        <v>0301</v>
      </c>
      <c r="D1053" s="183" t="str">
        <f>VLOOKUP(F1053,数据集标准分类!A:D,4,0)</f>
        <v>住院医嘱</v>
      </c>
      <c r="E1053" s="183" t="str">
        <f>VLOOKUP(F1053,数据集标准分类!A:C,3,0)</f>
        <v>030101</v>
      </c>
      <c r="F1053" s="170" t="s">
        <v>2770</v>
      </c>
      <c r="G1053" s="183" t="str">
        <f>VLOOKUP(F1053,数据集标准分类!A:B,2,0)</f>
        <v>inpatient_med_order</v>
      </c>
      <c r="H1053" s="294">
        <f>VLOOKUP(F1053,数据集标准分类!A:H,8,0)</f>
        <v>49</v>
      </c>
      <c r="I1053" s="170" t="s">
        <v>2685</v>
      </c>
      <c r="J1053" s="170" t="s">
        <v>2686</v>
      </c>
      <c r="K1053" s="170" t="s">
        <v>2687</v>
      </c>
      <c r="L1053" s="170" t="s">
        <v>2688</v>
      </c>
      <c r="M1053" s="170" t="s">
        <v>2689</v>
      </c>
      <c r="N1053" s="294">
        <v>2</v>
      </c>
      <c r="O1053" s="170"/>
    </row>
    <row r="1054" ht="15.75" customHeight="1" spans="1:15">
      <c r="A1054" s="183" t="str">
        <f>VLOOKUP(F1054,数据集标准分类!A:G,7,0)</f>
        <v>03</v>
      </c>
      <c r="B1054" s="183" t="str">
        <f>VLOOKUP(F1054,数据集标准分类!A:F,6,0)</f>
        <v>医嘱处方</v>
      </c>
      <c r="C1054" s="183" t="str">
        <f>VLOOKUP(F1054,数据集标准分类!A:E,5,0)</f>
        <v>0301</v>
      </c>
      <c r="D1054" s="183" t="str">
        <f>VLOOKUP(F1054,数据集标准分类!A:D,4,0)</f>
        <v>住院医嘱</v>
      </c>
      <c r="E1054" s="183" t="str">
        <f>VLOOKUP(F1054,数据集标准分类!A:C,3,0)</f>
        <v>030101</v>
      </c>
      <c r="F1054" s="170" t="s">
        <v>2770</v>
      </c>
      <c r="G1054" s="183" t="str">
        <f>VLOOKUP(F1054,数据集标准分类!A:B,2,0)</f>
        <v>inpatient_med_order</v>
      </c>
      <c r="H1054" s="294">
        <f>VLOOKUP(F1054,数据集标准分类!A:H,8,0)</f>
        <v>49</v>
      </c>
      <c r="I1054" s="170" t="s">
        <v>2690</v>
      </c>
      <c r="J1054" s="170" t="s">
        <v>2691</v>
      </c>
      <c r="K1054" s="170" t="s">
        <v>2692</v>
      </c>
      <c r="L1054" s="170" t="s">
        <v>2693</v>
      </c>
      <c r="M1054" s="170" t="s">
        <v>2694</v>
      </c>
      <c r="N1054" s="294">
        <v>3</v>
      </c>
      <c r="O1054" s="170"/>
    </row>
    <row r="1055" ht="15.75" customHeight="1" spans="1:15">
      <c r="A1055" s="183" t="str">
        <f>VLOOKUP(F1055,数据集标准分类!A:G,7,0)</f>
        <v>03</v>
      </c>
      <c r="B1055" s="183" t="str">
        <f>VLOOKUP(F1055,数据集标准分类!A:F,6,0)</f>
        <v>医嘱处方</v>
      </c>
      <c r="C1055" s="183" t="str">
        <f>VLOOKUP(F1055,数据集标准分类!A:E,5,0)</f>
        <v>0301</v>
      </c>
      <c r="D1055" s="183" t="str">
        <f>VLOOKUP(F1055,数据集标准分类!A:D,4,0)</f>
        <v>住院医嘱</v>
      </c>
      <c r="E1055" s="183" t="str">
        <f>VLOOKUP(F1055,数据集标准分类!A:C,3,0)</f>
        <v>030101</v>
      </c>
      <c r="F1055" s="170" t="s">
        <v>2770</v>
      </c>
      <c r="G1055" s="183" t="str">
        <f>VLOOKUP(F1055,数据集标准分类!A:B,2,0)</f>
        <v>inpatient_med_order</v>
      </c>
      <c r="H1055" s="294">
        <f>VLOOKUP(F1055,数据集标准分类!A:H,8,0)</f>
        <v>49</v>
      </c>
      <c r="I1055" s="170" t="s">
        <v>2711</v>
      </c>
      <c r="J1055" s="170" t="s">
        <v>2712</v>
      </c>
      <c r="K1055" s="170" t="s">
        <v>2713</v>
      </c>
      <c r="L1055" s="170" t="s">
        <v>2714</v>
      </c>
      <c r="M1055" s="170" t="s">
        <v>2777</v>
      </c>
      <c r="N1055" s="294">
        <v>4</v>
      </c>
      <c r="O1055" s="170"/>
    </row>
    <row r="1056" ht="15.75" customHeight="1" spans="1:15">
      <c r="A1056" s="183" t="str">
        <f>VLOOKUP(F1056,数据集标准分类!A:G,7,0)</f>
        <v>03</v>
      </c>
      <c r="B1056" s="183" t="str">
        <f>VLOOKUP(F1056,数据集标准分类!A:F,6,0)</f>
        <v>医嘱处方</v>
      </c>
      <c r="C1056" s="183" t="str">
        <f>VLOOKUP(F1056,数据集标准分类!A:E,5,0)</f>
        <v>0301</v>
      </c>
      <c r="D1056" s="183" t="str">
        <f>VLOOKUP(F1056,数据集标准分类!A:D,4,0)</f>
        <v>住院医嘱</v>
      </c>
      <c r="E1056" s="183" t="str">
        <f>VLOOKUP(F1056,数据集标准分类!A:C,3,0)</f>
        <v>030101</v>
      </c>
      <c r="F1056" s="170" t="s">
        <v>2770</v>
      </c>
      <c r="G1056" s="183" t="str">
        <f>VLOOKUP(F1056,数据集标准分类!A:B,2,0)</f>
        <v>inpatient_med_order</v>
      </c>
      <c r="H1056" s="294">
        <f>VLOOKUP(F1056,数据集标准分类!A:H,8,0)</f>
        <v>49</v>
      </c>
      <c r="I1056" s="170" t="s">
        <v>1597</v>
      </c>
      <c r="J1056" s="170" t="s">
        <v>1598</v>
      </c>
      <c r="K1056" s="170" t="s">
        <v>1599</v>
      </c>
      <c r="L1056" s="170" t="s">
        <v>1600</v>
      </c>
      <c r="M1056" s="170" t="s">
        <v>2778</v>
      </c>
      <c r="N1056" s="294">
        <v>5</v>
      </c>
      <c r="O1056" s="170"/>
    </row>
    <row r="1057" ht="15.75" customHeight="1" spans="1:15">
      <c r="A1057" s="183" t="str">
        <f>VLOOKUP(F1057,数据集标准分类!A:G,7,0)</f>
        <v>03</v>
      </c>
      <c r="B1057" s="183" t="str">
        <f>VLOOKUP(F1057,数据集标准分类!A:F,6,0)</f>
        <v>医嘱处方</v>
      </c>
      <c r="C1057" s="183" t="str">
        <f>VLOOKUP(F1057,数据集标准分类!A:E,5,0)</f>
        <v>0301</v>
      </c>
      <c r="D1057" s="183" t="str">
        <f>VLOOKUP(F1057,数据集标准分类!A:D,4,0)</f>
        <v>住院医嘱</v>
      </c>
      <c r="E1057" s="183" t="str">
        <f>VLOOKUP(F1057,数据集标准分类!A:C,3,0)</f>
        <v>030101</v>
      </c>
      <c r="F1057" s="170" t="s">
        <v>2770</v>
      </c>
      <c r="G1057" s="183" t="str">
        <f>VLOOKUP(F1057,数据集标准分类!A:B,2,0)</f>
        <v>inpatient_med_order</v>
      </c>
      <c r="H1057" s="294">
        <f>VLOOKUP(F1057,数据集标准分类!A:H,8,0)</f>
        <v>49</v>
      </c>
      <c r="I1057" s="170" t="s">
        <v>1921</v>
      </c>
      <c r="J1057" s="170" t="s">
        <v>1922</v>
      </c>
      <c r="K1057" s="170" t="s">
        <v>1923</v>
      </c>
      <c r="L1057" s="170" t="s">
        <v>1924</v>
      </c>
      <c r="M1057" s="170" t="s">
        <v>2695</v>
      </c>
      <c r="N1057" s="294">
        <v>6</v>
      </c>
      <c r="O1057" s="170"/>
    </row>
    <row r="1058" ht="15.75" customHeight="1" spans="1:15">
      <c r="A1058" s="183" t="str">
        <f>VLOOKUP(F1058,数据集标准分类!A:G,7,0)</f>
        <v>03</v>
      </c>
      <c r="B1058" s="183" t="str">
        <f>VLOOKUP(F1058,数据集标准分类!A:F,6,0)</f>
        <v>医嘱处方</v>
      </c>
      <c r="C1058" s="183" t="str">
        <f>VLOOKUP(F1058,数据集标准分类!A:E,5,0)</f>
        <v>0301</v>
      </c>
      <c r="D1058" s="183" t="str">
        <f>VLOOKUP(F1058,数据集标准分类!A:D,4,0)</f>
        <v>住院医嘱</v>
      </c>
      <c r="E1058" s="183" t="str">
        <f>VLOOKUP(F1058,数据集标准分类!A:C,3,0)</f>
        <v>030101</v>
      </c>
      <c r="F1058" s="170" t="s">
        <v>2770</v>
      </c>
      <c r="G1058" s="183" t="str">
        <f>VLOOKUP(F1058,数据集标准分类!A:B,2,0)</f>
        <v>inpatient_med_order</v>
      </c>
      <c r="H1058" s="294">
        <f>VLOOKUP(F1058,数据集标准分类!A:H,8,0)</f>
        <v>49</v>
      </c>
      <c r="I1058" s="170" t="s">
        <v>2701</v>
      </c>
      <c r="J1058" s="170" t="s">
        <v>2702</v>
      </c>
      <c r="K1058" s="170" t="s">
        <v>2703</v>
      </c>
      <c r="L1058" s="170" t="s">
        <v>2704</v>
      </c>
      <c r="M1058" s="170" t="s">
        <v>2705</v>
      </c>
      <c r="N1058" s="294">
        <v>7</v>
      </c>
      <c r="O1058" s="170"/>
    </row>
    <row r="1059" ht="15.75" customHeight="1" spans="1:15">
      <c r="A1059" s="183" t="str">
        <f>VLOOKUP(F1059,数据集标准分类!A:G,7,0)</f>
        <v>03</v>
      </c>
      <c r="B1059" s="183" t="str">
        <f>VLOOKUP(F1059,数据集标准分类!A:F,6,0)</f>
        <v>医嘱处方</v>
      </c>
      <c r="C1059" s="183" t="str">
        <f>VLOOKUP(F1059,数据集标准分类!A:E,5,0)</f>
        <v>0301</v>
      </c>
      <c r="D1059" s="183" t="str">
        <f>VLOOKUP(F1059,数据集标准分类!A:D,4,0)</f>
        <v>住院医嘱</v>
      </c>
      <c r="E1059" s="183" t="str">
        <f>VLOOKUP(F1059,数据集标准分类!A:C,3,0)</f>
        <v>030101</v>
      </c>
      <c r="F1059" s="170" t="s">
        <v>2770</v>
      </c>
      <c r="G1059" s="183" t="str">
        <f>VLOOKUP(F1059,数据集标准分类!A:B,2,0)</f>
        <v>inpatient_med_order</v>
      </c>
      <c r="H1059" s="294">
        <f>VLOOKUP(F1059,数据集标准分类!A:H,8,0)</f>
        <v>49</v>
      </c>
      <c r="I1059" s="170" t="s">
        <v>2696</v>
      </c>
      <c r="J1059" s="170" t="s">
        <v>2697</v>
      </c>
      <c r="K1059" s="170" t="s">
        <v>2698</v>
      </c>
      <c r="L1059" s="170" t="s">
        <v>2699</v>
      </c>
      <c r="M1059" s="170" t="s">
        <v>2700</v>
      </c>
      <c r="N1059" s="294">
        <v>8</v>
      </c>
      <c r="O1059" s="170"/>
    </row>
    <row r="1060" ht="15.75" customHeight="1" spans="1:15">
      <c r="A1060" s="183" t="str">
        <f>VLOOKUP(F1060,数据集标准分类!A:G,7,0)</f>
        <v>03</v>
      </c>
      <c r="B1060" s="183" t="str">
        <f>VLOOKUP(F1060,数据集标准分类!A:F,6,0)</f>
        <v>医嘱处方</v>
      </c>
      <c r="C1060" s="183" t="str">
        <f>VLOOKUP(F1060,数据集标准分类!A:E,5,0)</f>
        <v>0301</v>
      </c>
      <c r="D1060" s="183" t="str">
        <f>VLOOKUP(F1060,数据集标准分类!A:D,4,0)</f>
        <v>住院医嘱</v>
      </c>
      <c r="E1060" s="183" t="str">
        <f>VLOOKUP(F1060,数据集标准分类!A:C,3,0)</f>
        <v>030101</v>
      </c>
      <c r="F1060" s="170" t="s">
        <v>2770</v>
      </c>
      <c r="G1060" s="183" t="str">
        <f>VLOOKUP(F1060,数据集标准分类!A:B,2,0)</f>
        <v>inpatient_med_order</v>
      </c>
      <c r="H1060" s="294">
        <f>VLOOKUP(F1060,数据集标准分类!A:H,8,0)</f>
        <v>49</v>
      </c>
      <c r="I1060" s="170" t="s">
        <v>2779</v>
      </c>
      <c r="J1060" s="170" t="s">
        <v>2780</v>
      </c>
      <c r="K1060" s="170" t="s">
        <v>2781</v>
      </c>
      <c r="L1060" s="170" t="s">
        <v>2782</v>
      </c>
      <c r="M1060" s="170" t="s">
        <v>2783</v>
      </c>
      <c r="N1060" s="294">
        <v>9</v>
      </c>
      <c r="O1060" s="170"/>
    </row>
    <row r="1061" ht="15.75" customHeight="1" spans="1:15">
      <c r="A1061" s="183" t="str">
        <f>VLOOKUP(F1061,数据集标准分类!A:G,7,0)</f>
        <v>03</v>
      </c>
      <c r="B1061" s="183" t="str">
        <f>VLOOKUP(F1061,数据集标准分类!A:F,6,0)</f>
        <v>医嘱处方</v>
      </c>
      <c r="C1061" s="183" t="str">
        <f>VLOOKUP(F1061,数据集标准分类!A:E,5,0)</f>
        <v>0301</v>
      </c>
      <c r="D1061" s="183" t="str">
        <f>VLOOKUP(F1061,数据集标准分类!A:D,4,0)</f>
        <v>住院医嘱</v>
      </c>
      <c r="E1061" s="183" t="str">
        <f>VLOOKUP(F1061,数据集标准分类!A:C,3,0)</f>
        <v>030101</v>
      </c>
      <c r="F1061" s="170" t="s">
        <v>2770</v>
      </c>
      <c r="G1061" s="183" t="str">
        <f>VLOOKUP(F1061,数据集标准分类!A:B,2,0)</f>
        <v>inpatient_med_order</v>
      </c>
      <c r="H1061" s="294">
        <f>VLOOKUP(F1061,数据集标准分类!A:H,8,0)</f>
        <v>49</v>
      </c>
      <c r="I1061" s="170" t="s">
        <v>2711</v>
      </c>
      <c r="J1061" s="170" t="s">
        <v>2712</v>
      </c>
      <c r="K1061" s="170" t="s">
        <v>2713</v>
      </c>
      <c r="L1061" s="170" t="s">
        <v>2714</v>
      </c>
      <c r="M1061" s="170" t="s">
        <v>2715</v>
      </c>
      <c r="N1061" s="294">
        <v>10</v>
      </c>
      <c r="O1061" s="170"/>
    </row>
    <row r="1062" ht="15.75" customHeight="1" spans="1:15">
      <c r="A1062" s="183" t="str">
        <f>VLOOKUP(F1062,数据集标准分类!A:G,7,0)</f>
        <v>03</v>
      </c>
      <c r="B1062" s="183" t="str">
        <f>VLOOKUP(F1062,数据集标准分类!A:F,6,0)</f>
        <v>医嘱处方</v>
      </c>
      <c r="C1062" s="183" t="str">
        <f>VLOOKUP(F1062,数据集标准分类!A:E,5,0)</f>
        <v>0301</v>
      </c>
      <c r="D1062" s="183" t="str">
        <f>VLOOKUP(F1062,数据集标准分类!A:D,4,0)</f>
        <v>住院医嘱</v>
      </c>
      <c r="E1062" s="183" t="str">
        <f>VLOOKUP(F1062,数据集标准分类!A:C,3,0)</f>
        <v>030101</v>
      </c>
      <c r="F1062" s="170" t="s">
        <v>2770</v>
      </c>
      <c r="G1062" s="183" t="str">
        <f>VLOOKUP(F1062,数据集标准分类!A:B,2,0)</f>
        <v>inpatient_med_order</v>
      </c>
      <c r="H1062" s="294">
        <f>VLOOKUP(F1062,数据集标准分类!A:H,8,0)</f>
        <v>49</v>
      </c>
      <c r="I1062" s="170" t="s">
        <v>2706</v>
      </c>
      <c r="J1062" s="170" t="s">
        <v>2707</v>
      </c>
      <c r="K1062" s="170" t="s">
        <v>2708</v>
      </c>
      <c r="L1062" s="170" t="s">
        <v>2709</v>
      </c>
      <c r="M1062" s="170" t="s">
        <v>2710</v>
      </c>
      <c r="N1062" s="294">
        <v>10</v>
      </c>
      <c r="O1062" s="170"/>
    </row>
    <row r="1063" ht="15.75" customHeight="1" spans="1:15">
      <c r="A1063" s="183" t="str">
        <f>VLOOKUP(F1063,数据集标准分类!A:G,7,0)</f>
        <v>03</v>
      </c>
      <c r="B1063" s="183" t="str">
        <f>VLOOKUP(F1063,数据集标准分类!A:F,6,0)</f>
        <v>医嘱处方</v>
      </c>
      <c r="C1063" s="183" t="str">
        <f>VLOOKUP(F1063,数据集标准分类!A:E,5,0)</f>
        <v>0301</v>
      </c>
      <c r="D1063" s="183" t="str">
        <f>VLOOKUP(F1063,数据集标准分类!A:D,4,0)</f>
        <v>住院医嘱</v>
      </c>
      <c r="E1063" s="183" t="str">
        <f>VLOOKUP(F1063,数据集标准分类!A:C,3,0)</f>
        <v>030101</v>
      </c>
      <c r="F1063" s="170" t="s">
        <v>2770</v>
      </c>
      <c r="G1063" s="183" t="str">
        <f>VLOOKUP(F1063,数据集标准分类!A:B,2,0)</f>
        <v>inpatient_med_order</v>
      </c>
      <c r="H1063" s="294">
        <f>VLOOKUP(F1063,数据集标准分类!A:H,8,0)</f>
        <v>49</v>
      </c>
      <c r="I1063" s="170" t="s">
        <v>2784</v>
      </c>
      <c r="J1063" s="170" t="s">
        <v>2785</v>
      </c>
      <c r="K1063" s="170" t="s">
        <v>2786</v>
      </c>
      <c r="L1063" s="170" t="s">
        <v>2787</v>
      </c>
      <c r="M1063" s="170" t="s">
        <v>2788</v>
      </c>
      <c r="N1063" s="294">
        <v>11</v>
      </c>
      <c r="O1063" s="170"/>
    </row>
    <row r="1064" ht="15.75" customHeight="1" spans="1:15">
      <c r="A1064" s="183" t="str">
        <f>VLOOKUP(F1064,数据集标准分类!A:G,7,0)</f>
        <v>03</v>
      </c>
      <c r="B1064" s="183" t="str">
        <f>VLOOKUP(F1064,数据集标准分类!A:F,6,0)</f>
        <v>医嘱处方</v>
      </c>
      <c r="C1064" s="183" t="str">
        <f>VLOOKUP(F1064,数据集标准分类!A:E,5,0)</f>
        <v>0301</v>
      </c>
      <c r="D1064" s="183" t="str">
        <f>VLOOKUP(F1064,数据集标准分类!A:D,4,0)</f>
        <v>住院医嘱</v>
      </c>
      <c r="E1064" s="183" t="str">
        <f>VLOOKUP(F1064,数据集标准分类!A:C,3,0)</f>
        <v>030101</v>
      </c>
      <c r="F1064" s="170" t="s">
        <v>2770</v>
      </c>
      <c r="G1064" s="183" t="str">
        <f>VLOOKUP(F1064,数据集标准分类!A:B,2,0)</f>
        <v>inpatient_med_order</v>
      </c>
      <c r="H1064" s="294">
        <f>VLOOKUP(F1064,数据集标准分类!A:H,8,0)</f>
        <v>49</v>
      </c>
      <c r="I1064" s="170" t="s">
        <v>2789</v>
      </c>
      <c r="J1064" s="170" t="s">
        <v>2790</v>
      </c>
      <c r="K1064" s="170" t="s">
        <v>2791</v>
      </c>
      <c r="L1064" s="170" t="s">
        <v>2792</v>
      </c>
      <c r="M1064" s="170" t="s">
        <v>2793</v>
      </c>
      <c r="N1064" s="294">
        <v>12</v>
      </c>
      <c r="O1064" s="170"/>
    </row>
    <row r="1065" ht="15.75" customHeight="1" spans="1:15">
      <c r="A1065" s="183" t="str">
        <f>VLOOKUP(F1065,数据集标准分类!A:G,7,0)</f>
        <v>03</v>
      </c>
      <c r="B1065" s="183" t="str">
        <f>VLOOKUP(F1065,数据集标准分类!A:F,6,0)</f>
        <v>医嘱处方</v>
      </c>
      <c r="C1065" s="183" t="str">
        <f>VLOOKUP(F1065,数据集标准分类!A:E,5,0)</f>
        <v>0301</v>
      </c>
      <c r="D1065" s="183" t="str">
        <f>VLOOKUP(F1065,数据集标准分类!A:D,4,0)</f>
        <v>住院医嘱</v>
      </c>
      <c r="E1065" s="183" t="str">
        <f>VLOOKUP(F1065,数据集标准分类!A:C,3,0)</f>
        <v>030101</v>
      </c>
      <c r="F1065" s="170" t="s">
        <v>2770</v>
      </c>
      <c r="G1065" s="183" t="str">
        <f>VLOOKUP(F1065,数据集标准分类!A:B,2,0)</f>
        <v>inpatient_med_order</v>
      </c>
      <c r="H1065" s="294">
        <f>VLOOKUP(F1065,数据集标准分类!A:H,8,0)</f>
        <v>49</v>
      </c>
      <c r="I1065" s="170" t="s">
        <v>2794</v>
      </c>
      <c r="J1065" s="170" t="s">
        <v>2795</v>
      </c>
      <c r="K1065" s="170" t="s">
        <v>2796</v>
      </c>
      <c r="L1065" s="170" t="s">
        <v>2797</v>
      </c>
      <c r="M1065" s="170" t="s">
        <v>2798</v>
      </c>
      <c r="N1065" s="294">
        <v>13</v>
      </c>
      <c r="O1065" s="170"/>
    </row>
    <row r="1066" ht="15.75" customHeight="1" spans="1:15">
      <c r="A1066" s="183" t="str">
        <f>VLOOKUP(F1066,数据集标准分类!A:G,7,0)</f>
        <v>03</v>
      </c>
      <c r="B1066" s="183" t="str">
        <f>VLOOKUP(F1066,数据集标准分类!A:F,6,0)</f>
        <v>医嘱处方</v>
      </c>
      <c r="C1066" s="183" t="str">
        <f>VLOOKUP(F1066,数据集标准分类!A:E,5,0)</f>
        <v>0301</v>
      </c>
      <c r="D1066" s="183" t="str">
        <f>VLOOKUP(F1066,数据集标准分类!A:D,4,0)</f>
        <v>住院医嘱</v>
      </c>
      <c r="E1066" s="183" t="str">
        <f>VLOOKUP(F1066,数据集标准分类!A:C,3,0)</f>
        <v>030101</v>
      </c>
      <c r="F1066" s="170" t="s">
        <v>2770</v>
      </c>
      <c r="G1066" s="183" t="str">
        <f>VLOOKUP(F1066,数据集标准分类!A:B,2,0)</f>
        <v>inpatient_med_order</v>
      </c>
      <c r="H1066" s="294">
        <f>VLOOKUP(F1066,数据集标准分类!A:H,8,0)</f>
        <v>49</v>
      </c>
      <c r="I1066" s="170" t="s">
        <v>2799</v>
      </c>
      <c r="J1066" s="170" t="s">
        <v>2800</v>
      </c>
      <c r="K1066" s="170" t="s">
        <v>2801</v>
      </c>
      <c r="L1066" s="170" t="s">
        <v>2802</v>
      </c>
      <c r="M1066" s="170"/>
      <c r="N1066" s="294">
        <v>14</v>
      </c>
      <c r="O1066" s="170"/>
    </row>
    <row r="1067" ht="15.75" customHeight="1" spans="1:15">
      <c r="A1067" s="183" t="str">
        <f>VLOOKUP(F1067,数据集标准分类!A:G,7,0)</f>
        <v>03</v>
      </c>
      <c r="B1067" s="183" t="str">
        <f>VLOOKUP(F1067,数据集标准分类!A:F,6,0)</f>
        <v>医嘱处方</v>
      </c>
      <c r="C1067" s="183" t="str">
        <f>VLOOKUP(F1067,数据集标准分类!A:E,5,0)</f>
        <v>0301</v>
      </c>
      <c r="D1067" s="183" t="str">
        <f>VLOOKUP(F1067,数据集标准分类!A:D,4,0)</f>
        <v>住院医嘱</v>
      </c>
      <c r="E1067" s="183" t="str">
        <f>VLOOKUP(F1067,数据集标准分类!A:C,3,0)</f>
        <v>030101</v>
      </c>
      <c r="F1067" s="170" t="s">
        <v>2770</v>
      </c>
      <c r="G1067" s="183" t="str">
        <f>VLOOKUP(F1067,数据集标准分类!A:B,2,0)</f>
        <v>inpatient_med_order</v>
      </c>
      <c r="H1067" s="294">
        <f>VLOOKUP(F1067,数据集标准分类!A:H,8,0)</f>
        <v>49</v>
      </c>
      <c r="I1067" s="170" t="s">
        <v>1702</v>
      </c>
      <c r="J1067" s="170" t="s">
        <v>1703</v>
      </c>
      <c r="K1067" s="170" t="s">
        <v>1703</v>
      </c>
      <c r="L1067" s="170" t="s">
        <v>2803</v>
      </c>
      <c r="M1067" s="170"/>
      <c r="N1067" s="294">
        <v>15</v>
      </c>
      <c r="O1067" s="170"/>
    </row>
    <row r="1068" ht="15.75" customHeight="1" spans="1:15">
      <c r="A1068" s="183" t="str">
        <f>VLOOKUP(F1068,数据集标准分类!A:G,7,0)</f>
        <v>03</v>
      </c>
      <c r="B1068" s="183" t="str">
        <f>VLOOKUP(F1068,数据集标准分类!A:F,6,0)</f>
        <v>医嘱处方</v>
      </c>
      <c r="C1068" s="183" t="str">
        <f>VLOOKUP(F1068,数据集标准分类!A:E,5,0)</f>
        <v>0301</v>
      </c>
      <c r="D1068" s="183" t="str">
        <f>VLOOKUP(F1068,数据集标准分类!A:D,4,0)</f>
        <v>住院医嘱</v>
      </c>
      <c r="E1068" s="183" t="str">
        <f>VLOOKUP(F1068,数据集标准分类!A:C,3,0)</f>
        <v>030101</v>
      </c>
      <c r="F1068" s="170" t="s">
        <v>2770</v>
      </c>
      <c r="G1068" s="183" t="str">
        <f>VLOOKUP(F1068,数据集标准分类!A:B,2,0)</f>
        <v>inpatient_med_order</v>
      </c>
      <c r="H1068" s="294">
        <f>VLOOKUP(F1068,数据集标准分类!A:H,8,0)</f>
        <v>49</v>
      </c>
      <c r="I1068" s="170" t="s">
        <v>2804</v>
      </c>
      <c r="J1068" s="170" t="s">
        <v>2805</v>
      </c>
      <c r="K1068" s="170" t="s">
        <v>2806</v>
      </c>
      <c r="L1068" s="170" t="s">
        <v>2807</v>
      </c>
      <c r="M1068" s="170"/>
      <c r="N1068" s="294">
        <v>16</v>
      </c>
      <c r="O1068" s="170"/>
    </row>
    <row r="1069" ht="15.75" customHeight="1" spans="1:15">
      <c r="A1069" s="183" t="str">
        <f>VLOOKUP(F1069,数据集标准分类!A:G,7,0)</f>
        <v>03</v>
      </c>
      <c r="B1069" s="183" t="str">
        <f>VLOOKUP(F1069,数据集标准分类!A:F,6,0)</f>
        <v>医嘱处方</v>
      </c>
      <c r="C1069" s="183" t="str">
        <f>VLOOKUP(F1069,数据集标准分类!A:E,5,0)</f>
        <v>0301</v>
      </c>
      <c r="D1069" s="183" t="str">
        <f>VLOOKUP(F1069,数据集标准分类!A:D,4,0)</f>
        <v>住院医嘱</v>
      </c>
      <c r="E1069" s="183" t="str">
        <f>VLOOKUP(F1069,数据集标准分类!A:C,3,0)</f>
        <v>030101</v>
      </c>
      <c r="F1069" s="170" t="s">
        <v>2770</v>
      </c>
      <c r="G1069" s="183" t="str">
        <f>VLOOKUP(F1069,数据集标准分类!A:B,2,0)</f>
        <v>inpatient_med_order</v>
      </c>
      <c r="H1069" s="294">
        <f>VLOOKUP(F1069,数据集标准分类!A:H,8,0)</f>
        <v>49</v>
      </c>
      <c r="I1069" s="170" t="s">
        <v>2808</v>
      </c>
      <c r="J1069" s="170" t="s">
        <v>2809</v>
      </c>
      <c r="K1069" s="170" t="s">
        <v>2810</v>
      </c>
      <c r="L1069" s="170" t="s">
        <v>2811</v>
      </c>
      <c r="M1069" s="170"/>
      <c r="N1069" s="294">
        <v>17</v>
      </c>
      <c r="O1069" s="170"/>
    </row>
    <row r="1070" ht="15.75" customHeight="1" spans="1:15">
      <c r="A1070" s="183" t="str">
        <f>VLOOKUP(F1070,数据集标准分类!A:G,7,0)</f>
        <v>03</v>
      </c>
      <c r="B1070" s="183" t="str">
        <f>VLOOKUP(F1070,数据集标准分类!A:F,6,0)</f>
        <v>医嘱处方</v>
      </c>
      <c r="C1070" s="183" t="str">
        <f>VLOOKUP(F1070,数据集标准分类!A:E,5,0)</f>
        <v>0301</v>
      </c>
      <c r="D1070" s="183" t="str">
        <f>VLOOKUP(F1070,数据集标准分类!A:D,4,0)</f>
        <v>住院医嘱</v>
      </c>
      <c r="E1070" s="183" t="str">
        <f>VLOOKUP(F1070,数据集标准分类!A:C,3,0)</f>
        <v>030101</v>
      </c>
      <c r="F1070" s="170" t="s">
        <v>2770</v>
      </c>
      <c r="G1070" s="183" t="str">
        <f>VLOOKUP(F1070,数据集标准分类!A:B,2,0)</f>
        <v>inpatient_med_order</v>
      </c>
      <c r="H1070" s="294">
        <f>VLOOKUP(F1070,数据集标准分类!A:H,8,0)</f>
        <v>49</v>
      </c>
      <c r="I1070" s="170" t="s">
        <v>2812</v>
      </c>
      <c r="J1070" s="170" t="s">
        <v>2813</v>
      </c>
      <c r="K1070" s="170" t="s">
        <v>2814</v>
      </c>
      <c r="L1070" s="170" t="s">
        <v>2815</v>
      </c>
      <c r="M1070" s="170"/>
      <c r="N1070" s="294">
        <v>19</v>
      </c>
      <c r="O1070" s="170"/>
    </row>
    <row r="1071" ht="15.75" customHeight="1" spans="1:15">
      <c r="A1071" s="183" t="str">
        <f>VLOOKUP(F1071,数据集标准分类!A:G,7,0)</f>
        <v>03</v>
      </c>
      <c r="B1071" s="183" t="str">
        <f>VLOOKUP(F1071,数据集标准分类!A:F,6,0)</f>
        <v>医嘱处方</v>
      </c>
      <c r="C1071" s="183" t="str">
        <f>VLOOKUP(F1071,数据集标准分类!A:E,5,0)</f>
        <v>0301</v>
      </c>
      <c r="D1071" s="183" t="str">
        <f>VLOOKUP(F1071,数据集标准分类!A:D,4,0)</f>
        <v>住院医嘱</v>
      </c>
      <c r="E1071" s="183" t="str">
        <f>VLOOKUP(F1071,数据集标准分类!A:C,3,0)</f>
        <v>030101</v>
      </c>
      <c r="F1071" s="170" t="s">
        <v>2770</v>
      </c>
      <c r="G1071" s="183" t="str">
        <f>VLOOKUP(F1071,数据集标准分类!A:B,2,0)</f>
        <v>inpatient_med_order</v>
      </c>
      <c r="H1071" s="294">
        <f>VLOOKUP(F1071,数据集标准分类!A:H,8,0)</f>
        <v>49</v>
      </c>
      <c r="I1071" s="170" t="s">
        <v>2816</v>
      </c>
      <c r="J1071" s="170" t="s">
        <v>2817</v>
      </c>
      <c r="K1071" s="170" t="s">
        <v>2818</v>
      </c>
      <c r="L1071" s="170" t="s">
        <v>2819</v>
      </c>
      <c r="M1071" s="170"/>
      <c r="N1071" s="294">
        <v>20</v>
      </c>
      <c r="O1071" s="170"/>
    </row>
    <row r="1072" ht="15.75" customHeight="1" spans="1:15">
      <c r="A1072" s="183" t="str">
        <f>VLOOKUP(F1072,数据集标准分类!A:G,7,0)</f>
        <v>03</v>
      </c>
      <c r="B1072" s="183" t="str">
        <f>VLOOKUP(F1072,数据集标准分类!A:F,6,0)</f>
        <v>医嘱处方</v>
      </c>
      <c r="C1072" s="183" t="str">
        <f>VLOOKUP(F1072,数据集标准分类!A:E,5,0)</f>
        <v>0301</v>
      </c>
      <c r="D1072" s="183" t="str">
        <f>VLOOKUP(F1072,数据集标准分类!A:D,4,0)</f>
        <v>住院医嘱</v>
      </c>
      <c r="E1072" s="183" t="str">
        <f>VLOOKUP(F1072,数据集标准分类!A:C,3,0)</f>
        <v>030101</v>
      </c>
      <c r="F1072" s="170" t="s">
        <v>2770</v>
      </c>
      <c r="G1072" s="183" t="str">
        <f>VLOOKUP(F1072,数据集标准分类!A:B,2,0)</f>
        <v>inpatient_med_order</v>
      </c>
      <c r="H1072" s="294">
        <f>VLOOKUP(F1072,数据集标准分类!A:H,8,0)</f>
        <v>49</v>
      </c>
      <c r="I1072" s="170" t="s">
        <v>2820</v>
      </c>
      <c r="J1072" s="170" t="s">
        <v>2821</v>
      </c>
      <c r="K1072" s="170" t="s">
        <v>2822</v>
      </c>
      <c r="L1072" s="170" t="s">
        <v>2823</v>
      </c>
      <c r="M1072" s="170"/>
      <c r="N1072" s="294">
        <v>21</v>
      </c>
      <c r="O1072" s="170"/>
    </row>
    <row r="1073" ht="15.75" customHeight="1" spans="1:15">
      <c r="A1073" s="183" t="str">
        <f>VLOOKUP(F1073,数据集标准分类!A:G,7,0)</f>
        <v>03</v>
      </c>
      <c r="B1073" s="183" t="str">
        <f>VLOOKUP(F1073,数据集标准分类!A:F,6,0)</f>
        <v>医嘱处方</v>
      </c>
      <c r="C1073" s="183" t="str">
        <f>VLOOKUP(F1073,数据集标准分类!A:E,5,0)</f>
        <v>0301</v>
      </c>
      <c r="D1073" s="183" t="str">
        <f>VLOOKUP(F1073,数据集标准分类!A:D,4,0)</f>
        <v>住院医嘱</v>
      </c>
      <c r="E1073" s="183" t="str">
        <f>VLOOKUP(F1073,数据集标准分类!A:C,3,0)</f>
        <v>030102</v>
      </c>
      <c r="F1073" s="170" t="s">
        <v>2824</v>
      </c>
      <c r="G1073" s="183" t="str">
        <f>VLOOKUP(F1073,数据集标准分类!A:B,2,0)</f>
        <v>inp_wmd_prescription</v>
      </c>
      <c r="H1073" s="294">
        <f>VLOOKUP(F1073,数据集标准分类!A:H,8,0)</f>
        <v>50</v>
      </c>
      <c r="I1073" s="170" t="s">
        <v>197</v>
      </c>
      <c r="J1073" s="170" t="s">
        <v>198</v>
      </c>
      <c r="K1073" s="170" t="s">
        <v>2074</v>
      </c>
      <c r="L1073" s="170" t="s">
        <v>199</v>
      </c>
      <c r="M1073" s="170" t="s">
        <v>2019</v>
      </c>
      <c r="N1073" s="294">
        <v>1</v>
      </c>
      <c r="O1073" s="170"/>
    </row>
    <row r="1074" ht="15.75" customHeight="1" spans="1:15">
      <c r="A1074" s="183" t="str">
        <f>VLOOKUP(F1074,数据集标准分类!A:G,7,0)</f>
        <v>03</v>
      </c>
      <c r="B1074" s="183" t="str">
        <f>VLOOKUP(F1074,数据集标准分类!A:F,6,0)</f>
        <v>医嘱处方</v>
      </c>
      <c r="C1074" s="183" t="str">
        <f>VLOOKUP(F1074,数据集标准分类!A:E,5,0)</f>
        <v>0301</v>
      </c>
      <c r="D1074" s="183" t="str">
        <f>VLOOKUP(F1074,数据集标准分类!A:D,4,0)</f>
        <v>住院医嘱</v>
      </c>
      <c r="E1074" s="183" t="str">
        <f>VLOOKUP(F1074,数据集标准分类!A:C,3,0)</f>
        <v>030102</v>
      </c>
      <c r="F1074" s="170" t="s">
        <v>2824</v>
      </c>
      <c r="G1074" s="183" t="str">
        <f>VLOOKUP(F1074,数据集标准分类!A:B,2,0)</f>
        <v>inp_wmd_prescription</v>
      </c>
      <c r="H1074" s="294">
        <f>VLOOKUP(F1074,数据集标准分类!A:H,8,0)</f>
        <v>50</v>
      </c>
      <c r="I1074" s="170" t="s">
        <v>2086</v>
      </c>
      <c r="J1074" s="170" t="s">
        <v>2087</v>
      </c>
      <c r="K1074" s="170" t="s">
        <v>2088</v>
      </c>
      <c r="L1074" s="170" t="s">
        <v>2825</v>
      </c>
      <c r="M1074" s="170" t="s">
        <v>2089</v>
      </c>
      <c r="N1074" s="294">
        <v>2</v>
      </c>
      <c r="O1074" s="170"/>
    </row>
    <row r="1075" ht="15.75" customHeight="1" spans="1:15">
      <c r="A1075" s="183" t="str">
        <f>VLOOKUP(F1075,数据集标准分类!A:G,7,0)</f>
        <v>03</v>
      </c>
      <c r="B1075" s="183" t="str">
        <f>VLOOKUP(F1075,数据集标准分类!A:F,6,0)</f>
        <v>医嘱处方</v>
      </c>
      <c r="C1075" s="183" t="str">
        <f>VLOOKUP(F1075,数据集标准分类!A:E,5,0)</f>
        <v>0301</v>
      </c>
      <c r="D1075" s="183" t="str">
        <f>VLOOKUP(F1075,数据集标准分类!A:D,4,0)</f>
        <v>住院医嘱</v>
      </c>
      <c r="E1075" s="183" t="str">
        <f>VLOOKUP(F1075,数据集标准分类!A:C,3,0)</f>
        <v>030102</v>
      </c>
      <c r="F1075" s="170" t="s">
        <v>2824</v>
      </c>
      <c r="G1075" s="183" t="str">
        <f>VLOOKUP(F1075,数据集标准分类!A:B,2,0)</f>
        <v>inp_wmd_prescription</v>
      </c>
      <c r="H1075" s="294">
        <f>VLOOKUP(F1075,数据集标准分类!A:H,8,0)</f>
        <v>50</v>
      </c>
      <c r="I1075" s="170" t="s">
        <v>201</v>
      </c>
      <c r="J1075" s="170" t="s">
        <v>202</v>
      </c>
      <c r="K1075" s="170" t="s">
        <v>203</v>
      </c>
      <c r="L1075" s="170" t="s">
        <v>2826</v>
      </c>
      <c r="M1075" s="170" t="s">
        <v>2827</v>
      </c>
      <c r="N1075" s="294">
        <v>3</v>
      </c>
      <c r="O1075" s="170"/>
    </row>
    <row r="1076" ht="15.75" customHeight="1" spans="1:15">
      <c r="A1076" s="183" t="str">
        <f>VLOOKUP(F1076,数据集标准分类!A:G,7,0)</f>
        <v>03</v>
      </c>
      <c r="B1076" s="183" t="str">
        <f>VLOOKUP(F1076,数据集标准分类!A:F,6,0)</f>
        <v>医嘱处方</v>
      </c>
      <c r="C1076" s="183" t="str">
        <f>VLOOKUP(F1076,数据集标准分类!A:E,5,0)</f>
        <v>0301</v>
      </c>
      <c r="D1076" s="183" t="str">
        <f>VLOOKUP(F1076,数据集标准分类!A:D,4,0)</f>
        <v>住院医嘱</v>
      </c>
      <c r="E1076" s="183" t="str">
        <f>VLOOKUP(F1076,数据集标准分类!A:C,3,0)</f>
        <v>030102</v>
      </c>
      <c r="F1076" s="170" t="s">
        <v>2824</v>
      </c>
      <c r="G1076" s="183" t="str">
        <f>VLOOKUP(F1076,数据集标准分类!A:B,2,0)</f>
        <v>inp_wmd_prescription</v>
      </c>
      <c r="H1076" s="294">
        <f>VLOOKUP(F1076,数据集标准分类!A:H,8,0)</f>
        <v>50</v>
      </c>
      <c r="I1076" s="170" t="s">
        <v>2076</v>
      </c>
      <c r="J1076" s="170" t="s">
        <v>2077</v>
      </c>
      <c r="K1076" s="170" t="s">
        <v>2078</v>
      </c>
      <c r="L1076" s="170" t="s">
        <v>2079</v>
      </c>
      <c r="M1076" s="170" t="s">
        <v>2080</v>
      </c>
      <c r="N1076" s="294">
        <v>4</v>
      </c>
      <c r="O1076" s="170"/>
    </row>
    <row r="1077" ht="15.75" customHeight="1" spans="1:15">
      <c r="A1077" s="183" t="str">
        <f>VLOOKUP(F1077,数据集标准分类!A:G,7,0)</f>
        <v>03</v>
      </c>
      <c r="B1077" s="183" t="str">
        <f>VLOOKUP(F1077,数据集标准分类!A:F,6,0)</f>
        <v>医嘱处方</v>
      </c>
      <c r="C1077" s="183" t="str">
        <f>VLOOKUP(F1077,数据集标准分类!A:E,5,0)</f>
        <v>0301</v>
      </c>
      <c r="D1077" s="183" t="str">
        <f>VLOOKUP(F1077,数据集标准分类!A:D,4,0)</f>
        <v>住院医嘱</v>
      </c>
      <c r="E1077" s="183" t="str">
        <f>VLOOKUP(F1077,数据集标准分类!A:C,3,0)</f>
        <v>030102</v>
      </c>
      <c r="F1077" s="170" t="s">
        <v>2824</v>
      </c>
      <c r="G1077" s="183" t="str">
        <f>VLOOKUP(F1077,数据集标准分类!A:B,2,0)</f>
        <v>inp_wmd_prescription</v>
      </c>
      <c r="H1077" s="294">
        <f>VLOOKUP(F1077,数据集标准分类!A:H,8,0)</f>
        <v>50</v>
      </c>
      <c r="I1077" s="170" t="s">
        <v>2828</v>
      </c>
      <c r="J1077" s="170" t="s">
        <v>2829</v>
      </c>
      <c r="K1077" s="170" t="s">
        <v>2830</v>
      </c>
      <c r="L1077" s="170" t="s">
        <v>2831</v>
      </c>
      <c r="M1077" s="170" t="s">
        <v>2832</v>
      </c>
      <c r="N1077" s="294">
        <v>5</v>
      </c>
      <c r="O1077" s="170"/>
    </row>
    <row r="1078" ht="15.75" customHeight="1" spans="1:15">
      <c r="A1078" s="183" t="str">
        <f>VLOOKUP(F1078,数据集标准分类!A:G,7,0)</f>
        <v>03</v>
      </c>
      <c r="B1078" s="183" t="str">
        <f>VLOOKUP(F1078,数据集标准分类!A:F,6,0)</f>
        <v>医嘱处方</v>
      </c>
      <c r="C1078" s="183" t="str">
        <f>VLOOKUP(F1078,数据集标准分类!A:E,5,0)</f>
        <v>0301</v>
      </c>
      <c r="D1078" s="183" t="str">
        <f>VLOOKUP(F1078,数据集标准分类!A:D,4,0)</f>
        <v>住院医嘱</v>
      </c>
      <c r="E1078" s="183" t="str">
        <f>VLOOKUP(F1078,数据集标准分类!A:C,3,0)</f>
        <v>030102</v>
      </c>
      <c r="F1078" s="170" t="s">
        <v>2824</v>
      </c>
      <c r="G1078" s="183" t="str">
        <f>VLOOKUP(F1078,数据集标准分类!A:B,2,0)</f>
        <v>inp_wmd_prescription</v>
      </c>
      <c r="H1078" s="294">
        <f>VLOOKUP(F1078,数据集标准分类!A:H,8,0)</f>
        <v>50</v>
      </c>
      <c r="I1078" s="170" t="s">
        <v>2701</v>
      </c>
      <c r="J1078" s="170" t="s">
        <v>2702</v>
      </c>
      <c r="K1078" s="170" t="s">
        <v>2703</v>
      </c>
      <c r="L1078" s="170" t="s">
        <v>2704</v>
      </c>
      <c r="M1078" s="170" t="s">
        <v>2705</v>
      </c>
      <c r="N1078" s="294">
        <v>6</v>
      </c>
      <c r="O1078" s="170"/>
    </row>
    <row r="1079" ht="15.75" customHeight="1" spans="1:15">
      <c r="A1079" s="183" t="str">
        <f>VLOOKUP(F1079,数据集标准分类!A:G,7,0)</f>
        <v>03</v>
      </c>
      <c r="B1079" s="183" t="str">
        <f>VLOOKUP(F1079,数据集标准分类!A:F,6,0)</f>
        <v>医嘱处方</v>
      </c>
      <c r="C1079" s="183" t="str">
        <f>VLOOKUP(F1079,数据集标准分类!A:E,5,0)</f>
        <v>0301</v>
      </c>
      <c r="D1079" s="183" t="str">
        <f>VLOOKUP(F1079,数据集标准分类!A:D,4,0)</f>
        <v>住院医嘱</v>
      </c>
      <c r="E1079" s="183" t="str">
        <f>VLOOKUP(F1079,数据集标准分类!A:C,3,0)</f>
        <v>030102</v>
      </c>
      <c r="F1079" s="170" t="s">
        <v>2824</v>
      </c>
      <c r="G1079" s="183" t="str">
        <f>VLOOKUP(F1079,数据集标准分类!A:B,2,0)</f>
        <v>inp_wmd_prescription</v>
      </c>
      <c r="H1079" s="294">
        <f>VLOOKUP(F1079,数据集标准分类!A:H,8,0)</f>
        <v>50</v>
      </c>
      <c r="I1079" s="170" t="s">
        <v>1597</v>
      </c>
      <c r="J1079" s="170" t="s">
        <v>1598</v>
      </c>
      <c r="K1079" s="170" t="s">
        <v>1599</v>
      </c>
      <c r="L1079" s="170" t="s">
        <v>1600</v>
      </c>
      <c r="M1079" s="170" t="s">
        <v>2778</v>
      </c>
      <c r="N1079" s="294">
        <v>7</v>
      </c>
      <c r="O1079" s="170"/>
    </row>
    <row r="1080" ht="15.75" customHeight="1" spans="1:15">
      <c r="A1080" s="183" t="str">
        <f>VLOOKUP(F1080,数据集标准分类!A:G,7,0)</f>
        <v>03</v>
      </c>
      <c r="B1080" s="183" t="str">
        <f>VLOOKUP(F1080,数据集标准分类!A:F,6,0)</f>
        <v>医嘱处方</v>
      </c>
      <c r="C1080" s="183" t="str">
        <f>VLOOKUP(F1080,数据集标准分类!A:E,5,0)</f>
        <v>0302</v>
      </c>
      <c r="D1080" s="183" t="str">
        <f>VLOOKUP(F1080,数据集标准分类!A:D,4,0)</f>
        <v>门诊处方</v>
      </c>
      <c r="E1080" s="183" t="str">
        <f>VLOOKUP(F1080,数据集标准分类!A:C,3,0)</f>
        <v>030201</v>
      </c>
      <c r="F1080" s="170" t="s">
        <v>2833</v>
      </c>
      <c r="G1080" s="183" t="str">
        <f>VLOOKUP(F1080,数据集标准分类!A:B,2,0)</f>
        <v>wmd_prescription</v>
      </c>
      <c r="H1080" s="294">
        <f>VLOOKUP(F1080,数据集标准分类!A:H,8,0)</f>
        <v>51</v>
      </c>
      <c r="I1080" s="170" t="s">
        <v>1011</v>
      </c>
      <c r="J1080" s="170" t="s">
        <v>1012</v>
      </c>
      <c r="K1080" s="170" t="s">
        <v>1013</v>
      </c>
      <c r="L1080" s="170" t="s">
        <v>1014</v>
      </c>
      <c r="M1080" s="170" t="s">
        <v>2834</v>
      </c>
      <c r="N1080" s="294">
        <v>1</v>
      </c>
      <c r="O1080" s="170"/>
    </row>
    <row r="1081" ht="15.75" customHeight="1" spans="1:15">
      <c r="A1081" s="183" t="str">
        <f>VLOOKUP(F1081,数据集标准分类!A:G,7,0)</f>
        <v>03</v>
      </c>
      <c r="B1081" s="183" t="str">
        <f>VLOOKUP(F1081,数据集标准分类!A:F,6,0)</f>
        <v>医嘱处方</v>
      </c>
      <c r="C1081" s="183" t="str">
        <f>VLOOKUP(F1081,数据集标准分类!A:E,5,0)</f>
        <v>0302</v>
      </c>
      <c r="D1081" s="183" t="str">
        <f>VLOOKUP(F1081,数据集标准分类!A:D,4,0)</f>
        <v>门诊处方</v>
      </c>
      <c r="E1081" s="183" t="s">
        <v>2835</v>
      </c>
      <c r="F1081" s="170" t="s">
        <v>2833</v>
      </c>
      <c r="G1081" s="183" t="str">
        <f>VLOOKUP(F1081,数据集标准分类!A:B,2,0)</f>
        <v>wmd_prescription</v>
      </c>
      <c r="H1081" s="294">
        <f>VLOOKUP(F1081,数据集标准分类!A:H,8,0)</f>
        <v>51</v>
      </c>
      <c r="I1081" s="170" t="s">
        <v>2242</v>
      </c>
      <c r="J1081" s="170" t="s">
        <v>2243</v>
      </c>
      <c r="K1081" s="170" t="s">
        <v>2244</v>
      </c>
      <c r="L1081" s="170" t="s">
        <v>2836</v>
      </c>
      <c r="M1081" s="170" t="s">
        <v>2837</v>
      </c>
      <c r="N1081" s="294">
        <v>2</v>
      </c>
      <c r="O1081" s="170"/>
    </row>
    <row r="1082" ht="15.75" customHeight="1" spans="1:15">
      <c r="A1082" s="183" t="str">
        <f>VLOOKUP(F1082,数据集标准分类!A:G,7,0)</f>
        <v>03</v>
      </c>
      <c r="B1082" s="183" t="str">
        <f>VLOOKUP(F1082,数据集标准分类!A:F,6,0)</f>
        <v>医嘱处方</v>
      </c>
      <c r="C1082" s="183" t="str">
        <f>VLOOKUP(F1082,数据集标准分类!A:E,5,0)</f>
        <v>0302</v>
      </c>
      <c r="D1082" s="183" t="str">
        <f>VLOOKUP(F1082,数据集标准分类!A:D,4,0)</f>
        <v>门诊处方</v>
      </c>
      <c r="E1082" s="183" t="s">
        <v>2835</v>
      </c>
      <c r="F1082" s="170" t="s">
        <v>2833</v>
      </c>
      <c r="G1082" s="183" t="str">
        <f>VLOOKUP(F1082,数据集标准分类!A:B,2,0)</f>
        <v>wmd_prescription</v>
      </c>
      <c r="H1082" s="294">
        <f>VLOOKUP(F1082,数据集标准分类!A:H,8,0)</f>
        <v>51</v>
      </c>
      <c r="I1082" s="170" t="s">
        <v>172</v>
      </c>
      <c r="J1082" s="170" t="s">
        <v>173</v>
      </c>
      <c r="K1082" s="170" t="s">
        <v>174</v>
      </c>
      <c r="L1082" s="170" t="s">
        <v>175</v>
      </c>
      <c r="M1082" s="170" t="s">
        <v>1245</v>
      </c>
      <c r="N1082" s="294">
        <v>3</v>
      </c>
      <c r="O1082" s="170"/>
    </row>
    <row r="1083" ht="15.75" customHeight="1" spans="1:15">
      <c r="A1083" s="183" t="str">
        <f>VLOOKUP(F1083,数据集标准分类!A:G,7,0)</f>
        <v>03</v>
      </c>
      <c r="B1083" s="183" t="str">
        <f>VLOOKUP(F1083,数据集标准分类!A:F,6,0)</f>
        <v>医嘱处方</v>
      </c>
      <c r="C1083" s="183" t="str">
        <f>VLOOKUP(F1083,数据集标准分类!A:E,5,0)</f>
        <v>0302</v>
      </c>
      <c r="D1083" s="183" t="str">
        <f>VLOOKUP(F1083,数据集标准分类!A:D,4,0)</f>
        <v>门诊处方</v>
      </c>
      <c r="E1083" s="183" t="str">
        <f>VLOOKUP(F1083,数据集标准分类!A:C,3,0)</f>
        <v>030201</v>
      </c>
      <c r="F1083" s="170" t="s">
        <v>2833</v>
      </c>
      <c r="G1083" s="183" t="str">
        <f>VLOOKUP(F1083,数据集标准分类!A:B,2,0)</f>
        <v>wmd_prescription</v>
      </c>
      <c r="H1083" s="294">
        <f>VLOOKUP(F1083,数据集标准分类!A:H,8,0)</f>
        <v>51</v>
      </c>
      <c r="I1083" s="170" t="s">
        <v>197</v>
      </c>
      <c r="J1083" s="170" t="s">
        <v>198</v>
      </c>
      <c r="K1083" s="170" t="s">
        <v>2074</v>
      </c>
      <c r="L1083" s="170" t="s">
        <v>199</v>
      </c>
      <c r="M1083" s="170" t="s">
        <v>2019</v>
      </c>
      <c r="N1083" s="294">
        <v>4</v>
      </c>
      <c r="O1083" s="170"/>
    </row>
    <row r="1084" ht="15.75" customHeight="1" spans="1:15">
      <c r="A1084" s="183" t="str">
        <f>VLOOKUP(F1084,数据集标准分类!A:G,7,0)</f>
        <v>03</v>
      </c>
      <c r="B1084" s="183" t="str">
        <f>VLOOKUP(F1084,数据集标准分类!A:F,6,0)</f>
        <v>医嘱处方</v>
      </c>
      <c r="C1084" s="183" t="str">
        <f>VLOOKUP(F1084,数据集标准分类!A:E,5,0)</f>
        <v>0302</v>
      </c>
      <c r="D1084" s="183" t="str">
        <f>VLOOKUP(F1084,数据集标准分类!A:D,4,0)</f>
        <v>门诊处方</v>
      </c>
      <c r="E1084" s="183" t="str">
        <f>VLOOKUP(F1084,数据集标准分类!A:C,3,0)</f>
        <v>030201</v>
      </c>
      <c r="F1084" s="170" t="s">
        <v>2833</v>
      </c>
      <c r="G1084" s="183" t="s">
        <v>2838</v>
      </c>
      <c r="H1084" s="294">
        <f>VLOOKUP(F1084,数据集标准分类!A:H,8,0)</f>
        <v>51</v>
      </c>
      <c r="I1084" s="170" t="s">
        <v>2828</v>
      </c>
      <c r="J1084" s="170" t="s">
        <v>2829</v>
      </c>
      <c r="K1084" s="170" t="s">
        <v>2830</v>
      </c>
      <c r="L1084" s="170" t="s">
        <v>2831</v>
      </c>
      <c r="M1084" s="170" t="s">
        <v>2832</v>
      </c>
      <c r="N1084" s="294">
        <v>5</v>
      </c>
      <c r="O1084" s="170"/>
    </row>
    <row r="1085" ht="15.75" customHeight="1" spans="1:15">
      <c r="A1085" s="183" t="str">
        <f>VLOOKUP(F1085,数据集标准分类!A:G,7,0)</f>
        <v>03</v>
      </c>
      <c r="B1085" s="183" t="str">
        <f>VLOOKUP(F1085,数据集标准分类!A:F,6,0)</f>
        <v>医嘱处方</v>
      </c>
      <c r="C1085" s="183" t="str">
        <f>VLOOKUP(F1085,数据集标准分类!A:E,5,0)</f>
        <v>0302</v>
      </c>
      <c r="D1085" s="183" t="str">
        <f>VLOOKUP(F1085,数据集标准分类!A:D,4,0)</f>
        <v>门诊处方</v>
      </c>
      <c r="E1085" s="183" t="str">
        <f>VLOOKUP(F1085,数据集标准分类!A:C,3,0)</f>
        <v>030201</v>
      </c>
      <c r="F1085" s="170" t="s">
        <v>2833</v>
      </c>
      <c r="G1085" s="183" t="str">
        <f>VLOOKUP(F1085,数据集标准分类!A:B,2,0)</f>
        <v>wmd_prescription</v>
      </c>
      <c r="H1085" s="294">
        <f>VLOOKUP(F1085,数据集标准分类!A:H,8,0)</f>
        <v>51</v>
      </c>
      <c r="I1085" s="170" t="s">
        <v>2633</v>
      </c>
      <c r="J1085" s="170" t="s">
        <v>2634</v>
      </c>
      <c r="K1085" s="170" t="s">
        <v>2635</v>
      </c>
      <c r="L1085" s="170" t="s">
        <v>2636</v>
      </c>
      <c r="M1085" s="170" t="s">
        <v>2637</v>
      </c>
      <c r="N1085" s="294">
        <v>6</v>
      </c>
      <c r="O1085" s="170"/>
    </row>
    <row r="1086" ht="15.75" customHeight="1" spans="1:15">
      <c r="A1086" s="183" t="str">
        <f>VLOOKUP(F1086,数据集标准分类!A:G,7,0)</f>
        <v>03</v>
      </c>
      <c r="B1086" s="183" t="str">
        <f>VLOOKUP(F1086,数据集标准分类!A:F,6,0)</f>
        <v>医嘱处方</v>
      </c>
      <c r="C1086" s="183" t="str">
        <f>VLOOKUP(F1086,数据集标准分类!A:E,5,0)</f>
        <v>0302</v>
      </c>
      <c r="D1086" s="183" t="str">
        <f>VLOOKUP(F1086,数据集标准分类!A:D,4,0)</f>
        <v>门诊处方</v>
      </c>
      <c r="E1086" s="183" t="str">
        <f>VLOOKUP(F1086,数据集标准分类!A:C,3,0)</f>
        <v>030201</v>
      </c>
      <c r="F1086" s="170" t="s">
        <v>2833</v>
      </c>
      <c r="G1086" s="183" t="str">
        <f>VLOOKUP(F1086,数据集标准分类!A:B,2,0)</f>
        <v>wmd_prescription</v>
      </c>
      <c r="H1086" s="294">
        <f>VLOOKUP(F1086,数据集标准分类!A:H,8,0)</f>
        <v>51</v>
      </c>
      <c r="I1086" s="170" t="s">
        <v>2086</v>
      </c>
      <c r="J1086" s="170" t="s">
        <v>2087</v>
      </c>
      <c r="K1086" s="170" t="s">
        <v>2088</v>
      </c>
      <c r="L1086" s="170" t="s">
        <v>2089</v>
      </c>
      <c r="M1086" s="170" t="s">
        <v>2090</v>
      </c>
      <c r="N1086" s="294">
        <v>7</v>
      </c>
      <c r="O1086" s="170"/>
    </row>
    <row r="1087" ht="15.75" customHeight="1" spans="1:15">
      <c r="A1087" s="183" t="str">
        <f>VLOOKUP(F1087,数据集标准分类!A:G,7,0)</f>
        <v>03</v>
      </c>
      <c r="B1087" s="183" t="str">
        <f>VLOOKUP(F1087,数据集标准分类!A:F,6,0)</f>
        <v>医嘱处方</v>
      </c>
      <c r="C1087" s="183" t="str">
        <f>VLOOKUP(F1087,数据集标准分类!A:E,5,0)</f>
        <v>0302</v>
      </c>
      <c r="D1087" s="183" t="str">
        <f>VLOOKUP(F1087,数据集标准分类!A:D,4,0)</f>
        <v>门诊处方</v>
      </c>
      <c r="E1087" s="183" t="str">
        <f>VLOOKUP(F1087,数据集标准分类!A:C,3,0)</f>
        <v>030201</v>
      </c>
      <c r="F1087" s="170" t="s">
        <v>2833</v>
      </c>
      <c r="G1087" s="183" t="str">
        <f>VLOOKUP(F1087,数据集标准分类!A:B,2,0)</f>
        <v>wmd_prescription</v>
      </c>
      <c r="H1087" s="294">
        <f>VLOOKUP(F1087,数据集标准分类!A:H,8,0)</f>
        <v>51</v>
      </c>
      <c r="I1087" s="170" t="s">
        <v>2081</v>
      </c>
      <c r="J1087" s="170" t="s">
        <v>2082</v>
      </c>
      <c r="K1087" s="170" t="s">
        <v>2083</v>
      </c>
      <c r="L1087" s="170" t="s">
        <v>2084</v>
      </c>
      <c r="M1087" s="170" t="s">
        <v>2085</v>
      </c>
      <c r="N1087" s="294">
        <v>8</v>
      </c>
      <c r="O1087" s="170"/>
    </row>
    <row r="1088" ht="15.75" customHeight="1" spans="1:15">
      <c r="A1088" s="183" t="str">
        <f>VLOOKUP(F1088,数据集标准分类!A:G,7,0)</f>
        <v>03</v>
      </c>
      <c r="B1088" s="183" t="str">
        <f>VLOOKUP(F1088,数据集标准分类!A:F,6,0)</f>
        <v>医嘱处方</v>
      </c>
      <c r="C1088" s="183" t="str">
        <f>VLOOKUP(F1088,数据集标准分类!A:E,5,0)</f>
        <v>0302</v>
      </c>
      <c r="D1088" s="183" t="str">
        <f>VLOOKUP(F1088,数据集标准分类!A:D,4,0)</f>
        <v>门诊处方</v>
      </c>
      <c r="E1088" s="183" t="str">
        <f>VLOOKUP(F1088,数据集标准分类!A:C,3,0)</f>
        <v>030201</v>
      </c>
      <c r="F1088" s="170" t="s">
        <v>2833</v>
      </c>
      <c r="G1088" s="183" t="str">
        <f>VLOOKUP(F1088,数据集标准分类!A:B,2,0)</f>
        <v>wmd_prescription</v>
      </c>
      <c r="H1088" s="294">
        <f>VLOOKUP(F1088,数据集标准分类!A:H,8,0)</f>
        <v>51</v>
      </c>
      <c r="I1088" s="170" t="s">
        <v>2076</v>
      </c>
      <c r="J1088" s="170" t="s">
        <v>2077</v>
      </c>
      <c r="K1088" s="170" t="s">
        <v>2078</v>
      </c>
      <c r="L1088" s="170" t="s">
        <v>2079</v>
      </c>
      <c r="M1088" s="170" t="s">
        <v>2080</v>
      </c>
      <c r="N1088" s="294">
        <v>9</v>
      </c>
      <c r="O1088" s="170"/>
    </row>
    <row r="1089" ht="15.75" customHeight="1" spans="1:15">
      <c r="A1089" s="183" t="str">
        <f>VLOOKUP(F1089,数据集标准分类!A:G,7,0)</f>
        <v>03</v>
      </c>
      <c r="B1089" s="183" t="str">
        <f>VLOOKUP(F1089,数据集标准分类!A:F,6,0)</f>
        <v>医嘱处方</v>
      </c>
      <c r="C1089" s="183" t="str">
        <f>VLOOKUP(F1089,数据集标准分类!A:E,5,0)</f>
        <v>0302</v>
      </c>
      <c r="D1089" s="183" t="str">
        <f>VLOOKUP(F1089,数据集标准分类!A:D,4,0)</f>
        <v>门诊处方</v>
      </c>
      <c r="E1089" s="183" t="str">
        <f>VLOOKUP(F1089,数据集标准分类!A:C,3,0)</f>
        <v>030201</v>
      </c>
      <c r="F1089" s="170" t="s">
        <v>2833</v>
      </c>
      <c r="G1089" s="183" t="str">
        <f>VLOOKUP(F1089,数据集标准分类!A:B,2,0)</f>
        <v>wmd_prescription</v>
      </c>
      <c r="H1089" s="294">
        <f>VLOOKUP(F1089,数据集标准分类!A:H,8,0)</f>
        <v>51</v>
      </c>
      <c r="I1089" s="170" t="s">
        <v>2096</v>
      </c>
      <c r="J1089" s="170" t="s">
        <v>2097</v>
      </c>
      <c r="K1089" s="170" t="s">
        <v>2098</v>
      </c>
      <c r="L1089" s="170" t="s">
        <v>2099</v>
      </c>
      <c r="M1089" s="170" t="s">
        <v>2100</v>
      </c>
      <c r="N1089" s="294">
        <v>10</v>
      </c>
      <c r="O1089" s="170"/>
    </row>
    <row r="1090" ht="15.75" customHeight="1" spans="1:15">
      <c r="A1090" s="183" t="str">
        <f>VLOOKUP(F1090,数据集标准分类!A:G,7,0)</f>
        <v>03</v>
      </c>
      <c r="B1090" s="183" t="str">
        <f>VLOOKUP(F1090,数据集标准分类!A:F,6,0)</f>
        <v>医嘱处方</v>
      </c>
      <c r="C1090" s="183" t="str">
        <f>VLOOKUP(F1090,数据集标准分类!A:E,5,0)</f>
        <v>0302</v>
      </c>
      <c r="D1090" s="183" t="str">
        <f>VLOOKUP(F1090,数据集标准分类!A:D,4,0)</f>
        <v>门诊处方</v>
      </c>
      <c r="E1090" s="183" t="str">
        <f>VLOOKUP(F1090,数据集标准分类!A:C,3,0)</f>
        <v>030201</v>
      </c>
      <c r="F1090" s="170" t="s">
        <v>2833</v>
      </c>
      <c r="G1090" s="183" t="s">
        <v>2838</v>
      </c>
      <c r="H1090" s="294">
        <f>VLOOKUP(F1090,数据集标准分类!A:H,8,0)</f>
        <v>51</v>
      </c>
      <c r="I1090" s="170" t="s">
        <v>2091</v>
      </c>
      <c r="J1090" s="170" t="s">
        <v>2092</v>
      </c>
      <c r="K1090" s="170" t="s">
        <v>2093</v>
      </c>
      <c r="L1090" s="170" t="s">
        <v>2094</v>
      </c>
      <c r="M1090" s="170" t="s">
        <v>2095</v>
      </c>
      <c r="N1090" s="294">
        <v>11</v>
      </c>
      <c r="O1090" s="170"/>
    </row>
    <row r="1091" ht="15.75" customHeight="1" spans="1:15">
      <c r="A1091" s="183" t="str">
        <f>VLOOKUP(F1091,数据集标准分类!A:G,7,0)</f>
        <v>03</v>
      </c>
      <c r="B1091" s="183" t="str">
        <f>VLOOKUP(F1091,数据集标准分类!A:F,6,0)</f>
        <v>医嘱处方</v>
      </c>
      <c r="C1091" s="183" t="str">
        <f>VLOOKUP(F1091,数据集标准分类!A:E,5,0)</f>
        <v>0302</v>
      </c>
      <c r="D1091" s="183" t="str">
        <f>VLOOKUP(F1091,数据集标准分类!A:D,4,0)</f>
        <v>门诊处方</v>
      </c>
      <c r="E1091" s="183" t="str">
        <f>VLOOKUP(F1091,数据集标准分类!A:C,3,0)</f>
        <v>030201</v>
      </c>
      <c r="F1091" s="170" t="s">
        <v>2833</v>
      </c>
      <c r="G1091" s="183" t="str">
        <f>VLOOKUP(F1091,数据集标准分类!A:B,2,0)</f>
        <v>wmd_prescription</v>
      </c>
      <c r="H1091" s="294">
        <f>VLOOKUP(F1091,数据集标准分类!A:H,8,0)</f>
        <v>51</v>
      </c>
      <c r="I1091" s="170" t="s">
        <v>2839</v>
      </c>
      <c r="J1091" s="170" t="s">
        <v>2840</v>
      </c>
      <c r="K1091" s="170" t="s">
        <v>2841</v>
      </c>
      <c r="L1091" s="170" t="s">
        <v>2842</v>
      </c>
      <c r="M1091" s="170" t="s">
        <v>2843</v>
      </c>
      <c r="N1091" s="294">
        <v>12</v>
      </c>
      <c r="O1091" s="170"/>
    </row>
    <row r="1092" ht="15.75" customHeight="1" spans="1:15">
      <c r="A1092" s="183" t="str">
        <f>VLOOKUP(F1092,数据集标准分类!A:G,7,0)</f>
        <v>03</v>
      </c>
      <c r="B1092" s="183" t="str">
        <f>VLOOKUP(F1092,数据集标准分类!A:F,6,0)</f>
        <v>医嘱处方</v>
      </c>
      <c r="C1092" s="183" t="str">
        <f>VLOOKUP(F1092,数据集标准分类!A:E,5,0)</f>
        <v>0302</v>
      </c>
      <c r="D1092" s="183" t="str">
        <f>VLOOKUP(F1092,数据集标准分类!A:D,4,0)</f>
        <v>门诊处方</v>
      </c>
      <c r="E1092" s="183" t="str">
        <f>VLOOKUP(F1092,数据集标准分类!A:C,3,0)</f>
        <v>030201</v>
      </c>
      <c r="F1092" s="170" t="s">
        <v>2833</v>
      </c>
      <c r="G1092" s="183" t="str">
        <f>VLOOKUP(F1092,数据集标准分类!A:B,2,0)</f>
        <v>wmd_prescription</v>
      </c>
      <c r="H1092" s="294">
        <f>VLOOKUP(F1092,数据集标准分类!A:H,8,0)</f>
        <v>51</v>
      </c>
      <c r="I1092" s="170" t="s">
        <v>1921</v>
      </c>
      <c r="J1092" s="170" t="s">
        <v>1922</v>
      </c>
      <c r="K1092" s="170" t="s">
        <v>1923</v>
      </c>
      <c r="L1092" s="170" t="s">
        <v>1924</v>
      </c>
      <c r="M1092" s="170" t="s">
        <v>2844</v>
      </c>
      <c r="N1092" s="294">
        <v>13</v>
      </c>
      <c r="O1092" s="170"/>
    </row>
    <row r="1093" ht="15.75" customHeight="1" spans="1:15">
      <c r="A1093" s="183" t="str">
        <f>VLOOKUP(F1093,数据集标准分类!A:G,7,0)</f>
        <v>03</v>
      </c>
      <c r="B1093" s="183" t="str">
        <f>VLOOKUP(F1093,数据集标准分类!A:F,6,0)</f>
        <v>医嘱处方</v>
      </c>
      <c r="C1093" s="183" t="str">
        <f>VLOOKUP(F1093,数据集标准分类!A:E,5,0)</f>
        <v>0302</v>
      </c>
      <c r="D1093" s="183" t="str">
        <f>VLOOKUP(F1093,数据集标准分类!A:D,4,0)</f>
        <v>门诊处方</v>
      </c>
      <c r="E1093" s="183" t="str">
        <f>VLOOKUP(F1093,数据集标准分类!A:C,3,0)</f>
        <v>030202</v>
      </c>
      <c r="F1093" s="170" t="s">
        <v>2845</v>
      </c>
      <c r="G1093" s="183" t="s">
        <v>2846</v>
      </c>
      <c r="H1093" s="294">
        <f>VLOOKUP(F1093,数据集标准分类!A:H,8,0)</f>
        <v>52</v>
      </c>
      <c r="I1093" s="170" t="s">
        <v>2847</v>
      </c>
      <c r="J1093" s="170" t="s">
        <v>2848</v>
      </c>
      <c r="K1093" s="170" t="s">
        <v>2849</v>
      </c>
      <c r="L1093" s="170" t="s">
        <v>2850</v>
      </c>
      <c r="M1093" s="170" t="s">
        <v>2851</v>
      </c>
      <c r="N1093" s="294">
        <v>1</v>
      </c>
      <c r="O1093" s="170"/>
    </row>
    <row r="1094" ht="15.75" customHeight="1" spans="1:15">
      <c r="A1094" s="183" t="str">
        <f>VLOOKUP(F1094,数据集标准分类!A:G,7,0)</f>
        <v>03</v>
      </c>
      <c r="B1094" s="183" t="str">
        <f>VLOOKUP(F1094,数据集标准分类!A:F,6,0)</f>
        <v>医嘱处方</v>
      </c>
      <c r="C1094" s="183" t="str">
        <f>VLOOKUP(F1094,数据集标准分类!A:E,5,0)</f>
        <v>0302</v>
      </c>
      <c r="D1094" s="183" t="str">
        <f>VLOOKUP(F1094,数据集标准分类!A:D,4,0)</f>
        <v>门诊处方</v>
      </c>
      <c r="E1094" s="183" t="str">
        <f>VLOOKUP(F1094,数据集标准分类!A:C,3,0)</f>
        <v>030202</v>
      </c>
      <c r="F1094" s="170" t="s">
        <v>2845</v>
      </c>
      <c r="G1094" s="183" t="str">
        <f>VLOOKUP(F1094,数据集标准分类!A:B,2,0)</f>
        <v>chm_prescription</v>
      </c>
      <c r="H1094" s="294">
        <f>VLOOKUP(F1094,数据集标准分类!A:H,8,0)</f>
        <v>52</v>
      </c>
      <c r="I1094" s="170" t="s">
        <v>1011</v>
      </c>
      <c r="J1094" s="170" t="s">
        <v>1012</v>
      </c>
      <c r="K1094" s="170" t="s">
        <v>1013</v>
      </c>
      <c r="L1094" s="170" t="s">
        <v>1014</v>
      </c>
      <c r="M1094" s="170" t="s">
        <v>2834</v>
      </c>
      <c r="N1094" s="294">
        <v>2</v>
      </c>
      <c r="O1094" s="170"/>
    </row>
    <row r="1095" ht="15.75" customHeight="1" spans="1:15">
      <c r="A1095" s="183" t="str">
        <f>VLOOKUP(F1095,数据集标准分类!A:G,7,0)</f>
        <v>03</v>
      </c>
      <c r="B1095" s="183" t="str">
        <f>VLOOKUP(F1095,数据集标准分类!A:F,6,0)</f>
        <v>医嘱处方</v>
      </c>
      <c r="C1095" s="183" t="str">
        <f>VLOOKUP(F1095,数据集标准分类!A:E,5,0)</f>
        <v>0302</v>
      </c>
      <c r="D1095" s="183" t="str">
        <f>VLOOKUP(F1095,数据集标准分类!A:D,4,0)</f>
        <v>门诊处方</v>
      </c>
      <c r="E1095" s="183" t="str">
        <f>VLOOKUP(F1095,数据集标准分类!A:C,3,0)</f>
        <v>030202</v>
      </c>
      <c r="F1095" s="170" t="s">
        <v>2845</v>
      </c>
      <c r="G1095" s="183" t="str">
        <f>VLOOKUP(F1095,数据集标准分类!A:B,2,0)</f>
        <v>chm_prescription</v>
      </c>
      <c r="H1095" s="294">
        <f>VLOOKUP(F1095,数据集标准分类!A:H,8,0)</f>
        <v>52</v>
      </c>
      <c r="I1095" s="170" t="s">
        <v>2852</v>
      </c>
      <c r="J1095" s="170" t="s">
        <v>2853</v>
      </c>
      <c r="K1095" s="170" t="s">
        <v>2854</v>
      </c>
      <c r="L1095" s="170" t="s">
        <v>2855</v>
      </c>
      <c r="M1095" s="170" t="s">
        <v>2837</v>
      </c>
      <c r="N1095" s="294">
        <v>3</v>
      </c>
      <c r="O1095" s="170"/>
    </row>
    <row r="1096" ht="15.75" customHeight="1" spans="1:15">
      <c r="A1096" s="183" t="str">
        <f>VLOOKUP(F1096,数据集标准分类!A:G,7,0)</f>
        <v>03</v>
      </c>
      <c r="B1096" s="183" t="str">
        <f>VLOOKUP(F1096,数据集标准分类!A:F,6,0)</f>
        <v>医嘱处方</v>
      </c>
      <c r="C1096" s="183" t="str">
        <f>VLOOKUP(F1096,数据集标准分类!A:E,5,0)</f>
        <v>0302</v>
      </c>
      <c r="D1096" s="183" t="str">
        <f>VLOOKUP(F1096,数据集标准分类!A:D,4,0)</f>
        <v>门诊处方</v>
      </c>
      <c r="E1096" s="183" t="str">
        <f>VLOOKUP(F1096,数据集标准分类!A:C,3,0)</f>
        <v>030202</v>
      </c>
      <c r="F1096" s="170" t="s">
        <v>2845</v>
      </c>
      <c r="G1096" s="183" t="str">
        <f>VLOOKUP(F1096,数据集标准分类!A:B,2,0)</f>
        <v>chm_prescription</v>
      </c>
      <c r="H1096" s="294">
        <f>VLOOKUP(F1096,数据集标准分类!A:H,8,0)</f>
        <v>52</v>
      </c>
      <c r="I1096" s="170" t="s">
        <v>172</v>
      </c>
      <c r="J1096" s="170" t="s">
        <v>173</v>
      </c>
      <c r="K1096" s="170" t="s">
        <v>174</v>
      </c>
      <c r="L1096" s="170" t="s">
        <v>175</v>
      </c>
      <c r="M1096" s="170" t="s">
        <v>176</v>
      </c>
      <c r="N1096" s="294">
        <v>4</v>
      </c>
      <c r="O1096" s="170"/>
    </row>
    <row r="1097" ht="15.75" customHeight="1" spans="1:15">
      <c r="A1097" s="183" t="str">
        <f>VLOOKUP(F1097,数据集标准分类!A:G,7,0)</f>
        <v>03</v>
      </c>
      <c r="B1097" s="183" t="str">
        <f>VLOOKUP(F1097,数据集标准分类!A:F,6,0)</f>
        <v>医嘱处方</v>
      </c>
      <c r="C1097" s="183" t="str">
        <f>VLOOKUP(F1097,数据集标准分类!A:E,5,0)</f>
        <v>0302</v>
      </c>
      <c r="D1097" s="183" t="str">
        <f>VLOOKUP(F1097,数据集标准分类!A:D,4,0)</f>
        <v>门诊处方</v>
      </c>
      <c r="E1097" s="183" t="str">
        <f>VLOOKUP(F1097,数据集标准分类!A:C,3,0)</f>
        <v>030202</v>
      </c>
      <c r="F1097" s="170" t="s">
        <v>2845</v>
      </c>
      <c r="G1097" s="183" t="str">
        <f>VLOOKUP(F1097,数据集标准分类!A:B,2,0)</f>
        <v>chm_prescription</v>
      </c>
      <c r="H1097" s="294">
        <f>VLOOKUP(F1097,数据集标准分类!A:H,8,0)</f>
        <v>52</v>
      </c>
      <c r="I1097" s="170" t="s">
        <v>177</v>
      </c>
      <c r="J1097" s="170" t="s">
        <v>178</v>
      </c>
      <c r="K1097" s="170" t="s">
        <v>179</v>
      </c>
      <c r="L1097" s="170" t="s">
        <v>180</v>
      </c>
      <c r="M1097" s="170" t="s">
        <v>181</v>
      </c>
      <c r="N1097" s="294">
        <v>5</v>
      </c>
      <c r="O1097" s="170"/>
    </row>
    <row r="1098" ht="15.75" customHeight="1" spans="1:15">
      <c r="A1098" s="183" t="str">
        <f>VLOOKUP(F1098,数据集标准分类!A:G,7,0)</f>
        <v>03</v>
      </c>
      <c r="B1098" s="183" t="str">
        <f>VLOOKUP(F1098,数据集标准分类!A:F,6,0)</f>
        <v>医嘱处方</v>
      </c>
      <c r="C1098" s="183" t="str">
        <f>VLOOKUP(F1098,数据集标准分类!A:E,5,0)</f>
        <v>0302</v>
      </c>
      <c r="D1098" s="183" t="str">
        <f>VLOOKUP(F1098,数据集标准分类!A:D,4,0)</f>
        <v>门诊处方</v>
      </c>
      <c r="E1098" s="183" t="str">
        <f>VLOOKUP(F1098,数据集标准分类!A:C,3,0)</f>
        <v>030202</v>
      </c>
      <c r="F1098" s="170" t="s">
        <v>2845</v>
      </c>
      <c r="G1098" s="183" t="str">
        <f>VLOOKUP(F1098,数据集标准分类!A:B,2,0)</f>
        <v>chm_prescription</v>
      </c>
      <c r="H1098" s="294">
        <f>VLOOKUP(F1098,数据集标准分类!A:H,8,0)</f>
        <v>52</v>
      </c>
      <c r="I1098" s="170" t="s">
        <v>182</v>
      </c>
      <c r="J1098" s="170" t="s">
        <v>183</v>
      </c>
      <c r="K1098" s="170" t="s">
        <v>184</v>
      </c>
      <c r="L1098" s="170" t="s">
        <v>185</v>
      </c>
      <c r="M1098" s="170" t="s">
        <v>186</v>
      </c>
      <c r="N1098" s="294">
        <v>6</v>
      </c>
      <c r="O1098" s="170"/>
    </row>
    <row r="1099" ht="15.75" customHeight="1" spans="1:15">
      <c r="A1099" s="183" t="str">
        <f>VLOOKUP(F1099,数据集标准分类!A:G,7,0)</f>
        <v>03</v>
      </c>
      <c r="B1099" s="183" t="str">
        <f>VLOOKUP(F1099,数据集标准分类!A:F,6,0)</f>
        <v>医嘱处方</v>
      </c>
      <c r="C1099" s="183" t="str">
        <f>VLOOKUP(F1099,数据集标准分类!A:E,5,0)</f>
        <v>0302</v>
      </c>
      <c r="D1099" s="183" t="str">
        <f>VLOOKUP(F1099,数据集标准分类!A:D,4,0)</f>
        <v>门诊处方</v>
      </c>
      <c r="E1099" s="183" t="str">
        <f>VLOOKUP(F1099,数据集标准分类!A:C,3,0)</f>
        <v>030202</v>
      </c>
      <c r="F1099" s="170" t="s">
        <v>2845</v>
      </c>
      <c r="G1099" s="183" t="str">
        <f>VLOOKUP(F1099,数据集标准分类!A:B,2,0)</f>
        <v>chm_prescription</v>
      </c>
      <c r="H1099" s="294">
        <f>VLOOKUP(F1099,数据集标准分类!A:H,8,0)</f>
        <v>52</v>
      </c>
      <c r="I1099" s="170" t="s">
        <v>197</v>
      </c>
      <c r="J1099" s="170" t="s">
        <v>198</v>
      </c>
      <c r="K1099" s="170" t="s">
        <v>2074</v>
      </c>
      <c r="L1099" s="170" t="s">
        <v>199</v>
      </c>
      <c r="M1099" s="170" t="s">
        <v>2019</v>
      </c>
      <c r="N1099" s="294">
        <v>7</v>
      </c>
      <c r="O1099" s="170"/>
    </row>
    <row r="1100" ht="15.75" customHeight="1" spans="1:15">
      <c r="A1100" s="183" t="str">
        <f>VLOOKUP(F1100,数据集标准分类!A:G,7,0)</f>
        <v>03</v>
      </c>
      <c r="B1100" s="183" t="str">
        <f>VLOOKUP(F1100,数据集标准分类!A:F,6,0)</f>
        <v>医嘱处方</v>
      </c>
      <c r="C1100" s="183" t="str">
        <f>VLOOKUP(F1100,数据集标准分类!A:E,5,0)</f>
        <v>0302</v>
      </c>
      <c r="D1100" s="183" t="str">
        <f>VLOOKUP(F1100,数据集标准分类!A:D,4,0)</f>
        <v>门诊处方</v>
      </c>
      <c r="E1100" s="183" t="str">
        <f>VLOOKUP(F1100,数据集标准分类!A:C,3,0)</f>
        <v>030202</v>
      </c>
      <c r="F1100" s="170" t="s">
        <v>2845</v>
      </c>
      <c r="G1100" s="183" t="str">
        <f>VLOOKUP(F1100,数据集标准分类!A:B,2,0)</f>
        <v>chm_prescription</v>
      </c>
      <c r="H1100" s="294">
        <f>VLOOKUP(F1100,数据集标准分类!A:H,8,0)</f>
        <v>52</v>
      </c>
      <c r="I1100" s="170" t="s">
        <v>2828</v>
      </c>
      <c r="J1100" s="170" t="s">
        <v>2829</v>
      </c>
      <c r="K1100" s="170" t="s">
        <v>2830</v>
      </c>
      <c r="L1100" s="170" t="s">
        <v>2831</v>
      </c>
      <c r="M1100" s="170" t="s">
        <v>2832</v>
      </c>
      <c r="N1100" s="294">
        <v>8</v>
      </c>
      <c r="O1100" s="170"/>
    </row>
    <row r="1101" ht="15.75" customHeight="1" spans="1:15">
      <c r="A1101" s="183" t="str">
        <f>VLOOKUP(F1101,数据集标准分类!A:G,7,0)</f>
        <v>03</v>
      </c>
      <c r="B1101" s="183" t="str">
        <f>VLOOKUP(F1101,数据集标准分类!A:F,6,0)</f>
        <v>医嘱处方</v>
      </c>
      <c r="C1101" s="183" t="str">
        <f>VLOOKUP(F1101,数据集标准分类!A:E,5,0)</f>
        <v>0302</v>
      </c>
      <c r="D1101" s="183" t="str">
        <f>VLOOKUP(F1101,数据集标准分类!A:D,4,0)</f>
        <v>门诊处方</v>
      </c>
      <c r="E1101" s="183" t="str">
        <f>VLOOKUP(F1101,数据集标准分类!A:C,3,0)</f>
        <v>030202</v>
      </c>
      <c r="F1101" s="170" t="s">
        <v>2845</v>
      </c>
      <c r="G1101" s="183" t="str">
        <f>VLOOKUP(F1101,数据集标准分类!A:B,2,0)</f>
        <v>chm_prescription</v>
      </c>
      <c r="H1101" s="294">
        <f>VLOOKUP(F1101,数据集标准分类!A:H,8,0)</f>
        <v>52</v>
      </c>
      <c r="I1101" s="170" t="s">
        <v>2633</v>
      </c>
      <c r="J1101" s="170" t="s">
        <v>2634</v>
      </c>
      <c r="K1101" s="170" t="s">
        <v>2635</v>
      </c>
      <c r="L1101" s="170" t="s">
        <v>2636</v>
      </c>
      <c r="M1101" s="170" t="s">
        <v>2637</v>
      </c>
      <c r="N1101" s="294">
        <v>9</v>
      </c>
      <c r="O1101" s="170"/>
    </row>
    <row r="1102" ht="15.75" customHeight="1" spans="1:15">
      <c r="A1102" s="183" t="str">
        <f>VLOOKUP(F1102,数据集标准分类!A:G,7,0)</f>
        <v>03</v>
      </c>
      <c r="B1102" s="183" t="str">
        <f>VLOOKUP(F1102,数据集标准分类!A:F,6,0)</f>
        <v>医嘱处方</v>
      </c>
      <c r="C1102" s="183" t="str">
        <f>VLOOKUP(F1102,数据集标准分类!A:E,5,0)</f>
        <v>0302</v>
      </c>
      <c r="D1102" s="183" t="str">
        <f>VLOOKUP(F1102,数据集标准分类!A:D,4,0)</f>
        <v>门诊处方</v>
      </c>
      <c r="E1102" s="183" t="str">
        <f>VLOOKUP(F1102,数据集标准分类!A:C,3,0)</f>
        <v>030202</v>
      </c>
      <c r="F1102" s="170" t="s">
        <v>2845</v>
      </c>
      <c r="G1102" s="183" t="str">
        <f>VLOOKUP(F1102,数据集标准分类!A:B,2,0)</f>
        <v>chm_prescription</v>
      </c>
      <c r="H1102" s="294">
        <f>VLOOKUP(F1102,数据集标准分类!A:H,8,0)</f>
        <v>52</v>
      </c>
      <c r="I1102" s="170" t="s">
        <v>2086</v>
      </c>
      <c r="J1102" s="170" t="s">
        <v>2087</v>
      </c>
      <c r="K1102" s="170" t="s">
        <v>2088</v>
      </c>
      <c r="L1102" s="170" t="s">
        <v>2089</v>
      </c>
      <c r="M1102" s="170" t="s">
        <v>2090</v>
      </c>
      <c r="N1102" s="294">
        <v>10</v>
      </c>
      <c r="O1102" s="170"/>
    </row>
    <row r="1103" ht="15.75" customHeight="1" spans="1:15">
      <c r="A1103" s="183" t="str">
        <f>VLOOKUP(F1103,数据集标准分类!A:G,7,0)</f>
        <v>03</v>
      </c>
      <c r="B1103" s="183" t="str">
        <f>VLOOKUP(F1103,数据集标准分类!A:F,6,0)</f>
        <v>医嘱处方</v>
      </c>
      <c r="C1103" s="183" t="str">
        <f>VLOOKUP(F1103,数据集标准分类!A:E,5,0)</f>
        <v>0302</v>
      </c>
      <c r="D1103" s="183" t="str">
        <f>VLOOKUP(F1103,数据集标准分类!A:D,4,0)</f>
        <v>门诊处方</v>
      </c>
      <c r="E1103" s="183" t="str">
        <f>VLOOKUP(F1103,数据集标准分类!A:C,3,0)</f>
        <v>030202</v>
      </c>
      <c r="F1103" s="170" t="s">
        <v>2845</v>
      </c>
      <c r="G1103" s="183" t="str">
        <f>VLOOKUP(F1103,数据集标准分类!A:B,2,0)</f>
        <v>chm_prescription</v>
      </c>
      <c r="H1103" s="294">
        <f>VLOOKUP(F1103,数据集标准分类!A:H,8,0)</f>
        <v>52</v>
      </c>
      <c r="I1103" s="170" t="s">
        <v>2081</v>
      </c>
      <c r="J1103" s="170" t="s">
        <v>2082</v>
      </c>
      <c r="K1103" s="170" t="s">
        <v>2083</v>
      </c>
      <c r="L1103" s="170" t="s">
        <v>2084</v>
      </c>
      <c r="M1103" s="170" t="s">
        <v>2085</v>
      </c>
      <c r="N1103" s="294">
        <v>11</v>
      </c>
      <c r="O1103" s="170"/>
    </row>
    <row r="1104" ht="15.75" customHeight="1" spans="1:15">
      <c r="A1104" s="183" t="str">
        <f>VLOOKUP(F1104,数据集标准分类!A:G,7,0)</f>
        <v>03</v>
      </c>
      <c r="B1104" s="183" t="str">
        <f>VLOOKUP(F1104,数据集标准分类!A:F,6,0)</f>
        <v>医嘱处方</v>
      </c>
      <c r="C1104" s="183" t="str">
        <f>VLOOKUP(F1104,数据集标准分类!A:E,5,0)</f>
        <v>0302</v>
      </c>
      <c r="D1104" s="183" t="str">
        <f>VLOOKUP(F1104,数据集标准分类!A:D,4,0)</f>
        <v>门诊处方</v>
      </c>
      <c r="E1104" s="183" t="str">
        <f>VLOOKUP(F1104,数据集标准分类!A:C,3,0)</f>
        <v>030202</v>
      </c>
      <c r="F1104" s="170" t="s">
        <v>2845</v>
      </c>
      <c r="G1104" s="183" t="str">
        <f>VLOOKUP(F1104,数据集标准分类!A:B,2,0)</f>
        <v>chm_prescription</v>
      </c>
      <c r="H1104" s="294">
        <f>VLOOKUP(F1104,数据集标准分类!A:H,8,0)</f>
        <v>52</v>
      </c>
      <c r="I1104" s="170" t="s">
        <v>2076</v>
      </c>
      <c r="J1104" s="170" t="s">
        <v>2077</v>
      </c>
      <c r="K1104" s="170" t="s">
        <v>2078</v>
      </c>
      <c r="L1104" s="170" t="s">
        <v>2079</v>
      </c>
      <c r="M1104" s="170" t="s">
        <v>2080</v>
      </c>
      <c r="N1104" s="294">
        <v>12</v>
      </c>
      <c r="O1104" s="170"/>
    </row>
    <row r="1105" ht="15.75" customHeight="1" spans="1:15">
      <c r="A1105" s="183" t="str">
        <f>VLOOKUP(F1105,数据集标准分类!A:G,7,0)</f>
        <v>03</v>
      </c>
      <c r="B1105" s="183" t="str">
        <f>VLOOKUP(F1105,数据集标准分类!A:F,6,0)</f>
        <v>医嘱处方</v>
      </c>
      <c r="C1105" s="183" t="str">
        <f>VLOOKUP(F1105,数据集标准分类!A:E,5,0)</f>
        <v>0302</v>
      </c>
      <c r="D1105" s="183" t="str">
        <f>VLOOKUP(F1105,数据集标准分类!A:D,4,0)</f>
        <v>门诊处方</v>
      </c>
      <c r="E1105" s="183" t="str">
        <f>VLOOKUP(F1105,数据集标准分类!A:C,3,0)</f>
        <v>030202</v>
      </c>
      <c r="F1105" s="170" t="s">
        <v>2845</v>
      </c>
      <c r="G1105" s="183" t="str">
        <f>VLOOKUP(F1105,数据集标准分类!A:B,2,0)</f>
        <v>chm_prescription</v>
      </c>
      <c r="H1105" s="294">
        <f>VLOOKUP(F1105,数据集标准分类!A:H,8,0)</f>
        <v>52</v>
      </c>
      <c r="I1105" s="170" t="s">
        <v>2096</v>
      </c>
      <c r="J1105" s="170" t="s">
        <v>2097</v>
      </c>
      <c r="K1105" s="170" t="s">
        <v>2098</v>
      </c>
      <c r="L1105" s="170" t="s">
        <v>2099</v>
      </c>
      <c r="M1105" s="170" t="s">
        <v>2100</v>
      </c>
      <c r="N1105" s="294">
        <v>13</v>
      </c>
      <c r="O1105" s="170"/>
    </row>
    <row r="1106" ht="15.75" customHeight="1" spans="1:15">
      <c r="A1106" s="183" t="str">
        <f>VLOOKUP(F1106,数据集标准分类!A:G,7,0)</f>
        <v>03</v>
      </c>
      <c r="B1106" s="183" t="str">
        <f>VLOOKUP(F1106,数据集标准分类!A:F,6,0)</f>
        <v>医嘱处方</v>
      </c>
      <c r="C1106" s="183" t="str">
        <f>VLOOKUP(F1106,数据集标准分类!A:E,5,0)</f>
        <v>0302</v>
      </c>
      <c r="D1106" s="183" t="str">
        <f>VLOOKUP(F1106,数据集标准分类!A:D,4,0)</f>
        <v>门诊处方</v>
      </c>
      <c r="E1106" s="183" t="str">
        <f>VLOOKUP(F1106,数据集标准分类!A:C,3,0)</f>
        <v>030202</v>
      </c>
      <c r="F1106" s="170" t="s">
        <v>2845</v>
      </c>
      <c r="G1106" s="183" t="str">
        <f>VLOOKUP(F1106,数据集标准分类!A:B,2,0)</f>
        <v>chm_prescription</v>
      </c>
      <c r="H1106" s="294">
        <f>VLOOKUP(F1106,数据集标准分类!A:H,8,0)</f>
        <v>52</v>
      </c>
      <c r="I1106" s="170" t="s">
        <v>2091</v>
      </c>
      <c r="J1106" s="170" t="s">
        <v>2092</v>
      </c>
      <c r="K1106" s="170" t="s">
        <v>2093</v>
      </c>
      <c r="L1106" s="170" t="s">
        <v>2094</v>
      </c>
      <c r="M1106" s="170" t="s">
        <v>2095</v>
      </c>
      <c r="N1106" s="294">
        <v>14</v>
      </c>
      <c r="O1106" s="170"/>
    </row>
    <row r="1107" ht="15.75" customHeight="1" spans="1:15">
      <c r="A1107" s="183" t="str">
        <f>VLOOKUP(F1107,数据集标准分类!A:G,7,0)</f>
        <v>03</v>
      </c>
      <c r="B1107" s="183" t="str">
        <f>VLOOKUP(F1107,数据集标准分类!A:F,6,0)</f>
        <v>医嘱处方</v>
      </c>
      <c r="C1107" s="183" t="str">
        <f>VLOOKUP(F1107,数据集标准分类!A:E,5,0)</f>
        <v>0302</v>
      </c>
      <c r="D1107" s="183" t="str">
        <f>VLOOKUP(F1107,数据集标准分类!A:D,4,0)</f>
        <v>门诊处方</v>
      </c>
      <c r="E1107" s="183" t="str">
        <f>VLOOKUP(F1107,数据集标准分类!A:C,3,0)</f>
        <v>030202</v>
      </c>
      <c r="F1107" s="170" t="s">
        <v>2845</v>
      </c>
      <c r="G1107" s="183" t="str">
        <f>VLOOKUP(F1107,数据集标准分类!A:B,2,0)</f>
        <v>chm_prescription</v>
      </c>
      <c r="H1107" s="294">
        <f>VLOOKUP(F1107,数据集标准分类!A:H,8,0)</f>
        <v>52</v>
      </c>
      <c r="I1107" s="170" t="s">
        <v>2856</v>
      </c>
      <c r="J1107" s="170" t="s">
        <v>2857</v>
      </c>
      <c r="K1107" s="170" t="s">
        <v>2858</v>
      </c>
      <c r="L1107" s="170" t="s">
        <v>2859</v>
      </c>
      <c r="M1107" s="170" t="s">
        <v>2860</v>
      </c>
      <c r="N1107" s="294">
        <v>15</v>
      </c>
      <c r="O1107" s="170"/>
    </row>
    <row r="1108" ht="15.75" customHeight="1" spans="1:15">
      <c r="A1108" s="183" t="str">
        <f>VLOOKUP(F1108,数据集标准分类!A:G,7,0)</f>
        <v>03</v>
      </c>
      <c r="B1108" s="183" t="str">
        <f>VLOOKUP(F1108,数据集标准分类!A:F,6,0)</f>
        <v>医嘱处方</v>
      </c>
      <c r="C1108" s="183" t="str">
        <f>VLOOKUP(F1108,数据集标准分类!A:E,5,0)</f>
        <v>0302</v>
      </c>
      <c r="D1108" s="183" t="str">
        <f>VLOOKUP(F1108,数据集标准分类!A:D,4,0)</f>
        <v>门诊处方</v>
      </c>
      <c r="E1108" s="183" t="str">
        <f>VLOOKUP(F1108,数据集标准分类!A:C,3,0)</f>
        <v>030202</v>
      </c>
      <c r="F1108" s="170" t="s">
        <v>2845</v>
      </c>
      <c r="G1108" s="183" t="str">
        <f>VLOOKUP(F1108,数据集标准分类!A:B,2,0)</f>
        <v>chm_prescription</v>
      </c>
      <c r="H1108" s="294">
        <f>VLOOKUP(F1108,数据集标准分类!A:H,8,0)</f>
        <v>52</v>
      </c>
      <c r="I1108" s="170" t="s">
        <v>2861</v>
      </c>
      <c r="J1108" s="170" t="s">
        <v>2862</v>
      </c>
      <c r="K1108" s="170" t="s">
        <v>2863</v>
      </c>
      <c r="L1108" s="170" t="s">
        <v>2864</v>
      </c>
      <c r="M1108" s="170" t="s">
        <v>2865</v>
      </c>
      <c r="N1108" s="294">
        <v>16</v>
      </c>
      <c r="O1108" s="170"/>
    </row>
    <row r="1109" ht="15.75" customHeight="1" spans="1:15">
      <c r="A1109" s="183" t="str">
        <f>VLOOKUP(F1109,数据集标准分类!A:G,7,0)</f>
        <v>03</v>
      </c>
      <c r="B1109" s="183" t="str">
        <f>VLOOKUP(F1109,数据集标准分类!A:F,6,0)</f>
        <v>医嘱处方</v>
      </c>
      <c r="C1109" s="183" t="str">
        <f>VLOOKUP(F1109,数据集标准分类!A:E,5,0)</f>
        <v>0302</v>
      </c>
      <c r="D1109" s="183" t="str">
        <f>VLOOKUP(F1109,数据集标准分类!A:D,4,0)</f>
        <v>门诊处方</v>
      </c>
      <c r="E1109" s="183" t="str">
        <f>VLOOKUP(F1109,数据集标准分类!A:C,3,0)</f>
        <v>030202</v>
      </c>
      <c r="F1109" s="170" t="s">
        <v>2845</v>
      </c>
      <c r="G1109" s="183" t="str">
        <f>VLOOKUP(F1109,数据集标准分类!A:B,2,0)</f>
        <v>chm_prescription</v>
      </c>
      <c r="H1109" s="294">
        <f>VLOOKUP(F1109,数据集标准分类!A:H,8,0)</f>
        <v>52</v>
      </c>
      <c r="I1109" s="170" t="s">
        <v>1109</v>
      </c>
      <c r="J1109" s="170" t="s">
        <v>1110</v>
      </c>
      <c r="K1109" s="170" t="s">
        <v>1111</v>
      </c>
      <c r="L1109" s="170" t="s">
        <v>1112</v>
      </c>
      <c r="M1109" s="170" t="s">
        <v>2866</v>
      </c>
      <c r="N1109" s="294">
        <v>17</v>
      </c>
      <c r="O1109" s="170"/>
    </row>
    <row r="1110" ht="15.75" customHeight="1" spans="1:15">
      <c r="A1110" s="183" t="str">
        <f>VLOOKUP(F1110,数据集标准分类!A:G,7,0)</f>
        <v>03</v>
      </c>
      <c r="B1110" s="183" t="str">
        <f>VLOOKUP(F1110,数据集标准分类!A:F,6,0)</f>
        <v>医嘱处方</v>
      </c>
      <c r="C1110" s="183" t="str">
        <f>VLOOKUP(F1110,数据集标准分类!A:E,5,0)</f>
        <v>0302</v>
      </c>
      <c r="D1110" s="183" t="str">
        <f>VLOOKUP(F1110,数据集标准分类!A:D,4,0)</f>
        <v>门诊处方</v>
      </c>
      <c r="E1110" s="183" t="str">
        <f>VLOOKUP(F1110,数据集标准分类!A:C,3,0)</f>
        <v>030202</v>
      </c>
      <c r="F1110" s="170" t="s">
        <v>2845</v>
      </c>
      <c r="G1110" s="183" t="str">
        <f>VLOOKUP(F1110,数据集标准分类!A:B,2,0)</f>
        <v>chm_prescription</v>
      </c>
      <c r="H1110" s="294">
        <f>VLOOKUP(F1110,数据集标准分类!A:H,8,0)</f>
        <v>52</v>
      </c>
      <c r="I1110" s="170" t="s">
        <v>201</v>
      </c>
      <c r="J1110" s="170" t="s">
        <v>202</v>
      </c>
      <c r="K1110" s="170" t="s">
        <v>203</v>
      </c>
      <c r="L1110" s="170" t="s">
        <v>204</v>
      </c>
      <c r="M1110" s="170" t="s">
        <v>1114</v>
      </c>
      <c r="N1110" s="294">
        <v>18</v>
      </c>
      <c r="O1110" s="170"/>
    </row>
    <row r="1111" ht="15.75" customHeight="1" spans="1:15">
      <c r="A1111" s="183" t="str">
        <f>VLOOKUP(F1111,数据集标准分类!A:G,7,0)</f>
        <v>03</v>
      </c>
      <c r="B1111" s="183" t="str">
        <f>VLOOKUP(F1111,数据集标准分类!A:F,6,0)</f>
        <v>医嘱处方</v>
      </c>
      <c r="C1111" s="183" t="str">
        <f>VLOOKUP(F1111,数据集标准分类!A:E,5,0)</f>
        <v>0302</v>
      </c>
      <c r="D1111" s="183" t="str">
        <f>VLOOKUP(F1111,数据集标准分类!A:D,4,0)</f>
        <v>门诊处方</v>
      </c>
      <c r="E1111" s="183" t="str">
        <f>VLOOKUP(F1111,数据集标准分类!A:C,3,0)</f>
        <v>030202</v>
      </c>
      <c r="F1111" s="170" t="s">
        <v>2845</v>
      </c>
      <c r="G1111" s="183" t="str">
        <f>VLOOKUP(F1111,数据集标准分类!A:B,2,0)</f>
        <v>chm_prescription</v>
      </c>
      <c r="H1111" s="294">
        <f>VLOOKUP(F1111,数据集标准分类!A:H,8,0)</f>
        <v>52</v>
      </c>
      <c r="I1111" s="170" t="s">
        <v>789</v>
      </c>
      <c r="J1111" s="170" t="s">
        <v>790</v>
      </c>
      <c r="K1111" s="170" t="s">
        <v>790</v>
      </c>
      <c r="L1111" s="170" t="s">
        <v>791</v>
      </c>
      <c r="M1111" s="170" t="s">
        <v>792</v>
      </c>
      <c r="N1111" s="294">
        <v>19</v>
      </c>
      <c r="O1111" s="170"/>
    </row>
    <row r="1112" ht="15.75" customHeight="1" spans="1:15">
      <c r="A1112" s="183" t="str">
        <f>VLOOKUP(F1112,数据集标准分类!A:G,7,0)</f>
        <v>03</v>
      </c>
      <c r="B1112" s="183" t="str">
        <f>VLOOKUP(F1112,数据集标准分类!A:F,6,0)</f>
        <v>医嘱处方</v>
      </c>
      <c r="C1112" s="183" t="str">
        <f>VLOOKUP(F1112,数据集标准分类!A:E,5,0)</f>
        <v>0302</v>
      </c>
      <c r="D1112" s="183" t="str">
        <f>VLOOKUP(F1112,数据集标准分类!A:D,4,0)</f>
        <v>门诊处方</v>
      </c>
      <c r="E1112" s="183" t="str">
        <f>VLOOKUP(F1112,数据集标准分类!A:C,3,0)</f>
        <v>030202</v>
      </c>
      <c r="F1112" s="170" t="s">
        <v>2845</v>
      </c>
      <c r="G1112" s="183" t="str">
        <f>VLOOKUP(F1112,数据集标准分类!A:B,2,0)</f>
        <v>chm_prescription</v>
      </c>
      <c r="H1112" s="294">
        <f>VLOOKUP(F1112,数据集标准分类!A:H,8,0)</f>
        <v>52</v>
      </c>
      <c r="I1112" s="170" t="s">
        <v>1921</v>
      </c>
      <c r="J1112" s="170" t="s">
        <v>1922</v>
      </c>
      <c r="K1112" s="170" t="s">
        <v>1923</v>
      </c>
      <c r="L1112" s="170" t="s">
        <v>1924</v>
      </c>
      <c r="M1112" s="170" t="s">
        <v>2844</v>
      </c>
      <c r="N1112" s="294">
        <v>20</v>
      </c>
      <c r="O1112" s="170"/>
    </row>
    <row r="1113" ht="15.75" customHeight="1" spans="1:15">
      <c r="A1113" s="183" t="str">
        <f>VLOOKUP(F1113,数据集标准分类!A:G,7,0)</f>
        <v>04</v>
      </c>
      <c r="B1113" s="183" t="str">
        <f>VLOOKUP(F1113,数据集标准分类!A:F,6,0)</f>
        <v>结算信息</v>
      </c>
      <c r="C1113" s="183" t="str">
        <f>VLOOKUP(F1113,数据集标准分类!A:E,5,0)</f>
        <v>0401</v>
      </c>
      <c r="D1113" s="183" t="str">
        <f>VLOOKUP(F1113,数据集标准分类!A:D,4,0)</f>
        <v>医疗费用记录</v>
      </c>
      <c r="E1113" s="183" t="str">
        <f>VLOOKUP(F1113,数据集标准分类!A:C,3,0)</f>
        <v>040101</v>
      </c>
      <c r="F1113" s="170" t="s">
        <v>2867</v>
      </c>
      <c r="G1113" s="183" t="str">
        <f>VLOOKUP(F1113,数据集标准分类!A:B,2,0)</f>
        <v>medical_cost_record</v>
      </c>
      <c r="H1113" s="294">
        <f>VLOOKUP(F1113,数据集标准分类!A:H,8,0)</f>
        <v>53</v>
      </c>
      <c r="I1113" s="170" t="s">
        <v>142</v>
      </c>
      <c r="J1113" s="170" t="s">
        <v>143</v>
      </c>
      <c r="K1113" s="170" t="s">
        <v>144</v>
      </c>
      <c r="L1113" s="170" t="s">
        <v>145</v>
      </c>
      <c r="M1113" s="170" t="s">
        <v>146</v>
      </c>
      <c r="N1113" s="294">
        <v>1</v>
      </c>
      <c r="O1113" s="170"/>
    </row>
    <row r="1114" ht="15.75" customHeight="1" spans="1:15">
      <c r="A1114" s="183" t="str">
        <f>VLOOKUP(F1114,数据集标准分类!A:G,7,0)</f>
        <v>04</v>
      </c>
      <c r="B1114" s="183" t="str">
        <f>VLOOKUP(F1114,数据集标准分类!A:F,6,0)</f>
        <v>结算信息</v>
      </c>
      <c r="C1114" s="183" t="str">
        <f>VLOOKUP(F1114,数据集标准分类!A:E,5,0)</f>
        <v>0401</v>
      </c>
      <c r="D1114" s="183" t="str">
        <f>VLOOKUP(F1114,数据集标准分类!A:D,4,0)</f>
        <v>医疗费用记录</v>
      </c>
      <c r="E1114" s="183" t="str">
        <f>VLOOKUP(F1114,数据集标准分类!A:C,3,0)</f>
        <v>040101</v>
      </c>
      <c r="F1114" s="170" t="s">
        <v>2867</v>
      </c>
      <c r="G1114" s="183" t="str">
        <f>VLOOKUP(F1114,数据集标准分类!A:B,2,0)</f>
        <v>medical_cost_record</v>
      </c>
      <c r="H1114" s="294">
        <f>VLOOKUP(F1114,数据集标准分类!A:H,8,0)</f>
        <v>53</v>
      </c>
      <c r="I1114" s="170" t="s">
        <v>2868</v>
      </c>
      <c r="J1114" s="170" t="s">
        <v>2869</v>
      </c>
      <c r="K1114" s="170" t="s">
        <v>2870</v>
      </c>
      <c r="L1114" s="170" t="s">
        <v>2871</v>
      </c>
      <c r="M1114" s="170" t="s">
        <v>2872</v>
      </c>
      <c r="N1114" s="294">
        <v>2</v>
      </c>
      <c r="O1114" s="170"/>
    </row>
    <row r="1115" ht="15.75" customHeight="1" spans="1:15">
      <c r="A1115" s="183" t="str">
        <f>VLOOKUP(F1115,数据集标准分类!A:G,7,0)</f>
        <v>04</v>
      </c>
      <c r="B1115" s="183" t="str">
        <f>VLOOKUP(F1115,数据集标准分类!A:F,6,0)</f>
        <v>结算信息</v>
      </c>
      <c r="C1115" s="183" t="str">
        <f>VLOOKUP(F1115,数据集标准分类!A:E,5,0)</f>
        <v>0401</v>
      </c>
      <c r="D1115" s="183" t="str">
        <f>VLOOKUP(F1115,数据集标准分类!A:D,4,0)</f>
        <v>医疗费用记录</v>
      </c>
      <c r="E1115" s="183" t="str">
        <f>VLOOKUP(F1115,数据集标准分类!A:C,3,0)</f>
        <v>040101</v>
      </c>
      <c r="F1115" s="170" t="s">
        <v>2867</v>
      </c>
      <c r="G1115" s="183" t="str">
        <f>VLOOKUP(F1115,数据集标准分类!A:B,2,0)</f>
        <v>medical_cost_record</v>
      </c>
      <c r="H1115" s="294">
        <f>VLOOKUP(F1115,数据集标准分类!A:H,8,0)</f>
        <v>53</v>
      </c>
      <c r="I1115" s="170" t="s">
        <v>2873</v>
      </c>
      <c r="J1115" s="170" t="s">
        <v>2874</v>
      </c>
      <c r="K1115" s="170" t="s">
        <v>2875</v>
      </c>
      <c r="L1115" s="170" t="s">
        <v>2876</v>
      </c>
      <c r="M1115" s="170" t="s">
        <v>2877</v>
      </c>
      <c r="N1115" s="294">
        <v>3</v>
      </c>
      <c r="O1115" s="170"/>
    </row>
    <row r="1116" ht="15.75" customHeight="1" spans="1:15">
      <c r="A1116" s="183" t="str">
        <f>VLOOKUP(F1116,数据集标准分类!A:G,7,0)</f>
        <v>04</v>
      </c>
      <c r="B1116" s="183" t="str">
        <f>VLOOKUP(F1116,数据集标准分类!A:F,6,0)</f>
        <v>结算信息</v>
      </c>
      <c r="C1116" s="183" t="str">
        <f>VLOOKUP(F1116,数据集标准分类!A:E,5,0)</f>
        <v>0401</v>
      </c>
      <c r="D1116" s="183" t="str">
        <f>VLOOKUP(F1116,数据集标准分类!A:D,4,0)</f>
        <v>医疗费用记录</v>
      </c>
      <c r="E1116" s="183" t="str">
        <f>VLOOKUP(F1116,数据集标准分类!A:C,3,0)</f>
        <v>040101</v>
      </c>
      <c r="F1116" s="170" t="s">
        <v>2867</v>
      </c>
      <c r="G1116" s="183" t="str">
        <f>VLOOKUP(F1116,数据集标准分类!A:B,2,0)</f>
        <v>medical_cost_record</v>
      </c>
      <c r="H1116" s="294">
        <f>VLOOKUP(F1116,数据集标准分类!A:H,8,0)</f>
        <v>53</v>
      </c>
      <c r="I1116" s="170" t="s">
        <v>2878</v>
      </c>
      <c r="J1116" s="170" t="s">
        <v>2879</v>
      </c>
      <c r="K1116" s="170" t="s">
        <v>2880</v>
      </c>
      <c r="L1116" s="170" t="s">
        <v>2881</v>
      </c>
      <c r="M1116" s="170" t="s">
        <v>2882</v>
      </c>
      <c r="N1116" s="294">
        <v>4</v>
      </c>
      <c r="O1116" s="170"/>
    </row>
    <row r="1117" ht="15.75" customHeight="1" spans="1:15">
      <c r="A1117" s="183" t="str">
        <f>VLOOKUP(F1117,数据集标准分类!A:G,7,0)</f>
        <v>04</v>
      </c>
      <c r="B1117" s="183" t="str">
        <f>VLOOKUP(F1117,数据集标准分类!A:F,6,0)</f>
        <v>结算信息</v>
      </c>
      <c r="C1117" s="183" t="str">
        <f>VLOOKUP(F1117,数据集标准分类!A:E,5,0)</f>
        <v>0401</v>
      </c>
      <c r="D1117" s="183" t="str">
        <f>VLOOKUP(F1117,数据集标准分类!A:D,4,0)</f>
        <v>医疗费用记录</v>
      </c>
      <c r="E1117" s="183" t="str">
        <f>VLOOKUP(F1117,数据集标准分类!A:C,3,0)</f>
        <v>040101</v>
      </c>
      <c r="F1117" s="170" t="s">
        <v>2867</v>
      </c>
      <c r="G1117" s="183" t="str">
        <f>VLOOKUP(F1117,数据集标准分类!A:B,2,0)</f>
        <v>medical_cost_record</v>
      </c>
      <c r="H1117" s="294">
        <f>VLOOKUP(F1117,数据集标准分类!A:H,8,0)</f>
        <v>53</v>
      </c>
      <c r="I1117" s="170" t="s">
        <v>2883</v>
      </c>
      <c r="J1117" s="170" t="s">
        <v>2884</v>
      </c>
      <c r="K1117" s="170" t="s">
        <v>2885</v>
      </c>
      <c r="L1117" s="170" t="s">
        <v>2886</v>
      </c>
      <c r="M1117" s="170" t="s">
        <v>2887</v>
      </c>
      <c r="N1117" s="294">
        <v>5</v>
      </c>
      <c r="O1117" s="170"/>
    </row>
    <row r="1118" ht="15.75" customHeight="1" spans="1:15">
      <c r="A1118" s="183" t="str">
        <f>VLOOKUP(F1118,数据集标准分类!A:G,7,0)</f>
        <v>05</v>
      </c>
      <c r="B1118" s="183" t="str">
        <f>VLOOKUP(F1118,数据集标准分类!A:F,6,0)</f>
        <v>就诊信息</v>
      </c>
      <c r="C1118" s="183" t="str">
        <f>VLOOKUP(F1118,数据集标准分类!A:E,5,0)</f>
        <v>0502</v>
      </c>
      <c r="D1118" s="183" t="str">
        <f>VLOOKUP(F1118,数据集标准分类!A:D,4,0)</f>
        <v>住院信息</v>
      </c>
      <c r="E1118" s="183" t="str">
        <f>VLOOKUP(F1118,数据集标准分类!A:C,3,0)</f>
        <v>050201</v>
      </c>
      <c r="F1118" s="170" t="s">
        <v>2888</v>
      </c>
      <c r="G1118" s="183" t="str">
        <f>VLOOKUP(F1118,数据集标准分类!A:B,2,0)</f>
        <v>admission_discharge_record</v>
      </c>
      <c r="H1118" s="294">
        <f>VLOOKUP(F1118,数据集标准分类!A:H,8,0)</f>
        <v>56</v>
      </c>
      <c r="I1118" s="170" t="s">
        <v>2889</v>
      </c>
      <c r="J1118" s="170" t="s">
        <v>2890</v>
      </c>
      <c r="K1118" s="170" t="s">
        <v>2891</v>
      </c>
      <c r="L1118" s="170" t="s">
        <v>2892</v>
      </c>
      <c r="M1118" s="170" t="s">
        <v>2893</v>
      </c>
      <c r="N1118" s="294">
        <v>8</v>
      </c>
      <c r="O1118" s="170"/>
    </row>
    <row r="1119" ht="15.75" customHeight="1" spans="1:15">
      <c r="A1119" s="183" t="str">
        <f>VLOOKUP(F1119,数据集标准分类!A:G,7,0)</f>
        <v>05</v>
      </c>
      <c r="B1119" s="183" t="str">
        <f>VLOOKUP(F1119,数据集标准分类!A:F,6,0)</f>
        <v>就诊信息</v>
      </c>
      <c r="C1119" s="183" t="str">
        <f>VLOOKUP(F1119,数据集标准分类!A:E,5,0)</f>
        <v>0502</v>
      </c>
      <c r="D1119" s="183" t="str">
        <f>VLOOKUP(F1119,数据集标准分类!A:D,4,0)</f>
        <v>住院信息</v>
      </c>
      <c r="E1119" s="183" t="str">
        <f>VLOOKUP(F1119,数据集标准分类!A:C,3,0)</f>
        <v>050201</v>
      </c>
      <c r="F1119" s="170" t="s">
        <v>2888</v>
      </c>
      <c r="G1119" s="183" t="str">
        <f>VLOOKUP(F1119,数据集标准分类!A:B,2,0)</f>
        <v>admission_discharge_record</v>
      </c>
      <c r="H1119" s="294">
        <f>VLOOKUP(F1119,数据集标准分类!A:H,8,0)</f>
        <v>56</v>
      </c>
      <c r="I1119" s="170" t="s">
        <v>2242</v>
      </c>
      <c r="J1119" s="170" t="s">
        <v>2243</v>
      </c>
      <c r="K1119" s="170" t="s">
        <v>2244</v>
      </c>
      <c r="L1119" s="170" t="s">
        <v>2836</v>
      </c>
      <c r="M1119" s="170" t="s">
        <v>2894</v>
      </c>
      <c r="N1119" s="294">
        <v>9</v>
      </c>
      <c r="O1119" s="170"/>
    </row>
    <row r="1120" ht="15.75" customHeight="1" spans="1:15">
      <c r="A1120" s="183" t="str">
        <f>VLOOKUP(F1120,数据集标准分类!A:G,7,0)</f>
        <v>05</v>
      </c>
      <c r="B1120" s="183" t="str">
        <f>VLOOKUP(F1120,数据集标准分类!A:F,6,0)</f>
        <v>就诊信息</v>
      </c>
      <c r="C1120" s="183" t="str">
        <f>VLOOKUP(F1120,数据集标准分类!A:E,5,0)</f>
        <v>0502</v>
      </c>
      <c r="D1120" s="183" t="str">
        <f>VLOOKUP(F1120,数据集标准分类!A:D,4,0)</f>
        <v>住院信息</v>
      </c>
      <c r="E1120" s="183" t="str">
        <f>VLOOKUP(F1120,数据集标准分类!A:C,3,0)</f>
        <v>050201</v>
      </c>
      <c r="F1120" s="170" t="s">
        <v>2888</v>
      </c>
      <c r="G1120" s="183" t="str">
        <f>VLOOKUP(F1120,数据集标准分类!A:B,2,0)</f>
        <v>admission_discharge_record</v>
      </c>
      <c r="H1120" s="294">
        <f>VLOOKUP(F1120,数据集标准分类!A:H,8,0)</f>
        <v>56</v>
      </c>
      <c r="I1120" s="170" t="s">
        <v>2895</v>
      </c>
      <c r="J1120" s="170" t="s">
        <v>2896</v>
      </c>
      <c r="K1120" s="170" t="s">
        <v>2897</v>
      </c>
      <c r="L1120" s="170" t="s">
        <v>2898</v>
      </c>
      <c r="M1120" s="170" t="s">
        <v>2899</v>
      </c>
      <c r="N1120" s="294">
        <v>10</v>
      </c>
      <c r="O1120" s="170"/>
    </row>
    <row r="1121" ht="15.75" customHeight="1" spans="1:15">
      <c r="A1121" s="183" t="str">
        <f>VLOOKUP(F1121,数据集标准分类!A:G,7,0)</f>
        <v>05</v>
      </c>
      <c r="B1121" s="183" t="str">
        <f>VLOOKUP(F1121,数据集标准分类!A:F,6,0)</f>
        <v>就诊信息</v>
      </c>
      <c r="C1121" s="183" t="str">
        <f>VLOOKUP(F1121,数据集标准分类!A:E,5,0)</f>
        <v>0502</v>
      </c>
      <c r="D1121" s="183" t="str">
        <f>VLOOKUP(F1121,数据集标准分类!A:D,4,0)</f>
        <v>住院信息</v>
      </c>
      <c r="E1121" s="183" t="str">
        <f>VLOOKUP(F1121,数据集标准分类!A:C,3,0)</f>
        <v>050201</v>
      </c>
      <c r="F1121" s="170" t="s">
        <v>2888</v>
      </c>
      <c r="G1121" s="183" t="str">
        <f>VLOOKUP(F1121,数据集标准分类!A:B,2,0)</f>
        <v>admission_discharge_record</v>
      </c>
      <c r="H1121" s="294">
        <f>VLOOKUP(F1121,数据集标准分类!A:H,8,0)</f>
        <v>56</v>
      </c>
      <c r="I1121" s="170" t="s">
        <v>1097</v>
      </c>
      <c r="J1121" s="170" t="s">
        <v>1098</v>
      </c>
      <c r="K1121" s="170" t="s">
        <v>1099</v>
      </c>
      <c r="L1121" s="170" t="s">
        <v>1100</v>
      </c>
      <c r="M1121" s="170" t="s">
        <v>1225</v>
      </c>
      <c r="N1121" s="294">
        <v>11</v>
      </c>
      <c r="O1121" s="170"/>
    </row>
    <row r="1122" ht="15.75" customHeight="1" spans="1:15">
      <c r="A1122" s="183" t="str">
        <f>VLOOKUP(F1122,数据集标准分类!A:G,7,0)</f>
        <v>05</v>
      </c>
      <c r="B1122" s="183" t="str">
        <f>VLOOKUP(F1122,数据集标准分类!A:F,6,0)</f>
        <v>就诊信息</v>
      </c>
      <c r="C1122" s="183" t="str">
        <f>VLOOKUP(F1122,数据集标准分类!A:E,5,0)</f>
        <v>0502</v>
      </c>
      <c r="D1122" s="183" t="str">
        <f>VLOOKUP(F1122,数据集标准分类!A:D,4,0)</f>
        <v>住院信息</v>
      </c>
      <c r="E1122" s="183" t="str">
        <f>VLOOKUP(F1122,数据集标准分类!A:C,3,0)</f>
        <v>050201</v>
      </c>
      <c r="F1122" s="170" t="s">
        <v>2888</v>
      </c>
      <c r="G1122" s="183" t="str">
        <f>VLOOKUP(F1122,数据集标准分类!A:B,2,0)</f>
        <v>admission_discharge_record</v>
      </c>
      <c r="H1122" s="294">
        <f>VLOOKUP(F1122,数据集标准分类!A:H,8,0)</f>
        <v>56</v>
      </c>
      <c r="I1122" s="170" t="s">
        <v>2246</v>
      </c>
      <c r="J1122" s="170" t="s">
        <v>2247</v>
      </c>
      <c r="K1122" s="170" t="s">
        <v>2248</v>
      </c>
      <c r="L1122" s="170" t="s">
        <v>2900</v>
      </c>
      <c r="M1122" s="170" t="s">
        <v>2901</v>
      </c>
      <c r="N1122" s="294">
        <v>12</v>
      </c>
      <c r="O1122" s="170"/>
    </row>
    <row r="1123" ht="15.75" customHeight="1" spans="1:15">
      <c r="A1123" s="183" t="str">
        <f>VLOOKUP(F1123,数据集标准分类!A:G,7,0)</f>
        <v>05</v>
      </c>
      <c r="B1123" s="183" t="str">
        <f>VLOOKUP(F1123,数据集标准分类!A:F,6,0)</f>
        <v>就诊信息</v>
      </c>
      <c r="C1123" s="183" t="str">
        <f>VLOOKUP(F1123,数据集标准分类!A:E,5,0)</f>
        <v>0502</v>
      </c>
      <c r="D1123" s="183" t="str">
        <f>VLOOKUP(F1123,数据集标准分类!A:D,4,0)</f>
        <v>住院信息</v>
      </c>
      <c r="E1123" s="183" t="str">
        <f>VLOOKUP(F1123,数据集标准分类!A:C,3,0)</f>
        <v>050201</v>
      </c>
      <c r="F1123" s="170" t="s">
        <v>2888</v>
      </c>
      <c r="G1123" s="183" t="str">
        <f>VLOOKUP(F1123,数据集标准分类!A:B,2,0)</f>
        <v>admission_discharge_record</v>
      </c>
      <c r="H1123" s="294">
        <f>VLOOKUP(F1123,数据集标准分类!A:H,8,0)</f>
        <v>56</v>
      </c>
      <c r="I1123" s="170" t="s">
        <v>2902</v>
      </c>
      <c r="J1123" s="170" t="s">
        <v>2903</v>
      </c>
      <c r="K1123" s="170" t="s">
        <v>2904</v>
      </c>
      <c r="L1123" s="170" t="s">
        <v>2905</v>
      </c>
      <c r="M1123" s="170" t="s">
        <v>2906</v>
      </c>
      <c r="N1123" s="294">
        <v>13</v>
      </c>
      <c r="O1123" s="170"/>
    </row>
    <row r="1124" ht="15.75" customHeight="1" spans="1:15">
      <c r="A1124" s="183" t="str">
        <f>VLOOKUP(F1124,数据集标准分类!A:G,7,0)</f>
        <v>05</v>
      </c>
      <c r="B1124" s="183" t="str">
        <f>VLOOKUP(F1124,数据集标准分类!A:F,6,0)</f>
        <v>就诊信息</v>
      </c>
      <c r="C1124" s="183" t="str">
        <f>VLOOKUP(F1124,数据集标准分类!A:E,5,0)</f>
        <v>0502</v>
      </c>
      <c r="D1124" s="183" t="str">
        <f>VLOOKUP(F1124,数据集标准分类!A:D,4,0)</f>
        <v>住院信息</v>
      </c>
      <c r="E1124" s="183" t="str">
        <f>VLOOKUP(F1124,数据集标准分类!A:C,3,0)</f>
        <v>050201</v>
      </c>
      <c r="F1124" s="170" t="s">
        <v>2888</v>
      </c>
      <c r="G1124" s="183" t="str">
        <f>VLOOKUP(F1124,数据集标准分类!A:B,2,0)</f>
        <v>admission_discharge_record</v>
      </c>
      <c r="H1124" s="294">
        <f>VLOOKUP(F1124,数据集标准分类!A:H,8,0)</f>
        <v>56</v>
      </c>
      <c r="I1124" s="170" t="s">
        <v>2907</v>
      </c>
      <c r="J1124" s="170" t="s">
        <v>2908</v>
      </c>
      <c r="K1124" s="170" t="s">
        <v>2909</v>
      </c>
      <c r="L1124" s="170" t="s">
        <v>2910</v>
      </c>
      <c r="M1124" s="170" t="s">
        <v>2911</v>
      </c>
      <c r="N1124" s="294">
        <v>14</v>
      </c>
      <c r="O1124" s="170"/>
    </row>
    <row r="1125" ht="15.75" customHeight="1" spans="1:15">
      <c r="A1125" s="183" t="str">
        <f>VLOOKUP(F1125,数据集标准分类!A:G,7,0)</f>
        <v>05</v>
      </c>
      <c r="B1125" s="183" t="str">
        <f>VLOOKUP(F1125,数据集标准分类!A:F,6,0)</f>
        <v>就诊信息</v>
      </c>
      <c r="C1125" s="183" t="str">
        <f>VLOOKUP(F1125,数据集标准分类!A:E,5,0)</f>
        <v>0502</v>
      </c>
      <c r="D1125" s="183" t="str">
        <f>VLOOKUP(F1125,数据集标准分类!A:D,4,0)</f>
        <v>住院信息</v>
      </c>
      <c r="E1125" s="183" t="str">
        <f>VLOOKUP(F1125,数据集标准分类!A:C,3,0)</f>
        <v>050201</v>
      </c>
      <c r="F1125" s="170" t="s">
        <v>2888</v>
      </c>
      <c r="G1125" s="183" t="str">
        <f>VLOOKUP(F1125,数据集标准分类!A:B,2,0)</f>
        <v>admission_discharge_record</v>
      </c>
      <c r="H1125" s="294">
        <f>VLOOKUP(F1125,数据集标准分类!A:H,8,0)</f>
        <v>56</v>
      </c>
      <c r="I1125" s="170" t="s">
        <v>2912</v>
      </c>
      <c r="J1125" s="170" t="s">
        <v>2913</v>
      </c>
      <c r="K1125" s="170" t="s">
        <v>2914</v>
      </c>
      <c r="L1125" s="170" t="s">
        <v>2915</v>
      </c>
      <c r="M1125" s="170" t="s">
        <v>2916</v>
      </c>
      <c r="N1125" s="294">
        <v>15</v>
      </c>
      <c r="O1125" s="170"/>
    </row>
    <row r="1126" ht="15.75" customHeight="1" spans="1:15">
      <c r="A1126" s="183" t="str">
        <f>VLOOKUP(F1126,数据集标准分类!A:G,7,0)</f>
        <v>05</v>
      </c>
      <c r="B1126" s="183" t="str">
        <f>VLOOKUP(F1126,数据集标准分类!A:F,6,0)</f>
        <v>就诊信息</v>
      </c>
      <c r="C1126" s="183" t="str">
        <f>VLOOKUP(F1126,数据集标准分类!A:E,5,0)</f>
        <v>0502</v>
      </c>
      <c r="D1126" s="183" t="str">
        <f>VLOOKUP(F1126,数据集标准分类!A:D,4,0)</f>
        <v>住院信息</v>
      </c>
      <c r="E1126" s="183" t="str">
        <f>VLOOKUP(F1126,数据集标准分类!A:C,3,0)</f>
        <v>050201</v>
      </c>
      <c r="F1126" s="170" t="s">
        <v>2888</v>
      </c>
      <c r="G1126" s="183" t="str">
        <f>VLOOKUP(F1126,数据集标准分类!A:B,2,0)</f>
        <v>admission_discharge_record</v>
      </c>
      <c r="H1126" s="294">
        <f>VLOOKUP(F1126,数据集标准分类!A:H,8,0)</f>
        <v>56</v>
      </c>
      <c r="I1126" s="170" t="s">
        <v>2917</v>
      </c>
      <c r="J1126" s="170" t="s">
        <v>2918</v>
      </c>
      <c r="K1126" s="170" t="s">
        <v>2919</v>
      </c>
      <c r="L1126" s="170" t="s">
        <v>2920</v>
      </c>
      <c r="M1126" s="170" t="s">
        <v>2921</v>
      </c>
      <c r="N1126" s="294">
        <v>16</v>
      </c>
      <c r="O1126" s="170"/>
    </row>
    <row r="1127" ht="15.75" customHeight="1" spans="1:15">
      <c r="A1127" s="183" t="str">
        <f>VLOOKUP(F1127,数据集标准分类!A:G,7,0)</f>
        <v>05</v>
      </c>
      <c r="B1127" s="183" t="str">
        <f>VLOOKUP(F1127,数据集标准分类!A:F,6,0)</f>
        <v>就诊信息</v>
      </c>
      <c r="C1127" s="183" t="str">
        <f>VLOOKUP(F1127,数据集标准分类!A:E,5,0)</f>
        <v>0502</v>
      </c>
      <c r="D1127" s="183" t="str">
        <f>VLOOKUP(F1127,数据集标准分类!A:D,4,0)</f>
        <v>住院信息</v>
      </c>
      <c r="E1127" s="183" t="str">
        <f>VLOOKUP(F1127,数据集标准分类!A:C,3,0)</f>
        <v>050201</v>
      </c>
      <c r="F1127" s="170" t="s">
        <v>2888</v>
      </c>
      <c r="G1127" s="183" t="str">
        <f>VLOOKUP(F1127,数据集标准分类!A:B,2,0)</f>
        <v>admission_discharge_record</v>
      </c>
      <c r="H1127" s="294">
        <f>VLOOKUP(F1127,数据集标准分类!A:H,8,0)</f>
        <v>56</v>
      </c>
      <c r="I1127" s="170" t="s">
        <v>2922</v>
      </c>
      <c r="J1127" s="170" t="s">
        <v>2923</v>
      </c>
      <c r="K1127" s="170" t="s">
        <v>2924</v>
      </c>
      <c r="L1127" s="170" t="s">
        <v>2925</v>
      </c>
      <c r="M1127" s="170" t="s">
        <v>573</v>
      </c>
      <c r="N1127" s="294">
        <v>17</v>
      </c>
      <c r="O1127" s="170"/>
    </row>
    <row r="1128" ht="15.75" customHeight="1" spans="1:15">
      <c r="A1128" s="183" t="str">
        <f>VLOOKUP(F1128,数据集标准分类!A:G,7,0)</f>
        <v>05</v>
      </c>
      <c r="B1128" s="183" t="str">
        <f>VLOOKUP(F1128,数据集标准分类!A:F,6,0)</f>
        <v>就诊信息</v>
      </c>
      <c r="C1128" s="183" t="str">
        <f>VLOOKUP(F1128,数据集标准分类!A:E,5,0)</f>
        <v>0502</v>
      </c>
      <c r="D1128" s="183" t="str">
        <f>VLOOKUP(F1128,数据集标准分类!A:D,4,0)</f>
        <v>住院信息</v>
      </c>
      <c r="E1128" s="183" t="str">
        <f>VLOOKUP(F1128,数据集标准分类!A:C,3,0)</f>
        <v>050201</v>
      </c>
      <c r="F1128" s="170" t="s">
        <v>2888</v>
      </c>
      <c r="G1128" s="183" t="str">
        <f>VLOOKUP(F1128,数据集标准分类!A:B,2,0)</f>
        <v>admission_discharge_record</v>
      </c>
      <c r="H1128" s="294">
        <f>VLOOKUP(F1128,数据集标准分类!A:H,8,0)</f>
        <v>56</v>
      </c>
      <c r="I1128" s="170" t="s">
        <v>574</v>
      </c>
      <c r="J1128" s="170" t="s">
        <v>575</v>
      </c>
      <c r="K1128" s="170" t="s">
        <v>576</v>
      </c>
      <c r="L1128" s="170" t="s">
        <v>577</v>
      </c>
      <c r="M1128" s="170" t="s">
        <v>578</v>
      </c>
      <c r="N1128" s="294">
        <v>18</v>
      </c>
      <c r="O1128" s="170"/>
    </row>
    <row r="1129" ht="15.75" customHeight="1" spans="1:15">
      <c r="A1129" s="183" t="str">
        <f>VLOOKUP(F1129,数据集标准分类!A:G,7,0)</f>
        <v>05</v>
      </c>
      <c r="B1129" s="183" t="str">
        <f>VLOOKUP(F1129,数据集标准分类!A:F,6,0)</f>
        <v>就诊信息</v>
      </c>
      <c r="C1129" s="183" t="str">
        <f>VLOOKUP(F1129,数据集标准分类!A:E,5,0)</f>
        <v>0502</v>
      </c>
      <c r="D1129" s="183" t="str">
        <f>VLOOKUP(F1129,数据集标准分类!A:D,4,0)</f>
        <v>住院信息</v>
      </c>
      <c r="E1129" s="183" t="str">
        <f>VLOOKUP(F1129,数据集标准分类!A:C,3,0)</f>
        <v>050201</v>
      </c>
      <c r="F1129" s="170" t="s">
        <v>2888</v>
      </c>
      <c r="G1129" s="183" t="str">
        <f>VLOOKUP(F1129,数据集标准分类!A:B,2,0)</f>
        <v>admission_discharge_record</v>
      </c>
      <c r="H1129" s="294">
        <f>VLOOKUP(F1129,数据集标准分类!A:H,8,0)</f>
        <v>56</v>
      </c>
      <c r="I1129" s="170" t="s">
        <v>152</v>
      </c>
      <c r="J1129" s="170" t="s">
        <v>153</v>
      </c>
      <c r="K1129" s="170" t="s">
        <v>154</v>
      </c>
      <c r="L1129" s="170" t="s">
        <v>155</v>
      </c>
      <c r="M1129" s="170" t="s">
        <v>156</v>
      </c>
      <c r="N1129" s="294">
        <v>5</v>
      </c>
      <c r="O1129" s="170"/>
    </row>
    <row r="1130" ht="15.75" customHeight="1" spans="1:15">
      <c r="A1130" s="183" t="str">
        <f>VLOOKUP(F1130,数据集标准分类!A:G,7,0)</f>
        <v>05</v>
      </c>
      <c r="B1130" s="183" t="str">
        <f>VLOOKUP(F1130,数据集标准分类!A:F,6,0)</f>
        <v>就诊信息</v>
      </c>
      <c r="C1130" s="183" t="str">
        <f>VLOOKUP(F1130,数据集标准分类!A:E,5,0)</f>
        <v>0502</v>
      </c>
      <c r="D1130" s="183" t="str">
        <f>VLOOKUP(F1130,数据集标准分类!A:D,4,0)</f>
        <v>住院信息</v>
      </c>
      <c r="E1130" s="183" t="str">
        <f>VLOOKUP(F1130,数据集标准分类!A:C,3,0)</f>
        <v>050201</v>
      </c>
      <c r="F1130" s="170" t="s">
        <v>2888</v>
      </c>
      <c r="G1130" s="183" t="str">
        <f>VLOOKUP(F1130,数据集标准分类!A:B,2,0)</f>
        <v>admission_discharge_record</v>
      </c>
      <c r="H1130" s="294">
        <f>VLOOKUP(F1130,数据集标准分类!A:H,8,0)</f>
        <v>56</v>
      </c>
      <c r="I1130" s="170" t="s">
        <v>157</v>
      </c>
      <c r="J1130" s="170" t="s">
        <v>158</v>
      </c>
      <c r="K1130" s="170" t="s">
        <v>159</v>
      </c>
      <c r="L1130" s="170" t="s">
        <v>160</v>
      </c>
      <c r="M1130" s="170" t="s">
        <v>161</v>
      </c>
      <c r="N1130" s="294">
        <v>6</v>
      </c>
      <c r="O1130" s="170"/>
    </row>
    <row r="1131" ht="15.75" customHeight="1" spans="1:15">
      <c r="A1131" s="183" t="str">
        <f>VLOOKUP(F1131,数据集标准分类!A:G,7,0)</f>
        <v>05</v>
      </c>
      <c r="B1131" s="183" t="str">
        <f>VLOOKUP(F1131,数据集标准分类!A:F,6,0)</f>
        <v>就诊信息</v>
      </c>
      <c r="C1131" s="183" t="str">
        <f>VLOOKUP(F1131,数据集标准分类!A:E,5,0)</f>
        <v>0504</v>
      </c>
      <c r="D1131" s="183" t="str">
        <f>VLOOKUP(F1131,数据集标准分类!A:D,4,0)</f>
        <v>诊断信息</v>
      </c>
      <c r="E1131" s="183" t="str">
        <f>VLOOKUP(F1131,数据集标准分类!A:C,3,0)</f>
        <v>050401</v>
      </c>
      <c r="F1131" s="170" t="s">
        <v>2926</v>
      </c>
      <c r="G1131" s="183" t="str">
        <f>VLOOKUP(F1131,数据集标准分类!A:B,2,0)</f>
        <v>diagnosis_information</v>
      </c>
      <c r="H1131" s="294">
        <f>VLOOKUP(F1131,数据集标准分类!A:H,8,0)</f>
        <v>59</v>
      </c>
      <c r="I1131" s="170" t="s">
        <v>2927</v>
      </c>
      <c r="J1131" s="170" t="s">
        <v>2928</v>
      </c>
      <c r="K1131" s="170" t="s">
        <v>2929</v>
      </c>
      <c r="L1131" s="170" t="s">
        <v>2930</v>
      </c>
      <c r="M1131" s="170"/>
      <c r="N1131" s="294">
        <v>1</v>
      </c>
      <c r="O1131" s="170"/>
    </row>
    <row r="1132" ht="15.75" customHeight="1" spans="1:15">
      <c r="A1132" s="183" t="str">
        <f>VLOOKUP(F1132,数据集标准分类!A:G,7,0)</f>
        <v>05</v>
      </c>
      <c r="B1132" s="183" t="str">
        <f>VLOOKUP(F1132,数据集标准分类!A:F,6,0)</f>
        <v>就诊信息</v>
      </c>
      <c r="C1132" s="183" t="str">
        <f>VLOOKUP(F1132,数据集标准分类!A:E,5,0)</f>
        <v>0504</v>
      </c>
      <c r="D1132" s="183" t="str">
        <f>VLOOKUP(F1132,数据集标准分类!A:D,4,0)</f>
        <v>诊断信息</v>
      </c>
      <c r="E1132" s="183" t="str">
        <f>VLOOKUP(F1132,数据集标准分类!A:C,3,0)</f>
        <v>050401</v>
      </c>
      <c r="F1132" s="170" t="s">
        <v>2926</v>
      </c>
      <c r="G1132" s="183" t="str">
        <f>VLOOKUP(F1132,数据集标准分类!A:B,2,0)</f>
        <v>diagnosis_information</v>
      </c>
      <c r="H1132" s="294">
        <f>VLOOKUP(F1132,数据集标准分类!A:H,8,0)</f>
        <v>59</v>
      </c>
      <c r="I1132" s="170" t="s">
        <v>2931</v>
      </c>
      <c r="J1132" s="170" t="s">
        <v>2932</v>
      </c>
      <c r="K1132" s="170" t="s">
        <v>2933</v>
      </c>
      <c r="L1132" s="170" t="s">
        <v>2934</v>
      </c>
      <c r="M1132" s="170"/>
      <c r="N1132" s="294">
        <v>2</v>
      </c>
      <c r="O1132" s="170"/>
    </row>
    <row r="1133" ht="15.75" customHeight="1" spans="1:15">
      <c r="A1133" s="183" t="str">
        <f>VLOOKUP(F1133,数据集标准分类!A:G,7,0)</f>
        <v>05</v>
      </c>
      <c r="B1133" s="183" t="str">
        <f>VLOOKUP(F1133,数据集标准分类!A:F,6,0)</f>
        <v>就诊信息</v>
      </c>
      <c r="C1133" s="183" t="str">
        <f>VLOOKUP(F1133,数据集标准分类!A:E,5,0)</f>
        <v>0504</v>
      </c>
      <c r="D1133" s="183" t="str">
        <f>VLOOKUP(F1133,数据集标准分类!A:D,4,0)</f>
        <v>诊断信息</v>
      </c>
      <c r="E1133" s="183" t="str">
        <f>VLOOKUP(F1133,数据集标准分类!A:C,3,0)</f>
        <v>050401</v>
      </c>
      <c r="F1133" s="170" t="s">
        <v>2926</v>
      </c>
      <c r="G1133" s="183" t="str">
        <f>VLOOKUP(F1133,数据集标准分类!A:B,2,0)</f>
        <v>diagnosis_information</v>
      </c>
      <c r="H1133" s="294">
        <f>VLOOKUP(F1133,数据集标准分类!A:H,8,0)</f>
        <v>59</v>
      </c>
      <c r="I1133" s="170" t="s">
        <v>2935</v>
      </c>
      <c r="J1133" s="170" t="s">
        <v>2936</v>
      </c>
      <c r="K1133" s="170" t="s">
        <v>2937</v>
      </c>
      <c r="L1133" s="170" t="s">
        <v>2938</v>
      </c>
      <c r="M1133" s="170"/>
      <c r="N1133" s="294">
        <v>3</v>
      </c>
      <c r="O1133" s="170"/>
    </row>
    <row r="1134" ht="15.75" customHeight="1" spans="1:15">
      <c r="A1134" s="183" t="str">
        <f>VLOOKUP(F1134,数据集标准分类!A:G,7,0)</f>
        <v>05</v>
      </c>
      <c r="B1134" s="183" t="str">
        <f>VLOOKUP(F1134,数据集标准分类!A:F,6,0)</f>
        <v>就诊信息</v>
      </c>
      <c r="C1134" s="183" t="str">
        <f>VLOOKUP(F1134,数据集标准分类!A:E,5,0)</f>
        <v>0504</v>
      </c>
      <c r="D1134" s="183" t="str">
        <f>VLOOKUP(F1134,数据集标准分类!A:D,4,0)</f>
        <v>诊断信息</v>
      </c>
      <c r="E1134" s="183" t="str">
        <f>VLOOKUP(F1134,数据集标准分类!A:C,3,0)</f>
        <v>050401</v>
      </c>
      <c r="F1134" s="170" t="s">
        <v>2926</v>
      </c>
      <c r="G1134" s="183" t="str">
        <f>VLOOKUP(F1134,数据集标准分类!A:B,2,0)</f>
        <v>diagnosis_information</v>
      </c>
      <c r="H1134" s="294">
        <f>VLOOKUP(F1134,数据集标准分类!A:H,8,0)</f>
        <v>59</v>
      </c>
      <c r="I1134" s="170" t="s">
        <v>2939</v>
      </c>
      <c r="J1134" s="170" t="s">
        <v>2940</v>
      </c>
      <c r="K1134" s="170" t="s">
        <v>2941</v>
      </c>
      <c r="L1134" s="170" t="s">
        <v>2942</v>
      </c>
      <c r="M1134" s="170"/>
      <c r="N1134" s="294">
        <v>4</v>
      </c>
      <c r="O1134" s="170"/>
    </row>
    <row r="1135" ht="15.75" customHeight="1" spans="1:15">
      <c r="A1135" s="183" t="str">
        <f>VLOOKUP(F1135,数据集标准分类!A:G,7,0)</f>
        <v>05</v>
      </c>
      <c r="B1135" s="183" t="str">
        <f>VLOOKUP(F1135,数据集标准分类!A:F,6,0)</f>
        <v>就诊信息</v>
      </c>
      <c r="C1135" s="183" t="str">
        <f>VLOOKUP(F1135,数据集标准分类!A:E,5,0)</f>
        <v>0504</v>
      </c>
      <c r="D1135" s="183" t="str">
        <f>VLOOKUP(F1135,数据集标准分类!A:D,4,0)</f>
        <v>诊断信息</v>
      </c>
      <c r="E1135" s="183" t="str">
        <f>VLOOKUP(F1135,数据集标准分类!A:C,3,0)</f>
        <v>050401</v>
      </c>
      <c r="F1135" s="170" t="s">
        <v>2926</v>
      </c>
      <c r="G1135" s="183" t="str">
        <f>VLOOKUP(F1135,数据集标准分类!A:B,2,0)</f>
        <v>diagnosis_information</v>
      </c>
      <c r="H1135" s="294">
        <f>VLOOKUP(F1135,数据集标准分类!A:H,8,0)</f>
        <v>59</v>
      </c>
      <c r="I1135" s="170" t="s">
        <v>2943</v>
      </c>
      <c r="J1135" s="170" t="s">
        <v>2944</v>
      </c>
      <c r="K1135" s="170" t="s">
        <v>2945</v>
      </c>
      <c r="L1135" s="170" t="s">
        <v>2946</v>
      </c>
      <c r="M1135" s="170"/>
      <c r="N1135" s="294">
        <v>5</v>
      </c>
      <c r="O1135" s="170"/>
    </row>
    <row r="1136" ht="15.75" customHeight="1" spans="1:15">
      <c r="A1136" s="183" t="str">
        <f>VLOOKUP(F1136,数据集标准分类!A:G,7,0)</f>
        <v>05</v>
      </c>
      <c r="B1136" s="183" t="str">
        <f>VLOOKUP(F1136,数据集标准分类!A:F,6,0)</f>
        <v>就诊信息</v>
      </c>
      <c r="C1136" s="183" t="str">
        <f>VLOOKUP(F1136,数据集标准分类!A:E,5,0)</f>
        <v>0504</v>
      </c>
      <c r="D1136" s="183" t="str">
        <f>VLOOKUP(F1136,数据集标准分类!A:D,4,0)</f>
        <v>诊断信息</v>
      </c>
      <c r="E1136" s="183" t="str">
        <f>VLOOKUP(F1136,数据集标准分类!A:C,3,0)</f>
        <v>050401</v>
      </c>
      <c r="F1136" s="170" t="s">
        <v>2926</v>
      </c>
      <c r="G1136" s="183" t="str">
        <f>VLOOKUP(F1136,数据集标准分类!A:B,2,0)</f>
        <v>diagnosis_information</v>
      </c>
      <c r="H1136" s="294">
        <f>VLOOKUP(F1136,数据集标准分类!A:H,8,0)</f>
        <v>59</v>
      </c>
      <c r="I1136" s="170" t="s">
        <v>2947</v>
      </c>
      <c r="J1136" s="170" t="s">
        <v>2948</v>
      </c>
      <c r="K1136" s="170" t="s">
        <v>2949</v>
      </c>
      <c r="L1136" s="170" t="s">
        <v>2950</v>
      </c>
      <c r="M1136" s="170"/>
      <c r="N1136" s="294">
        <v>6</v>
      </c>
      <c r="O1136" s="170"/>
    </row>
    <row r="1137" ht="15.75" customHeight="1" spans="1:15">
      <c r="A1137" s="183" t="str">
        <f>VLOOKUP(F1137,数据集标准分类!A:G,7,0)</f>
        <v>05</v>
      </c>
      <c r="B1137" s="183" t="str">
        <f>VLOOKUP(F1137,数据集标准分类!A:F,6,0)</f>
        <v>就诊信息</v>
      </c>
      <c r="C1137" s="183" t="str">
        <f>VLOOKUP(F1137,数据集标准分类!A:E,5,0)</f>
        <v>0504</v>
      </c>
      <c r="D1137" s="183" t="str">
        <f>VLOOKUP(F1137,数据集标准分类!A:D,4,0)</f>
        <v>诊断信息</v>
      </c>
      <c r="E1137" s="183" t="str">
        <f>VLOOKUP(F1137,数据集标准分类!A:C,3,0)</f>
        <v>050401</v>
      </c>
      <c r="F1137" s="170" t="s">
        <v>2926</v>
      </c>
      <c r="G1137" s="183" t="str">
        <f>VLOOKUP(F1137,数据集标准分类!A:B,2,0)</f>
        <v>diagnosis_information</v>
      </c>
      <c r="H1137" s="294">
        <f>VLOOKUP(F1137,数据集标准分类!A:H,8,0)</f>
        <v>59</v>
      </c>
      <c r="I1137" s="170" t="s">
        <v>2951</v>
      </c>
      <c r="J1137" s="170" t="s">
        <v>2952</v>
      </c>
      <c r="K1137" s="170" t="s">
        <v>2953</v>
      </c>
      <c r="L1137" s="170" t="s">
        <v>2954</v>
      </c>
      <c r="M1137" s="170"/>
      <c r="N1137" s="294">
        <v>7</v>
      </c>
      <c r="O1137" s="170"/>
    </row>
    <row r="1138" ht="15.75" customHeight="1" spans="1:15">
      <c r="A1138" s="183" t="str">
        <f>VLOOKUP(F1138,数据集标准分类!A:G,7,0)</f>
        <v>05</v>
      </c>
      <c r="B1138" s="183" t="str">
        <f>VLOOKUP(F1138,数据集标准分类!A:F,6,0)</f>
        <v>就诊信息</v>
      </c>
      <c r="C1138" s="183" t="str">
        <f>VLOOKUP(F1138,数据集标准分类!A:E,5,0)</f>
        <v>0504</v>
      </c>
      <c r="D1138" s="183" t="str">
        <f>VLOOKUP(F1138,数据集标准分类!A:D,4,0)</f>
        <v>诊断信息</v>
      </c>
      <c r="E1138" s="183" t="str">
        <f>VLOOKUP(F1138,数据集标准分类!A:C,3,0)</f>
        <v>050401</v>
      </c>
      <c r="F1138" s="170" t="s">
        <v>2926</v>
      </c>
      <c r="G1138" s="183" t="str">
        <f>VLOOKUP(F1138,数据集标准分类!A:B,2,0)</f>
        <v>diagnosis_information</v>
      </c>
      <c r="H1138" s="294">
        <f>VLOOKUP(F1138,数据集标准分类!A:H,8,0)</f>
        <v>59</v>
      </c>
      <c r="I1138" s="170" t="s">
        <v>2955</v>
      </c>
      <c r="J1138" s="170" t="s">
        <v>2956</v>
      </c>
      <c r="K1138" s="170" t="s">
        <v>2957</v>
      </c>
      <c r="L1138" s="170" t="s">
        <v>2958</v>
      </c>
      <c r="M1138" s="170"/>
      <c r="N1138" s="294">
        <v>8</v>
      </c>
      <c r="O1138" s="170"/>
    </row>
    <row r="1139" ht="15.75" customHeight="1" spans="1:15">
      <c r="A1139" s="183" t="str">
        <f>VLOOKUP(F1139,数据集标准分类!A:G,7,0)</f>
        <v>05</v>
      </c>
      <c r="B1139" s="183" t="str">
        <f>VLOOKUP(F1139,数据集标准分类!A:F,6,0)</f>
        <v>就诊信息</v>
      </c>
      <c r="C1139" s="183" t="str">
        <f>VLOOKUP(F1139,数据集标准分类!A:E,5,0)</f>
        <v>0504</v>
      </c>
      <c r="D1139" s="183" t="str">
        <f>VLOOKUP(F1139,数据集标准分类!A:D,4,0)</f>
        <v>诊断信息</v>
      </c>
      <c r="E1139" s="183" t="str">
        <f>VLOOKUP(F1139,数据集标准分类!A:C,3,0)</f>
        <v>050401</v>
      </c>
      <c r="F1139" s="170" t="s">
        <v>2926</v>
      </c>
      <c r="G1139" s="183" t="str">
        <f>VLOOKUP(F1139,数据集标准分类!A:B,2,0)</f>
        <v>diagnosis_information</v>
      </c>
      <c r="H1139" s="294">
        <f>VLOOKUP(F1139,数据集标准分类!A:H,8,0)</f>
        <v>59</v>
      </c>
      <c r="I1139" s="170" t="s">
        <v>2959</v>
      </c>
      <c r="J1139" s="170" t="s">
        <v>2960</v>
      </c>
      <c r="K1139" s="170" t="s">
        <v>2961</v>
      </c>
      <c r="L1139" s="170" t="s">
        <v>2962</v>
      </c>
      <c r="M1139" s="170"/>
      <c r="N1139" s="294">
        <v>9</v>
      </c>
      <c r="O1139" s="170"/>
    </row>
    <row r="1140" ht="15.75" customHeight="1" spans="1:15">
      <c r="A1140" s="183" t="str">
        <f>VLOOKUP(F1140,数据集标准分类!A:G,7,0)</f>
        <v>05</v>
      </c>
      <c r="B1140" s="183" t="str">
        <f>VLOOKUP(F1140,数据集标准分类!A:F,6,0)</f>
        <v>就诊信息</v>
      </c>
      <c r="C1140" s="183" t="str">
        <f>VLOOKUP(F1140,数据集标准分类!A:E,5,0)</f>
        <v>0504</v>
      </c>
      <c r="D1140" s="183" t="str">
        <f>VLOOKUP(F1140,数据集标准分类!A:D,4,0)</f>
        <v>诊断信息</v>
      </c>
      <c r="E1140" s="183" t="str">
        <f>VLOOKUP(F1140,数据集标准分类!A:C,3,0)</f>
        <v>050401</v>
      </c>
      <c r="F1140" s="170" t="s">
        <v>2926</v>
      </c>
      <c r="G1140" s="183" t="str">
        <f>VLOOKUP(F1140,数据集标准分类!A:B,2,0)</f>
        <v>diagnosis_information</v>
      </c>
      <c r="H1140" s="294">
        <f>VLOOKUP(F1140,数据集标准分类!A:H,8,0)</f>
        <v>59</v>
      </c>
      <c r="I1140" s="170" t="s">
        <v>2963</v>
      </c>
      <c r="J1140" s="170" t="s">
        <v>2964</v>
      </c>
      <c r="K1140" s="170" t="s">
        <v>2965</v>
      </c>
      <c r="L1140" s="170" t="s">
        <v>2966</v>
      </c>
      <c r="M1140" s="170"/>
      <c r="N1140" s="294">
        <v>10</v>
      </c>
      <c r="O1140" s="170"/>
    </row>
    <row r="1141" ht="15.75" customHeight="1" spans="1:15">
      <c r="A1141" s="183" t="str">
        <f>VLOOKUP(F1141,数据集标准分类!A:G,7,0)</f>
        <v>05</v>
      </c>
      <c r="B1141" s="183" t="str">
        <f>VLOOKUP(F1141,数据集标准分类!A:F,6,0)</f>
        <v>就诊信息</v>
      </c>
      <c r="C1141" s="183" t="str">
        <f>VLOOKUP(F1141,数据集标准分类!A:E,5,0)</f>
        <v>0504</v>
      </c>
      <c r="D1141" s="183" t="str">
        <f>VLOOKUP(F1141,数据集标准分类!A:D,4,0)</f>
        <v>诊断信息</v>
      </c>
      <c r="E1141" s="183" t="str">
        <f>VLOOKUP(F1141,数据集标准分类!A:C,3,0)</f>
        <v>050401</v>
      </c>
      <c r="F1141" s="170" t="s">
        <v>2926</v>
      </c>
      <c r="G1141" s="183" t="str">
        <f>VLOOKUP(F1141,数据集标准分类!A:B,2,0)</f>
        <v>diagnosis_information</v>
      </c>
      <c r="H1141" s="294">
        <f>VLOOKUP(F1141,数据集标准分类!A:H,8,0)</f>
        <v>59</v>
      </c>
      <c r="I1141" s="170" t="s">
        <v>2967</v>
      </c>
      <c r="J1141" s="170" t="s">
        <v>2968</v>
      </c>
      <c r="K1141" s="170" t="s">
        <v>2969</v>
      </c>
      <c r="L1141" s="170" t="s">
        <v>2970</v>
      </c>
      <c r="M1141" s="170"/>
      <c r="N1141" s="294">
        <v>11</v>
      </c>
      <c r="O1141" s="170"/>
    </row>
    <row r="1142" ht="15.75" customHeight="1" spans="1:15">
      <c r="A1142" s="183" t="str">
        <f>VLOOKUP(F1142,数据集标准分类!A:G,7,0)</f>
        <v>05</v>
      </c>
      <c r="B1142" s="183" t="str">
        <f>VLOOKUP(F1142,数据集标准分类!A:F,6,0)</f>
        <v>就诊信息</v>
      </c>
      <c r="C1142" s="183" t="str">
        <f>VLOOKUP(F1142,数据集标准分类!A:E,5,0)</f>
        <v>0504</v>
      </c>
      <c r="D1142" s="183" t="str">
        <f>VLOOKUP(F1142,数据集标准分类!A:D,4,0)</f>
        <v>诊断信息</v>
      </c>
      <c r="E1142" s="183" t="str">
        <f>VLOOKUP(F1142,数据集标准分类!A:C,3,0)</f>
        <v>050401</v>
      </c>
      <c r="F1142" s="170" t="s">
        <v>2926</v>
      </c>
      <c r="G1142" s="183" t="str">
        <f>VLOOKUP(F1142,数据集标准分类!A:B,2,0)</f>
        <v>diagnosis_information</v>
      </c>
      <c r="H1142" s="294">
        <f>VLOOKUP(F1142,数据集标准分类!A:H,8,0)</f>
        <v>59</v>
      </c>
      <c r="I1142" s="170" t="s">
        <v>2971</v>
      </c>
      <c r="J1142" s="170" t="s">
        <v>2972</v>
      </c>
      <c r="K1142" s="170" t="s">
        <v>2973</v>
      </c>
      <c r="L1142" s="170" t="s">
        <v>2974</v>
      </c>
      <c r="M1142" s="170"/>
      <c r="N1142" s="294">
        <v>12</v>
      </c>
      <c r="O1142" s="170"/>
    </row>
    <row r="1143" ht="15.75" customHeight="1" spans="1:15">
      <c r="A1143" s="183" t="str">
        <f>VLOOKUP(F1143,数据集标准分类!A:G,7,0)</f>
        <v>05</v>
      </c>
      <c r="B1143" s="183" t="str">
        <f>VLOOKUP(F1143,数据集标准分类!A:F,6,0)</f>
        <v>就诊信息</v>
      </c>
      <c r="C1143" s="183" t="str">
        <f>VLOOKUP(F1143,数据集标准分类!A:E,5,0)</f>
        <v>0504</v>
      </c>
      <c r="D1143" s="183" t="str">
        <f>VLOOKUP(F1143,数据集标准分类!A:D,4,0)</f>
        <v>诊断信息</v>
      </c>
      <c r="E1143" s="183" t="str">
        <f>VLOOKUP(F1143,数据集标准分类!A:C,3,0)</f>
        <v>050401</v>
      </c>
      <c r="F1143" s="170" t="s">
        <v>2926</v>
      </c>
      <c r="G1143" s="183" t="str">
        <f>VLOOKUP(F1143,数据集标准分类!A:B,2,0)</f>
        <v>diagnosis_information</v>
      </c>
      <c r="H1143" s="294">
        <f>VLOOKUP(F1143,数据集标准分类!A:H,8,0)</f>
        <v>59</v>
      </c>
      <c r="I1143" s="170" t="s">
        <v>2975</v>
      </c>
      <c r="J1143" s="170" t="s">
        <v>2976</v>
      </c>
      <c r="K1143" s="170" t="s">
        <v>2977</v>
      </c>
      <c r="L1143" s="170" t="s">
        <v>2978</v>
      </c>
      <c r="M1143" s="170"/>
      <c r="N1143" s="294">
        <v>13</v>
      </c>
      <c r="O1143" s="170"/>
    </row>
    <row r="1144" ht="15.75" customHeight="1" spans="1:15">
      <c r="A1144" s="183" t="str">
        <f>VLOOKUP(F1144,数据集标准分类!A:G,7,0)</f>
        <v>05</v>
      </c>
      <c r="B1144" s="183" t="str">
        <f>VLOOKUP(F1144,数据集标准分类!A:F,6,0)</f>
        <v>就诊信息</v>
      </c>
      <c r="C1144" s="183" t="str">
        <f>VLOOKUP(F1144,数据集标准分类!A:E,5,0)</f>
        <v>0504</v>
      </c>
      <c r="D1144" s="183" t="str">
        <f>VLOOKUP(F1144,数据集标准分类!A:D,4,0)</f>
        <v>诊断信息</v>
      </c>
      <c r="E1144" s="183" t="str">
        <f>VLOOKUP(F1144,数据集标准分类!A:C,3,0)</f>
        <v>050401</v>
      </c>
      <c r="F1144" s="170" t="s">
        <v>2926</v>
      </c>
      <c r="G1144" s="183" t="str">
        <f>VLOOKUP(F1144,数据集标准分类!A:B,2,0)</f>
        <v>diagnosis_information</v>
      </c>
      <c r="H1144" s="294">
        <f>VLOOKUP(F1144,数据集标准分类!A:H,8,0)</f>
        <v>59</v>
      </c>
      <c r="I1144" s="170" t="s">
        <v>2979</v>
      </c>
      <c r="J1144" s="170" t="s">
        <v>2980</v>
      </c>
      <c r="K1144" s="170" t="s">
        <v>2981</v>
      </c>
      <c r="L1144" s="170" t="s">
        <v>2982</v>
      </c>
      <c r="M1144" s="170"/>
      <c r="N1144" s="294">
        <v>14</v>
      </c>
      <c r="O1144" s="170"/>
    </row>
    <row r="1145" ht="15.75" customHeight="1" spans="1:15">
      <c r="A1145" s="183" t="str">
        <f>VLOOKUP(F1145,数据集标准分类!A:G,7,0)</f>
        <v>05</v>
      </c>
      <c r="B1145" s="183" t="str">
        <f>VLOOKUP(F1145,数据集标准分类!A:F,6,0)</f>
        <v>就诊信息</v>
      </c>
      <c r="C1145" s="183" t="str">
        <f>VLOOKUP(F1145,数据集标准分类!A:E,5,0)</f>
        <v>0504</v>
      </c>
      <c r="D1145" s="183" t="str">
        <f>VLOOKUP(F1145,数据集标准分类!A:D,4,0)</f>
        <v>诊断信息</v>
      </c>
      <c r="E1145" s="183" t="str">
        <f>VLOOKUP(F1145,数据集标准分类!A:C,3,0)</f>
        <v>050401</v>
      </c>
      <c r="F1145" s="170" t="s">
        <v>2926</v>
      </c>
      <c r="G1145" s="183" t="str">
        <f>VLOOKUP(F1145,数据集标准分类!A:B,2,0)</f>
        <v>diagnosis_information</v>
      </c>
      <c r="H1145" s="294">
        <f>VLOOKUP(F1145,数据集标准分类!A:H,8,0)</f>
        <v>59</v>
      </c>
      <c r="I1145" s="170" t="s">
        <v>2983</v>
      </c>
      <c r="J1145" s="170" t="s">
        <v>2984</v>
      </c>
      <c r="K1145" s="170" t="s">
        <v>2985</v>
      </c>
      <c r="L1145" s="170" t="s">
        <v>2986</v>
      </c>
      <c r="M1145" s="170"/>
      <c r="N1145" s="294">
        <v>15</v>
      </c>
      <c r="O1145" s="170"/>
    </row>
    <row r="1146" ht="15.75" customHeight="1" spans="1:15">
      <c r="A1146" s="183" t="str">
        <f>VLOOKUP(F1146,数据集标准分类!A:G,7,0)</f>
        <v>05</v>
      </c>
      <c r="B1146" s="183" t="str">
        <f>VLOOKUP(F1146,数据集标准分类!A:F,6,0)</f>
        <v>就诊信息</v>
      </c>
      <c r="C1146" s="183" t="str">
        <f>VLOOKUP(F1146,数据集标准分类!A:E,5,0)</f>
        <v>0504</v>
      </c>
      <c r="D1146" s="183" t="str">
        <f>VLOOKUP(F1146,数据集标准分类!A:D,4,0)</f>
        <v>诊断信息</v>
      </c>
      <c r="E1146" s="183" t="str">
        <f>VLOOKUP(F1146,数据集标准分类!A:C,3,0)</f>
        <v>050401</v>
      </c>
      <c r="F1146" s="170" t="s">
        <v>2926</v>
      </c>
      <c r="G1146" s="183" t="str">
        <f>VLOOKUP(F1146,数据集标准分类!A:B,2,0)</f>
        <v>diagnosis_information</v>
      </c>
      <c r="H1146" s="294">
        <f>VLOOKUP(F1146,数据集标准分类!A:H,8,0)</f>
        <v>59</v>
      </c>
      <c r="I1146" s="170" t="s">
        <v>2987</v>
      </c>
      <c r="J1146" s="170" t="s">
        <v>2988</v>
      </c>
      <c r="K1146" s="170" t="s">
        <v>2989</v>
      </c>
      <c r="L1146" s="170" t="s">
        <v>2990</v>
      </c>
      <c r="M1146" s="170"/>
      <c r="N1146" s="294">
        <v>16</v>
      </c>
      <c r="O1146" s="170"/>
    </row>
    <row r="1147" ht="15.75" customHeight="1" spans="1:15">
      <c r="A1147" s="183" t="str">
        <f>VLOOKUP(F1147,数据集标准分类!A:G,7,0)</f>
        <v>05</v>
      </c>
      <c r="B1147" s="183" t="str">
        <f>VLOOKUP(F1147,数据集标准分类!A:F,6,0)</f>
        <v>就诊信息</v>
      </c>
      <c r="C1147" s="183" t="str">
        <f>VLOOKUP(F1147,数据集标准分类!A:E,5,0)</f>
        <v>0504</v>
      </c>
      <c r="D1147" s="183" t="str">
        <f>VLOOKUP(F1147,数据集标准分类!A:D,4,0)</f>
        <v>诊断信息</v>
      </c>
      <c r="E1147" s="183" t="str">
        <f>VLOOKUP(F1147,数据集标准分类!A:C,3,0)</f>
        <v>050401</v>
      </c>
      <c r="F1147" s="170" t="s">
        <v>2926</v>
      </c>
      <c r="G1147" s="183" t="str">
        <f>VLOOKUP(F1147,数据集标准分类!A:B,2,0)</f>
        <v>diagnosis_information</v>
      </c>
      <c r="H1147" s="294">
        <f>VLOOKUP(F1147,数据集标准分类!A:H,8,0)</f>
        <v>59</v>
      </c>
      <c r="I1147" s="170" t="s">
        <v>2991</v>
      </c>
      <c r="J1147" s="170" t="s">
        <v>2992</v>
      </c>
      <c r="K1147" s="170" t="s">
        <v>2993</v>
      </c>
      <c r="L1147" s="170" t="s">
        <v>2994</v>
      </c>
      <c r="M1147" s="170"/>
      <c r="N1147" s="294">
        <v>17</v>
      </c>
      <c r="O1147" s="170"/>
    </row>
    <row r="1148" ht="15.75" customHeight="1" spans="1:15">
      <c r="A1148" s="183" t="str">
        <f>VLOOKUP(F1148,数据集标准分类!A:G,7,0)</f>
        <v>05</v>
      </c>
      <c r="B1148" s="183" t="str">
        <f>VLOOKUP(F1148,数据集标准分类!A:F,6,0)</f>
        <v>就诊信息</v>
      </c>
      <c r="C1148" s="183" t="str">
        <f>VLOOKUP(F1148,数据集标准分类!A:E,5,0)</f>
        <v>0504</v>
      </c>
      <c r="D1148" s="183" t="str">
        <f>VLOOKUP(F1148,数据集标准分类!A:D,4,0)</f>
        <v>诊断信息</v>
      </c>
      <c r="E1148" s="183" t="str">
        <f>VLOOKUP(F1148,数据集标准分类!A:C,3,0)</f>
        <v>050401</v>
      </c>
      <c r="F1148" s="170" t="s">
        <v>2926</v>
      </c>
      <c r="G1148" s="183" t="str">
        <f>VLOOKUP(F1148,数据集标准分类!A:B,2,0)</f>
        <v>diagnosis_information</v>
      </c>
      <c r="H1148" s="294">
        <f>VLOOKUP(F1148,数据集标准分类!A:H,8,0)</f>
        <v>59</v>
      </c>
      <c r="I1148" s="170" t="s">
        <v>2995</v>
      </c>
      <c r="J1148" s="170" t="s">
        <v>2996</v>
      </c>
      <c r="K1148" s="170" t="s">
        <v>2997</v>
      </c>
      <c r="L1148" s="170" t="s">
        <v>2998</v>
      </c>
      <c r="M1148" s="170"/>
      <c r="N1148" s="294">
        <v>18</v>
      </c>
      <c r="O1148" s="170"/>
    </row>
    <row r="1149" ht="15.75" customHeight="1" spans="1:15">
      <c r="A1149" s="183" t="str">
        <f>VLOOKUP(F1149,数据集标准分类!A:G,7,0)</f>
        <v>05</v>
      </c>
      <c r="B1149" s="183" t="str">
        <f>VLOOKUP(F1149,数据集标准分类!A:F,6,0)</f>
        <v>就诊信息</v>
      </c>
      <c r="C1149" s="183" t="str">
        <f>VLOOKUP(F1149,数据集标准分类!A:E,5,0)</f>
        <v>0504</v>
      </c>
      <c r="D1149" s="183" t="str">
        <f>VLOOKUP(F1149,数据集标准分类!A:D,4,0)</f>
        <v>诊断信息</v>
      </c>
      <c r="E1149" s="183" t="str">
        <f>VLOOKUP(F1149,数据集标准分类!A:C,3,0)</f>
        <v>050401</v>
      </c>
      <c r="F1149" s="170" t="s">
        <v>2926</v>
      </c>
      <c r="G1149" s="183" t="str">
        <f>VLOOKUP(F1149,数据集标准分类!A:B,2,0)</f>
        <v>diagnosis_information</v>
      </c>
      <c r="H1149" s="294">
        <f>VLOOKUP(F1149,数据集标准分类!A:H,8,0)</f>
        <v>59</v>
      </c>
      <c r="I1149" s="170" t="s">
        <v>2999</v>
      </c>
      <c r="J1149" s="170" t="s">
        <v>3000</v>
      </c>
      <c r="K1149" s="170" t="s">
        <v>3001</v>
      </c>
      <c r="L1149" s="170" t="s">
        <v>3002</v>
      </c>
      <c r="M1149" s="170"/>
      <c r="N1149" s="294">
        <v>19</v>
      </c>
      <c r="O1149" s="170"/>
    </row>
    <row r="1150" ht="15.75" customHeight="1" spans="1:15">
      <c r="A1150" s="183" t="str">
        <f>VLOOKUP(F1150,数据集标准分类!A:G,7,0)</f>
        <v>05</v>
      </c>
      <c r="B1150" s="183" t="str">
        <f>VLOOKUP(F1150,数据集标准分类!A:F,6,0)</f>
        <v>就诊信息</v>
      </c>
      <c r="C1150" s="183" t="str">
        <f>VLOOKUP(F1150,数据集标准分类!A:E,5,0)</f>
        <v>0504</v>
      </c>
      <c r="D1150" s="183" t="str">
        <f>VLOOKUP(F1150,数据集标准分类!A:D,4,0)</f>
        <v>诊断信息</v>
      </c>
      <c r="E1150" s="183" t="str">
        <f>VLOOKUP(F1150,数据集标准分类!A:C,3,0)</f>
        <v>050401</v>
      </c>
      <c r="F1150" s="170" t="s">
        <v>2926</v>
      </c>
      <c r="G1150" s="183" t="str">
        <f>VLOOKUP(F1150,数据集标准分类!A:B,2,0)</f>
        <v>diagnosis_information</v>
      </c>
      <c r="H1150" s="294">
        <f>VLOOKUP(F1150,数据集标准分类!A:H,8,0)</f>
        <v>59</v>
      </c>
      <c r="I1150" s="170" t="s">
        <v>3003</v>
      </c>
      <c r="J1150" s="170" t="s">
        <v>3004</v>
      </c>
      <c r="K1150" s="170" t="s">
        <v>3005</v>
      </c>
      <c r="L1150" s="170" t="s">
        <v>3006</v>
      </c>
      <c r="M1150" s="170"/>
      <c r="N1150" s="294">
        <v>20</v>
      </c>
      <c r="O1150" s="170"/>
    </row>
    <row r="1151" ht="15.75" customHeight="1" spans="1:15">
      <c r="A1151" s="183" t="str">
        <f>VLOOKUP(F1151,数据集标准分类!A:G,7,0)</f>
        <v>05</v>
      </c>
      <c r="B1151" s="183" t="str">
        <f>VLOOKUP(F1151,数据集标准分类!A:F,6,0)</f>
        <v>就诊信息</v>
      </c>
      <c r="C1151" s="183" t="str">
        <f>VLOOKUP(F1151,数据集标准分类!A:E,5,0)</f>
        <v>0504</v>
      </c>
      <c r="D1151" s="183" t="str">
        <f>VLOOKUP(F1151,数据集标准分类!A:D,4,0)</f>
        <v>诊断信息</v>
      </c>
      <c r="E1151" s="183" t="str">
        <f>VLOOKUP(F1151,数据集标准分类!A:C,3,0)</f>
        <v>050401</v>
      </c>
      <c r="F1151" s="170" t="s">
        <v>2926</v>
      </c>
      <c r="G1151" s="183" t="str">
        <f>VLOOKUP(F1151,数据集标准分类!A:B,2,0)</f>
        <v>diagnosis_information</v>
      </c>
      <c r="H1151" s="294">
        <f>VLOOKUP(F1151,数据集标准分类!A:H,8,0)</f>
        <v>59</v>
      </c>
      <c r="I1151" s="170" t="s">
        <v>3007</v>
      </c>
      <c r="J1151" s="170" t="s">
        <v>3008</v>
      </c>
      <c r="K1151" s="170" t="s">
        <v>3009</v>
      </c>
      <c r="L1151" s="170" t="s">
        <v>3010</v>
      </c>
      <c r="M1151" s="170"/>
      <c r="N1151" s="294">
        <v>21</v>
      </c>
      <c r="O1151" s="170"/>
    </row>
    <row r="1152" ht="15.75" customHeight="1" spans="1:15">
      <c r="A1152" s="183" t="str">
        <f>VLOOKUP(F1152,数据集标准分类!A:G,7,0)</f>
        <v>05</v>
      </c>
      <c r="B1152" s="183" t="str">
        <f>VLOOKUP(F1152,数据集标准分类!A:F,6,0)</f>
        <v>就诊信息</v>
      </c>
      <c r="C1152" s="183" t="str">
        <f>VLOOKUP(F1152,数据集标准分类!A:E,5,0)</f>
        <v>0504</v>
      </c>
      <c r="D1152" s="183" t="str">
        <f>VLOOKUP(F1152,数据集标准分类!A:D,4,0)</f>
        <v>诊断信息</v>
      </c>
      <c r="E1152" s="183" t="str">
        <f>VLOOKUP(F1152,数据集标准分类!A:C,3,0)</f>
        <v>050401</v>
      </c>
      <c r="F1152" s="170" t="s">
        <v>2926</v>
      </c>
      <c r="G1152" s="183" t="str">
        <f>VLOOKUP(F1152,数据集标准分类!A:B,2,0)</f>
        <v>diagnosis_information</v>
      </c>
      <c r="H1152" s="294">
        <f>VLOOKUP(F1152,数据集标准分类!A:H,8,0)</f>
        <v>59</v>
      </c>
      <c r="I1152" s="170" t="s">
        <v>3011</v>
      </c>
      <c r="J1152" s="170" t="s">
        <v>3012</v>
      </c>
      <c r="K1152" s="170" t="s">
        <v>3013</v>
      </c>
      <c r="L1152" s="170" t="s">
        <v>3014</v>
      </c>
      <c r="M1152" s="170"/>
      <c r="N1152" s="294">
        <v>22</v>
      </c>
      <c r="O1152" s="170"/>
    </row>
    <row r="1153" ht="15.75" customHeight="1" spans="1:15">
      <c r="A1153" s="183" t="str">
        <f>VLOOKUP(F1153,数据集标准分类!A:G,7,0)</f>
        <v>05</v>
      </c>
      <c r="B1153" s="183" t="str">
        <f>VLOOKUP(F1153,数据集标准分类!A:F,6,0)</f>
        <v>就诊信息</v>
      </c>
      <c r="C1153" s="183" t="str">
        <f>VLOOKUP(F1153,数据集标准分类!A:E,5,0)</f>
        <v>0504</v>
      </c>
      <c r="D1153" s="183" t="str">
        <f>VLOOKUP(F1153,数据集标准分类!A:D,4,0)</f>
        <v>诊断信息</v>
      </c>
      <c r="E1153" s="183" t="str">
        <f>VLOOKUP(F1153,数据集标准分类!A:C,3,0)</f>
        <v>050401</v>
      </c>
      <c r="F1153" s="170" t="s">
        <v>2926</v>
      </c>
      <c r="G1153" s="183" t="str">
        <f>VLOOKUP(F1153,数据集标准分类!A:B,2,0)</f>
        <v>diagnosis_information</v>
      </c>
      <c r="H1153" s="294">
        <f>VLOOKUP(F1153,数据集标准分类!A:H,8,0)</f>
        <v>59</v>
      </c>
      <c r="I1153" s="170" t="s">
        <v>3015</v>
      </c>
      <c r="J1153" s="170" t="s">
        <v>3016</v>
      </c>
      <c r="K1153" s="170" t="s">
        <v>3017</v>
      </c>
      <c r="L1153" s="170" t="s">
        <v>3018</v>
      </c>
      <c r="M1153" s="170"/>
      <c r="N1153" s="294">
        <v>23</v>
      </c>
      <c r="O1153" s="170"/>
    </row>
    <row r="1154" ht="15.75" customHeight="1" spans="1:15">
      <c r="A1154" s="183" t="str">
        <f>VLOOKUP(F1154,数据集标准分类!A:G,7,0)</f>
        <v>05</v>
      </c>
      <c r="B1154" s="183" t="str">
        <f>VLOOKUP(F1154,数据集标准分类!A:F,6,0)</f>
        <v>就诊信息</v>
      </c>
      <c r="C1154" s="183" t="str">
        <f>VLOOKUP(F1154,数据集标准分类!A:E,5,0)</f>
        <v>0504</v>
      </c>
      <c r="D1154" s="183" t="str">
        <f>VLOOKUP(F1154,数据集标准分类!A:D,4,0)</f>
        <v>诊断信息</v>
      </c>
      <c r="E1154" s="183" t="str">
        <f>VLOOKUP(F1154,数据集标准分类!A:C,3,0)</f>
        <v>050401</v>
      </c>
      <c r="F1154" s="170" t="s">
        <v>2926</v>
      </c>
      <c r="G1154" s="183" t="str">
        <f>VLOOKUP(F1154,数据集标准分类!A:B,2,0)</f>
        <v>diagnosis_information</v>
      </c>
      <c r="H1154" s="294">
        <f>VLOOKUP(F1154,数据集标准分类!A:H,8,0)</f>
        <v>59</v>
      </c>
      <c r="I1154" s="170" t="s">
        <v>3019</v>
      </c>
      <c r="J1154" s="170" t="s">
        <v>3020</v>
      </c>
      <c r="K1154" s="170" t="s">
        <v>3021</v>
      </c>
      <c r="L1154" s="170" t="s">
        <v>3022</v>
      </c>
      <c r="M1154" s="170"/>
      <c r="N1154" s="294">
        <v>24</v>
      </c>
      <c r="O1154" s="170"/>
    </row>
    <row r="1155" ht="15.75" customHeight="1" spans="1:15">
      <c r="A1155" s="183" t="str">
        <f>VLOOKUP(F1155,数据集标准分类!A:G,7,0)</f>
        <v>05</v>
      </c>
      <c r="B1155" s="183" t="str">
        <f>VLOOKUP(F1155,数据集标准分类!A:F,6,0)</f>
        <v>就诊信息</v>
      </c>
      <c r="C1155" s="183" t="str">
        <f>VLOOKUP(F1155,数据集标准分类!A:E,5,0)</f>
        <v>0504</v>
      </c>
      <c r="D1155" s="183" t="str">
        <f>VLOOKUP(F1155,数据集标准分类!A:D,4,0)</f>
        <v>诊断信息</v>
      </c>
      <c r="E1155" s="183" t="str">
        <f>VLOOKUP(F1155,数据集标准分类!A:C,3,0)</f>
        <v>050401</v>
      </c>
      <c r="F1155" s="170" t="s">
        <v>2926</v>
      </c>
      <c r="G1155" s="183" t="str">
        <f>VLOOKUP(F1155,数据集标准分类!A:B,2,0)</f>
        <v>diagnosis_information</v>
      </c>
      <c r="H1155" s="294">
        <f>VLOOKUP(F1155,数据集标准分类!A:H,8,0)</f>
        <v>59</v>
      </c>
      <c r="I1155" s="170" t="s">
        <v>3023</v>
      </c>
      <c r="J1155" s="170" t="s">
        <v>3024</v>
      </c>
      <c r="K1155" s="170" t="s">
        <v>3025</v>
      </c>
      <c r="L1155" s="170" t="s">
        <v>3026</v>
      </c>
      <c r="M1155" s="170" t="s">
        <v>3027</v>
      </c>
      <c r="N1155" s="294">
        <v>25</v>
      </c>
      <c r="O1155" s="170"/>
    </row>
    <row r="1156" ht="15.75" customHeight="1" spans="1:15">
      <c r="A1156" s="183" t="str">
        <f>VLOOKUP(F1156,数据集标准分类!A:G,7,0)</f>
        <v>05</v>
      </c>
      <c r="B1156" s="183" t="str">
        <f>VLOOKUP(F1156,数据集标准分类!A:F,6,0)</f>
        <v>就诊信息</v>
      </c>
      <c r="C1156" s="183" t="str">
        <f>VLOOKUP(F1156,数据集标准分类!A:E,5,0)</f>
        <v>0504</v>
      </c>
      <c r="D1156" s="183" t="str">
        <f>VLOOKUP(F1156,数据集标准分类!A:D,4,0)</f>
        <v>诊断信息</v>
      </c>
      <c r="E1156" s="183" t="str">
        <f>VLOOKUP(F1156,数据集标准分类!A:C,3,0)</f>
        <v>050401</v>
      </c>
      <c r="F1156" s="170" t="s">
        <v>2926</v>
      </c>
      <c r="G1156" s="183" t="str">
        <f>VLOOKUP(F1156,数据集标准分类!A:B,2,0)</f>
        <v>diagnosis_information</v>
      </c>
      <c r="H1156" s="294">
        <f>VLOOKUP(F1156,数据集标准分类!A:H,8,0)</f>
        <v>59</v>
      </c>
      <c r="I1156" s="170" t="s">
        <v>3028</v>
      </c>
      <c r="J1156" s="170" t="s">
        <v>3029</v>
      </c>
      <c r="K1156" s="170" t="s">
        <v>3030</v>
      </c>
      <c r="L1156" s="170" t="s">
        <v>3031</v>
      </c>
      <c r="M1156" s="170"/>
      <c r="N1156" s="294">
        <v>26</v>
      </c>
      <c r="O1156" s="170"/>
    </row>
    <row r="1157" ht="15.75" customHeight="1" spans="1:15">
      <c r="A1157" s="183" t="str">
        <f>VLOOKUP(F1157,数据集标准分类!A:G,7,0)</f>
        <v>05</v>
      </c>
      <c r="B1157" s="183" t="str">
        <f>VLOOKUP(F1157,数据集标准分类!A:F,6,0)</f>
        <v>就诊信息</v>
      </c>
      <c r="C1157" s="183" t="str">
        <f>VLOOKUP(F1157,数据集标准分类!A:E,5,0)</f>
        <v>0504</v>
      </c>
      <c r="D1157" s="183" t="str">
        <f>VLOOKUP(F1157,数据集标准分类!A:D,4,0)</f>
        <v>诊断信息</v>
      </c>
      <c r="E1157" s="183" t="str">
        <f>VLOOKUP(F1157,数据集标准分类!A:C,3,0)</f>
        <v>050401</v>
      </c>
      <c r="F1157" s="170" t="s">
        <v>2926</v>
      </c>
      <c r="G1157" s="183" t="str">
        <f>VLOOKUP(F1157,数据集标准分类!A:B,2,0)</f>
        <v>diagnosis_information</v>
      </c>
      <c r="H1157" s="294">
        <f>VLOOKUP(F1157,数据集标准分类!A:H,8,0)</f>
        <v>59</v>
      </c>
      <c r="I1157" s="170" t="s">
        <v>3032</v>
      </c>
      <c r="J1157" s="170" t="s">
        <v>3033</v>
      </c>
      <c r="K1157" s="170" t="s">
        <v>3034</v>
      </c>
      <c r="L1157" s="170" t="s">
        <v>3035</v>
      </c>
      <c r="M1157" s="170"/>
      <c r="N1157" s="294">
        <v>27</v>
      </c>
      <c r="O1157" s="170"/>
    </row>
    <row r="1158" ht="15.75" customHeight="1" spans="1:15">
      <c r="A1158" s="183" t="str">
        <f>VLOOKUP(F1158,数据集标准分类!A:G,7,0)</f>
        <v>05</v>
      </c>
      <c r="B1158" s="183" t="str">
        <f>VLOOKUP(F1158,数据集标准分类!A:F,6,0)</f>
        <v>就诊信息</v>
      </c>
      <c r="C1158" s="183" t="str">
        <f>VLOOKUP(F1158,数据集标准分类!A:E,5,0)</f>
        <v>0504</v>
      </c>
      <c r="D1158" s="183" t="str">
        <f>VLOOKUP(F1158,数据集标准分类!A:D,4,0)</f>
        <v>诊断信息</v>
      </c>
      <c r="E1158" s="183" t="str">
        <f>VLOOKUP(F1158,数据集标准分类!A:C,3,0)</f>
        <v>050401</v>
      </c>
      <c r="F1158" s="170" t="s">
        <v>2926</v>
      </c>
      <c r="G1158" s="183" t="str">
        <f>VLOOKUP(F1158,数据集标准分类!A:B,2,0)</f>
        <v>diagnosis_information</v>
      </c>
      <c r="H1158" s="294">
        <f>VLOOKUP(F1158,数据集标准分类!A:H,8,0)</f>
        <v>59</v>
      </c>
      <c r="I1158" s="170" t="s">
        <v>3036</v>
      </c>
      <c r="J1158" s="170" t="s">
        <v>3037</v>
      </c>
      <c r="K1158" s="170" t="s">
        <v>3038</v>
      </c>
      <c r="L1158" s="170" t="s">
        <v>3039</v>
      </c>
      <c r="M1158" s="170"/>
      <c r="N1158" s="294">
        <v>28</v>
      </c>
      <c r="O1158" s="170"/>
    </row>
    <row r="1159" ht="15.75" customHeight="1" spans="1:15">
      <c r="A1159" s="183" t="str">
        <f>VLOOKUP(F1159,数据集标准分类!A:G,7,0)</f>
        <v>05</v>
      </c>
      <c r="B1159" s="183" t="str">
        <f>VLOOKUP(F1159,数据集标准分类!A:F,6,0)</f>
        <v>就诊信息</v>
      </c>
      <c r="C1159" s="183" t="str">
        <f>VLOOKUP(F1159,数据集标准分类!A:E,5,0)</f>
        <v>0504</v>
      </c>
      <c r="D1159" s="183" t="str">
        <f>VLOOKUP(F1159,数据集标准分类!A:D,4,0)</f>
        <v>诊断信息</v>
      </c>
      <c r="E1159" s="183" t="str">
        <f>VLOOKUP(F1159,数据集标准分类!A:C,3,0)</f>
        <v>050401</v>
      </c>
      <c r="F1159" s="170" t="s">
        <v>2926</v>
      </c>
      <c r="G1159" s="183" t="str">
        <f>VLOOKUP(F1159,数据集标准分类!A:B,2,0)</f>
        <v>diagnosis_information</v>
      </c>
      <c r="H1159" s="294">
        <f>VLOOKUP(F1159,数据集标准分类!A:H,8,0)</f>
        <v>59</v>
      </c>
      <c r="I1159" s="170" t="s">
        <v>1666</v>
      </c>
      <c r="J1159" s="170" t="s">
        <v>1667</v>
      </c>
      <c r="K1159" s="170" t="s">
        <v>1668</v>
      </c>
      <c r="L1159" s="170" t="s">
        <v>3040</v>
      </c>
      <c r="M1159" s="170"/>
      <c r="N1159" s="294">
        <v>29</v>
      </c>
      <c r="O1159" s="170"/>
    </row>
    <row r="1160" ht="15.75" customHeight="1" spans="1:15">
      <c r="A1160" s="183" t="str">
        <f>VLOOKUP(F1160,数据集标准分类!A:G,7,0)</f>
        <v>05</v>
      </c>
      <c r="B1160" s="183" t="str">
        <f>VLOOKUP(F1160,数据集标准分类!A:F,6,0)</f>
        <v>就诊信息</v>
      </c>
      <c r="C1160" s="183" t="str">
        <f>VLOOKUP(F1160,数据集标准分类!A:E,5,0)</f>
        <v>0504</v>
      </c>
      <c r="D1160" s="183" t="str">
        <f>VLOOKUP(F1160,数据集标准分类!A:D,4,0)</f>
        <v>诊断信息</v>
      </c>
      <c r="E1160" s="183" t="str">
        <f>VLOOKUP(F1160,数据集标准分类!A:C,3,0)</f>
        <v>050401</v>
      </c>
      <c r="F1160" s="170" t="s">
        <v>2926</v>
      </c>
      <c r="G1160" s="183" t="str">
        <f>VLOOKUP(F1160,数据集标准分类!A:B,2,0)</f>
        <v>diagnosis_information</v>
      </c>
      <c r="H1160" s="294">
        <f>VLOOKUP(F1160,数据集标准分类!A:H,8,0)</f>
        <v>59</v>
      </c>
      <c r="I1160" s="170" t="s">
        <v>3041</v>
      </c>
      <c r="J1160" s="170" t="s">
        <v>3042</v>
      </c>
      <c r="K1160" s="170" t="s">
        <v>3043</v>
      </c>
      <c r="L1160" s="170" t="s">
        <v>3044</v>
      </c>
      <c r="M1160" s="170"/>
      <c r="N1160" s="294">
        <v>30</v>
      </c>
      <c r="O1160" s="170"/>
    </row>
    <row r="1161" ht="15.75" customHeight="1" spans="1:15">
      <c r="A1161" s="183" t="str">
        <f>VLOOKUP(F1161,数据集标准分类!A:G,7,0)</f>
        <v>05</v>
      </c>
      <c r="B1161" s="183" t="str">
        <f>VLOOKUP(F1161,数据集标准分类!A:F,6,0)</f>
        <v>就诊信息</v>
      </c>
      <c r="C1161" s="183" t="str">
        <f>VLOOKUP(F1161,数据集标准分类!A:E,5,0)</f>
        <v>0504</v>
      </c>
      <c r="D1161" s="183" t="str">
        <f>VLOOKUP(F1161,数据集标准分类!A:D,4,0)</f>
        <v>诊断信息</v>
      </c>
      <c r="E1161" s="183" t="str">
        <f>VLOOKUP(F1161,数据集标准分类!A:C,3,0)</f>
        <v>050401</v>
      </c>
      <c r="F1161" s="170" t="s">
        <v>2926</v>
      </c>
      <c r="G1161" s="183" t="str">
        <f>VLOOKUP(F1161,数据集标准分类!A:B,2,0)</f>
        <v>diagnosis_information</v>
      </c>
      <c r="H1161" s="294">
        <f>VLOOKUP(F1161,数据集标准分类!A:H,8,0)</f>
        <v>59</v>
      </c>
      <c r="I1161" s="170" t="s">
        <v>3045</v>
      </c>
      <c r="J1161" s="170" t="s">
        <v>3046</v>
      </c>
      <c r="K1161" s="170" t="s">
        <v>3047</v>
      </c>
      <c r="L1161" s="170" t="s">
        <v>3048</v>
      </c>
      <c r="M1161" s="170"/>
      <c r="N1161" s="294">
        <v>31</v>
      </c>
      <c r="O1161" s="170"/>
    </row>
    <row r="1162" ht="15.75" customHeight="1" spans="1:15">
      <c r="A1162" s="183" t="str">
        <f>VLOOKUP(F1162,数据集标准分类!A:G,7,0)</f>
        <v>05</v>
      </c>
      <c r="B1162" s="183" t="str">
        <f>VLOOKUP(F1162,数据集标准分类!A:F,6,0)</f>
        <v>就诊信息</v>
      </c>
      <c r="C1162" s="183" t="str">
        <f>VLOOKUP(F1162,数据集标准分类!A:E,5,0)</f>
        <v>0504</v>
      </c>
      <c r="D1162" s="183" t="str">
        <f>VLOOKUP(F1162,数据集标准分类!A:D,4,0)</f>
        <v>诊断信息</v>
      </c>
      <c r="E1162" s="183" t="str">
        <f>VLOOKUP(F1162,数据集标准分类!A:C,3,0)</f>
        <v>050401</v>
      </c>
      <c r="F1162" s="170" t="s">
        <v>2926</v>
      </c>
      <c r="G1162" s="183" t="str">
        <f>VLOOKUP(F1162,数据集标准分类!A:B,2,0)</f>
        <v>diagnosis_information</v>
      </c>
      <c r="H1162" s="294">
        <f>VLOOKUP(F1162,数据集标准分类!A:H,8,0)</f>
        <v>59</v>
      </c>
      <c r="I1162" s="170" t="s">
        <v>3049</v>
      </c>
      <c r="J1162" s="170" t="s">
        <v>3050</v>
      </c>
      <c r="K1162" s="170" t="s">
        <v>3051</v>
      </c>
      <c r="L1162" s="170" t="s">
        <v>3052</v>
      </c>
      <c r="M1162" s="170"/>
      <c r="N1162" s="294">
        <v>32</v>
      </c>
      <c r="O1162" s="170"/>
    </row>
    <row r="1163" ht="15.75" customHeight="1" spans="1:15">
      <c r="A1163" s="183" t="str">
        <f>VLOOKUP(F1163,数据集标准分类!A:G,7,0)</f>
        <v>05</v>
      </c>
      <c r="B1163" s="183" t="str">
        <f>VLOOKUP(F1163,数据集标准分类!A:F,6,0)</f>
        <v>就诊信息</v>
      </c>
      <c r="C1163" s="183" t="str">
        <f>VLOOKUP(F1163,数据集标准分类!A:E,5,0)</f>
        <v>0504</v>
      </c>
      <c r="D1163" s="183" t="str">
        <f>VLOOKUP(F1163,数据集标准分类!A:D,4,0)</f>
        <v>诊断信息</v>
      </c>
      <c r="E1163" s="183" t="str">
        <f>VLOOKUP(F1163,数据集标准分类!A:C,3,0)</f>
        <v>050401</v>
      </c>
      <c r="F1163" s="170" t="s">
        <v>2926</v>
      </c>
      <c r="G1163" s="183" t="str">
        <f>VLOOKUP(F1163,数据集标准分类!A:B,2,0)</f>
        <v>diagnosis_information</v>
      </c>
      <c r="H1163" s="294">
        <f>VLOOKUP(F1163,数据集标准分类!A:H,8,0)</f>
        <v>59</v>
      </c>
      <c r="I1163" s="170" t="s">
        <v>3053</v>
      </c>
      <c r="J1163" s="170" t="s">
        <v>3054</v>
      </c>
      <c r="K1163" s="170" t="s">
        <v>3055</v>
      </c>
      <c r="L1163" s="170" t="s">
        <v>3056</v>
      </c>
      <c r="M1163" s="170"/>
      <c r="N1163" s="294">
        <v>33</v>
      </c>
      <c r="O1163" s="170"/>
    </row>
    <row r="1164" ht="15.75" customHeight="1" spans="1:15">
      <c r="A1164" s="183" t="str">
        <f>VLOOKUP(F1164,数据集标准分类!A:G,7,0)</f>
        <v>05</v>
      </c>
      <c r="B1164" s="183" t="str">
        <f>VLOOKUP(F1164,数据集标准分类!A:F,6,0)</f>
        <v>就诊信息</v>
      </c>
      <c r="C1164" s="183" t="str">
        <f>VLOOKUP(F1164,数据集标准分类!A:E,5,0)</f>
        <v>0504</v>
      </c>
      <c r="D1164" s="183" t="str">
        <f>VLOOKUP(F1164,数据集标准分类!A:D,4,0)</f>
        <v>诊断信息</v>
      </c>
      <c r="E1164" s="183" t="str">
        <f>VLOOKUP(F1164,数据集标准分类!A:C,3,0)</f>
        <v>050401</v>
      </c>
      <c r="F1164" s="170" t="s">
        <v>2926</v>
      </c>
      <c r="G1164" s="183" t="str">
        <f>VLOOKUP(F1164,数据集标准分类!A:B,2,0)</f>
        <v>diagnosis_information</v>
      </c>
      <c r="H1164" s="294">
        <f>VLOOKUP(F1164,数据集标准分类!A:H,8,0)</f>
        <v>59</v>
      </c>
      <c r="I1164" s="170" t="s">
        <v>3057</v>
      </c>
      <c r="J1164" s="170" t="s">
        <v>3058</v>
      </c>
      <c r="K1164" s="170" t="s">
        <v>3059</v>
      </c>
      <c r="L1164" s="170" t="s">
        <v>3060</v>
      </c>
      <c r="M1164" s="170"/>
      <c r="N1164" s="294">
        <v>34</v>
      </c>
      <c r="O1164" s="170"/>
    </row>
    <row r="1165" ht="15.75" customHeight="1" spans="1:15">
      <c r="A1165" s="183" t="str">
        <f>VLOOKUP(F1165,数据集标准分类!A:G,7,0)</f>
        <v>05</v>
      </c>
      <c r="B1165" s="183" t="str">
        <f>VLOOKUP(F1165,数据集标准分类!A:F,6,0)</f>
        <v>就诊信息</v>
      </c>
      <c r="C1165" s="183" t="str">
        <f>VLOOKUP(F1165,数据集标准分类!A:E,5,0)</f>
        <v>0504</v>
      </c>
      <c r="D1165" s="183" t="str">
        <f>VLOOKUP(F1165,数据集标准分类!A:D,4,0)</f>
        <v>诊断信息</v>
      </c>
      <c r="E1165" s="183" t="str">
        <f>VLOOKUP(F1165,数据集标准分类!A:C,3,0)</f>
        <v>050401</v>
      </c>
      <c r="F1165" s="170" t="s">
        <v>2926</v>
      </c>
      <c r="G1165" s="183" t="str">
        <f>VLOOKUP(F1165,数据集标准分类!A:B,2,0)</f>
        <v>diagnosis_information</v>
      </c>
      <c r="H1165" s="294">
        <f>VLOOKUP(F1165,数据集标准分类!A:H,8,0)</f>
        <v>59</v>
      </c>
      <c r="I1165" s="170" t="s">
        <v>3061</v>
      </c>
      <c r="J1165" s="170" t="s">
        <v>3062</v>
      </c>
      <c r="K1165" s="170" t="s">
        <v>3063</v>
      </c>
      <c r="L1165" s="170" t="s">
        <v>3064</v>
      </c>
      <c r="M1165" s="170"/>
      <c r="N1165" s="294">
        <v>35</v>
      </c>
      <c r="O1165" s="170"/>
    </row>
    <row r="1166" ht="15.75" customHeight="1" spans="1:15">
      <c r="A1166" s="183" t="str">
        <f>VLOOKUP(F1166,数据集标准分类!A:G,7,0)</f>
        <v>06</v>
      </c>
      <c r="B1166" s="183" t="str">
        <f>VLOOKUP(F1166,数据集标准分类!A:F,6,0)</f>
        <v>护理病历</v>
      </c>
      <c r="C1166" s="183" t="str">
        <f>VLOOKUP(F1166,数据集标准分类!A:E,5,0)</f>
        <v>0601</v>
      </c>
      <c r="D1166" s="183" t="str">
        <f>VLOOKUP(F1166,数据集标准分类!A:D,4,0)</f>
        <v>体征/生理监测</v>
      </c>
      <c r="E1166" s="183" t="str">
        <f>VLOOKUP(F1166,数据集标准分类!A:C,3,0)</f>
        <v>060101</v>
      </c>
      <c r="F1166" s="170" t="s">
        <v>3065</v>
      </c>
      <c r="G1166" s="183" t="str">
        <f>VLOOKUP(F1166,数据集标准分类!A:B,2,0)</f>
        <v>body_temperature</v>
      </c>
      <c r="H1166" s="294">
        <f>VLOOKUP(F1166,数据集标准分类!A:H,8,0)</f>
        <v>60</v>
      </c>
      <c r="I1166" s="170" t="s">
        <v>711</v>
      </c>
      <c r="J1166" s="170" t="s">
        <v>712</v>
      </c>
      <c r="K1166" s="170" t="s">
        <v>712</v>
      </c>
      <c r="L1166" s="170" t="s">
        <v>713</v>
      </c>
      <c r="M1166" s="170" t="s">
        <v>714</v>
      </c>
      <c r="N1166" s="294">
        <v>1</v>
      </c>
      <c r="O1166" s="170"/>
    </row>
    <row r="1167" ht="15.75" customHeight="1" spans="1:15">
      <c r="A1167" s="183" t="s">
        <v>3066</v>
      </c>
      <c r="B1167" s="183" t="str">
        <f>VLOOKUP(F1167,数据集标准分类!A:F,6,0)</f>
        <v>护理病历</v>
      </c>
      <c r="C1167" s="183" t="str">
        <f>VLOOKUP(F1167,数据集标准分类!A:E,5,0)</f>
        <v>0601</v>
      </c>
      <c r="D1167" s="183" t="str">
        <f>VLOOKUP(F1167,数据集标准分类!A:D,4,0)</f>
        <v>体征/生理监测</v>
      </c>
      <c r="E1167" s="183" t="str">
        <f>VLOOKUP(F1167,数据集标准分类!A:C,3,0)</f>
        <v>060101</v>
      </c>
      <c r="F1167" s="170" t="s">
        <v>3065</v>
      </c>
      <c r="G1167" s="183" t="str">
        <f>VLOOKUP(F1167,数据集标准分类!A:B,2,0)</f>
        <v>body_temperature</v>
      </c>
      <c r="H1167" s="294">
        <f>VLOOKUP(F1167,数据集标准分类!A:H,8,0)</f>
        <v>60</v>
      </c>
      <c r="I1167" s="170" t="s">
        <v>689</v>
      </c>
      <c r="J1167" s="170" t="s">
        <v>690</v>
      </c>
      <c r="K1167" s="170" t="s">
        <v>691</v>
      </c>
      <c r="L1167" s="170" t="s">
        <v>692</v>
      </c>
      <c r="M1167" s="170" t="s">
        <v>693</v>
      </c>
      <c r="N1167" s="294">
        <v>2</v>
      </c>
      <c r="O1167" s="170"/>
    </row>
    <row r="1168" ht="15.75" customHeight="1" spans="1:15">
      <c r="A1168" s="183" t="str">
        <f>VLOOKUP(F1168,数据集标准分类!A:G,7,0)</f>
        <v>06</v>
      </c>
      <c r="B1168" s="183" t="str">
        <f>VLOOKUP(F1168,数据集标准分类!A:F,6,0)</f>
        <v>护理病历</v>
      </c>
      <c r="C1168" s="183" t="str">
        <f>VLOOKUP(F1168,数据集标准分类!A:E,5,0)</f>
        <v>0601</v>
      </c>
      <c r="D1168" s="183" t="str">
        <f>VLOOKUP(F1168,数据集标准分类!A:D,4,0)</f>
        <v>体征/生理监测</v>
      </c>
      <c r="E1168" s="183" t="str">
        <f>VLOOKUP(F1168,数据集标准分类!A:C,3,0)</f>
        <v>060101</v>
      </c>
      <c r="F1168" s="170" t="s">
        <v>3065</v>
      </c>
      <c r="G1168" s="183" t="str">
        <f>VLOOKUP(F1168,数据集标准分类!A:B,2,0)</f>
        <v>body_temperature</v>
      </c>
      <c r="H1168" s="294">
        <f>VLOOKUP(F1168,数据集标准分类!A:H,8,0)</f>
        <v>60</v>
      </c>
      <c r="I1168" s="170" t="s">
        <v>1949</v>
      </c>
      <c r="J1168" s="170" t="s">
        <v>1950</v>
      </c>
      <c r="K1168" s="170" t="s">
        <v>1951</v>
      </c>
      <c r="L1168" s="170" t="s">
        <v>1952</v>
      </c>
      <c r="M1168" s="170" t="s">
        <v>3067</v>
      </c>
      <c r="N1168" s="294">
        <v>3</v>
      </c>
      <c r="O1168" s="170"/>
    </row>
    <row r="1169" ht="15.75" customHeight="1" spans="1:15">
      <c r="A1169" s="183" t="str">
        <f>VLOOKUP(F1169,数据集标准分类!A:G,7,0)</f>
        <v>06</v>
      </c>
      <c r="B1169" s="183" t="str">
        <f>VLOOKUP(F1169,数据集标准分类!A:F,6,0)</f>
        <v>护理病历</v>
      </c>
      <c r="C1169" s="183" t="str">
        <f>VLOOKUP(F1169,数据集标准分类!A:E,5,0)</f>
        <v>0601</v>
      </c>
      <c r="D1169" s="183" t="str">
        <f>VLOOKUP(F1169,数据集标准分类!A:D,4,0)</f>
        <v>体征/生理监测</v>
      </c>
      <c r="E1169" s="183" t="str">
        <f>VLOOKUP(F1169,数据集标准分类!A:C,3,0)</f>
        <v>060101</v>
      </c>
      <c r="F1169" s="170" t="s">
        <v>3065</v>
      </c>
      <c r="G1169" s="183" t="str">
        <f>VLOOKUP(F1169,数据集标准分类!A:B,2,0)</f>
        <v>body_temperature</v>
      </c>
      <c r="H1169" s="294">
        <f>VLOOKUP(F1169,数据集标准分类!A:H,8,0)</f>
        <v>60</v>
      </c>
      <c r="I1169" s="170" t="s">
        <v>694</v>
      </c>
      <c r="J1169" s="170" t="s">
        <v>695</v>
      </c>
      <c r="K1169" s="170" t="s">
        <v>696</v>
      </c>
      <c r="L1169" s="170" t="s">
        <v>697</v>
      </c>
      <c r="M1169" s="170" t="s">
        <v>2057</v>
      </c>
      <c r="N1169" s="294">
        <v>4</v>
      </c>
      <c r="O1169" s="170"/>
    </row>
    <row r="1170" ht="15.75" customHeight="1" spans="1:15">
      <c r="A1170" s="183" t="str">
        <f>VLOOKUP(F1170,数据集标准分类!A:G,7,0)</f>
        <v>06</v>
      </c>
      <c r="B1170" s="183" t="str">
        <f>VLOOKUP(F1170,数据集标准分类!A:F,6,0)</f>
        <v>护理病历</v>
      </c>
      <c r="C1170" s="183" t="str">
        <f>VLOOKUP(F1170,数据集标准分类!A:E,5,0)</f>
        <v>0601</v>
      </c>
      <c r="D1170" s="183" t="str">
        <f>VLOOKUP(F1170,数据集标准分类!A:D,4,0)</f>
        <v>体征/生理监测</v>
      </c>
      <c r="E1170" s="183" t="str">
        <f>VLOOKUP(F1170,数据集标准分类!A:C,3,0)</f>
        <v>060101</v>
      </c>
      <c r="F1170" s="170" t="s">
        <v>3065</v>
      </c>
      <c r="G1170" s="183" t="str">
        <f>VLOOKUP(F1170,数据集标准分类!A:B,2,0)</f>
        <v>body_temperature</v>
      </c>
      <c r="H1170" s="294">
        <f>VLOOKUP(F1170,数据集标准分类!A:H,8,0)</f>
        <v>60</v>
      </c>
      <c r="I1170" s="170" t="s">
        <v>684</v>
      </c>
      <c r="J1170" s="170" t="s">
        <v>685</v>
      </c>
      <c r="K1170" s="170" t="s">
        <v>686</v>
      </c>
      <c r="L1170" s="170" t="s">
        <v>687</v>
      </c>
      <c r="M1170" s="170" t="s">
        <v>688</v>
      </c>
      <c r="N1170" s="294">
        <v>5</v>
      </c>
      <c r="O1170" s="170"/>
    </row>
    <row r="1171" ht="15.75" customHeight="1" spans="1:15">
      <c r="A1171" s="183" t="str">
        <f>VLOOKUP(F1171,数据集标准分类!A:G,7,0)</f>
        <v>06</v>
      </c>
      <c r="B1171" s="183" t="str">
        <f>VLOOKUP(F1171,数据集标准分类!A:F,6,0)</f>
        <v>护理病历</v>
      </c>
      <c r="C1171" s="183" t="str">
        <f>VLOOKUP(F1171,数据集标准分类!A:E,5,0)</f>
        <v>0601</v>
      </c>
      <c r="D1171" s="183" t="str">
        <f>VLOOKUP(F1171,数据集标准分类!A:D,4,0)</f>
        <v>体征/生理监测</v>
      </c>
      <c r="E1171" s="183" t="str">
        <f>VLOOKUP(F1171,数据集标准分类!A:C,3,0)</f>
        <v>060101</v>
      </c>
      <c r="F1171" s="170" t="s">
        <v>3065</v>
      </c>
      <c r="G1171" s="183" t="str">
        <f>VLOOKUP(F1171,数据集标准分类!A:B,2,0)</f>
        <v>body_temperature</v>
      </c>
      <c r="H1171" s="294">
        <f>VLOOKUP(F1171,数据集标准分类!A:H,8,0)</f>
        <v>60</v>
      </c>
      <c r="I1171" s="170" t="s">
        <v>3068</v>
      </c>
      <c r="J1171" s="170" t="s">
        <v>3069</v>
      </c>
      <c r="K1171" s="170" t="s">
        <v>3069</v>
      </c>
      <c r="L1171" s="170" t="s">
        <v>3070</v>
      </c>
      <c r="M1171" s="170"/>
      <c r="N1171" s="294">
        <v>6</v>
      </c>
      <c r="O1171" s="170"/>
    </row>
    <row r="1172" ht="15.75" customHeight="1" spans="1:15">
      <c r="A1172" s="183" t="str">
        <f>VLOOKUP(F1172,数据集标准分类!A:G,7,0)</f>
        <v>06</v>
      </c>
      <c r="B1172" s="183" t="str">
        <f>VLOOKUP(F1172,数据集标准分类!A:F,6,0)</f>
        <v>护理病历</v>
      </c>
      <c r="C1172" s="183" t="str">
        <f>VLOOKUP(F1172,数据集标准分类!A:E,5,0)</f>
        <v>0601</v>
      </c>
      <c r="D1172" s="183" t="str">
        <f>VLOOKUP(F1172,数据集标准分类!A:D,4,0)</f>
        <v>体征/生理监测</v>
      </c>
      <c r="E1172" s="183" t="str">
        <f>VLOOKUP(F1172,数据集标准分类!A:C,3,0)</f>
        <v>060101</v>
      </c>
      <c r="F1172" s="170" t="s">
        <v>3065</v>
      </c>
      <c r="G1172" s="183" t="str">
        <f>VLOOKUP(F1172,数据集标准分类!A:B,2,0)</f>
        <v>body_temperature</v>
      </c>
      <c r="H1172" s="294">
        <f>VLOOKUP(F1172,数据集标准分类!A:H,8,0)</f>
        <v>60</v>
      </c>
      <c r="I1172" s="170" t="s">
        <v>3071</v>
      </c>
      <c r="J1172" s="170" t="s">
        <v>3072</v>
      </c>
      <c r="K1172" s="170" t="s">
        <v>3072</v>
      </c>
      <c r="L1172" s="170" t="s">
        <v>3073</v>
      </c>
      <c r="M1172" s="170"/>
      <c r="N1172" s="294">
        <v>7</v>
      </c>
      <c r="O1172" s="170"/>
    </row>
    <row r="1173" ht="15.75" customHeight="1" spans="1:15">
      <c r="A1173" s="183" t="str">
        <f>VLOOKUP(F1173,数据集标准分类!A:G,7,0)</f>
        <v>06</v>
      </c>
      <c r="B1173" s="183" t="str">
        <f>VLOOKUP(F1173,数据集标准分类!A:F,6,0)</f>
        <v>护理病历</v>
      </c>
      <c r="C1173" s="183" t="str">
        <f>VLOOKUP(F1173,数据集标准分类!A:E,5,0)</f>
        <v>0601</v>
      </c>
      <c r="D1173" s="183" t="str">
        <f>VLOOKUP(F1173,数据集标准分类!A:D,4,0)</f>
        <v>体征/生理监测</v>
      </c>
      <c r="E1173" s="183" t="str">
        <f>VLOOKUP(F1173,数据集标准分类!A:C,3,0)</f>
        <v>060101</v>
      </c>
      <c r="F1173" s="170" t="s">
        <v>3065</v>
      </c>
      <c r="G1173" s="183" t="str">
        <f>VLOOKUP(F1173,数据集标准分类!A:B,2,0)</f>
        <v>body_temperature</v>
      </c>
      <c r="H1173" s="294">
        <f>VLOOKUP(F1173,数据集标准分类!A:H,8,0)</f>
        <v>60</v>
      </c>
      <c r="I1173" s="170" t="s">
        <v>3074</v>
      </c>
      <c r="J1173" s="170" t="s">
        <v>3075</v>
      </c>
      <c r="K1173" s="170" t="s">
        <v>3076</v>
      </c>
      <c r="L1173" s="170" t="s">
        <v>3077</v>
      </c>
      <c r="M1173" s="170"/>
      <c r="N1173" s="294">
        <v>8</v>
      </c>
      <c r="O1173" s="170"/>
    </row>
    <row r="1174" ht="15.75" customHeight="1" spans="1:15">
      <c r="A1174" s="183" t="str">
        <f>VLOOKUP(F1174,数据集标准分类!A:G,7,0)</f>
        <v>06</v>
      </c>
      <c r="B1174" s="183" t="str">
        <f>VLOOKUP(F1174,数据集标准分类!A:F,6,0)</f>
        <v>护理病历</v>
      </c>
      <c r="C1174" s="183" t="str">
        <f>VLOOKUP(F1174,数据集标准分类!A:E,5,0)</f>
        <v>0601</v>
      </c>
      <c r="D1174" s="183" t="str">
        <f>VLOOKUP(F1174,数据集标准分类!A:D,4,0)</f>
        <v>体征/生理监测</v>
      </c>
      <c r="E1174" s="183" t="str">
        <f>VLOOKUP(F1174,数据集标准分类!A:C,3,0)</f>
        <v>060101</v>
      </c>
      <c r="F1174" s="170" t="s">
        <v>3065</v>
      </c>
      <c r="G1174" s="183" t="str">
        <f>VLOOKUP(F1174,数据集标准分类!A:B,2,0)</f>
        <v>body_temperature</v>
      </c>
      <c r="H1174" s="294">
        <f>VLOOKUP(F1174,数据集标准分类!A:H,8,0)</f>
        <v>60</v>
      </c>
      <c r="I1174" s="170" t="s">
        <v>707</v>
      </c>
      <c r="J1174" s="170" t="s">
        <v>708</v>
      </c>
      <c r="K1174" s="170" t="s">
        <v>708</v>
      </c>
      <c r="L1174" s="170" t="s">
        <v>3078</v>
      </c>
      <c r="M1174" s="170"/>
      <c r="N1174" s="294">
        <v>9</v>
      </c>
      <c r="O1174" s="170"/>
    </row>
    <row r="1175" ht="15.75" customHeight="1" spans="1:15">
      <c r="A1175" s="183" t="str">
        <f>VLOOKUP(F1175,数据集标准分类!A:G,7,0)</f>
        <v>06</v>
      </c>
      <c r="B1175" s="183" t="str">
        <f>VLOOKUP(F1175,数据集标准分类!A:F,6,0)</f>
        <v>护理病历</v>
      </c>
      <c r="C1175" s="183" t="str">
        <f>VLOOKUP(F1175,数据集标准分类!A:E,5,0)</f>
        <v>0601</v>
      </c>
      <c r="D1175" s="183" t="str">
        <f>VLOOKUP(F1175,数据集标准分类!A:D,4,0)</f>
        <v>体征/生理监测</v>
      </c>
      <c r="E1175" s="183" t="str">
        <f>VLOOKUP(F1175,数据集标准分类!A:C,3,0)</f>
        <v>060101</v>
      </c>
      <c r="F1175" s="170" t="s">
        <v>3065</v>
      </c>
      <c r="G1175" s="183" t="str">
        <f>VLOOKUP(F1175,数据集标准分类!A:B,2,0)</f>
        <v>body_temperature</v>
      </c>
      <c r="H1175" s="294">
        <f>VLOOKUP(F1175,数据集标准分类!A:H,8,0)</f>
        <v>60</v>
      </c>
      <c r="I1175" s="170" t="s">
        <v>3079</v>
      </c>
      <c r="J1175" s="170" t="s">
        <v>3080</v>
      </c>
      <c r="K1175" s="170" t="s">
        <v>3081</v>
      </c>
      <c r="L1175" s="170" t="s">
        <v>3082</v>
      </c>
      <c r="M1175" s="170"/>
      <c r="N1175" s="294">
        <v>10</v>
      </c>
      <c r="O1175" s="170"/>
    </row>
    <row r="1176" ht="15.75" customHeight="1" spans="1:15">
      <c r="A1176" s="183" t="str">
        <f>VLOOKUP(F1176,数据集标准分类!A:G,7,0)</f>
        <v>06</v>
      </c>
      <c r="B1176" s="183" t="str">
        <f>VLOOKUP(F1176,数据集标准分类!A:F,6,0)</f>
        <v>护理病历</v>
      </c>
      <c r="C1176" s="183" t="str">
        <f>VLOOKUP(F1176,数据集标准分类!A:E,5,0)</f>
        <v>0601</v>
      </c>
      <c r="D1176" s="183" t="str">
        <f>VLOOKUP(F1176,数据集标准分类!A:D,4,0)</f>
        <v>体征/生理监测</v>
      </c>
      <c r="E1176" s="183" t="str">
        <f>VLOOKUP(F1176,数据集标准分类!A:C,3,0)</f>
        <v>060101</v>
      </c>
      <c r="F1176" s="170" t="s">
        <v>3065</v>
      </c>
      <c r="G1176" s="183" t="str">
        <f>VLOOKUP(F1176,数据集标准分类!A:B,2,0)</f>
        <v>body_temperature</v>
      </c>
      <c r="H1176" s="294">
        <f>VLOOKUP(F1176,数据集标准分类!A:H,8,0)</f>
        <v>60</v>
      </c>
      <c r="I1176" s="170" t="s">
        <v>3083</v>
      </c>
      <c r="J1176" s="170" t="s">
        <v>3084</v>
      </c>
      <c r="K1176" s="170" t="s">
        <v>3085</v>
      </c>
      <c r="L1176" s="170" t="s">
        <v>3086</v>
      </c>
      <c r="M1176" s="170"/>
      <c r="N1176" s="294">
        <v>11</v>
      </c>
      <c r="O1176" s="170"/>
    </row>
    <row r="1177" ht="15.75" customHeight="1" spans="1:15">
      <c r="A1177" s="183" t="str">
        <f>VLOOKUP(F1177,数据集标准分类!A:G,7,0)</f>
        <v>06</v>
      </c>
      <c r="B1177" s="183" t="str">
        <f>VLOOKUP(F1177,数据集标准分类!A:F,6,0)</f>
        <v>护理病历</v>
      </c>
      <c r="C1177" s="183" t="str">
        <f>VLOOKUP(F1177,数据集标准分类!A:E,5,0)</f>
        <v>0601</v>
      </c>
      <c r="D1177" s="183" t="str">
        <f>VLOOKUP(F1177,数据集标准分类!A:D,4,0)</f>
        <v>体征/生理监测</v>
      </c>
      <c r="E1177" s="183" t="str">
        <f>VLOOKUP(F1177,数据集标准分类!A:C,3,0)</f>
        <v>060101</v>
      </c>
      <c r="F1177" s="170" t="s">
        <v>3065</v>
      </c>
      <c r="G1177" s="183" t="str">
        <f>VLOOKUP(F1177,数据集标准分类!A:B,2,0)</f>
        <v>body_temperature</v>
      </c>
      <c r="H1177" s="294">
        <f>VLOOKUP(F1177,数据集标准分类!A:H,8,0)</f>
        <v>60</v>
      </c>
      <c r="I1177" s="170" t="s">
        <v>3087</v>
      </c>
      <c r="J1177" s="170" t="s">
        <v>3088</v>
      </c>
      <c r="K1177" s="170" t="s">
        <v>3089</v>
      </c>
      <c r="L1177" s="170" t="s">
        <v>3090</v>
      </c>
      <c r="M1177" s="170"/>
      <c r="N1177" s="294">
        <v>12</v>
      </c>
      <c r="O1177" s="170"/>
    </row>
    <row r="1178" ht="15.75" customHeight="1" spans="1:15">
      <c r="A1178" s="183" t="str">
        <f>VLOOKUP(F1178,数据集标准分类!A:G,7,0)</f>
        <v>06</v>
      </c>
      <c r="B1178" s="183" t="str">
        <f>VLOOKUP(F1178,数据集标准分类!A:F,6,0)</f>
        <v>护理病历</v>
      </c>
      <c r="C1178" s="183" t="str">
        <f>VLOOKUP(F1178,数据集标准分类!A:E,5,0)</f>
        <v>0601</v>
      </c>
      <c r="D1178" s="183" t="str">
        <f>VLOOKUP(F1178,数据集标准分类!A:D,4,0)</f>
        <v>体征/生理监测</v>
      </c>
      <c r="E1178" s="183" t="str">
        <f>VLOOKUP(F1178,数据集标准分类!A:C,3,0)</f>
        <v>060101</v>
      </c>
      <c r="F1178" s="170" t="s">
        <v>3065</v>
      </c>
      <c r="G1178" s="183" t="str">
        <f>VLOOKUP(F1178,数据集标准分类!A:B,2,0)</f>
        <v>body_temperature</v>
      </c>
      <c r="H1178" s="294">
        <f>VLOOKUP(F1178,数据集标准分类!A:H,8,0)</f>
        <v>60</v>
      </c>
      <c r="I1178" s="170" t="s">
        <v>3091</v>
      </c>
      <c r="J1178" s="170" t="s">
        <v>3092</v>
      </c>
      <c r="K1178" s="170" t="s">
        <v>3093</v>
      </c>
      <c r="L1178" s="170" t="s">
        <v>3094</v>
      </c>
      <c r="M1178" s="170"/>
      <c r="N1178" s="294">
        <v>13</v>
      </c>
      <c r="O1178" s="170"/>
    </row>
    <row r="1179" ht="15.75" customHeight="1" spans="1:15">
      <c r="A1179" s="183" t="str">
        <f>VLOOKUP(F1179,数据集标准分类!A:G,7,0)</f>
        <v>06</v>
      </c>
      <c r="B1179" s="183" t="str">
        <f>VLOOKUP(F1179,数据集标准分类!A:F,6,0)</f>
        <v>护理病历</v>
      </c>
      <c r="C1179" s="183" t="str">
        <f>VLOOKUP(F1179,数据集标准分类!A:E,5,0)</f>
        <v>0601</v>
      </c>
      <c r="D1179" s="183" t="str">
        <f>VLOOKUP(F1179,数据集标准分类!A:D,4,0)</f>
        <v>体征/生理监测</v>
      </c>
      <c r="E1179" s="183" t="str">
        <f>VLOOKUP(F1179,数据集标准分类!A:C,3,0)</f>
        <v>060101</v>
      </c>
      <c r="F1179" s="300" t="s">
        <v>3065</v>
      </c>
      <c r="G1179" s="183" t="str">
        <f>VLOOKUP(F1179,数据集标准分类!A:B,2,0)</f>
        <v>body_temperature</v>
      </c>
      <c r="H1179" s="294">
        <f>VLOOKUP(F1179,数据集标准分类!A:H,8,0)</f>
        <v>60</v>
      </c>
      <c r="I1179" s="170" t="s">
        <v>3095</v>
      </c>
      <c r="J1179" s="170" t="s">
        <v>3096</v>
      </c>
      <c r="K1179" s="170" t="s">
        <v>3097</v>
      </c>
      <c r="L1179" s="297" t="s">
        <v>3098</v>
      </c>
      <c r="M1179" s="301"/>
      <c r="N1179" s="302">
        <v>14</v>
      </c>
      <c r="O1179" s="303"/>
    </row>
    <row r="1180" ht="15.75" customHeight="1" spans="1:15">
      <c r="A1180" s="183" t="str">
        <f>VLOOKUP(F1180,数据集标准分类!A:G,7,0)</f>
        <v>06</v>
      </c>
      <c r="B1180" s="183" t="str">
        <f>VLOOKUP(F1180,数据集标准分类!A:F,6,0)</f>
        <v>护理病历</v>
      </c>
      <c r="C1180" s="183" t="str">
        <f>VLOOKUP(F1180,数据集标准分类!A:E,5,0)</f>
        <v>0601</v>
      </c>
      <c r="D1180" s="183" t="str">
        <f>VLOOKUP(F1180,数据集标准分类!A:D,4,0)</f>
        <v>体征/生理监测</v>
      </c>
      <c r="E1180" s="183" t="str">
        <f>VLOOKUP(F1180,数据集标准分类!A:C,3,0)</f>
        <v>060101</v>
      </c>
      <c r="F1180" s="300" t="s">
        <v>3065</v>
      </c>
      <c r="G1180" s="183" t="str">
        <f>VLOOKUP(F1180,数据集标准分类!A:B,2,0)</f>
        <v>body_temperature</v>
      </c>
      <c r="H1180" s="294">
        <f>VLOOKUP(F1180,数据集标准分类!A:H,8,0)</f>
        <v>60</v>
      </c>
      <c r="I1180" s="170" t="s">
        <v>3099</v>
      </c>
      <c r="J1180" s="170" t="s">
        <v>3100</v>
      </c>
      <c r="K1180" s="170" t="s">
        <v>3101</v>
      </c>
      <c r="L1180" s="170" t="s">
        <v>3102</v>
      </c>
      <c r="M1180" s="301"/>
      <c r="N1180" s="302">
        <v>15</v>
      </c>
      <c r="O1180" s="303"/>
    </row>
    <row r="1181" ht="15.75" customHeight="1" spans="1:15">
      <c r="A1181" s="183" t="str">
        <f>VLOOKUP(F1181,数据集标准分类!A:G,7,0)</f>
        <v>06</v>
      </c>
      <c r="B1181" s="183" t="str">
        <f>VLOOKUP(F1181,数据集标准分类!A:F,6,0)</f>
        <v>护理病历</v>
      </c>
      <c r="C1181" s="183" t="str">
        <f>VLOOKUP(F1181,数据集标准分类!A:E,5,0)</f>
        <v>0601</v>
      </c>
      <c r="D1181" s="183" t="str">
        <f>VLOOKUP(F1181,数据集标准分类!A:D,4,0)</f>
        <v>体征/生理监测</v>
      </c>
      <c r="E1181" s="183" t="str">
        <f>VLOOKUP(F1181,数据集标准分类!A:C,3,0)</f>
        <v>060102</v>
      </c>
      <c r="F1181" s="170" t="s">
        <v>3103</v>
      </c>
      <c r="G1181" s="183" t="str">
        <f>VLOOKUP(F1181,数据集标准分类!A:B,2,0)</f>
        <v>inp_special_event</v>
      </c>
      <c r="H1181" s="294">
        <f>VLOOKUP(F1181,数据集标准分类!A:H,8,0)</f>
        <v>61</v>
      </c>
      <c r="I1181" s="170" t="s">
        <v>2895</v>
      </c>
      <c r="J1181" s="170" t="s">
        <v>2896</v>
      </c>
      <c r="K1181" s="170" t="s">
        <v>2897</v>
      </c>
      <c r="L1181" s="170" t="s">
        <v>2898</v>
      </c>
      <c r="M1181" s="170"/>
      <c r="N1181" s="294">
        <v>1</v>
      </c>
      <c r="O1181" s="170"/>
    </row>
    <row r="1182" ht="15.75" customHeight="1" spans="1:15">
      <c r="A1182" s="183" t="str">
        <f>VLOOKUP(F1182,数据集标准分类!A:G,7,0)</f>
        <v>06</v>
      </c>
      <c r="B1182" s="183" t="str">
        <f>VLOOKUP(F1182,数据集标准分类!A:F,6,0)</f>
        <v>护理病历</v>
      </c>
      <c r="C1182" s="183" t="str">
        <f>VLOOKUP(F1182,数据集标准分类!A:E,5,0)</f>
        <v>0601</v>
      </c>
      <c r="D1182" s="183" t="str">
        <f>VLOOKUP(F1182,数据集标准分类!A:D,4,0)</f>
        <v>体征/生理监测</v>
      </c>
      <c r="E1182" s="183" t="str">
        <f>VLOOKUP(F1182,数据集标准分类!A:C,3,0)</f>
        <v>060102</v>
      </c>
      <c r="F1182" s="170" t="s">
        <v>3103</v>
      </c>
      <c r="G1182" s="183" t="str">
        <f>VLOOKUP(F1182,数据集标准分类!A:B,2,0)</f>
        <v>inp_special_event</v>
      </c>
      <c r="H1182" s="294">
        <f>VLOOKUP(F1182,数据集标准分类!A:H,8,0)</f>
        <v>61</v>
      </c>
      <c r="I1182" s="170" t="s">
        <v>3104</v>
      </c>
      <c r="J1182" s="170" t="s">
        <v>3105</v>
      </c>
      <c r="K1182" s="170" t="s">
        <v>3106</v>
      </c>
      <c r="L1182" s="170" t="s">
        <v>3107</v>
      </c>
      <c r="M1182" s="170"/>
      <c r="N1182" s="294">
        <v>2</v>
      </c>
      <c r="O1182" s="170"/>
    </row>
    <row r="1183" ht="15.75" customHeight="1" spans="1:15">
      <c r="A1183" s="183" t="str">
        <f>VLOOKUP(F1183,数据集标准分类!A:G,7,0)</f>
        <v>06</v>
      </c>
      <c r="B1183" s="183" t="str">
        <f>VLOOKUP(F1183,数据集标准分类!A:F,6,0)</f>
        <v>护理病历</v>
      </c>
      <c r="C1183" s="183" t="str">
        <f>VLOOKUP(F1183,数据集标准分类!A:E,5,0)</f>
        <v>0601</v>
      </c>
      <c r="D1183" s="183" t="str">
        <f>VLOOKUP(F1183,数据集标准分类!A:D,4,0)</f>
        <v>体征/生理监测</v>
      </c>
      <c r="E1183" s="183" t="str">
        <f>VLOOKUP(F1183,数据集标准分类!A:C,3,0)</f>
        <v>060102</v>
      </c>
      <c r="F1183" s="170" t="s">
        <v>3103</v>
      </c>
      <c r="G1183" s="183" t="str">
        <f>VLOOKUP(F1183,数据集标准分类!A:B,2,0)</f>
        <v>inp_special_event</v>
      </c>
      <c r="H1183" s="294">
        <f>VLOOKUP(F1183,数据集标准分类!A:H,8,0)</f>
        <v>61</v>
      </c>
      <c r="I1183" s="170" t="s">
        <v>1307</v>
      </c>
      <c r="J1183" s="170" t="s">
        <v>1308</v>
      </c>
      <c r="K1183" s="170" t="s">
        <v>1308</v>
      </c>
      <c r="L1183" s="170" t="s">
        <v>1309</v>
      </c>
      <c r="M1183" s="170"/>
      <c r="N1183" s="294">
        <v>3</v>
      </c>
      <c r="O1183" s="170"/>
    </row>
    <row r="1184" ht="15.75" customHeight="1" spans="1:15">
      <c r="A1184" s="183" t="str">
        <f>VLOOKUP(F1184,数据集标准分类!A:G,7,0)</f>
        <v>06</v>
      </c>
      <c r="B1184" s="183" t="str">
        <f>VLOOKUP(F1184,数据集标准分类!A:F,6,0)</f>
        <v>护理病历</v>
      </c>
      <c r="C1184" s="183" t="str">
        <f>VLOOKUP(F1184,数据集标准分类!A:E,5,0)</f>
        <v>0601</v>
      </c>
      <c r="D1184" s="183" t="str">
        <f>VLOOKUP(F1184,数据集标准分类!A:D,4,0)</f>
        <v>体征/生理监测</v>
      </c>
      <c r="E1184" s="183" t="str">
        <f>VLOOKUP(F1184,数据集标准分类!A:C,3,0)</f>
        <v>060102</v>
      </c>
      <c r="F1184" s="170" t="s">
        <v>3103</v>
      </c>
      <c r="G1184" s="183" t="str">
        <f>VLOOKUP(F1184,数据集标准分类!A:B,2,0)</f>
        <v>inp_special_event</v>
      </c>
      <c r="H1184" s="294">
        <f>VLOOKUP(F1184,数据集标准分类!A:H,8,0)</f>
        <v>61</v>
      </c>
      <c r="I1184" s="170" t="s">
        <v>1774</v>
      </c>
      <c r="J1184" s="170" t="s">
        <v>1775</v>
      </c>
      <c r="K1184" s="170" t="s">
        <v>1776</v>
      </c>
      <c r="L1184" s="170" t="s">
        <v>1777</v>
      </c>
      <c r="M1184" s="170"/>
      <c r="N1184" s="294">
        <v>4</v>
      </c>
      <c r="O1184" s="170"/>
    </row>
    <row r="1185" ht="15.75" customHeight="1" spans="1:15">
      <c r="A1185" s="183" t="str">
        <f>VLOOKUP(F1185,数据集标准分类!A:G,7,0)</f>
        <v>06</v>
      </c>
      <c r="B1185" s="183" t="str">
        <f>VLOOKUP(F1185,数据集标准分类!A:F,6,0)</f>
        <v>护理病历</v>
      </c>
      <c r="C1185" s="183" t="str">
        <f>VLOOKUP(F1185,数据集标准分类!A:E,5,0)</f>
        <v>0601</v>
      </c>
      <c r="D1185" s="183" t="str">
        <f>VLOOKUP(F1185,数据集标准分类!A:D,4,0)</f>
        <v>体征/生理监测</v>
      </c>
      <c r="E1185" s="183" t="str">
        <f>VLOOKUP(F1185,数据集标准分类!A:C,3,0)</f>
        <v>060102</v>
      </c>
      <c r="F1185" s="170" t="s">
        <v>3103</v>
      </c>
      <c r="G1185" s="183" t="str">
        <f>VLOOKUP(F1185,数据集标准分类!A:B,2,0)</f>
        <v>inp_special_event</v>
      </c>
      <c r="H1185" s="294">
        <f>VLOOKUP(F1185,数据集标准分类!A:H,8,0)</f>
        <v>61</v>
      </c>
      <c r="I1185" s="170" t="s">
        <v>3108</v>
      </c>
      <c r="J1185" s="170" t="s">
        <v>3109</v>
      </c>
      <c r="K1185" s="170" t="s">
        <v>3110</v>
      </c>
      <c r="L1185" s="170" t="s">
        <v>3111</v>
      </c>
      <c r="M1185" s="170"/>
      <c r="N1185" s="294">
        <v>5</v>
      </c>
      <c r="O1185" s="170"/>
    </row>
    <row r="1186" ht="15.75" customHeight="1" spans="1:15">
      <c r="A1186" s="183" t="str">
        <f>VLOOKUP(F1186,数据集标准分类!A:G,7,0)</f>
        <v>06</v>
      </c>
      <c r="B1186" s="183" t="str">
        <f>VLOOKUP(F1186,数据集标准分类!A:F,6,0)</f>
        <v>护理病历</v>
      </c>
      <c r="C1186" s="183" t="str">
        <f>VLOOKUP(F1186,数据集标准分类!A:E,5,0)</f>
        <v>0601</v>
      </c>
      <c r="D1186" s="183" t="str">
        <f>VLOOKUP(F1186,数据集标准分类!A:D,4,0)</f>
        <v>体征/生理监测</v>
      </c>
      <c r="E1186" s="183" t="str">
        <f>VLOOKUP(F1186,数据集标准分类!A:C,3,0)</f>
        <v>060103</v>
      </c>
      <c r="F1186" s="170" t="s">
        <v>3112</v>
      </c>
      <c r="G1186" s="183" t="s">
        <v>3113</v>
      </c>
      <c r="H1186" s="294">
        <f>VLOOKUP(F1186,数据集标准分类!A:H,8,0)</f>
        <v>62</v>
      </c>
      <c r="I1186" s="170" t="s">
        <v>3114</v>
      </c>
      <c r="J1186" s="170" t="s">
        <v>3115</v>
      </c>
      <c r="K1186" s="170" t="s">
        <v>3116</v>
      </c>
      <c r="L1186" s="170" t="s">
        <v>3117</v>
      </c>
      <c r="M1186" s="170"/>
      <c r="N1186" s="294">
        <v>6</v>
      </c>
      <c r="O1186" s="170"/>
    </row>
    <row r="1187" ht="15.75" customHeight="1" spans="1:15">
      <c r="A1187" s="183" t="str">
        <f>VLOOKUP(F1187,数据集标准分类!A:G,7,0)</f>
        <v>06</v>
      </c>
      <c r="B1187" s="183" t="str">
        <f>VLOOKUP(F1187,数据集标准分类!A:F,6,0)</f>
        <v>护理病历</v>
      </c>
      <c r="C1187" s="183" t="str">
        <f>VLOOKUP(F1187,数据集标准分类!A:E,5,0)</f>
        <v>0601</v>
      </c>
      <c r="D1187" s="183" t="str">
        <f>VLOOKUP(F1187,数据集标准分类!A:D,4,0)</f>
        <v>体征/生理监测</v>
      </c>
      <c r="E1187" s="183" t="str">
        <f>VLOOKUP(F1187,数据集标准分类!A:C,3,0)</f>
        <v>060103</v>
      </c>
      <c r="F1187" s="170" t="s">
        <v>3112</v>
      </c>
      <c r="G1187" s="183" t="str">
        <f>VLOOKUP(F1187,数据集标准分类!A:B,2,0)</f>
        <v>intake_output_management</v>
      </c>
      <c r="H1187" s="294">
        <f>VLOOKUP(F1187,数据集标准分类!A:H,8,0)</f>
        <v>62</v>
      </c>
      <c r="I1187" s="170" t="s">
        <v>1774</v>
      </c>
      <c r="J1187" s="170" t="s">
        <v>1775</v>
      </c>
      <c r="K1187" s="170" t="s">
        <v>1776</v>
      </c>
      <c r="L1187" s="170" t="s">
        <v>1777</v>
      </c>
      <c r="M1187" s="170"/>
      <c r="N1187" s="294">
        <v>7</v>
      </c>
      <c r="O1187" s="170"/>
    </row>
    <row r="1188" ht="15.75" customHeight="1" spans="1:15">
      <c r="A1188" s="183" t="str">
        <f>VLOOKUP(F1188,数据集标准分类!A:G,7,0)</f>
        <v>06</v>
      </c>
      <c r="B1188" s="183" t="str">
        <f>VLOOKUP(F1188,数据集标准分类!A:F,6,0)</f>
        <v>护理病历</v>
      </c>
      <c r="C1188" s="183" t="str">
        <f>VLOOKUP(F1188,数据集标准分类!A:E,5,0)</f>
        <v>0601</v>
      </c>
      <c r="D1188" s="183" t="str">
        <f>VLOOKUP(F1188,数据集标准分类!A:D,4,0)</f>
        <v>体征/生理监测</v>
      </c>
      <c r="E1188" s="183" t="str">
        <f>VLOOKUP(F1188,数据集标准分类!A:C,3,0)</f>
        <v>060103</v>
      </c>
      <c r="F1188" s="170" t="s">
        <v>3112</v>
      </c>
      <c r="G1188" s="183" t="str">
        <f>VLOOKUP(F1188,数据集标准分类!A:B,2,0)</f>
        <v>intake_output_management</v>
      </c>
      <c r="H1188" s="294">
        <f>VLOOKUP(F1188,数据集标准分类!A:H,8,0)</f>
        <v>62</v>
      </c>
      <c r="I1188" s="170" t="s">
        <v>3118</v>
      </c>
      <c r="J1188" s="170" t="s">
        <v>3119</v>
      </c>
      <c r="K1188" s="170" t="s">
        <v>3120</v>
      </c>
      <c r="L1188" s="170" t="s">
        <v>3121</v>
      </c>
      <c r="M1188" s="170" t="s">
        <v>3122</v>
      </c>
      <c r="N1188" s="294">
        <v>9</v>
      </c>
      <c r="O1188" s="170"/>
    </row>
    <row r="1189" ht="15.75" customHeight="1" spans="1:15">
      <c r="A1189" s="183" t="str">
        <f>VLOOKUP(F1189,数据集标准分类!A:G,7,0)</f>
        <v>06</v>
      </c>
      <c r="B1189" s="183" t="str">
        <f>VLOOKUP(F1189,数据集标准分类!A:F,6,0)</f>
        <v>护理病历</v>
      </c>
      <c r="C1189" s="183" t="str">
        <f>VLOOKUP(F1189,数据集标准分类!A:E,5,0)</f>
        <v>0601</v>
      </c>
      <c r="D1189" s="183" t="str">
        <f>VLOOKUP(F1189,数据集标准分类!A:D,4,0)</f>
        <v>体征/生理监测</v>
      </c>
      <c r="E1189" s="183" t="str">
        <f>VLOOKUP(F1189,数据集标准分类!A:C,3,0)</f>
        <v>060103</v>
      </c>
      <c r="F1189" s="170" t="s">
        <v>3112</v>
      </c>
      <c r="G1189" s="183" t="str">
        <f>VLOOKUP(F1189,数据集标准分类!A:B,2,0)</f>
        <v>intake_output_management</v>
      </c>
      <c r="H1189" s="294">
        <f>VLOOKUP(F1189,数据集标准分类!A:H,8,0)</f>
        <v>62</v>
      </c>
      <c r="I1189" s="170" t="s">
        <v>3123</v>
      </c>
      <c r="J1189" s="170" t="s">
        <v>3124</v>
      </c>
      <c r="K1189" s="170" t="s">
        <v>3124</v>
      </c>
      <c r="L1189" s="170" t="s">
        <v>3125</v>
      </c>
      <c r="M1189" s="170"/>
      <c r="N1189" s="294">
        <v>10</v>
      </c>
      <c r="O1189" s="170"/>
    </row>
    <row r="1190" ht="15.75" customHeight="1" spans="1:15">
      <c r="A1190" s="183" t="str">
        <f>VLOOKUP(F1190,数据集标准分类!A:G,7,0)</f>
        <v>06</v>
      </c>
      <c r="B1190" s="183" t="str">
        <f>VLOOKUP(F1190,数据集标准分类!A:F,6,0)</f>
        <v>护理病历</v>
      </c>
      <c r="C1190" s="183" t="str">
        <f>VLOOKUP(F1190,数据集标准分类!A:E,5,0)</f>
        <v>0601</v>
      </c>
      <c r="D1190" s="183" t="str">
        <f>VLOOKUP(F1190,数据集标准分类!A:D,4,0)</f>
        <v>体征/生理监测</v>
      </c>
      <c r="E1190" s="183" t="str">
        <f>VLOOKUP(F1190,数据集标准分类!A:C,3,0)</f>
        <v>060103</v>
      </c>
      <c r="F1190" s="170" t="s">
        <v>3112</v>
      </c>
      <c r="G1190" s="183" t="str">
        <f>VLOOKUP(F1190,数据集标准分类!A:B,2,0)</f>
        <v>intake_output_management</v>
      </c>
      <c r="H1190" s="294">
        <f>VLOOKUP(F1190,数据集标准分类!A:H,8,0)</f>
        <v>62</v>
      </c>
      <c r="I1190" s="170" t="s">
        <v>3126</v>
      </c>
      <c r="J1190" s="170" t="s">
        <v>3127</v>
      </c>
      <c r="K1190" s="170" t="s">
        <v>3128</v>
      </c>
      <c r="L1190" s="170" t="s">
        <v>3129</v>
      </c>
      <c r="M1190" s="170"/>
      <c r="N1190" s="294">
        <v>11</v>
      </c>
      <c r="O1190" s="170"/>
    </row>
    <row r="1191" ht="15.75" customHeight="1" spans="1:15">
      <c r="A1191" s="183" t="str">
        <f>VLOOKUP(F1191,数据集标准分类!A:G,7,0)</f>
        <v>06</v>
      </c>
      <c r="B1191" s="183" t="str">
        <f>VLOOKUP(F1191,数据集标准分类!A:F,6,0)</f>
        <v>护理病历</v>
      </c>
      <c r="C1191" s="183" t="str">
        <f>VLOOKUP(F1191,数据集标准分类!A:E,5,0)</f>
        <v>0601</v>
      </c>
      <c r="D1191" s="183" t="str">
        <f>VLOOKUP(F1191,数据集标准分类!A:D,4,0)</f>
        <v>体征/生理监测</v>
      </c>
      <c r="E1191" s="183" t="str">
        <f>VLOOKUP(F1191,数据集标准分类!A:C,3,0)</f>
        <v>060103</v>
      </c>
      <c r="F1191" s="170" t="s">
        <v>3112</v>
      </c>
      <c r="G1191" s="183" t="str">
        <f>VLOOKUP(F1191,数据集标准分类!A:B,2,0)</f>
        <v>intake_output_management</v>
      </c>
      <c r="H1191" s="294">
        <f>VLOOKUP(F1191,数据集标准分类!A:H,8,0)</f>
        <v>62</v>
      </c>
      <c r="I1191" s="170" t="s">
        <v>3130</v>
      </c>
      <c r="J1191" s="170" t="s">
        <v>3131</v>
      </c>
      <c r="K1191" s="170" t="s">
        <v>3132</v>
      </c>
      <c r="L1191" s="170" t="s">
        <v>3133</v>
      </c>
      <c r="M1191" s="170"/>
      <c r="N1191" s="294">
        <v>12</v>
      </c>
      <c r="O1191" s="170"/>
    </row>
    <row r="1192" ht="15.75" customHeight="1" spans="1:15">
      <c r="A1192" s="183" t="str">
        <f>VLOOKUP(F1192,数据集标准分类!A:G,7,0)</f>
        <v>06</v>
      </c>
      <c r="B1192" s="183" t="str">
        <f>VLOOKUP(F1192,数据集标准分类!A:F,6,0)</f>
        <v>护理病历</v>
      </c>
      <c r="C1192" s="183" t="str">
        <f>VLOOKUP(F1192,数据集标准分类!A:E,5,0)</f>
        <v>0601</v>
      </c>
      <c r="D1192" s="183" t="str">
        <f>VLOOKUP(F1192,数据集标准分类!A:D,4,0)</f>
        <v>体征/生理监测</v>
      </c>
      <c r="E1192" s="183" t="str">
        <f>VLOOKUP(F1192,数据集标准分类!A:C,3,0)</f>
        <v>060103</v>
      </c>
      <c r="F1192" s="170" t="s">
        <v>3112</v>
      </c>
      <c r="G1192" s="183" t="str">
        <f>VLOOKUP(F1192,数据集标准分类!A:B,2,0)</f>
        <v>intake_output_management</v>
      </c>
      <c r="H1192" s="294">
        <f>VLOOKUP(F1192,数据集标准分类!A:H,8,0)</f>
        <v>62</v>
      </c>
      <c r="I1192" s="170" t="s">
        <v>3134</v>
      </c>
      <c r="J1192" s="170" t="s">
        <v>3135</v>
      </c>
      <c r="K1192" s="170" t="s">
        <v>3136</v>
      </c>
      <c r="L1192" s="170" t="s">
        <v>3137</v>
      </c>
      <c r="M1192" s="170"/>
      <c r="N1192" s="294">
        <v>13</v>
      </c>
      <c r="O1192" s="170"/>
    </row>
    <row r="1193" ht="15.75" customHeight="1" spans="1:15">
      <c r="A1193" s="183" t="str">
        <f>VLOOKUP(F1193,数据集标准分类!A:G,7,0)</f>
        <v>06</v>
      </c>
      <c r="B1193" s="183" t="str">
        <f>VLOOKUP(F1193,数据集标准分类!A:F,6,0)</f>
        <v>护理病历</v>
      </c>
      <c r="C1193" s="183" t="str">
        <f>VLOOKUP(F1193,数据集标准分类!A:E,5,0)</f>
        <v>0601</v>
      </c>
      <c r="D1193" s="183" t="str">
        <f>VLOOKUP(F1193,数据集标准分类!A:D,4,0)</f>
        <v>体征/生理监测</v>
      </c>
      <c r="E1193" s="183" t="str">
        <f>VLOOKUP(F1193,数据集标准分类!A:C,3,0)</f>
        <v>060103</v>
      </c>
      <c r="F1193" s="170" t="s">
        <v>3112</v>
      </c>
      <c r="G1193" s="183" t="str">
        <f>VLOOKUP(F1193,数据集标准分类!A:B,2,0)</f>
        <v>intake_output_management</v>
      </c>
      <c r="H1193" s="294">
        <f>VLOOKUP(F1193,数据集标准分类!A:H,8,0)</f>
        <v>62</v>
      </c>
      <c r="I1193" s="170" t="s">
        <v>3138</v>
      </c>
      <c r="J1193" s="170" t="s">
        <v>3139</v>
      </c>
      <c r="K1193" s="170" t="s">
        <v>3140</v>
      </c>
      <c r="L1193" s="170" t="s">
        <v>3141</v>
      </c>
      <c r="M1193" s="170" t="s">
        <v>3142</v>
      </c>
      <c r="N1193" s="294">
        <v>14</v>
      </c>
      <c r="O1193" s="170"/>
    </row>
    <row r="1194" ht="15.75" customHeight="1" spans="1:15">
      <c r="A1194" s="183" t="str">
        <f>VLOOKUP(F1194,数据集标准分类!A:G,7,0)</f>
        <v>06</v>
      </c>
      <c r="B1194" s="183" t="str">
        <f>VLOOKUP(F1194,数据集标准分类!A:F,6,0)</f>
        <v>护理病历</v>
      </c>
      <c r="C1194" s="183" t="str">
        <f>VLOOKUP(F1194,数据集标准分类!A:E,5,0)</f>
        <v>0601</v>
      </c>
      <c r="D1194" s="183" t="str">
        <f>VLOOKUP(F1194,数据集标准分类!A:D,4,0)</f>
        <v>体征/生理监测</v>
      </c>
      <c r="E1194" s="183" t="str">
        <f>VLOOKUP(F1194,数据集标准分类!A:C,3,0)</f>
        <v>060104</v>
      </c>
      <c r="F1194" s="170" t="s">
        <v>3143</v>
      </c>
      <c r="G1194" s="183" t="str">
        <f>VLOOKUP(F1194,数据集标准分类!A:B,2,0)</f>
        <v>inp_catheter_record</v>
      </c>
      <c r="H1194" s="294">
        <f>VLOOKUP(F1194,数据集标准分类!A:H,8,0)</f>
        <v>63</v>
      </c>
      <c r="I1194" s="170" t="s">
        <v>3144</v>
      </c>
      <c r="J1194" s="170" t="s">
        <v>3145</v>
      </c>
      <c r="K1194" s="170" t="s">
        <v>3146</v>
      </c>
      <c r="L1194" s="170" t="s">
        <v>3147</v>
      </c>
      <c r="M1194" s="170"/>
      <c r="N1194" s="294">
        <v>5</v>
      </c>
      <c r="O1194" s="170"/>
    </row>
    <row r="1195" ht="15.75" customHeight="1" spans="1:15">
      <c r="A1195" s="183" t="str">
        <f>VLOOKUP(F1195,数据集标准分类!A:G,7,0)</f>
        <v>06</v>
      </c>
      <c r="B1195" s="183" t="str">
        <f>VLOOKUP(F1195,数据集标准分类!A:F,6,0)</f>
        <v>护理病历</v>
      </c>
      <c r="C1195" s="183" t="str">
        <f>VLOOKUP(F1195,数据集标准分类!A:E,5,0)</f>
        <v>0601</v>
      </c>
      <c r="D1195" s="183" t="str">
        <f>VLOOKUP(F1195,数据集标准分类!A:D,4,0)</f>
        <v>体征/生理监测</v>
      </c>
      <c r="E1195" s="183" t="str">
        <f>VLOOKUP(F1195,数据集标准分类!A:C,3,0)</f>
        <v>060104</v>
      </c>
      <c r="F1195" s="170" t="s">
        <v>3143</v>
      </c>
      <c r="G1195" s="183" t="str">
        <f>VLOOKUP(F1195,数据集标准分类!A:B,2,0)</f>
        <v>inp_catheter_record</v>
      </c>
      <c r="H1195" s="294">
        <f>VLOOKUP(F1195,数据集标准分类!A:H,8,0)</f>
        <v>63</v>
      </c>
      <c r="I1195" s="170" t="s">
        <v>1694</v>
      </c>
      <c r="J1195" s="170" t="s">
        <v>1695</v>
      </c>
      <c r="K1195" s="170" t="s">
        <v>1696</v>
      </c>
      <c r="L1195" s="170" t="s">
        <v>3148</v>
      </c>
      <c r="M1195" s="170"/>
      <c r="N1195" s="294">
        <v>6</v>
      </c>
      <c r="O1195" s="170"/>
    </row>
    <row r="1196" ht="15.75" customHeight="1" spans="1:15">
      <c r="A1196" s="183" t="str">
        <f>VLOOKUP(F1196,数据集标准分类!A:G,7,0)</f>
        <v>06</v>
      </c>
      <c r="B1196" s="183" t="str">
        <f>VLOOKUP(F1196,数据集标准分类!A:F,6,0)</f>
        <v>护理病历</v>
      </c>
      <c r="C1196" s="183" t="str">
        <f>VLOOKUP(F1196,数据集标准分类!A:E,5,0)</f>
        <v>0601</v>
      </c>
      <c r="D1196" s="183" t="str">
        <f>VLOOKUP(F1196,数据集标准分类!A:D,4,0)</f>
        <v>体征/生理监测</v>
      </c>
      <c r="E1196" s="183" t="str">
        <f>VLOOKUP(F1196,数据集标准分类!A:C,3,0)</f>
        <v>060104</v>
      </c>
      <c r="F1196" s="170" t="s">
        <v>3143</v>
      </c>
      <c r="G1196" s="183" t="str">
        <f>VLOOKUP(F1196,数据集标准分类!A:B,2,0)</f>
        <v>inp_catheter_record</v>
      </c>
      <c r="H1196" s="294">
        <f>VLOOKUP(F1196,数据集标准分类!A:H,8,0)</f>
        <v>63</v>
      </c>
      <c r="I1196" s="170" t="s">
        <v>1698</v>
      </c>
      <c r="J1196" s="170" t="s">
        <v>1699</v>
      </c>
      <c r="K1196" s="170" t="s">
        <v>1700</v>
      </c>
      <c r="L1196" s="170" t="s">
        <v>3149</v>
      </c>
      <c r="M1196" s="170"/>
      <c r="N1196" s="294">
        <v>7</v>
      </c>
      <c r="O1196" s="170"/>
    </row>
    <row r="1197" ht="15.75" customHeight="1" spans="1:15">
      <c r="A1197" s="183" t="str">
        <f>VLOOKUP(F1197,数据集标准分类!A:G,7,0)</f>
        <v>06</v>
      </c>
      <c r="B1197" s="183" t="str">
        <f>VLOOKUP(F1197,数据集标准分类!A:F,6,0)</f>
        <v>护理病历</v>
      </c>
      <c r="C1197" s="183" t="str">
        <f>VLOOKUP(F1197,数据集标准分类!A:E,5,0)</f>
        <v>0601</v>
      </c>
      <c r="D1197" s="183" t="str">
        <f>VLOOKUP(F1197,数据集标准分类!A:D,4,0)</f>
        <v>体征/生理监测</v>
      </c>
      <c r="E1197" s="183" t="str">
        <f>VLOOKUP(F1197,数据集标准分类!A:C,3,0)</f>
        <v>060104</v>
      </c>
      <c r="F1197" s="170" t="s">
        <v>3143</v>
      </c>
      <c r="G1197" s="183" t="str">
        <f>VLOOKUP(F1197,数据集标准分类!A:B,2,0)</f>
        <v>inp_catheter_record</v>
      </c>
      <c r="H1197" s="294">
        <f>VLOOKUP(F1197,数据集标准分类!A:H,8,0)</f>
        <v>63</v>
      </c>
      <c r="I1197" s="170" t="s">
        <v>3150</v>
      </c>
      <c r="J1197" s="170" t="s">
        <v>3151</v>
      </c>
      <c r="K1197" s="170" t="s">
        <v>3152</v>
      </c>
      <c r="L1197" s="170" t="s">
        <v>3153</v>
      </c>
      <c r="M1197" s="170"/>
      <c r="N1197" s="294">
        <v>8</v>
      </c>
      <c r="O1197" s="170"/>
    </row>
    <row r="1198" ht="15.75" customHeight="1" spans="1:15">
      <c r="A1198" s="183" t="str">
        <f>VLOOKUP(F1198,数据集标准分类!A:G,7,0)</f>
        <v>06</v>
      </c>
      <c r="B1198" s="183" t="str">
        <f>VLOOKUP(F1198,数据集标准分类!A:F,6,0)</f>
        <v>护理病历</v>
      </c>
      <c r="C1198" s="183" t="str">
        <f>VLOOKUP(F1198,数据集标准分类!A:E,5,0)</f>
        <v>0601</v>
      </c>
      <c r="D1198" s="183" t="str">
        <f>VLOOKUP(F1198,数据集标准分类!A:D,4,0)</f>
        <v>体征/生理监测</v>
      </c>
      <c r="E1198" s="183" t="str">
        <f>VLOOKUP(F1198,数据集标准分类!A:C,3,0)</f>
        <v>060104</v>
      </c>
      <c r="F1198" s="170" t="s">
        <v>3143</v>
      </c>
      <c r="G1198" s="183" t="str">
        <f>VLOOKUP(F1198,数据集标准分类!A:B,2,0)</f>
        <v>inp_catheter_record</v>
      </c>
      <c r="H1198" s="294">
        <f>VLOOKUP(F1198,数据集标准分类!A:H,8,0)</f>
        <v>63</v>
      </c>
      <c r="I1198" s="170" t="s">
        <v>3154</v>
      </c>
      <c r="J1198" s="170" t="s">
        <v>3155</v>
      </c>
      <c r="K1198" s="170" t="s">
        <v>3156</v>
      </c>
      <c r="L1198" s="170" t="s">
        <v>3157</v>
      </c>
      <c r="M1198" s="170"/>
      <c r="N1198" s="294">
        <v>9</v>
      </c>
      <c r="O1198" s="170"/>
    </row>
    <row r="1199" ht="15.75" customHeight="1" spans="1:15">
      <c r="A1199" s="183" t="str">
        <f>VLOOKUP(F1199,数据集标准分类!A:G,7,0)</f>
        <v>06</v>
      </c>
      <c r="B1199" s="183" t="str">
        <f>VLOOKUP(F1199,数据集标准分类!A:F,6,0)</f>
        <v>护理病历</v>
      </c>
      <c r="C1199" s="183" t="str">
        <f>VLOOKUP(F1199,数据集标准分类!A:E,5,0)</f>
        <v>0601</v>
      </c>
      <c r="D1199" s="183" t="str">
        <f>VLOOKUP(F1199,数据集标准分类!A:D,4,0)</f>
        <v>体征/生理监测</v>
      </c>
      <c r="E1199" s="183" t="str">
        <f>VLOOKUP(F1199,数据集标准分类!A:C,3,0)</f>
        <v>060104</v>
      </c>
      <c r="F1199" s="170" t="s">
        <v>3143</v>
      </c>
      <c r="G1199" s="183" t="str">
        <f>VLOOKUP(F1199,数据集标准分类!A:B,2,0)</f>
        <v>inp_catheter_record</v>
      </c>
      <c r="H1199" s="294">
        <f>VLOOKUP(F1199,数据集标准分类!A:H,8,0)</f>
        <v>63</v>
      </c>
      <c r="I1199" s="170" t="s">
        <v>3158</v>
      </c>
      <c r="J1199" s="170" t="s">
        <v>3159</v>
      </c>
      <c r="K1199" s="170" t="s">
        <v>3160</v>
      </c>
      <c r="L1199" s="170" t="s">
        <v>3161</v>
      </c>
      <c r="M1199" s="170"/>
      <c r="N1199" s="294">
        <v>10</v>
      </c>
      <c r="O1199" s="170"/>
    </row>
    <row r="1200" ht="15.75" customHeight="1" spans="1:15">
      <c r="A1200" s="183" t="str">
        <f>VLOOKUP(F1200,数据集标准分类!A:G,7,0)</f>
        <v>06</v>
      </c>
      <c r="B1200" s="183" t="str">
        <f>VLOOKUP(F1200,数据集标准分类!A:F,6,0)</f>
        <v>护理病历</v>
      </c>
      <c r="C1200" s="183" t="str">
        <f>VLOOKUP(F1200,数据集标准分类!A:E,5,0)</f>
        <v>0601</v>
      </c>
      <c r="D1200" s="183" t="str">
        <f>VLOOKUP(F1200,数据集标准分类!A:D,4,0)</f>
        <v>体征/生理监测</v>
      </c>
      <c r="E1200" s="183" t="str">
        <f>VLOOKUP(F1200,数据集标准分类!A:C,3,0)</f>
        <v>060104</v>
      </c>
      <c r="F1200" s="170" t="s">
        <v>3143</v>
      </c>
      <c r="G1200" s="183" t="str">
        <f>VLOOKUP(F1200,数据集标准分类!A:B,2,0)</f>
        <v>inp_catheter_record</v>
      </c>
      <c r="H1200" s="294">
        <f>VLOOKUP(F1200,数据集标准分类!A:H,8,0)</f>
        <v>63</v>
      </c>
      <c r="I1200" s="170" t="s">
        <v>3162</v>
      </c>
      <c r="J1200" s="170" t="s">
        <v>3163</v>
      </c>
      <c r="K1200" s="170" t="s">
        <v>3164</v>
      </c>
      <c r="L1200" s="170" t="s">
        <v>3165</v>
      </c>
      <c r="M1200" s="170"/>
      <c r="N1200" s="294">
        <v>11</v>
      </c>
      <c r="O1200" s="170"/>
    </row>
    <row r="1201" ht="15.75" customHeight="1" spans="1:15">
      <c r="A1201" s="183" t="str">
        <f>VLOOKUP(F1201,数据集标准分类!A:G,7,0)</f>
        <v>06</v>
      </c>
      <c r="B1201" s="183" t="str">
        <f>VLOOKUP(F1201,数据集标准分类!A:F,6,0)</f>
        <v>护理病历</v>
      </c>
      <c r="C1201" s="183" t="str">
        <f>VLOOKUP(F1201,数据集标准分类!A:E,5,0)</f>
        <v>0601</v>
      </c>
      <c r="D1201" s="183" t="str">
        <f>VLOOKUP(F1201,数据集标准分类!A:D,4,0)</f>
        <v>体征/生理监测</v>
      </c>
      <c r="E1201" s="183" t="str">
        <f>VLOOKUP(F1201,数据集标准分类!A:C,3,0)</f>
        <v>060104</v>
      </c>
      <c r="F1201" s="170" t="s">
        <v>3143</v>
      </c>
      <c r="G1201" s="183" t="str">
        <f>VLOOKUP(F1201,数据集标准分类!A:B,2,0)</f>
        <v>inp_catheter_record</v>
      </c>
      <c r="H1201" s="294">
        <f>VLOOKUP(F1201,数据集标准分类!A:H,8,0)</f>
        <v>63</v>
      </c>
      <c r="I1201" s="170" t="s">
        <v>3166</v>
      </c>
      <c r="J1201" s="170" t="s">
        <v>3167</v>
      </c>
      <c r="K1201" s="170" t="s">
        <v>3168</v>
      </c>
      <c r="L1201" s="170" t="s">
        <v>3169</v>
      </c>
      <c r="M1201" s="170"/>
      <c r="N1201" s="294">
        <v>12</v>
      </c>
      <c r="O1201" s="170"/>
    </row>
    <row r="1202" ht="15.75" customHeight="1" spans="1:15">
      <c r="A1202" s="183" t="str">
        <f>VLOOKUP(F1202,数据集标准分类!A:G,7,0)</f>
        <v>06</v>
      </c>
      <c r="B1202" s="183" t="str">
        <f>VLOOKUP(F1202,数据集标准分类!A:F,6,0)</f>
        <v>护理病历</v>
      </c>
      <c r="C1202" s="183" t="str">
        <f>VLOOKUP(F1202,数据集标准分类!A:E,5,0)</f>
        <v>0601</v>
      </c>
      <c r="D1202" s="183" t="str">
        <f>VLOOKUP(F1202,数据集标准分类!A:D,4,0)</f>
        <v>体征/生理监测</v>
      </c>
      <c r="E1202" s="183" t="str">
        <f>VLOOKUP(F1202,数据集标准分类!A:C,3,0)</f>
        <v>060105</v>
      </c>
      <c r="F1202" s="170" t="s">
        <v>3170</v>
      </c>
      <c r="G1202" s="183" t="str">
        <f>VLOOKUP(F1202,数据集标准分类!A:B,2,0)</f>
        <v>blood_glucose_monitoring</v>
      </c>
      <c r="H1202" s="294">
        <f>VLOOKUP(F1202,数据集标准分类!A:H,8,0)</f>
        <v>64</v>
      </c>
      <c r="I1202" s="170" t="s">
        <v>3171</v>
      </c>
      <c r="J1202" s="170" t="s">
        <v>3172</v>
      </c>
      <c r="K1202" s="170" t="s">
        <v>3173</v>
      </c>
      <c r="L1202" s="170" t="s">
        <v>3174</v>
      </c>
      <c r="M1202" s="170"/>
      <c r="N1202" s="294">
        <v>1</v>
      </c>
      <c r="O1202" s="170"/>
    </row>
    <row r="1203" ht="15.75" customHeight="1" spans="1:15">
      <c r="A1203" s="183" t="str">
        <f>VLOOKUP(F1203,数据集标准分类!A:G,7,0)</f>
        <v>06</v>
      </c>
      <c r="B1203" s="183" t="str">
        <f>VLOOKUP(F1203,数据集标准分类!A:F,6,0)</f>
        <v>护理病历</v>
      </c>
      <c r="C1203" s="183" t="str">
        <f>VLOOKUP(F1203,数据集标准分类!A:E,5,0)</f>
        <v>0601</v>
      </c>
      <c r="D1203" s="183" t="str">
        <f>VLOOKUP(F1203,数据集标准分类!A:D,4,0)</f>
        <v>体征/生理监测</v>
      </c>
      <c r="E1203" s="183" t="str">
        <f>VLOOKUP(F1203,数据集标准分类!A:C,3,0)</f>
        <v>060105</v>
      </c>
      <c r="F1203" s="170" t="s">
        <v>3170</v>
      </c>
      <c r="G1203" s="183" t="str">
        <f>VLOOKUP(F1203,数据集标准分类!A:B,2,0)</f>
        <v>blood_glucose_monitoring</v>
      </c>
      <c r="H1203" s="294">
        <f>VLOOKUP(F1203,数据集标准分类!A:H,8,0)</f>
        <v>64</v>
      </c>
      <c r="I1203" s="170" t="s">
        <v>3175</v>
      </c>
      <c r="J1203" s="170" t="s">
        <v>3176</v>
      </c>
      <c r="K1203" s="170" t="s">
        <v>3177</v>
      </c>
      <c r="L1203" s="170" t="s">
        <v>3178</v>
      </c>
      <c r="M1203" s="170"/>
      <c r="N1203" s="294">
        <v>2</v>
      </c>
      <c r="O1203" s="170"/>
    </row>
    <row r="1204" ht="15.75" customHeight="1" spans="1:15">
      <c r="A1204" s="183" t="str">
        <f>VLOOKUP(F1204,数据集标准分类!A:G,7,0)</f>
        <v>06</v>
      </c>
      <c r="B1204" s="183" t="str">
        <f>VLOOKUP(F1204,数据集标准分类!A:F,6,0)</f>
        <v>护理病历</v>
      </c>
      <c r="C1204" s="183" t="str">
        <f>VLOOKUP(F1204,数据集标准分类!A:E,5,0)</f>
        <v>0601</v>
      </c>
      <c r="D1204" s="183" t="str">
        <f>VLOOKUP(F1204,数据集标准分类!A:D,4,0)</f>
        <v>体征/生理监测</v>
      </c>
      <c r="E1204" s="183" t="str">
        <f>VLOOKUP(F1204,数据集标准分类!A:C,3,0)</f>
        <v>060105</v>
      </c>
      <c r="F1204" s="170" t="s">
        <v>3170</v>
      </c>
      <c r="G1204" s="183" t="str">
        <f>VLOOKUP(F1204,数据集标准分类!A:B,2,0)</f>
        <v>blood_glucose_monitoring</v>
      </c>
      <c r="H1204" s="294">
        <f>VLOOKUP(F1204,数据集标准分类!A:H,8,0)</f>
        <v>64</v>
      </c>
      <c r="I1204" s="170" t="s">
        <v>3179</v>
      </c>
      <c r="J1204" s="170" t="s">
        <v>3180</v>
      </c>
      <c r="K1204" s="170" t="s">
        <v>3181</v>
      </c>
      <c r="L1204" s="170" t="s">
        <v>3182</v>
      </c>
      <c r="M1204" s="170"/>
      <c r="N1204" s="294">
        <v>3</v>
      </c>
      <c r="O1204" s="170"/>
    </row>
    <row r="1205" ht="15.75" customHeight="1" spans="1:15">
      <c r="A1205" s="183" t="str">
        <f>VLOOKUP(F1205,数据集标准分类!A:G,7,0)</f>
        <v>06</v>
      </c>
      <c r="B1205" s="183" t="str">
        <f>VLOOKUP(F1205,数据集标准分类!A:F,6,0)</f>
        <v>护理病历</v>
      </c>
      <c r="C1205" s="183" t="str">
        <f>VLOOKUP(F1205,数据集标准分类!A:E,5,0)</f>
        <v>0601</v>
      </c>
      <c r="D1205" s="183" t="str">
        <f>VLOOKUP(F1205,数据集标准分类!A:D,4,0)</f>
        <v>体征/生理监测</v>
      </c>
      <c r="E1205" s="183" t="str">
        <f>VLOOKUP(F1205,数据集标准分类!A:C,3,0)</f>
        <v>060105</v>
      </c>
      <c r="F1205" s="170" t="s">
        <v>3170</v>
      </c>
      <c r="G1205" s="183" t="str">
        <f>VLOOKUP(F1205,数据集标准分类!A:B,2,0)</f>
        <v>blood_glucose_monitoring</v>
      </c>
      <c r="H1205" s="294">
        <f>VLOOKUP(F1205,数据集标准分类!A:H,8,0)</f>
        <v>64</v>
      </c>
      <c r="I1205" s="170" t="s">
        <v>3183</v>
      </c>
      <c r="J1205" s="170" t="s">
        <v>3184</v>
      </c>
      <c r="K1205" s="170" t="s">
        <v>3185</v>
      </c>
      <c r="L1205" s="170" t="s">
        <v>3186</v>
      </c>
      <c r="M1205" s="170"/>
      <c r="N1205" s="294">
        <v>4</v>
      </c>
      <c r="O1205" s="170"/>
    </row>
    <row r="1206" ht="15.75" customHeight="1" spans="1:15">
      <c r="A1206" s="183" t="str">
        <f>VLOOKUP(F1206,数据集标准分类!A:G,7,0)</f>
        <v>06</v>
      </c>
      <c r="B1206" s="183" t="str">
        <f>VLOOKUP(F1206,数据集标准分类!A:F,6,0)</f>
        <v>护理病历</v>
      </c>
      <c r="C1206" s="183" t="str">
        <f>VLOOKUP(F1206,数据集标准分类!A:E,5,0)</f>
        <v>0601</v>
      </c>
      <c r="D1206" s="183" t="str">
        <f>VLOOKUP(F1206,数据集标准分类!A:D,4,0)</f>
        <v>体征/生理监测</v>
      </c>
      <c r="E1206" s="183" t="str">
        <f>VLOOKUP(F1206,数据集标准分类!A:C,3,0)</f>
        <v>060105</v>
      </c>
      <c r="F1206" s="170" t="s">
        <v>3170</v>
      </c>
      <c r="G1206" s="183" t="str">
        <f>VLOOKUP(F1206,数据集标准分类!A:B,2,0)</f>
        <v>blood_glucose_monitoring</v>
      </c>
      <c r="H1206" s="294">
        <f>VLOOKUP(F1206,数据集标准分类!A:H,8,0)</f>
        <v>64</v>
      </c>
      <c r="I1206" s="170" t="s">
        <v>3187</v>
      </c>
      <c r="J1206" s="170" t="s">
        <v>3188</v>
      </c>
      <c r="K1206" s="170" t="s">
        <v>3189</v>
      </c>
      <c r="L1206" s="170" t="s">
        <v>3190</v>
      </c>
      <c r="M1206" s="170"/>
      <c r="N1206" s="294">
        <v>5</v>
      </c>
      <c r="O1206" s="170"/>
    </row>
    <row r="1207" ht="15.75" customHeight="1" spans="1:15">
      <c r="A1207" s="183" t="str">
        <f>VLOOKUP(F1207,数据集标准分类!A:G,7,0)</f>
        <v>06</v>
      </c>
      <c r="B1207" s="183" t="str">
        <f>VLOOKUP(F1207,数据集标准分类!A:F,6,0)</f>
        <v>护理病历</v>
      </c>
      <c r="C1207" s="183" t="str">
        <f>VLOOKUP(F1207,数据集标准分类!A:E,5,0)</f>
        <v>0601</v>
      </c>
      <c r="D1207" s="183" t="str">
        <f>VLOOKUP(F1207,数据集标准分类!A:D,4,0)</f>
        <v>体征/生理监测</v>
      </c>
      <c r="E1207" s="183" t="str">
        <f>VLOOKUP(F1207,数据集标准分类!A:C,3,0)</f>
        <v>060106</v>
      </c>
      <c r="F1207" s="170" t="s">
        <v>3191</v>
      </c>
      <c r="G1207" s="183" t="str">
        <f>VLOOKUP(F1207,数据集标准分类!A:B,2,0)</f>
        <v>dgview_tongkpng</v>
      </c>
      <c r="H1207" s="294">
        <f>VLOOKUP(F1207,数据集标准分类!A:H,8,0)</f>
        <v>65</v>
      </c>
      <c r="I1207" s="170" t="s">
        <v>3192</v>
      </c>
      <c r="J1207" s="170" t="s">
        <v>3193</v>
      </c>
      <c r="K1207" s="170" t="s">
        <v>3194</v>
      </c>
      <c r="L1207" s="170" t="s">
        <v>3195</v>
      </c>
      <c r="M1207" s="170"/>
      <c r="N1207" s="294">
        <v>1</v>
      </c>
      <c r="O1207" s="170"/>
    </row>
    <row r="1208" ht="15.75" customHeight="1" spans="1:15">
      <c r="A1208" s="183" t="str">
        <f>VLOOKUP(F1208,数据集标准分类!A:G,7,0)</f>
        <v>06</v>
      </c>
      <c r="B1208" s="183" t="str">
        <f>VLOOKUP(F1208,数据集标准分类!A:F,6,0)</f>
        <v>护理病历</v>
      </c>
      <c r="C1208" s="183" t="str">
        <f>VLOOKUP(F1208,数据集标准分类!A:E,5,0)</f>
        <v>0601</v>
      </c>
      <c r="D1208" s="183" t="str">
        <f>VLOOKUP(F1208,数据集标准分类!A:D,4,0)</f>
        <v>体征/生理监测</v>
      </c>
      <c r="E1208" s="183" t="str">
        <f>VLOOKUP(F1208,数据集标准分类!A:C,3,0)</f>
        <v>060106</v>
      </c>
      <c r="F1208" s="170" t="s">
        <v>3191</v>
      </c>
      <c r="G1208" s="183" t="str">
        <f>VLOOKUP(F1208,数据集标准分类!A:B,2,0)</f>
        <v>dgview_tongkpng</v>
      </c>
      <c r="H1208" s="294">
        <f>VLOOKUP(F1208,数据集标准分类!A:H,8,0)</f>
        <v>65</v>
      </c>
      <c r="I1208" s="170" t="s">
        <v>3196</v>
      </c>
      <c r="J1208" s="170" t="s">
        <v>3197</v>
      </c>
      <c r="K1208" s="170" t="s">
        <v>3198</v>
      </c>
      <c r="L1208" s="170" t="s">
        <v>2740</v>
      </c>
      <c r="M1208" s="170"/>
      <c r="N1208" s="294">
        <v>2</v>
      </c>
      <c r="O1208" s="170"/>
    </row>
    <row r="1209" ht="15.75" customHeight="1" spans="1:15">
      <c r="A1209" s="183" t="str">
        <f>VLOOKUP(F1209,数据集标准分类!A:G,7,0)</f>
        <v>06</v>
      </c>
      <c r="B1209" s="183" t="str">
        <f>VLOOKUP(F1209,数据集标准分类!A:F,6,0)</f>
        <v>护理病历</v>
      </c>
      <c r="C1209" s="183" t="str">
        <f>VLOOKUP(F1209,数据集标准分类!A:E,5,0)</f>
        <v>0601</v>
      </c>
      <c r="D1209" s="183" t="str">
        <f>VLOOKUP(F1209,数据集标准分类!A:D,4,0)</f>
        <v>体征/生理监测</v>
      </c>
      <c r="E1209" s="183" t="str">
        <f>VLOOKUP(F1209,数据集标准分类!A:C,3,0)</f>
        <v>060106</v>
      </c>
      <c r="F1209" s="170" t="s">
        <v>3191</v>
      </c>
      <c r="G1209" s="183" t="str">
        <f>VLOOKUP(F1209,数据集标准分类!A:B,2,0)</f>
        <v>dgview_tongkpng</v>
      </c>
      <c r="H1209" s="294">
        <f>VLOOKUP(F1209,数据集标准分类!A:H,8,0)</f>
        <v>65</v>
      </c>
      <c r="I1209" s="170" t="s">
        <v>3199</v>
      </c>
      <c r="J1209" s="170" t="s">
        <v>3200</v>
      </c>
      <c r="K1209" s="170" t="s">
        <v>3201</v>
      </c>
      <c r="L1209" s="170" t="s">
        <v>3202</v>
      </c>
      <c r="M1209" s="170"/>
      <c r="N1209" s="294">
        <v>3</v>
      </c>
      <c r="O1209" s="170"/>
    </row>
    <row r="1210" ht="15.75" customHeight="1" spans="1:15">
      <c r="A1210" s="183" t="str">
        <f>VLOOKUP(F1210,数据集标准分类!A:G,7,0)</f>
        <v>06</v>
      </c>
      <c r="B1210" s="183" t="str">
        <f>VLOOKUP(F1210,数据集标准分类!A:F,6,0)</f>
        <v>护理病历</v>
      </c>
      <c r="C1210" s="183" t="str">
        <f>VLOOKUP(F1210,数据集标准分类!A:E,5,0)</f>
        <v>0601</v>
      </c>
      <c r="D1210" s="183" t="str">
        <f>VLOOKUP(F1210,数据集标准分类!A:D,4,0)</f>
        <v>体征/生理监测</v>
      </c>
      <c r="E1210" s="183" t="str">
        <f>VLOOKUP(F1210,数据集标准分类!A:C,3,0)</f>
        <v>060106</v>
      </c>
      <c r="F1210" s="170" t="s">
        <v>3191</v>
      </c>
      <c r="G1210" s="183" t="str">
        <f>VLOOKUP(F1210,数据集标准分类!A:B,2,0)</f>
        <v>dgview_tongkpng</v>
      </c>
      <c r="H1210" s="294">
        <f>VLOOKUP(F1210,数据集标准分类!A:H,8,0)</f>
        <v>65</v>
      </c>
      <c r="I1210" s="170" t="s">
        <v>1774</v>
      </c>
      <c r="J1210" s="170" t="s">
        <v>1775</v>
      </c>
      <c r="K1210" s="170" t="s">
        <v>1776</v>
      </c>
      <c r="L1210" s="170" t="s">
        <v>1777</v>
      </c>
      <c r="M1210" s="170"/>
      <c r="N1210" s="294">
        <v>4</v>
      </c>
      <c r="O1210" s="170"/>
    </row>
    <row r="1211" ht="15.75" customHeight="1" spans="1:15">
      <c r="A1211" s="183" t="str">
        <f>VLOOKUP(F1211,数据集标准分类!A:G,7,0)</f>
        <v>06</v>
      </c>
      <c r="B1211" s="183" t="str">
        <f>VLOOKUP(F1211,数据集标准分类!A:F,6,0)</f>
        <v>护理病历</v>
      </c>
      <c r="C1211" s="183" t="str">
        <f>VLOOKUP(F1211,数据集标准分类!A:E,5,0)</f>
        <v>0601</v>
      </c>
      <c r="D1211" s="183" t="str">
        <f>VLOOKUP(F1211,数据集标准分类!A:D,4,0)</f>
        <v>体征/生理监测</v>
      </c>
      <c r="E1211" s="183" t="str">
        <f>VLOOKUP(F1211,数据集标准分类!A:C,3,0)</f>
        <v>060107</v>
      </c>
      <c r="F1211" s="170" t="s">
        <v>3203</v>
      </c>
      <c r="G1211" s="183" t="str">
        <f>VLOOKUP(F1211,数据集标准分类!A:B,2,0)</f>
        <v>allergies_record</v>
      </c>
      <c r="H1211" s="294">
        <f>VLOOKUP(F1211,数据集标准分类!A:H,8,0)</f>
        <v>66</v>
      </c>
      <c r="I1211" s="170" t="s">
        <v>2242</v>
      </c>
      <c r="J1211" s="170" t="s">
        <v>2243</v>
      </c>
      <c r="K1211" s="170" t="s">
        <v>2244</v>
      </c>
      <c r="L1211" s="170" t="s">
        <v>2836</v>
      </c>
      <c r="M1211" s="170"/>
      <c r="N1211" s="294">
        <v>1</v>
      </c>
      <c r="O1211" s="170"/>
    </row>
    <row r="1212" ht="15.75" customHeight="1" spans="1:15">
      <c r="A1212" s="183" t="str">
        <f>VLOOKUP(F1212,数据集标准分类!A:G,7,0)</f>
        <v>06</v>
      </c>
      <c r="B1212" s="183" t="str">
        <f>VLOOKUP(F1212,数据集标准分类!A:F,6,0)</f>
        <v>护理病历</v>
      </c>
      <c r="C1212" s="183" t="str">
        <f>VLOOKUP(F1212,数据集标准分类!A:E,5,0)</f>
        <v>0601</v>
      </c>
      <c r="D1212" s="183" t="str">
        <f>VLOOKUP(F1212,数据集标准分类!A:D,4,0)</f>
        <v>体征/生理监测</v>
      </c>
      <c r="E1212" s="183" t="str">
        <f>VLOOKUP(F1212,数据集标准分类!A:C,3,0)</f>
        <v>060107</v>
      </c>
      <c r="F1212" s="170" t="s">
        <v>3203</v>
      </c>
      <c r="G1212" s="183" t="str">
        <f>VLOOKUP(F1212,数据集标准分类!A:B,2,0)</f>
        <v>allergies_record</v>
      </c>
      <c r="H1212" s="294">
        <f>VLOOKUP(F1212,数据集标准分类!A:H,8,0)</f>
        <v>66</v>
      </c>
      <c r="I1212" s="170" t="s">
        <v>3204</v>
      </c>
      <c r="J1212" s="170" t="s">
        <v>3205</v>
      </c>
      <c r="K1212" s="170" t="s">
        <v>3205</v>
      </c>
      <c r="L1212" s="170" t="s">
        <v>3206</v>
      </c>
      <c r="M1212" s="170"/>
      <c r="N1212" s="294">
        <v>2</v>
      </c>
      <c r="O1212" s="170"/>
    </row>
    <row r="1213" ht="15.75" customHeight="1" spans="1:15">
      <c r="A1213" s="183" t="str">
        <f>VLOOKUP(F1213,数据集标准分类!A:G,7,0)</f>
        <v>06</v>
      </c>
      <c r="B1213" s="183" t="str">
        <f>VLOOKUP(F1213,数据集标准分类!A:F,6,0)</f>
        <v>护理病历</v>
      </c>
      <c r="C1213" s="183" t="str">
        <f>VLOOKUP(F1213,数据集标准分类!A:E,5,0)</f>
        <v>0601</v>
      </c>
      <c r="D1213" s="183" t="str">
        <f>VLOOKUP(F1213,数据集标准分类!A:D,4,0)</f>
        <v>体征/生理监测</v>
      </c>
      <c r="E1213" s="183" t="str">
        <f>VLOOKUP(F1213,数据集标准分类!A:C,3,0)</f>
        <v>060107</v>
      </c>
      <c r="F1213" s="170" t="s">
        <v>3203</v>
      </c>
      <c r="G1213" s="183" t="str">
        <f>VLOOKUP(F1213,数据集标准分类!A:B,2,0)</f>
        <v>allergies_record</v>
      </c>
      <c r="H1213" s="294">
        <f>VLOOKUP(F1213,数据集标准分类!A:H,8,0)</f>
        <v>66</v>
      </c>
      <c r="I1213" s="170" t="s">
        <v>3207</v>
      </c>
      <c r="J1213" s="170" t="s">
        <v>3208</v>
      </c>
      <c r="K1213" s="170" t="s">
        <v>3209</v>
      </c>
      <c r="L1213" s="170" t="s">
        <v>3210</v>
      </c>
      <c r="M1213" s="170"/>
      <c r="N1213" s="294">
        <v>3</v>
      </c>
      <c r="O1213" s="170"/>
    </row>
    <row r="1214" ht="15.75" customHeight="1" spans="1:15">
      <c r="A1214" s="183" t="str">
        <f>VLOOKUP(F1214,数据集标准分类!A:G,7,0)</f>
        <v>06</v>
      </c>
      <c r="B1214" s="183" t="str">
        <f>VLOOKUP(F1214,数据集标准分类!A:F,6,0)</f>
        <v>护理病历</v>
      </c>
      <c r="C1214" s="183" t="str">
        <f>VLOOKUP(F1214,数据集标准分类!A:E,5,0)</f>
        <v>0601</v>
      </c>
      <c r="D1214" s="183" t="str">
        <f>VLOOKUP(F1214,数据集标准分类!A:D,4,0)</f>
        <v>体征/生理监测</v>
      </c>
      <c r="E1214" s="183" t="str">
        <f>VLOOKUP(F1214,数据集标准分类!A:C,3,0)</f>
        <v>060108</v>
      </c>
      <c r="F1214" s="170" t="s">
        <v>3211</v>
      </c>
      <c r="G1214" s="183" t="str">
        <f>VLOOKUP(F1214,数据集标准分类!A:B,2,0)</f>
        <v>adult_sign_record</v>
      </c>
      <c r="H1214" s="294">
        <f>VLOOKUP(F1214,数据集标准分类!A:H,8,0)</f>
        <v>67</v>
      </c>
      <c r="I1214" s="170" t="s">
        <v>172</v>
      </c>
      <c r="J1214" s="170" t="s">
        <v>173</v>
      </c>
      <c r="K1214" s="170" t="s">
        <v>174</v>
      </c>
      <c r="L1214" s="170" t="s">
        <v>175</v>
      </c>
      <c r="M1214" s="170" t="s">
        <v>1245</v>
      </c>
      <c r="N1214" s="294">
        <v>1</v>
      </c>
      <c r="O1214" s="170"/>
    </row>
    <row r="1215" ht="15.75" customHeight="1" spans="1:15">
      <c r="A1215" s="183" t="str">
        <f>VLOOKUP(F1215,数据集标准分类!A:G,7,0)</f>
        <v>06</v>
      </c>
      <c r="B1215" s="183" t="str">
        <f>VLOOKUP(F1215,数据集标准分类!A:F,6,0)</f>
        <v>护理病历</v>
      </c>
      <c r="C1215" s="183" t="str">
        <f>VLOOKUP(F1215,数据集标准分类!A:E,5,0)</f>
        <v>0601</v>
      </c>
      <c r="D1215" s="183" t="str">
        <f>VLOOKUP(F1215,数据集标准分类!A:D,4,0)</f>
        <v>体征/生理监测</v>
      </c>
      <c r="E1215" s="183" t="s">
        <v>3212</v>
      </c>
      <c r="F1215" s="170" t="s">
        <v>3211</v>
      </c>
      <c r="G1215" s="183" t="str">
        <f>VLOOKUP(F1215,数据集标准分类!A:B,2,0)</f>
        <v>adult_sign_record</v>
      </c>
      <c r="H1215" s="294">
        <f>VLOOKUP(F1215,数据集标准分类!A:H,8,0)</f>
        <v>67</v>
      </c>
      <c r="I1215" s="170" t="s">
        <v>152</v>
      </c>
      <c r="J1215" s="170" t="s">
        <v>153</v>
      </c>
      <c r="K1215" s="170" t="s">
        <v>154</v>
      </c>
      <c r="L1215" s="170" t="s">
        <v>155</v>
      </c>
      <c r="M1215" s="170" t="s">
        <v>156</v>
      </c>
      <c r="N1215" s="294">
        <v>2</v>
      </c>
      <c r="O1215" s="170"/>
    </row>
    <row r="1216" ht="15.75" customHeight="1" spans="1:15">
      <c r="A1216" s="183" t="str">
        <f>VLOOKUP(F1216,数据集标准分类!A:G,7,0)</f>
        <v>06</v>
      </c>
      <c r="B1216" s="183" t="str">
        <f>VLOOKUP(F1216,数据集标准分类!A:F,6,0)</f>
        <v>护理病历</v>
      </c>
      <c r="C1216" s="183" t="str">
        <f>VLOOKUP(F1216,数据集标准分类!A:E,5,0)</f>
        <v>0601</v>
      </c>
      <c r="D1216" s="183" t="str">
        <f>VLOOKUP(F1216,数据集标准分类!A:D,4,0)</f>
        <v>体征/生理监测</v>
      </c>
      <c r="E1216" s="183" t="str">
        <f>VLOOKUP(F1216,数据集标准分类!A:C,3,0)</f>
        <v>060108</v>
      </c>
      <c r="F1216" s="170" t="s">
        <v>3211</v>
      </c>
      <c r="G1216" s="183" t="str">
        <f>VLOOKUP(F1216,数据集标准分类!A:B,2,0)</f>
        <v>adult_sign_record</v>
      </c>
      <c r="H1216" s="294">
        <f>VLOOKUP(F1216,数据集标准分类!A:H,8,0)</f>
        <v>67</v>
      </c>
      <c r="I1216" s="170" t="s">
        <v>574</v>
      </c>
      <c r="J1216" s="170" t="s">
        <v>575</v>
      </c>
      <c r="K1216" s="170" t="s">
        <v>576</v>
      </c>
      <c r="L1216" s="170" t="s">
        <v>577</v>
      </c>
      <c r="M1216" s="170" t="s">
        <v>3213</v>
      </c>
      <c r="N1216" s="294">
        <v>3</v>
      </c>
      <c r="O1216" s="170"/>
    </row>
    <row r="1217" ht="15.75" customHeight="1" spans="1:15">
      <c r="A1217" s="183" t="str">
        <f>VLOOKUP(F1217,数据集标准分类!A:G,7,0)</f>
        <v>06</v>
      </c>
      <c r="B1217" s="183" t="str">
        <f>VLOOKUP(F1217,数据集标准分类!A:F,6,0)</f>
        <v>护理病历</v>
      </c>
      <c r="C1217" s="183" t="str">
        <f>VLOOKUP(F1217,数据集标准分类!A:E,5,0)</f>
        <v>0601</v>
      </c>
      <c r="D1217" s="183" t="str">
        <f>VLOOKUP(F1217,数据集标准分类!A:D,4,0)</f>
        <v>体征/生理监测</v>
      </c>
      <c r="E1217" s="183" t="str">
        <f>VLOOKUP(F1217,数据集标准分类!A:C,3,0)</f>
        <v>060108</v>
      </c>
      <c r="F1217" s="170" t="s">
        <v>3211</v>
      </c>
      <c r="G1217" s="183" t="str">
        <f>VLOOKUP(F1217,数据集标准分类!A:B,2,0)</f>
        <v>adult_sign_record</v>
      </c>
      <c r="H1217" s="294">
        <f>VLOOKUP(F1217,数据集标准分类!A:H,8,0)</f>
        <v>67</v>
      </c>
      <c r="I1217" s="170" t="s">
        <v>3214</v>
      </c>
      <c r="J1217" s="170" t="s">
        <v>3215</v>
      </c>
      <c r="K1217" s="170" t="s">
        <v>3216</v>
      </c>
      <c r="L1217" s="170" t="s">
        <v>3217</v>
      </c>
      <c r="M1217" s="170" t="s">
        <v>3218</v>
      </c>
      <c r="N1217" s="294">
        <v>4</v>
      </c>
      <c r="O1217" s="170"/>
    </row>
    <row r="1218" ht="15.75" customHeight="1" spans="1:15">
      <c r="A1218" s="183" t="str">
        <f>VLOOKUP(F1218,数据集标准分类!A:G,7,0)</f>
        <v>06</v>
      </c>
      <c r="B1218" s="183" t="str">
        <f>VLOOKUP(F1218,数据集标准分类!A:F,6,0)</f>
        <v>护理病历</v>
      </c>
      <c r="C1218" s="183" t="str">
        <f>VLOOKUP(F1218,数据集标准分类!A:E,5,0)</f>
        <v>0601</v>
      </c>
      <c r="D1218" s="183" t="str">
        <f>VLOOKUP(F1218,数据集标准分类!A:D,4,0)</f>
        <v>体征/生理监测</v>
      </c>
      <c r="E1218" s="183" t="str">
        <f>VLOOKUP(F1218,数据集标准分类!A:C,3,0)</f>
        <v>060108</v>
      </c>
      <c r="F1218" s="170" t="s">
        <v>3211</v>
      </c>
      <c r="G1218" s="183" t="str">
        <f>VLOOKUP(F1218,数据集标准分类!A:B,2,0)</f>
        <v>adult_sign_record</v>
      </c>
      <c r="H1218" s="294">
        <f>VLOOKUP(F1218,数据集标准分类!A:H,8,0)</f>
        <v>67</v>
      </c>
      <c r="I1218" s="170" t="s">
        <v>1394</v>
      </c>
      <c r="J1218" s="170" t="s">
        <v>1395</v>
      </c>
      <c r="K1218" s="170" t="s">
        <v>1396</v>
      </c>
      <c r="L1218" s="170" t="s">
        <v>1397</v>
      </c>
      <c r="M1218" s="170" t="s">
        <v>1106</v>
      </c>
      <c r="N1218" s="294">
        <v>5</v>
      </c>
      <c r="O1218" s="170"/>
    </row>
    <row r="1219" ht="15.75" customHeight="1" spans="1:15">
      <c r="A1219" s="183" t="str">
        <f>VLOOKUP(F1219,数据集标准分类!A:G,7,0)</f>
        <v>06</v>
      </c>
      <c r="B1219" s="183" t="str">
        <f>VLOOKUP(F1219,数据集标准分类!A:F,6,0)</f>
        <v>护理病历</v>
      </c>
      <c r="C1219" s="183" t="str">
        <f>VLOOKUP(F1219,数据集标准分类!A:E,5,0)</f>
        <v>0601</v>
      </c>
      <c r="D1219" s="183" t="str">
        <f>VLOOKUP(F1219,数据集标准分类!A:D,4,0)</f>
        <v>体征/生理监测</v>
      </c>
      <c r="E1219" s="183" t="str">
        <f>VLOOKUP(F1219,数据集标准分类!A:C,3,0)</f>
        <v>060108</v>
      </c>
      <c r="F1219" s="170" t="s">
        <v>3211</v>
      </c>
      <c r="G1219" s="183" t="str">
        <f>VLOOKUP(F1219,数据集标准分类!A:B,2,0)</f>
        <v>adult_sign_record</v>
      </c>
      <c r="H1219" s="294">
        <f>VLOOKUP(F1219,数据集标准分类!A:H,8,0)</f>
        <v>67</v>
      </c>
      <c r="I1219" s="170" t="s">
        <v>694</v>
      </c>
      <c r="J1219" s="170" t="s">
        <v>695</v>
      </c>
      <c r="K1219" s="170" t="s">
        <v>696</v>
      </c>
      <c r="L1219" s="170" t="s">
        <v>697</v>
      </c>
      <c r="M1219" s="170" t="s">
        <v>2057</v>
      </c>
      <c r="N1219" s="294">
        <v>6</v>
      </c>
      <c r="O1219" s="170"/>
    </row>
    <row r="1220" ht="15.75" customHeight="1" spans="1:15">
      <c r="A1220" s="183" t="str">
        <f>VLOOKUP(F1220,数据集标准分类!A:G,7,0)</f>
        <v>06</v>
      </c>
      <c r="B1220" s="183" t="str">
        <f>VLOOKUP(F1220,数据集标准分类!A:F,6,0)</f>
        <v>护理病历</v>
      </c>
      <c r="C1220" s="183" t="str">
        <f>VLOOKUP(F1220,数据集标准分类!A:E,5,0)</f>
        <v>0601</v>
      </c>
      <c r="D1220" s="183" t="str">
        <f>VLOOKUP(F1220,数据集标准分类!A:D,4,0)</f>
        <v>体征/生理监测</v>
      </c>
      <c r="E1220" s="183" t="str">
        <f>VLOOKUP(F1220,数据集标准分类!A:C,3,0)</f>
        <v>060108</v>
      </c>
      <c r="F1220" s="170" t="s">
        <v>3211</v>
      </c>
      <c r="G1220" s="183" t="str">
        <f>VLOOKUP(F1220,数据集标准分类!A:B,2,0)</f>
        <v>adult_sign_record</v>
      </c>
      <c r="H1220" s="294">
        <f>VLOOKUP(F1220,数据集标准分类!A:H,8,0)</f>
        <v>67</v>
      </c>
      <c r="I1220" s="170" t="s">
        <v>3219</v>
      </c>
      <c r="J1220" s="170" t="s">
        <v>3220</v>
      </c>
      <c r="K1220" s="170" t="s">
        <v>3221</v>
      </c>
      <c r="L1220" s="170" t="s">
        <v>3222</v>
      </c>
      <c r="M1220" s="170" t="s">
        <v>3223</v>
      </c>
      <c r="N1220" s="294">
        <v>7</v>
      </c>
      <c r="O1220" s="170"/>
    </row>
    <row r="1221" ht="15.75" customHeight="1" spans="1:15">
      <c r="A1221" s="183" t="str">
        <f>VLOOKUP(F1221,数据集标准分类!A:G,7,0)</f>
        <v>06</v>
      </c>
      <c r="B1221" s="183" t="str">
        <f>VLOOKUP(F1221,数据集标准分类!A:F,6,0)</f>
        <v>护理病历</v>
      </c>
      <c r="C1221" s="183" t="str">
        <f>VLOOKUP(F1221,数据集标准分类!A:E,5,0)</f>
        <v>0601</v>
      </c>
      <c r="D1221" s="183" t="str">
        <f>VLOOKUP(F1221,数据集标准分类!A:D,4,0)</f>
        <v>体征/生理监测</v>
      </c>
      <c r="E1221" s="183" t="str">
        <f>VLOOKUP(F1221,数据集标准分类!A:C,3,0)</f>
        <v>060108</v>
      </c>
      <c r="F1221" s="170" t="s">
        <v>3211</v>
      </c>
      <c r="G1221" s="183" t="s">
        <v>3224</v>
      </c>
      <c r="H1221" s="294">
        <f>VLOOKUP(F1221,数据集标准分类!A:H,8,0)</f>
        <v>67</v>
      </c>
      <c r="I1221" s="170" t="s">
        <v>689</v>
      </c>
      <c r="J1221" s="170" t="s">
        <v>690</v>
      </c>
      <c r="K1221" s="170" t="s">
        <v>691</v>
      </c>
      <c r="L1221" s="170" t="s">
        <v>692</v>
      </c>
      <c r="M1221" s="170" t="s">
        <v>693</v>
      </c>
      <c r="N1221" s="294">
        <v>8</v>
      </c>
      <c r="O1221" s="170"/>
    </row>
    <row r="1222" ht="15.75" customHeight="1" spans="1:15">
      <c r="A1222" s="183" t="str">
        <f>VLOOKUP(F1222,数据集标准分类!A:G,7,0)</f>
        <v>06</v>
      </c>
      <c r="B1222" s="183" t="str">
        <f>VLOOKUP(F1222,数据集标准分类!A:F,6,0)</f>
        <v>护理病历</v>
      </c>
      <c r="C1222" s="183" t="str">
        <f>VLOOKUP(F1222,数据集标准分类!A:E,5,0)</f>
        <v>0601</v>
      </c>
      <c r="D1222" s="183" t="str">
        <f>VLOOKUP(F1222,数据集标准分类!A:D,4,0)</f>
        <v>体征/生理监测</v>
      </c>
      <c r="E1222" s="183" t="str">
        <f>VLOOKUP(F1222,数据集标准分类!A:C,3,0)</f>
        <v>060108</v>
      </c>
      <c r="F1222" s="170" t="s">
        <v>3211</v>
      </c>
      <c r="G1222" s="183" t="str">
        <f>VLOOKUP(F1222,数据集标准分类!A:B,2,0)</f>
        <v>adult_sign_record</v>
      </c>
      <c r="H1222" s="294">
        <f>VLOOKUP(F1222,数据集标准分类!A:H,8,0)</f>
        <v>67</v>
      </c>
      <c r="I1222" s="170" t="s">
        <v>1949</v>
      </c>
      <c r="J1222" s="170" t="s">
        <v>1950</v>
      </c>
      <c r="K1222" s="170" t="s">
        <v>1951</v>
      </c>
      <c r="L1222" s="170" t="s">
        <v>1952</v>
      </c>
      <c r="M1222" s="170" t="s">
        <v>3067</v>
      </c>
      <c r="N1222" s="294">
        <v>9</v>
      </c>
      <c r="O1222" s="170"/>
    </row>
    <row r="1223" ht="15.75" customHeight="1" spans="1:15">
      <c r="A1223" s="183" t="str">
        <f>VLOOKUP(F1223,数据集标准分类!A:G,7,0)</f>
        <v>06</v>
      </c>
      <c r="B1223" s="183" t="str">
        <f>VLOOKUP(F1223,数据集标准分类!A:F,6,0)</f>
        <v>护理病历</v>
      </c>
      <c r="C1223" s="183" t="str">
        <f>VLOOKUP(F1223,数据集标准分类!A:E,5,0)</f>
        <v>0601</v>
      </c>
      <c r="D1223" s="183" t="str">
        <f>VLOOKUP(F1223,数据集标准分类!A:D,4,0)</f>
        <v>体征/生理监测</v>
      </c>
      <c r="E1223" s="183" t="str">
        <f>VLOOKUP(F1223,数据集标准分类!A:C,3,0)</f>
        <v>060108</v>
      </c>
      <c r="F1223" s="170" t="s">
        <v>3211</v>
      </c>
      <c r="G1223" s="183" t="str">
        <f>VLOOKUP(F1223,数据集标准分类!A:B,2,0)</f>
        <v>adult_sign_record</v>
      </c>
      <c r="H1223" s="294">
        <f>VLOOKUP(F1223,数据集标准分类!A:H,8,0)</f>
        <v>67</v>
      </c>
      <c r="I1223" s="170" t="s">
        <v>684</v>
      </c>
      <c r="J1223" s="170" t="s">
        <v>685</v>
      </c>
      <c r="K1223" s="170" t="s">
        <v>686</v>
      </c>
      <c r="L1223" s="170" t="s">
        <v>687</v>
      </c>
      <c r="M1223" s="170" t="s">
        <v>688</v>
      </c>
      <c r="N1223" s="294">
        <v>10</v>
      </c>
      <c r="O1223" s="170"/>
    </row>
    <row r="1224" ht="15.75" customHeight="1" spans="1:15">
      <c r="A1224" s="183" t="str">
        <f>VLOOKUP(F1224,数据集标准分类!A:G,7,0)</f>
        <v>06</v>
      </c>
      <c r="B1224" s="183" t="str">
        <f>VLOOKUP(F1224,数据集标准分类!A:F,6,0)</f>
        <v>护理病历</v>
      </c>
      <c r="C1224" s="183" t="str">
        <f>VLOOKUP(F1224,数据集标准分类!A:E,5,0)</f>
        <v>0601</v>
      </c>
      <c r="D1224" s="183" t="str">
        <f>VLOOKUP(F1224,数据集标准分类!A:D,4,0)</f>
        <v>体征/生理监测</v>
      </c>
      <c r="E1224" s="183" t="str">
        <f>VLOOKUP(F1224,数据集标准分类!A:C,3,0)</f>
        <v>060108</v>
      </c>
      <c r="F1224" s="170" t="s">
        <v>3211</v>
      </c>
      <c r="G1224" s="183" t="str">
        <f>VLOOKUP(F1224,数据集标准分类!A:B,2,0)</f>
        <v>adult_sign_record</v>
      </c>
      <c r="H1224" s="294">
        <f>VLOOKUP(F1224,数据集标准分类!A:H,8,0)</f>
        <v>67</v>
      </c>
      <c r="I1224" s="170" t="s">
        <v>699</v>
      </c>
      <c r="J1224" s="170" t="s">
        <v>700</v>
      </c>
      <c r="K1224" s="170" t="s">
        <v>700</v>
      </c>
      <c r="L1224" s="170" t="s">
        <v>701</v>
      </c>
      <c r="M1224" s="170" t="s">
        <v>702</v>
      </c>
      <c r="N1224" s="294">
        <v>11</v>
      </c>
      <c r="O1224" s="170"/>
    </row>
    <row r="1225" ht="15.75" customHeight="1" spans="1:15">
      <c r="A1225" s="183" t="str">
        <f>VLOOKUP(F1225,数据集标准分类!A:G,7,0)</f>
        <v>06</v>
      </c>
      <c r="B1225" s="183" t="str">
        <f>VLOOKUP(F1225,数据集标准分类!A:F,6,0)</f>
        <v>护理病历</v>
      </c>
      <c r="C1225" s="183" t="str">
        <f>VLOOKUP(F1225,数据集标准分类!A:E,5,0)</f>
        <v>0601</v>
      </c>
      <c r="D1225" s="183" t="str">
        <f>VLOOKUP(F1225,数据集标准分类!A:D,4,0)</f>
        <v>体征/生理监测</v>
      </c>
      <c r="E1225" s="183" t="str">
        <f>VLOOKUP(F1225,数据集标准分类!A:C,3,0)</f>
        <v>060108</v>
      </c>
      <c r="F1225" s="170" t="s">
        <v>3211</v>
      </c>
      <c r="G1225" s="183" t="str">
        <f>VLOOKUP(F1225,数据集标准分类!A:B,2,0)</f>
        <v>adult_sign_record</v>
      </c>
      <c r="H1225" s="294">
        <f>VLOOKUP(F1225,数据集标准分类!A:H,8,0)</f>
        <v>67</v>
      </c>
      <c r="I1225" s="170" t="s">
        <v>703</v>
      </c>
      <c r="J1225" s="170" t="s">
        <v>704</v>
      </c>
      <c r="K1225" s="170" t="s">
        <v>704</v>
      </c>
      <c r="L1225" s="170" t="s">
        <v>705</v>
      </c>
      <c r="M1225" s="170" t="s">
        <v>706</v>
      </c>
      <c r="N1225" s="294">
        <v>12</v>
      </c>
      <c r="O1225" s="170"/>
    </row>
    <row r="1226" ht="15.75" customHeight="1" spans="1:15">
      <c r="A1226" s="183" t="str">
        <f>VLOOKUP(F1226,数据集标准分类!A:G,7,0)</f>
        <v>06</v>
      </c>
      <c r="B1226" s="183" t="str">
        <f>VLOOKUP(F1226,数据集标准分类!A:F,6,0)</f>
        <v>护理病历</v>
      </c>
      <c r="C1226" s="183" t="str">
        <f>VLOOKUP(F1226,数据集标准分类!A:E,5,0)</f>
        <v>0601</v>
      </c>
      <c r="D1226" s="183" t="str">
        <f>VLOOKUP(F1226,数据集标准分类!A:D,4,0)</f>
        <v>体征/生理监测</v>
      </c>
      <c r="E1226" s="183" t="str">
        <f>VLOOKUP(F1226,数据集标准分类!A:C,3,0)</f>
        <v>060108</v>
      </c>
      <c r="F1226" s="170" t="s">
        <v>3211</v>
      </c>
      <c r="G1226" s="183" t="str">
        <f>VLOOKUP(F1226,数据集标准分类!A:B,2,0)</f>
        <v>adult_sign_record</v>
      </c>
      <c r="H1226" s="294">
        <f>VLOOKUP(F1226,数据集标准分类!A:H,8,0)</f>
        <v>67</v>
      </c>
      <c r="I1226" s="170" t="s">
        <v>711</v>
      </c>
      <c r="J1226" s="170" t="s">
        <v>712</v>
      </c>
      <c r="K1226" s="170" t="s">
        <v>712</v>
      </c>
      <c r="L1226" s="170" t="s">
        <v>713</v>
      </c>
      <c r="M1226" s="170" t="s">
        <v>714</v>
      </c>
      <c r="N1226" s="294">
        <v>13</v>
      </c>
      <c r="O1226" s="170"/>
    </row>
    <row r="1227" ht="15.75" customHeight="1" spans="1:15">
      <c r="A1227" s="183" t="str">
        <f>VLOOKUP(F1227,数据集标准分类!A:G,7,0)</f>
        <v>06</v>
      </c>
      <c r="B1227" s="183" t="str">
        <f>VLOOKUP(F1227,数据集标准分类!A:F,6,0)</f>
        <v>护理病历</v>
      </c>
      <c r="C1227" s="183" t="str">
        <f>VLOOKUP(F1227,数据集标准分类!A:E,5,0)</f>
        <v>0601</v>
      </c>
      <c r="D1227" s="183" t="str">
        <f>VLOOKUP(F1227,数据集标准分类!A:D,4,0)</f>
        <v>体征/生理监测</v>
      </c>
      <c r="E1227" s="183" t="str">
        <f>VLOOKUP(F1227,数据集标准分类!A:C,3,0)</f>
        <v>060108</v>
      </c>
      <c r="F1227" s="170" t="s">
        <v>3211</v>
      </c>
      <c r="G1227" s="183" t="str">
        <f>VLOOKUP(F1227,数据集标准分类!A:B,2,0)</f>
        <v>adult_sign_record</v>
      </c>
      <c r="H1227" s="294">
        <f>VLOOKUP(F1227,数据集标准分类!A:H,8,0)</f>
        <v>67</v>
      </c>
      <c r="I1227" s="170" t="s">
        <v>3225</v>
      </c>
      <c r="J1227" s="170" t="s">
        <v>3226</v>
      </c>
      <c r="K1227" s="170" t="s">
        <v>3226</v>
      </c>
      <c r="L1227" s="170" t="s">
        <v>3227</v>
      </c>
      <c r="M1227" s="170" t="s">
        <v>3228</v>
      </c>
      <c r="N1227" s="294">
        <v>14</v>
      </c>
      <c r="O1227" s="170"/>
    </row>
    <row r="1228" ht="15.75" customHeight="1" spans="1:15">
      <c r="A1228" s="183" t="str">
        <f>VLOOKUP(F1228,数据集标准分类!A:G,7,0)</f>
        <v>06</v>
      </c>
      <c r="B1228" s="183" t="str">
        <f>VLOOKUP(F1228,数据集标准分类!A:F,6,0)</f>
        <v>护理病历</v>
      </c>
      <c r="C1228" s="183" t="str">
        <f>VLOOKUP(F1228,数据集标准分类!A:E,5,0)</f>
        <v>0601</v>
      </c>
      <c r="D1228" s="183" t="str">
        <f>VLOOKUP(F1228,数据集标准分类!A:D,4,0)</f>
        <v>体征/生理监测</v>
      </c>
      <c r="E1228" s="183" t="str">
        <f>VLOOKUP(F1228,数据集标准分类!A:C,3,0)</f>
        <v>060108</v>
      </c>
      <c r="F1228" s="170" t="s">
        <v>3211</v>
      </c>
      <c r="G1228" s="183" t="str">
        <f>VLOOKUP(F1228,数据集标准分类!A:B,2,0)</f>
        <v>adult_sign_record</v>
      </c>
      <c r="H1228" s="294">
        <f>VLOOKUP(F1228,数据集标准分类!A:H,8,0)</f>
        <v>67</v>
      </c>
      <c r="I1228" s="170" t="s">
        <v>3229</v>
      </c>
      <c r="J1228" s="170" t="s">
        <v>3230</v>
      </c>
      <c r="K1228" s="170" t="s">
        <v>3231</v>
      </c>
      <c r="L1228" s="170" t="s">
        <v>3232</v>
      </c>
      <c r="M1228" s="170" t="s">
        <v>3233</v>
      </c>
      <c r="N1228" s="294">
        <v>15</v>
      </c>
      <c r="O1228" s="170"/>
    </row>
    <row r="1229" ht="15.75" customHeight="1" spans="1:15">
      <c r="A1229" s="183" t="str">
        <f>VLOOKUP(F1229,数据集标准分类!A:G,7,0)</f>
        <v>06</v>
      </c>
      <c r="B1229" s="183" t="str">
        <f>VLOOKUP(F1229,数据集标准分类!A:F,6,0)</f>
        <v>护理病历</v>
      </c>
      <c r="C1229" s="183" t="str">
        <f>VLOOKUP(F1229,数据集标准分类!A:E,5,0)</f>
        <v>0601</v>
      </c>
      <c r="D1229" s="183" t="str">
        <f>VLOOKUP(F1229,数据集标准分类!A:D,4,0)</f>
        <v>体征/生理监测</v>
      </c>
      <c r="E1229" s="183" t="str">
        <f>VLOOKUP(F1229,数据集标准分类!A:C,3,0)</f>
        <v>060108</v>
      </c>
      <c r="F1229" s="170" t="s">
        <v>3211</v>
      </c>
      <c r="G1229" s="183" t="str">
        <f>VLOOKUP(F1229,数据集标准分类!A:B,2,0)</f>
        <v>adult_sign_record</v>
      </c>
      <c r="H1229" s="294">
        <f>VLOOKUP(F1229,数据集标准分类!A:H,8,0)</f>
        <v>67</v>
      </c>
      <c r="I1229" s="170" t="s">
        <v>784</v>
      </c>
      <c r="J1229" s="170" t="s">
        <v>785</v>
      </c>
      <c r="K1229" s="170" t="s">
        <v>786</v>
      </c>
      <c r="L1229" s="170" t="s">
        <v>787</v>
      </c>
      <c r="M1229" s="170" t="s">
        <v>3234</v>
      </c>
      <c r="N1229" s="294">
        <v>16</v>
      </c>
      <c r="O1229" s="170"/>
    </row>
    <row r="1230" ht="15.75" customHeight="1" spans="1:15">
      <c r="A1230" s="183" t="str">
        <f>VLOOKUP(F1230,数据集标准分类!A:G,7,0)</f>
        <v>06</v>
      </c>
      <c r="B1230" s="183" t="str">
        <f>VLOOKUP(F1230,数据集标准分类!A:F,6,0)</f>
        <v>护理病历</v>
      </c>
      <c r="C1230" s="183" t="str">
        <f>VLOOKUP(F1230,数据集标准分类!A:E,5,0)</f>
        <v>0602</v>
      </c>
      <c r="D1230" s="183" t="str">
        <f>VLOOKUP(F1230,数据集标准分类!A:D,4,0)</f>
        <v>护理评估</v>
      </c>
      <c r="E1230" s="183" t="str">
        <f>VLOOKUP(F1230,数据集标准分类!A:C,3,0)</f>
        <v>060201</v>
      </c>
      <c r="F1230" s="170" t="s">
        <v>3235</v>
      </c>
      <c r="G1230" s="183" t="str">
        <f>VLOOKUP(F1230,数据集标准分类!A:B,2,0)</f>
        <v>admission_nursing_eval</v>
      </c>
      <c r="H1230" s="294">
        <f>VLOOKUP(F1230,数据集标准分类!A:H,8,0)</f>
        <v>70</v>
      </c>
      <c r="I1230" s="170" t="s">
        <v>3236</v>
      </c>
      <c r="J1230" s="170" t="s">
        <v>3237</v>
      </c>
      <c r="K1230" s="170" t="s">
        <v>3238</v>
      </c>
      <c r="L1230" s="170" t="s">
        <v>3239</v>
      </c>
      <c r="M1230" s="170"/>
      <c r="N1230" s="294">
        <v>1</v>
      </c>
      <c r="O1230" s="170"/>
    </row>
    <row r="1231" ht="15.75" customHeight="1" spans="1:15">
      <c r="A1231" s="183" t="str">
        <f>VLOOKUP(F1231,数据集标准分类!A:G,7,0)</f>
        <v>06</v>
      </c>
      <c r="B1231" s="183" t="str">
        <f>VLOOKUP(F1231,数据集标准分类!A:F,6,0)</f>
        <v>护理病历</v>
      </c>
      <c r="C1231" s="183" t="str">
        <f>VLOOKUP(F1231,数据集标准分类!A:E,5,0)</f>
        <v>0602</v>
      </c>
      <c r="D1231" s="183" t="str">
        <f>VLOOKUP(F1231,数据集标准分类!A:D,4,0)</f>
        <v>护理评估</v>
      </c>
      <c r="E1231" s="183" t="str">
        <f>VLOOKUP(F1231,数据集标准分类!A:C,3,0)</f>
        <v>060201</v>
      </c>
      <c r="F1231" s="170" t="s">
        <v>3235</v>
      </c>
      <c r="G1231" s="183" t="str">
        <f>VLOOKUP(F1231,数据集标准分类!A:B,2,0)</f>
        <v>admission_nursing_eval</v>
      </c>
      <c r="H1231" s="294">
        <f>VLOOKUP(F1231,数据集标准分类!A:H,8,0)</f>
        <v>70</v>
      </c>
      <c r="I1231" s="170" t="s">
        <v>3196</v>
      </c>
      <c r="J1231" s="170" t="s">
        <v>3197</v>
      </c>
      <c r="K1231" s="170" t="s">
        <v>3198</v>
      </c>
      <c r="L1231" s="170" t="s">
        <v>2740</v>
      </c>
      <c r="M1231" s="170"/>
      <c r="N1231" s="294">
        <v>2</v>
      </c>
      <c r="O1231" s="170"/>
    </row>
    <row r="1232" ht="15.75" customHeight="1" spans="1:15">
      <c r="A1232" s="183" t="str">
        <f>VLOOKUP(F1232,数据集标准分类!A:G,7,0)</f>
        <v>06</v>
      </c>
      <c r="B1232" s="183" t="str">
        <f>VLOOKUP(F1232,数据集标准分类!A:F,6,0)</f>
        <v>护理病历</v>
      </c>
      <c r="C1232" s="183" t="str">
        <f>VLOOKUP(F1232,数据集标准分类!A:E,5,0)</f>
        <v>0602</v>
      </c>
      <c r="D1232" s="183" t="str">
        <f>VLOOKUP(F1232,数据集标准分类!A:D,4,0)</f>
        <v>护理评估</v>
      </c>
      <c r="E1232" s="183" t="str">
        <f>VLOOKUP(F1232,数据集标准分类!A:C,3,0)</f>
        <v>060201</v>
      </c>
      <c r="F1232" s="170" t="s">
        <v>3235</v>
      </c>
      <c r="G1232" s="183" t="str">
        <f>VLOOKUP(F1232,数据集标准分类!A:B,2,0)</f>
        <v>admission_nursing_eval</v>
      </c>
      <c r="H1232" s="294">
        <f>VLOOKUP(F1232,数据集标准分类!A:H,8,0)</f>
        <v>70</v>
      </c>
      <c r="I1232" s="170" t="s">
        <v>3240</v>
      </c>
      <c r="J1232" s="170" t="s">
        <v>3241</v>
      </c>
      <c r="K1232" s="170" t="s">
        <v>3242</v>
      </c>
      <c r="L1232" s="170" t="s">
        <v>3243</v>
      </c>
      <c r="M1232" s="170"/>
      <c r="N1232" s="294">
        <v>3</v>
      </c>
      <c r="O1232" s="170"/>
    </row>
    <row r="1233" ht="15.75" customHeight="1" spans="1:15">
      <c r="A1233" s="183" t="str">
        <f>VLOOKUP(F1233,数据集标准分类!A:G,7,0)</f>
        <v>06</v>
      </c>
      <c r="B1233" s="183" t="str">
        <f>VLOOKUP(F1233,数据集标准分类!A:F,6,0)</f>
        <v>护理病历</v>
      </c>
      <c r="C1233" s="183" t="str">
        <f>VLOOKUP(F1233,数据集标准分类!A:E,5,0)</f>
        <v>0602</v>
      </c>
      <c r="D1233" s="183" t="str">
        <f>VLOOKUP(F1233,数据集标准分类!A:D,4,0)</f>
        <v>护理评估</v>
      </c>
      <c r="E1233" s="183" t="str">
        <f>VLOOKUP(F1233,数据集标准分类!A:C,3,0)</f>
        <v>060201</v>
      </c>
      <c r="F1233" s="170" t="s">
        <v>3235</v>
      </c>
      <c r="G1233" s="183" t="str">
        <f>VLOOKUP(F1233,数据集标准分类!A:B,2,0)</f>
        <v>admission_nursing_eval</v>
      </c>
      <c r="H1233" s="294">
        <f>VLOOKUP(F1233,数据集标准分类!A:H,8,0)</f>
        <v>70</v>
      </c>
      <c r="I1233" s="170" t="s">
        <v>3199</v>
      </c>
      <c r="J1233" s="170" t="s">
        <v>3200</v>
      </c>
      <c r="K1233" s="170" t="s">
        <v>3201</v>
      </c>
      <c r="L1233" s="170" t="s">
        <v>3202</v>
      </c>
      <c r="M1233" s="170"/>
      <c r="N1233" s="294">
        <v>4</v>
      </c>
      <c r="O1233" s="170"/>
    </row>
    <row r="1234" ht="15.75" customHeight="1" spans="1:15">
      <c r="A1234" s="183" t="str">
        <f>VLOOKUP(F1234,数据集标准分类!A:G,7,0)</f>
        <v>06</v>
      </c>
      <c r="B1234" s="183" t="str">
        <f>VLOOKUP(F1234,数据集标准分类!A:F,6,0)</f>
        <v>护理病历</v>
      </c>
      <c r="C1234" s="183" t="str">
        <f>VLOOKUP(F1234,数据集标准分类!A:E,5,0)</f>
        <v>0602</v>
      </c>
      <c r="D1234" s="183" t="str">
        <f>VLOOKUP(F1234,数据集标准分类!A:D,4,0)</f>
        <v>护理评估</v>
      </c>
      <c r="E1234" s="183" t="str">
        <f>VLOOKUP(F1234,数据集标准分类!A:C,3,0)</f>
        <v>060201</v>
      </c>
      <c r="F1234" s="170" t="s">
        <v>3235</v>
      </c>
      <c r="G1234" s="183" t="str">
        <f>VLOOKUP(F1234,数据集标准分类!A:B,2,0)</f>
        <v>admission_nursing_eval</v>
      </c>
      <c r="H1234" s="294">
        <f>VLOOKUP(F1234,数据集标准分类!A:H,8,0)</f>
        <v>70</v>
      </c>
      <c r="I1234" s="170" t="s">
        <v>3244</v>
      </c>
      <c r="J1234" s="170" t="s">
        <v>3245</v>
      </c>
      <c r="K1234" s="170" t="s">
        <v>3246</v>
      </c>
      <c r="L1234" s="170" t="s">
        <v>3247</v>
      </c>
      <c r="M1234" s="170"/>
      <c r="N1234" s="294">
        <v>5</v>
      </c>
      <c r="O1234" s="170"/>
    </row>
    <row r="1235" ht="15.75" customHeight="1" spans="1:15">
      <c r="A1235" s="183" t="str">
        <f>VLOOKUP(F1235,数据集标准分类!A:G,7,0)</f>
        <v>06</v>
      </c>
      <c r="B1235" s="183" t="str">
        <f>VLOOKUP(F1235,数据集标准分类!A:F,6,0)</f>
        <v>护理病历</v>
      </c>
      <c r="C1235" s="183" t="str">
        <f>VLOOKUP(F1235,数据集标准分类!A:E,5,0)</f>
        <v>0602</v>
      </c>
      <c r="D1235" s="183" t="str">
        <f>VLOOKUP(F1235,数据集标准分类!A:D,4,0)</f>
        <v>护理评估</v>
      </c>
      <c r="E1235" s="183" t="str">
        <f>VLOOKUP(F1235,数据集标准分类!A:C,3,0)</f>
        <v>060201</v>
      </c>
      <c r="F1235" s="170" t="s">
        <v>3235</v>
      </c>
      <c r="G1235" s="183" t="str">
        <f>VLOOKUP(F1235,数据集标准分类!A:B,2,0)</f>
        <v>admission_nursing_eval</v>
      </c>
      <c r="H1235" s="294">
        <f>VLOOKUP(F1235,数据集标准分类!A:H,8,0)</f>
        <v>70</v>
      </c>
      <c r="I1235" s="170" t="s">
        <v>56</v>
      </c>
      <c r="J1235" s="170" t="s">
        <v>57</v>
      </c>
      <c r="K1235" s="170" t="s">
        <v>58</v>
      </c>
      <c r="L1235" s="170" t="s">
        <v>59</v>
      </c>
      <c r="M1235" s="170" t="s">
        <v>60</v>
      </c>
      <c r="N1235" s="294">
        <v>6</v>
      </c>
      <c r="O1235" s="170"/>
    </row>
    <row r="1236" ht="15.75" customHeight="1" spans="1:15">
      <c r="A1236" s="183" t="str">
        <f>VLOOKUP(F1236,数据集标准分类!A:G,7,0)</f>
        <v>06</v>
      </c>
      <c r="B1236" s="183" t="str">
        <f>VLOOKUP(F1236,数据集标准分类!A:F,6,0)</f>
        <v>护理病历</v>
      </c>
      <c r="C1236" s="183" t="str">
        <f>VLOOKUP(F1236,数据集标准分类!A:E,5,0)</f>
        <v>0602</v>
      </c>
      <c r="D1236" s="183" t="str">
        <f>VLOOKUP(F1236,数据集标准分类!A:D,4,0)</f>
        <v>护理评估</v>
      </c>
      <c r="E1236" s="183" t="str">
        <f>VLOOKUP(F1236,数据集标准分类!A:C,3,0)</f>
        <v>060201</v>
      </c>
      <c r="F1236" s="170" t="s">
        <v>3235</v>
      </c>
      <c r="G1236" s="183" t="str">
        <f>VLOOKUP(F1236,数据集标准分类!A:B,2,0)</f>
        <v>admission_nursing_eval</v>
      </c>
      <c r="H1236" s="294">
        <f>VLOOKUP(F1236,数据集标准分类!A:H,8,0)</f>
        <v>70</v>
      </c>
      <c r="I1236" s="170" t="s">
        <v>3248</v>
      </c>
      <c r="J1236" s="170" t="s">
        <v>3249</v>
      </c>
      <c r="K1236" s="170" t="s">
        <v>3250</v>
      </c>
      <c r="L1236" s="170" t="s">
        <v>3251</v>
      </c>
      <c r="M1236" s="170" t="s">
        <v>3252</v>
      </c>
      <c r="N1236" s="294">
        <v>7</v>
      </c>
      <c r="O1236" s="170"/>
    </row>
    <row r="1237" ht="15.75" customHeight="1" spans="1:15">
      <c r="A1237" s="183" t="str">
        <f>VLOOKUP(F1237,数据集标准分类!A:G,7,0)</f>
        <v>06</v>
      </c>
      <c r="B1237" s="183" t="str">
        <f>VLOOKUP(F1237,数据集标准分类!A:F,6,0)</f>
        <v>护理病历</v>
      </c>
      <c r="C1237" s="183" t="str">
        <f>VLOOKUP(F1237,数据集标准分类!A:E,5,0)</f>
        <v>0602</v>
      </c>
      <c r="D1237" s="183" t="str">
        <f>VLOOKUP(F1237,数据集标准分类!A:D,4,0)</f>
        <v>护理评估</v>
      </c>
      <c r="E1237" s="183" t="str">
        <f>VLOOKUP(F1237,数据集标准分类!A:C,3,0)</f>
        <v>060201</v>
      </c>
      <c r="F1237" s="170" t="s">
        <v>3235</v>
      </c>
      <c r="G1237" s="183" t="str">
        <f>VLOOKUP(F1237,数据集标准分类!A:B,2,0)</f>
        <v>admission_nursing_eval</v>
      </c>
      <c r="H1237" s="294">
        <f>VLOOKUP(F1237,数据集标准分类!A:H,8,0)</f>
        <v>70</v>
      </c>
      <c r="I1237" s="170" t="s">
        <v>3253</v>
      </c>
      <c r="J1237" s="170" t="s">
        <v>3254</v>
      </c>
      <c r="K1237" s="170" t="s">
        <v>3255</v>
      </c>
      <c r="L1237" s="170" t="s">
        <v>3256</v>
      </c>
      <c r="M1237" s="170" t="s">
        <v>3257</v>
      </c>
      <c r="N1237" s="294">
        <v>8</v>
      </c>
      <c r="O1237" s="170"/>
    </row>
    <row r="1238" ht="15.75" customHeight="1" spans="1:15">
      <c r="A1238" s="183" t="str">
        <f>VLOOKUP(F1238,数据集标准分类!A:G,7,0)</f>
        <v>06</v>
      </c>
      <c r="B1238" s="183" t="str">
        <f>VLOOKUP(F1238,数据集标准分类!A:F,6,0)</f>
        <v>护理病历</v>
      </c>
      <c r="C1238" s="183" t="str">
        <f>VLOOKUP(F1238,数据集标准分类!A:E,5,0)</f>
        <v>0602</v>
      </c>
      <c r="D1238" s="183" t="str">
        <f>VLOOKUP(F1238,数据集标准分类!A:D,4,0)</f>
        <v>护理评估</v>
      </c>
      <c r="E1238" s="183" t="str">
        <f>VLOOKUP(F1238,数据集标准分类!A:C,3,0)</f>
        <v>060201</v>
      </c>
      <c r="F1238" s="170" t="s">
        <v>3235</v>
      </c>
      <c r="G1238" s="183" t="str">
        <f>VLOOKUP(F1238,数据集标准分类!A:B,2,0)</f>
        <v>admission_nursing_eval</v>
      </c>
      <c r="H1238" s="294">
        <f>VLOOKUP(F1238,数据集标准分类!A:H,8,0)</f>
        <v>70</v>
      </c>
      <c r="I1238" s="170" t="s">
        <v>943</v>
      </c>
      <c r="J1238" s="170" t="s">
        <v>944</v>
      </c>
      <c r="K1238" s="170" t="s">
        <v>945</v>
      </c>
      <c r="L1238" s="170" t="s">
        <v>946</v>
      </c>
      <c r="M1238" s="170" t="s">
        <v>1561</v>
      </c>
      <c r="N1238" s="294">
        <v>9</v>
      </c>
      <c r="O1238" s="170"/>
    </row>
    <row r="1239" ht="15.75" customHeight="1" spans="1:15">
      <c r="A1239" s="183" t="str">
        <f>VLOOKUP(F1239,数据集标准分类!A:G,7,0)</f>
        <v>06</v>
      </c>
      <c r="B1239" s="183" t="str">
        <f>VLOOKUP(F1239,数据集标准分类!A:F,6,0)</f>
        <v>护理病历</v>
      </c>
      <c r="C1239" s="183" t="str">
        <f>VLOOKUP(F1239,数据集标准分类!A:E,5,0)</f>
        <v>0602</v>
      </c>
      <c r="D1239" s="183" t="str">
        <f>VLOOKUP(F1239,数据集标准分类!A:D,4,0)</f>
        <v>护理评估</v>
      </c>
      <c r="E1239" s="183" t="str">
        <f>VLOOKUP(F1239,数据集标准分类!A:C,3,0)</f>
        <v>060201</v>
      </c>
      <c r="F1239" s="170" t="s">
        <v>3235</v>
      </c>
      <c r="G1239" s="183" t="str">
        <f>VLOOKUP(F1239,数据集标准分类!A:B,2,0)</f>
        <v>admission_nursing_eval</v>
      </c>
      <c r="H1239" s="294">
        <f>VLOOKUP(F1239,数据集标准分类!A:H,8,0)</f>
        <v>70</v>
      </c>
      <c r="I1239" s="170" t="s">
        <v>152</v>
      </c>
      <c r="J1239" s="170" t="s">
        <v>153</v>
      </c>
      <c r="K1239" s="170" t="s">
        <v>154</v>
      </c>
      <c r="L1239" s="170" t="s">
        <v>155</v>
      </c>
      <c r="M1239" s="170" t="s">
        <v>156</v>
      </c>
      <c r="N1239" s="294">
        <v>10</v>
      </c>
      <c r="O1239" s="170"/>
    </row>
    <row r="1240" ht="15.75" customHeight="1" spans="1:15">
      <c r="A1240" s="183" t="str">
        <f>VLOOKUP(F1240,数据集标准分类!A:G,7,0)</f>
        <v>06</v>
      </c>
      <c r="B1240" s="183" t="str">
        <f>VLOOKUP(F1240,数据集标准分类!A:F,6,0)</f>
        <v>护理病历</v>
      </c>
      <c r="C1240" s="183" t="str">
        <f>VLOOKUP(F1240,数据集标准分类!A:E,5,0)</f>
        <v>0602</v>
      </c>
      <c r="D1240" s="183" t="str">
        <f>VLOOKUP(F1240,数据集标准分类!A:D,4,0)</f>
        <v>护理评估</v>
      </c>
      <c r="E1240" s="183" t="str">
        <f>VLOOKUP(F1240,数据集标准分类!A:C,3,0)</f>
        <v>060201</v>
      </c>
      <c r="F1240" s="170" t="s">
        <v>3235</v>
      </c>
      <c r="G1240" s="183" t="str">
        <f>VLOOKUP(F1240,数据集标准分类!A:B,2,0)</f>
        <v>admission_nursing_eval</v>
      </c>
      <c r="H1240" s="294">
        <f>VLOOKUP(F1240,数据集标准分类!A:H,8,0)</f>
        <v>70</v>
      </c>
      <c r="I1240" s="170" t="s">
        <v>934</v>
      </c>
      <c r="J1240" s="170" t="s">
        <v>935</v>
      </c>
      <c r="K1240" s="170" t="s">
        <v>936</v>
      </c>
      <c r="L1240" s="170" t="s">
        <v>937</v>
      </c>
      <c r="M1240" s="170" t="s">
        <v>3258</v>
      </c>
      <c r="N1240" s="294">
        <v>11</v>
      </c>
      <c r="O1240" s="170"/>
    </row>
    <row r="1241" ht="15.75" customHeight="1" spans="1:15">
      <c r="A1241" s="183" t="str">
        <f>VLOOKUP(F1241,数据集标准分类!A:G,7,0)</f>
        <v>06</v>
      </c>
      <c r="B1241" s="183" t="str">
        <f>VLOOKUP(F1241,数据集标准分类!A:F,6,0)</f>
        <v>护理病历</v>
      </c>
      <c r="C1241" s="183" t="str">
        <f>VLOOKUP(F1241,数据集标准分类!A:E,5,0)</f>
        <v>0602</v>
      </c>
      <c r="D1241" s="183" t="str">
        <f>VLOOKUP(F1241,数据集标准分类!A:D,4,0)</f>
        <v>护理评估</v>
      </c>
      <c r="E1241" s="183" t="str">
        <f>VLOOKUP(F1241,数据集标准分类!A:C,3,0)</f>
        <v>060201</v>
      </c>
      <c r="F1241" s="170" t="s">
        <v>3235</v>
      </c>
      <c r="G1241" s="183" t="str">
        <f>VLOOKUP(F1241,数据集标准分类!A:B,2,0)</f>
        <v>admission_nursing_eval</v>
      </c>
      <c r="H1241" s="294">
        <f>VLOOKUP(F1241,数据集标准分类!A:H,8,0)</f>
        <v>70</v>
      </c>
      <c r="I1241" s="170" t="s">
        <v>711</v>
      </c>
      <c r="J1241" s="170" t="s">
        <v>712</v>
      </c>
      <c r="K1241" s="170" t="s">
        <v>712</v>
      </c>
      <c r="L1241" s="170" t="s">
        <v>713</v>
      </c>
      <c r="M1241" s="170" t="s">
        <v>714</v>
      </c>
      <c r="N1241" s="294">
        <v>12</v>
      </c>
      <c r="O1241" s="170"/>
    </row>
    <row r="1242" ht="15.75" customHeight="1" spans="1:15">
      <c r="A1242" s="183" t="str">
        <f>VLOOKUP(F1242,数据集标准分类!A:G,7,0)</f>
        <v>06</v>
      </c>
      <c r="B1242" s="183" t="str">
        <f>VLOOKUP(F1242,数据集标准分类!A:F,6,0)</f>
        <v>护理病历</v>
      </c>
      <c r="C1242" s="183" t="str">
        <f>VLOOKUP(F1242,数据集标准分类!A:E,5,0)</f>
        <v>0602</v>
      </c>
      <c r="D1242" s="183" t="str">
        <f>VLOOKUP(F1242,数据集标准分类!A:D,4,0)</f>
        <v>护理评估</v>
      </c>
      <c r="E1242" s="183" t="str">
        <f>VLOOKUP(F1242,数据集标准分类!A:C,3,0)</f>
        <v>060201</v>
      </c>
      <c r="F1242" s="170" t="s">
        <v>3235</v>
      </c>
      <c r="G1242" s="183" t="str">
        <f>VLOOKUP(F1242,数据集标准分类!A:B,2,0)</f>
        <v>admission_nursing_eval</v>
      </c>
      <c r="H1242" s="294">
        <f>VLOOKUP(F1242,数据集标准分类!A:H,8,0)</f>
        <v>70</v>
      </c>
      <c r="I1242" s="170" t="s">
        <v>684</v>
      </c>
      <c r="J1242" s="170" t="s">
        <v>685</v>
      </c>
      <c r="K1242" s="170" t="s">
        <v>686</v>
      </c>
      <c r="L1242" s="170" t="s">
        <v>687</v>
      </c>
      <c r="M1242" s="170" t="s">
        <v>688</v>
      </c>
      <c r="N1242" s="294">
        <v>13</v>
      </c>
      <c r="O1242" s="170"/>
    </row>
    <row r="1243" ht="15.75" customHeight="1" spans="1:15">
      <c r="A1243" s="183" t="str">
        <f>VLOOKUP(F1243,数据集标准分类!A:G,7,0)</f>
        <v>06</v>
      </c>
      <c r="B1243" s="183" t="str">
        <f>VLOOKUP(F1243,数据集标准分类!A:F,6,0)</f>
        <v>护理病历</v>
      </c>
      <c r="C1243" s="183" t="str">
        <f>VLOOKUP(F1243,数据集标准分类!A:E,5,0)</f>
        <v>0602</v>
      </c>
      <c r="D1243" s="183" t="str">
        <f>VLOOKUP(F1243,数据集标准分类!A:D,4,0)</f>
        <v>护理评估</v>
      </c>
      <c r="E1243" s="183" t="str">
        <f>VLOOKUP(F1243,数据集标准分类!A:C,3,0)</f>
        <v>060201</v>
      </c>
      <c r="F1243" s="170" t="s">
        <v>3235</v>
      </c>
      <c r="G1243" s="183" t="str">
        <f>VLOOKUP(F1243,数据集标准分类!A:B,2,0)</f>
        <v>admission_nursing_eval</v>
      </c>
      <c r="H1243" s="294">
        <f>VLOOKUP(F1243,数据集标准分类!A:H,8,0)</f>
        <v>70</v>
      </c>
      <c r="I1243" s="170" t="s">
        <v>694</v>
      </c>
      <c r="J1243" s="170" t="s">
        <v>695</v>
      </c>
      <c r="K1243" s="170" t="s">
        <v>696</v>
      </c>
      <c r="L1243" s="170" t="s">
        <v>697</v>
      </c>
      <c r="M1243" s="170" t="s">
        <v>2057</v>
      </c>
      <c r="N1243" s="294">
        <v>14</v>
      </c>
      <c r="O1243" s="170"/>
    </row>
    <row r="1244" ht="15.75" customHeight="1" spans="1:15">
      <c r="A1244" s="183" t="str">
        <f>VLOOKUP(F1244,数据集标准分类!A:G,7,0)</f>
        <v>06</v>
      </c>
      <c r="B1244" s="183" t="str">
        <f>VLOOKUP(F1244,数据集标准分类!A:F,6,0)</f>
        <v>护理病历</v>
      </c>
      <c r="C1244" s="183" t="str">
        <f>VLOOKUP(F1244,数据集标准分类!A:E,5,0)</f>
        <v>0602</v>
      </c>
      <c r="D1244" s="183" t="str">
        <f>VLOOKUP(F1244,数据集标准分类!A:D,4,0)</f>
        <v>护理评估</v>
      </c>
      <c r="E1244" s="183" t="str">
        <f>VLOOKUP(F1244,数据集标准分类!A:C,3,0)</f>
        <v>060201</v>
      </c>
      <c r="F1244" s="170" t="s">
        <v>3235</v>
      </c>
      <c r="G1244" s="183" t="str">
        <f>VLOOKUP(F1244,数据集标准分类!A:B,2,0)</f>
        <v>admission_nursing_eval</v>
      </c>
      <c r="H1244" s="294">
        <f>VLOOKUP(F1244,数据集标准分类!A:H,8,0)</f>
        <v>70</v>
      </c>
      <c r="I1244" s="170" t="s">
        <v>689</v>
      </c>
      <c r="J1244" s="170" t="s">
        <v>690</v>
      </c>
      <c r="K1244" s="170" t="s">
        <v>691</v>
      </c>
      <c r="L1244" s="170" t="s">
        <v>692</v>
      </c>
      <c r="M1244" s="170" t="s">
        <v>693</v>
      </c>
      <c r="N1244" s="294">
        <v>15</v>
      </c>
      <c r="O1244" s="170"/>
    </row>
    <row r="1245" ht="15.75" customHeight="1" spans="1:15">
      <c r="A1245" s="183" t="str">
        <f>VLOOKUP(F1245,数据集标准分类!A:G,7,0)</f>
        <v>06</v>
      </c>
      <c r="B1245" s="183" t="str">
        <f>VLOOKUP(F1245,数据集标准分类!A:F,6,0)</f>
        <v>护理病历</v>
      </c>
      <c r="C1245" s="183" t="str">
        <f>VLOOKUP(F1245,数据集标准分类!A:E,5,0)</f>
        <v>0602</v>
      </c>
      <c r="D1245" s="183" t="str">
        <f>VLOOKUP(F1245,数据集标准分类!A:D,4,0)</f>
        <v>护理评估</v>
      </c>
      <c r="E1245" s="183" t="str">
        <f>VLOOKUP(F1245,数据集标准分类!A:C,3,0)</f>
        <v>060201</v>
      </c>
      <c r="F1245" s="170" t="s">
        <v>3235</v>
      </c>
      <c r="G1245" s="183" t="str">
        <f>VLOOKUP(F1245,数据集标准分类!A:B,2,0)</f>
        <v>admission_nursing_eval</v>
      </c>
      <c r="H1245" s="294">
        <f>VLOOKUP(F1245,数据集标准分类!A:H,8,0)</f>
        <v>70</v>
      </c>
      <c r="I1245" s="170" t="s">
        <v>699</v>
      </c>
      <c r="J1245" s="170" t="s">
        <v>700</v>
      </c>
      <c r="K1245" s="170" t="s">
        <v>700</v>
      </c>
      <c r="L1245" s="170" t="s">
        <v>701</v>
      </c>
      <c r="M1245" s="170" t="s">
        <v>702</v>
      </c>
      <c r="N1245" s="294">
        <v>16</v>
      </c>
      <c r="O1245" s="170"/>
    </row>
    <row r="1246" ht="15.75" customHeight="1" spans="1:15">
      <c r="A1246" s="183" t="str">
        <f>VLOOKUP(F1246,数据集标准分类!A:G,7,0)</f>
        <v>06</v>
      </c>
      <c r="B1246" s="183" t="str">
        <f>VLOOKUP(F1246,数据集标准分类!A:F,6,0)</f>
        <v>护理病历</v>
      </c>
      <c r="C1246" s="183" t="str">
        <f>VLOOKUP(F1246,数据集标准分类!A:E,5,0)</f>
        <v>0602</v>
      </c>
      <c r="D1246" s="183" t="str">
        <f>VLOOKUP(F1246,数据集标准分类!A:D,4,0)</f>
        <v>护理评估</v>
      </c>
      <c r="E1246" s="183" t="str">
        <f>VLOOKUP(F1246,数据集标准分类!A:C,3,0)</f>
        <v>060201</v>
      </c>
      <c r="F1246" s="170" t="s">
        <v>3235</v>
      </c>
      <c r="G1246" s="183" t="str">
        <f>VLOOKUP(F1246,数据集标准分类!A:B,2,0)</f>
        <v>admission_nursing_eval</v>
      </c>
      <c r="H1246" s="294">
        <f>VLOOKUP(F1246,数据集标准分类!A:H,8,0)</f>
        <v>70</v>
      </c>
      <c r="I1246" s="170" t="s">
        <v>703</v>
      </c>
      <c r="J1246" s="170" t="s">
        <v>704</v>
      </c>
      <c r="K1246" s="170" t="s">
        <v>704</v>
      </c>
      <c r="L1246" s="170" t="s">
        <v>705</v>
      </c>
      <c r="M1246" s="170" t="s">
        <v>706</v>
      </c>
      <c r="N1246" s="294">
        <v>17</v>
      </c>
      <c r="O1246" s="170"/>
    </row>
    <row r="1247" ht="15.75" customHeight="1" spans="1:15">
      <c r="A1247" s="183" t="str">
        <f>VLOOKUP(F1247,数据集标准分类!A:G,7,0)</f>
        <v>06</v>
      </c>
      <c r="B1247" s="183" t="str">
        <f>VLOOKUP(F1247,数据集标准分类!A:F,6,0)</f>
        <v>护理病历</v>
      </c>
      <c r="C1247" s="183" t="str">
        <f>VLOOKUP(F1247,数据集标准分类!A:E,5,0)</f>
        <v>0602</v>
      </c>
      <c r="D1247" s="183" t="str">
        <f>VLOOKUP(F1247,数据集标准分类!A:D,4,0)</f>
        <v>护理评估</v>
      </c>
      <c r="E1247" s="183" t="str">
        <f>VLOOKUP(F1247,数据集标准分类!A:C,3,0)</f>
        <v>060201</v>
      </c>
      <c r="F1247" s="170" t="s">
        <v>3235</v>
      </c>
      <c r="G1247" s="183" t="str">
        <f>VLOOKUP(F1247,数据集标准分类!A:B,2,0)</f>
        <v>admission_nursing_eval</v>
      </c>
      <c r="H1247" s="294">
        <f>VLOOKUP(F1247,数据集标准分类!A:H,8,0)</f>
        <v>70</v>
      </c>
      <c r="I1247" s="170" t="s">
        <v>167</v>
      </c>
      <c r="J1247" s="170" t="s">
        <v>168</v>
      </c>
      <c r="K1247" s="170" t="s">
        <v>169</v>
      </c>
      <c r="L1247" s="170" t="s">
        <v>170</v>
      </c>
      <c r="M1247" s="170" t="s">
        <v>3259</v>
      </c>
      <c r="N1247" s="294">
        <v>18</v>
      </c>
      <c r="O1247" s="170"/>
    </row>
    <row r="1248" ht="15.75" customHeight="1" spans="1:15">
      <c r="A1248" s="183" t="str">
        <f>VLOOKUP(F1248,数据集标准分类!A:G,7,0)</f>
        <v>06</v>
      </c>
      <c r="B1248" s="183" t="str">
        <f>VLOOKUP(F1248,数据集标准分类!A:F,6,0)</f>
        <v>护理病历</v>
      </c>
      <c r="C1248" s="183" t="str">
        <f>VLOOKUP(F1248,数据集标准分类!A:E,5,0)</f>
        <v>0602</v>
      </c>
      <c r="D1248" s="183" t="str">
        <f>VLOOKUP(F1248,数据集标准分类!A:D,4,0)</f>
        <v>护理评估</v>
      </c>
      <c r="E1248" s="183" t="str">
        <f>VLOOKUP(F1248,数据集标准分类!A:C,3,0)</f>
        <v>060201</v>
      </c>
      <c r="F1248" s="170" t="s">
        <v>3235</v>
      </c>
      <c r="G1248" s="183" t="str">
        <f>VLOOKUP(F1248,数据集标准分类!A:B,2,0)</f>
        <v>admission_nursing_eval</v>
      </c>
      <c r="H1248" s="294">
        <f>VLOOKUP(F1248,数据集标准分类!A:H,8,0)</f>
        <v>70</v>
      </c>
      <c r="I1248" s="170" t="s">
        <v>340</v>
      </c>
      <c r="J1248" s="170" t="s">
        <v>341</v>
      </c>
      <c r="K1248" s="170" t="s">
        <v>342</v>
      </c>
      <c r="L1248" s="170" t="s">
        <v>343</v>
      </c>
      <c r="M1248" s="170" t="s">
        <v>344</v>
      </c>
      <c r="N1248" s="294">
        <v>19</v>
      </c>
      <c r="O1248" s="170"/>
    </row>
    <row r="1249" ht="15.75" customHeight="1" spans="1:15">
      <c r="A1249" s="183" t="str">
        <f>VLOOKUP(F1249,数据集标准分类!A:G,7,0)</f>
        <v>06</v>
      </c>
      <c r="B1249" s="183" t="str">
        <f>VLOOKUP(F1249,数据集标准分类!A:F,6,0)</f>
        <v>护理病历</v>
      </c>
      <c r="C1249" s="183" t="str">
        <f>VLOOKUP(F1249,数据集标准分类!A:E,5,0)</f>
        <v>0602</v>
      </c>
      <c r="D1249" s="183" t="str">
        <f>VLOOKUP(F1249,数据集标准分类!A:D,4,0)</f>
        <v>护理评估</v>
      </c>
      <c r="E1249" s="183" t="str">
        <f>VLOOKUP(F1249,数据集标准分类!A:C,3,0)</f>
        <v>060201</v>
      </c>
      <c r="F1249" s="170" t="s">
        <v>3235</v>
      </c>
      <c r="G1249" s="183" t="str">
        <f>VLOOKUP(F1249,数据集标准分类!A:B,2,0)</f>
        <v>admission_nursing_eval</v>
      </c>
      <c r="H1249" s="294">
        <f>VLOOKUP(F1249,数据集标准分类!A:H,8,0)</f>
        <v>70</v>
      </c>
      <c r="I1249" s="170" t="s">
        <v>1989</v>
      </c>
      <c r="J1249" s="170" t="s">
        <v>1990</v>
      </c>
      <c r="K1249" s="170" t="s">
        <v>1991</v>
      </c>
      <c r="L1249" s="170" t="s">
        <v>1992</v>
      </c>
      <c r="M1249" s="170" t="s">
        <v>1993</v>
      </c>
      <c r="N1249" s="294">
        <v>20</v>
      </c>
      <c r="O1249" s="170"/>
    </row>
    <row r="1250" ht="15.75" customHeight="1" spans="1:15">
      <c r="A1250" s="183" t="str">
        <f>VLOOKUP(F1250,数据集标准分类!A:G,7,0)</f>
        <v>06</v>
      </c>
      <c r="B1250" s="183" t="str">
        <f>VLOOKUP(F1250,数据集标准分类!A:F,6,0)</f>
        <v>护理病历</v>
      </c>
      <c r="C1250" s="183" t="str">
        <f>VLOOKUP(F1250,数据集标准分类!A:E,5,0)</f>
        <v>0602</v>
      </c>
      <c r="D1250" s="183" t="str">
        <f>VLOOKUP(F1250,数据集标准分类!A:D,4,0)</f>
        <v>护理评估</v>
      </c>
      <c r="E1250" s="183" t="str">
        <f>VLOOKUP(F1250,数据集标准分类!A:C,3,0)</f>
        <v>060201</v>
      </c>
      <c r="F1250" s="170" t="s">
        <v>3235</v>
      </c>
      <c r="G1250" s="183" t="str">
        <f>VLOOKUP(F1250,数据集标准分类!A:B,2,0)</f>
        <v>admission_nursing_eval</v>
      </c>
      <c r="H1250" s="294">
        <f>VLOOKUP(F1250,数据集标准分类!A:H,8,0)</f>
        <v>70</v>
      </c>
      <c r="I1250" s="170" t="s">
        <v>3260</v>
      </c>
      <c r="J1250" s="170" t="s">
        <v>3261</v>
      </c>
      <c r="K1250" s="170" t="s">
        <v>3262</v>
      </c>
      <c r="L1250" s="170" t="s">
        <v>3263</v>
      </c>
      <c r="M1250" s="170" t="s">
        <v>3264</v>
      </c>
      <c r="N1250" s="294">
        <v>21</v>
      </c>
      <c r="O1250" s="170"/>
    </row>
    <row r="1251" ht="15.75" customHeight="1" spans="1:15">
      <c r="A1251" s="183" t="str">
        <f>VLOOKUP(F1251,数据集标准分类!A:G,7,0)</f>
        <v>06</v>
      </c>
      <c r="B1251" s="183" t="str">
        <f>VLOOKUP(F1251,数据集标准分类!A:F,6,0)</f>
        <v>护理病历</v>
      </c>
      <c r="C1251" s="183" t="str">
        <f>VLOOKUP(F1251,数据集标准分类!A:E,5,0)</f>
        <v>0602</v>
      </c>
      <c r="D1251" s="183" t="str">
        <f>VLOOKUP(F1251,数据集标准分类!A:D,4,0)</f>
        <v>护理评估</v>
      </c>
      <c r="E1251" s="183" t="str">
        <f>VLOOKUP(F1251,数据集标准分类!A:C,3,0)</f>
        <v>060201</v>
      </c>
      <c r="F1251" s="170" t="s">
        <v>3235</v>
      </c>
      <c r="G1251" s="183" t="str">
        <f>VLOOKUP(F1251,数据集标准分类!A:B,2,0)</f>
        <v>admission_nursing_eval</v>
      </c>
      <c r="H1251" s="294">
        <f>VLOOKUP(F1251,数据集标准分类!A:H,8,0)</f>
        <v>70</v>
      </c>
      <c r="I1251" s="170" t="s">
        <v>3265</v>
      </c>
      <c r="J1251" s="170" t="s">
        <v>3266</v>
      </c>
      <c r="K1251" s="170" t="s">
        <v>3267</v>
      </c>
      <c r="L1251" s="170" t="s">
        <v>3268</v>
      </c>
      <c r="M1251" s="170" t="s">
        <v>3269</v>
      </c>
      <c r="N1251" s="294">
        <v>22</v>
      </c>
      <c r="O1251" s="170"/>
    </row>
    <row r="1252" ht="15.75" customHeight="1" spans="1:15">
      <c r="A1252" s="183" t="str">
        <f>VLOOKUP(F1252,数据集标准分类!A:G,7,0)</f>
        <v>06</v>
      </c>
      <c r="B1252" s="183" t="str">
        <f>VLOOKUP(F1252,数据集标准分类!A:F,6,0)</f>
        <v>护理病历</v>
      </c>
      <c r="C1252" s="183" t="str">
        <f>VLOOKUP(F1252,数据集标准分类!A:E,5,0)</f>
        <v>0602</v>
      </c>
      <c r="D1252" s="183" t="str">
        <f>VLOOKUP(F1252,数据集标准分类!A:D,4,0)</f>
        <v>护理评估</v>
      </c>
      <c r="E1252" s="183" t="str">
        <f>VLOOKUP(F1252,数据集标准分类!A:C,3,0)</f>
        <v>060201</v>
      </c>
      <c r="F1252" s="170" t="s">
        <v>3235</v>
      </c>
      <c r="G1252" s="183" t="str">
        <f>VLOOKUP(F1252,数据集标准分类!A:B,2,0)</f>
        <v>admission_nursing_eval</v>
      </c>
      <c r="H1252" s="294">
        <f>VLOOKUP(F1252,数据集标准分类!A:H,8,0)</f>
        <v>70</v>
      </c>
      <c r="I1252" s="170" t="s">
        <v>2199</v>
      </c>
      <c r="J1252" s="170" t="s">
        <v>2200</v>
      </c>
      <c r="K1252" s="170" t="s">
        <v>2201</v>
      </c>
      <c r="L1252" s="170" t="s">
        <v>2202</v>
      </c>
      <c r="M1252" s="170" t="s">
        <v>2203</v>
      </c>
      <c r="N1252" s="294">
        <v>23</v>
      </c>
      <c r="O1252" s="170"/>
    </row>
    <row r="1253" ht="15.75" customHeight="1" spans="1:15">
      <c r="A1253" s="183" t="str">
        <f>VLOOKUP(F1253,数据集标准分类!A:G,7,0)</f>
        <v>06</v>
      </c>
      <c r="B1253" s="183" t="str">
        <f>VLOOKUP(F1253,数据集标准分类!A:F,6,0)</f>
        <v>护理病历</v>
      </c>
      <c r="C1253" s="183" t="str">
        <f>VLOOKUP(F1253,数据集标准分类!A:E,5,0)</f>
        <v>0602</v>
      </c>
      <c r="D1253" s="183" t="str">
        <f>VLOOKUP(F1253,数据集标准分类!A:D,4,0)</f>
        <v>护理评估</v>
      </c>
      <c r="E1253" s="183" t="str">
        <f>VLOOKUP(F1253,数据集标准分类!A:C,3,0)</f>
        <v>060201</v>
      </c>
      <c r="F1253" s="170" t="s">
        <v>3235</v>
      </c>
      <c r="G1253" s="183" t="str">
        <f>VLOOKUP(F1253,数据集标准分类!A:B,2,0)</f>
        <v>admission_nursing_eval</v>
      </c>
      <c r="H1253" s="294">
        <f>VLOOKUP(F1253,数据集标准分类!A:H,8,0)</f>
        <v>70</v>
      </c>
      <c r="I1253" s="170" t="s">
        <v>3270</v>
      </c>
      <c r="J1253" s="170" t="s">
        <v>3271</v>
      </c>
      <c r="K1253" s="170" t="s">
        <v>3272</v>
      </c>
      <c r="L1253" s="170" t="s">
        <v>3273</v>
      </c>
      <c r="M1253" s="170" t="s">
        <v>3274</v>
      </c>
      <c r="N1253" s="294">
        <v>24</v>
      </c>
      <c r="O1253" s="170"/>
    </row>
    <row r="1254" ht="15.75" customHeight="1" spans="1:15">
      <c r="A1254" s="183" t="str">
        <f>VLOOKUP(F1254,数据集标准分类!A:G,7,0)</f>
        <v>06</v>
      </c>
      <c r="B1254" s="183" t="str">
        <f>VLOOKUP(F1254,数据集标准分类!A:F,6,0)</f>
        <v>护理病历</v>
      </c>
      <c r="C1254" s="183" t="str">
        <f>VLOOKUP(F1254,数据集标准分类!A:E,5,0)</f>
        <v>0602</v>
      </c>
      <c r="D1254" s="183" t="str">
        <f>VLOOKUP(F1254,数据集标准分类!A:D,4,0)</f>
        <v>护理评估</v>
      </c>
      <c r="E1254" s="183" t="str">
        <f>VLOOKUP(F1254,数据集标准分类!A:C,3,0)</f>
        <v>060201</v>
      </c>
      <c r="F1254" s="170" t="s">
        <v>3235</v>
      </c>
      <c r="G1254" s="183" t="str">
        <f>VLOOKUP(F1254,数据集标准分类!A:B,2,0)</f>
        <v>admission_nursing_eval</v>
      </c>
      <c r="H1254" s="294">
        <f>VLOOKUP(F1254,数据集标准分类!A:H,8,0)</f>
        <v>70</v>
      </c>
      <c r="I1254" s="170" t="s">
        <v>2123</v>
      </c>
      <c r="J1254" s="170" t="s">
        <v>2124</v>
      </c>
      <c r="K1254" s="170" t="s">
        <v>2125</v>
      </c>
      <c r="L1254" s="170" t="s">
        <v>2126</v>
      </c>
      <c r="M1254" s="170" t="s">
        <v>2127</v>
      </c>
      <c r="N1254" s="294">
        <v>25</v>
      </c>
      <c r="O1254" s="170"/>
    </row>
    <row r="1255" ht="15.75" customHeight="1" spans="1:15">
      <c r="A1255" s="183" t="str">
        <f>VLOOKUP(F1255,数据集标准分类!A:G,7,0)</f>
        <v>06</v>
      </c>
      <c r="B1255" s="183" t="str">
        <f>VLOOKUP(F1255,数据集标准分类!A:F,6,0)</f>
        <v>护理病历</v>
      </c>
      <c r="C1255" s="183" t="str">
        <f>VLOOKUP(F1255,数据集标准分类!A:E,5,0)</f>
        <v>0602</v>
      </c>
      <c r="D1255" s="183" t="str">
        <f>VLOOKUP(F1255,数据集标准分类!A:D,4,0)</f>
        <v>护理评估</v>
      </c>
      <c r="E1255" s="183" t="str">
        <f>VLOOKUP(F1255,数据集标准分类!A:C,3,0)</f>
        <v>060201</v>
      </c>
      <c r="F1255" s="170" t="s">
        <v>3235</v>
      </c>
      <c r="G1255" s="183" t="str">
        <f>VLOOKUP(F1255,数据集标准分类!A:B,2,0)</f>
        <v>admission_nursing_eval</v>
      </c>
      <c r="H1255" s="294">
        <f>VLOOKUP(F1255,数据集标准分类!A:H,8,0)</f>
        <v>70</v>
      </c>
      <c r="I1255" s="170" t="s">
        <v>3275</v>
      </c>
      <c r="J1255" s="170" t="s">
        <v>3276</v>
      </c>
      <c r="K1255" s="170" t="s">
        <v>3277</v>
      </c>
      <c r="L1255" s="170" t="s">
        <v>3278</v>
      </c>
      <c r="M1255" s="170" t="s">
        <v>3279</v>
      </c>
      <c r="N1255" s="294">
        <v>26</v>
      </c>
      <c r="O1255" s="170"/>
    </row>
    <row r="1256" ht="15.75" customHeight="1" spans="1:15">
      <c r="A1256" s="183" t="str">
        <f>VLOOKUP(F1256,数据集标准分类!A:G,7,0)</f>
        <v>06</v>
      </c>
      <c r="B1256" s="183" t="str">
        <f>VLOOKUP(F1256,数据集标准分类!A:F,6,0)</f>
        <v>护理病历</v>
      </c>
      <c r="C1256" s="183" t="str">
        <f>VLOOKUP(F1256,数据集标准分类!A:E,5,0)</f>
        <v>0602</v>
      </c>
      <c r="D1256" s="183" t="str">
        <f>VLOOKUP(F1256,数据集标准分类!A:D,4,0)</f>
        <v>护理评估</v>
      </c>
      <c r="E1256" s="183" t="str">
        <f>VLOOKUP(F1256,数据集标准分类!A:C,3,0)</f>
        <v>060201</v>
      </c>
      <c r="F1256" s="170" t="s">
        <v>3235</v>
      </c>
      <c r="G1256" s="183" t="str">
        <f>VLOOKUP(F1256,数据集标准分类!A:B,2,0)</f>
        <v>admission_nursing_eval</v>
      </c>
      <c r="H1256" s="294">
        <f>VLOOKUP(F1256,数据集标准分类!A:H,8,0)</f>
        <v>70</v>
      </c>
      <c r="I1256" s="170" t="s">
        <v>3280</v>
      </c>
      <c r="J1256" s="170" t="s">
        <v>3281</v>
      </c>
      <c r="K1256" s="170" t="s">
        <v>3282</v>
      </c>
      <c r="L1256" s="170" t="s">
        <v>3283</v>
      </c>
      <c r="M1256" s="170" t="s">
        <v>3284</v>
      </c>
      <c r="N1256" s="294">
        <v>27</v>
      </c>
      <c r="O1256" s="170"/>
    </row>
    <row r="1257" ht="15.75" customHeight="1" spans="1:15">
      <c r="A1257" s="183" t="str">
        <f>VLOOKUP(F1257,数据集标准分类!A:G,7,0)</f>
        <v>06</v>
      </c>
      <c r="B1257" s="183" t="str">
        <f>VLOOKUP(F1257,数据集标准分类!A:F,6,0)</f>
        <v>护理病历</v>
      </c>
      <c r="C1257" s="183" t="str">
        <f>VLOOKUP(F1257,数据集标准分类!A:E,5,0)</f>
        <v>0602</v>
      </c>
      <c r="D1257" s="183" t="str">
        <f>VLOOKUP(F1257,数据集标准分类!A:D,4,0)</f>
        <v>护理评估</v>
      </c>
      <c r="E1257" s="183" t="str">
        <f>VLOOKUP(F1257,数据集标准分类!A:C,3,0)</f>
        <v>060201</v>
      </c>
      <c r="F1257" s="170" t="s">
        <v>3235</v>
      </c>
      <c r="G1257" s="183" t="str">
        <f>VLOOKUP(F1257,数据集标准分类!A:B,2,0)</f>
        <v>admission_nursing_eval</v>
      </c>
      <c r="H1257" s="294">
        <f>VLOOKUP(F1257,数据集标准分类!A:H,8,0)</f>
        <v>70</v>
      </c>
      <c r="I1257" s="170" t="s">
        <v>3285</v>
      </c>
      <c r="J1257" s="170" t="s">
        <v>3286</v>
      </c>
      <c r="K1257" s="170" t="s">
        <v>3287</v>
      </c>
      <c r="L1257" s="170" t="s">
        <v>3288</v>
      </c>
      <c r="M1257" s="170" t="s">
        <v>3289</v>
      </c>
      <c r="N1257" s="294">
        <v>28</v>
      </c>
      <c r="O1257" s="170"/>
    </row>
    <row r="1258" ht="15.75" customHeight="1" spans="1:15">
      <c r="A1258" s="183" t="str">
        <f>VLOOKUP(F1258,数据集标准分类!A:G,7,0)</f>
        <v>06</v>
      </c>
      <c r="B1258" s="183" t="str">
        <f>VLOOKUP(F1258,数据集标准分类!A:F,6,0)</f>
        <v>护理病历</v>
      </c>
      <c r="C1258" s="183" t="str">
        <f>VLOOKUP(F1258,数据集标准分类!A:E,5,0)</f>
        <v>0602</v>
      </c>
      <c r="D1258" s="183" t="str">
        <f>VLOOKUP(F1258,数据集标准分类!A:D,4,0)</f>
        <v>护理评估</v>
      </c>
      <c r="E1258" s="183" t="str">
        <f>VLOOKUP(F1258,数据集标准分类!A:C,3,0)</f>
        <v>060201</v>
      </c>
      <c r="F1258" s="170" t="s">
        <v>3235</v>
      </c>
      <c r="G1258" s="183" t="str">
        <f>VLOOKUP(F1258,数据集标准分类!A:B,2,0)</f>
        <v>admission_nursing_eval</v>
      </c>
      <c r="H1258" s="294">
        <f>VLOOKUP(F1258,数据集标准分类!A:H,8,0)</f>
        <v>70</v>
      </c>
      <c r="I1258" s="170" t="s">
        <v>508</v>
      </c>
      <c r="J1258" s="170" t="s">
        <v>509</v>
      </c>
      <c r="K1258" s="170" t="s">
        <v>510</v>
      </c>
      <c r="L1258" s="170" t="s">
        <v>511</v>
      </c>
      <c r="M1258" s="170" t="s">
        <v>116</v>
      </c>
      <c r="N1258" s="294">
        <v>29</v>
      </c>
      <c r="O1258" s="170"/>
    </row>
    <row r="1259" ht="15.75" customHeight="1" spans="1:15">
      <c r="A1259" s="183" t="str">
        <f>VLOOKUP(F1259,数据集标准分类!A:G,7,0)</f>
        <v>06</v>
      </c>
      <c r="B1259" s="183" t="str">
        <f>VLOOKUP(F1259,数据集标准分类!A:F,6,0)</f>
        <v>护理病历</v>
      </c>
      <c r="C1259" s="183" t="str">
        <f>VLOOKUP(F1259,数据集标准分类!A:E,5,0)</f>
        <v>0602</v>
      </c>
      <c r="D1259" s="183" t="str">
        <f>VLOOKUP(F1259,数据集标准分类!A:D,4,0)</f>
        <v>护理评估</v>
      </c>
      <c r="E1259" s="183" t="str">
        <f>VLOOKUP(F1259,数据集标准分类!A:C,3,0)</f>
        <v>060201</v>
      </c>
      <c r="F1259" s="170" t="s">
        <v>3235</v>
      </c>
      <c r="G1259" s="183" t="str">
        <f>VLOOKUP(F1259,数据集标准分类!A:B,2,0)</f>
        <v>admission_nursing_eval</v>
      </c>
      <c r="H1259" s="294">
        <f>VLOOKUP(F1259,数据集标准分类!A:H,8,0)</f>
        <v>70</v>
      </c>
      <c r="I1259" s="170" t="s">
        <v>673</v>
      </c>
      <c r="J1259" s="170" t="s">
        <v>674</v>
      </c>
      <c r="K1259" s="170" t="s">
        <v>675</v>
      </c>
      <c r="L1259" s="170" t="s">
        <v>676</v>
      </c>
      <c r="M1259" s="170" t="s">
        <v>677</v>
      </c>
      <c r="N1259" s="294">
        <v>30</v>
      </c>
      <c r="O1259" s="170"/>
    </row>
    <row r="1260" ht="15.75" customHeight="1" spans="1:15">
      <c r="A1260" s="183" t="str">
        <f>VLOOKUP(F1260,数据集标准分类!A:G,7,0)</f>
        <v>06</v>
      </c>
      <c r="B1260" s="183" t="str">
        <f>VLOOKUP(F1260,数据集标准分类!A:F,6,0)</f>
        <v>护理病历</v>
      </c>
      <c r="C1260" s="183" t="str">
        <f>VLOOKUP(F1260,数据集标准分类!A:E,5,0)</f>
        <v>0602</v>
      </c>
      <c r="D1260" s="183" t="str">
        <f>VLOOKUP(F1260,数据集标准分类!A:D,4,0)</f>
        <v>护理评估</v>
      </c>
      <c r="E1260" s="183" t="str">
        <f>VLOOKUP(F1260,数据集标准分类!A:C,3,0)</f>
        <v>060201</v>
      </c>
      <c r="F1260" s="170" t="s">
        <v>3235</v>
      </c>
      <c r="G1260" s="183" t="str">
        <f>VLOOKUP(F1260,数据集标准分类!A:B,2,0)</f>
        <v>admission_nursing_eval</v>
      </c>
      <c r="H1260" s="294">
        <f>VLOOKUP(F1260,数据集标准分类!A:H,8,0)</f>
        <v>70</v>
      </c>
      <c r="I1260" s="170" t="s">
        <v>87</v>
      </c>
      <c r="J1260" s="170" t="s">
        <v>88</v>
      </c>
      <c r="K1260" s="170" t="s">
        <v>89</v>
      </c>
      <c r="L1260" s="170" t="s">
        <v>90</v>
      </c>
      <c r="M1260" s="170" t="s">
        <v>91</v>
      </c>
      <c r="N1260" s="294">
        <v>31</v>
      </c>
      <c r="O1260" s="170"/>
    </row>
    <row r="1261" ht="15.75" customHeight="1" spans="1:15">
      <c r="A1261" s="183" t="str">
        <f>VLOOKUP(F1261,数据集标准分类!A:G,7,0)</f>
        <v>06</v>
      </c>
      <c r="B1261" s="183" t="str">
        <f>VLOOKUP(F1261,数据集标准分类!A:F,6,0)</f>
        <v>护理病历</v>
      </c>
      <c r="C1261" s="183" t="str">
        <f>VLOOKUP(F1261,数据集标准分类!A:E,5,0)</f>
        <v>0602</v>
      </c>
      <c r="D1261" s="183" t="str">
        <f>VLOOKUP(F1261,数据集标准分类!A:D,4,0)</f>
        <v>护理评估</v>
      </c>
      <c r="E1261" s="183" t="str">
        <f>VLOOKUP(F1261,数据集标准分类!A:C,3,0)</f>
        <v>060201</v>
      </c>
      <c r="F1261" s="170" t="s">
        <v>3235</v>
      </c>
      <c r="G1261" s="183" t="str">
        <f>VLOOKUP(F1261,数据集标准分类!A:B,2,0)</f>
        <v>admission_nursing_eval</v>
      </c>
      <c r="H1261" s="294">
        <f>VLOOKUP(F1261,数据集标准分类!A:H,8,0)</f>
        <v>70</v>
      </c>
      <c r="I1261" s="170" t="s">
        <v>678</v>
      </c>
      <c r="J1261" s="170" t="s">
        <v>679</v>
      </c>
      <c r="K1261" s="170" t="s">
        <v>680</v>
      </c>
      <c r="L1261" s="170" t="s">
        <v>681</v>
      </c>
      <c r="M1261" s="170" t="s">
        <v>682</v>
      </c>
      <c r="N1261" s="294">
        <v>32</v>
      </c>
      <c r="O1261" s="170"/>
    </row>
    <row r="1262" ht="15.75" customHeight="1" spans="1:15">
      <c r="A1262" s="183" t="str">
        <f>VLOOKUP(F1262,数据集标准分类!A:G,7,0)</f>
        <v>06</v>
      </c>
      <c r="B1262" s="183" t="str">
        <f>VLOOKUP(F1262,数据集标准分类!A:F,6,0)</f>
        <v>护理病历</v>
      </c>
      <c r="C1262" s="183" t="str">
        <f>VLOOKUP(F1262,数据集标准分类!A:E,5,0)</f>
        <v>0602</v>
      </c>
      <c r="D1262" s="183" t="str">
        <f>VLOOKUP(F1262,数据集标准分类!A:D,4,0)</f>
        <v>护理评估</v>
      </c>
      <c r="E1262" s="183" t="str">
        <f>VLOOKUP(F1262,数据集标准分类!A:C,3,0)</f>
        <v>060201</v>
      </c>
      <c r="F1262" s="170" t="s">
        <v>3235</v>
      </c>
      <c r="G1262" s="183" t="str">
        <f>VLOOKUP(F1262,数据集标准分类!A:B,2,0)</f>
        <v>admission_nursing_eval</v>
      </c>
      <c r="H1262" s="294">
        <f>VLOOKUP(F1262,数据集标准分类!A:H,8,0)</f>
        <v>70</v>
      </c>
      <c r="I1262" s="170" t="s">
        <v>92</v>
      </c>
      <c r="J1262" s="170" t="s">
        <v>93</v>
      </c>
      <c r="K1262" s="170" t="s">
        <v>94</v>
      </c>
      <c r="L1262" s="170" t="s">
        <v>95</v>
      </c>
      <c r="M1262" s="170" t="s">
        <v>96</v>
      </c>
      <c r="N1262" s="294">
        <v>33</v>
      </c>
      <c r="O1262" s="170"/>
    </row>
    <row r="1263" ht="15.75" customHeight="1" spans="1:15">
      <c r="A1263" s="183" t="str">
        <f>VLOOKUP(F1263,数据集标准分类!A:G,7,0)</f>
        <v>06</v>
      </c>
      <c r="B1263" s="183" t="str">
        <f>VLOOKUP(F1263,数据集标准分类!A:F,6,0)</f>
        <v>护理病历</v>
      </c>
      <c r="C1263" s="183" t="str">
        <f>VLOOKUP(F1263,数据集标准分类!A:E,5,0)</f>
        <v>0602</v>
      </c>
      <c r="D1263" s="183" t="str">
        <f>VLOOKUP(F1263,数据集标准分类!A:D,4,0)</f>
        <v>护理评估</v>
      </c>
      <c r="E1263" s="183" t="str">
        <f>VLOOKUP(F1263,数据集标准分类!A:C,3,0)</f>
        <v>060201</v>
      </c>
      <c r="F1263" s="170" t="s">
        <v>3235</v>
      </c>
      <c r="G1263" s="183" t="str">
        <f>VLOOKUP(F1263,数据集标准分类!A:B,2,0)</f>
        <v>admission_nursing_eval</v>
      </c>
      <c r="H1263" s="294">
        <f>VLOOKUP(F1263,数据集标准分类!A:H,8,0)</f>
        <v>70</v>
      </c>
      <c r="I1263" s="170" t="s">
        <v>107</v>
      </c>
      <c r="J1263" s="170" t="s">
        <v>108</v>
      </c>
      <c r="K1263" s="170" t="s">
        <v>109</v>
      </c>
      <c r="L1263" s="170" t="s">
        <v>110</v>
      </c>
      <c r="M1263" s="170" t="s">
        <v>101</v>
      </c>
      <c r="N1263" s="294">
        <v>34</v>
      </c>
      <c r="O1263" s="170"/>
    </row>
    <row r="1264" ht="15.75" customHeight="1" spans="1:15">
      <c r="A1264" s="183" t="str">
        <f>VLOOKUP(F1264,数据集标准分类!A:G,7,0)</f>
        <v>06</v>
      </c>
      <c r="B1264" s="183" t="str">
        <f>VLOOKUP(F1264,数据集标准分类!A:F,6,0)</f>
        <v>护理病历</v>
      </c>
      <c r="C1264" s="183" t="str">
        <f>VLOOKUP(F1264,数据集标准分类!A:E,5,0)</f>
        <v>0602</v>
      </c>
      <c r="D1264" s="183" t="str">
        <f>VLOOKUP(F1264,数据集标准分类!A:D,4,0)</f>
        <v>护理评估</v>
      </c>
      <c r="E1264" s="183" t="str">
        <f>VLOOKUP(F1264,数据集标准分类!A:C,3,0)</f>
        <v>060201</v>
      </c>
      <c r="F1264" s="170" t="s">
        <v>3235</v>
      </c>
      <c r="G1264" s="183" t="str">
        <f>VLOOKUP(F1264,数据集标准分类!A:B,2,0)</f>
        <v>admission_nursing_eval</v>
      </c>
      <c r="H1264" s="294">
        <f>VLOOKUP(F1264,数据集标准分类!A:H,8,0)</f>
        <v>70</v>
      </c>
      <c r="I1264" s="170" t="s">
        <v>97</v>
      </c>
      <c r="J1264" s="170" t="s">
        <v>98</v>
      </c>
      <c r="K1264" s="170" t="s">
        <v>99</v>
      </c>
      <c r="L1264" s="170" t="s">
        <v>100</v>
      </c>
      <c r="M1264" s="170" t="s">
        <v>106</v>
      </c>
      <c r="N1264" s="294">
        <v>35</v>
      </c>
      <c r="O1264" s="170"/>
    </row>
    <row r="1265" ht="15.75" customHeight="1" spans="1:15">
      <c r="A1265" s="183" t="str">
        <f>VLOOKUP(F1265,数据集标准分类!A:G,7,0)</f>
        <v>06</v>
      </c>
      <c r="B1265" s="183" t="str">
        <f>VLOOKUP(F1265,数据集标准分类!A:F,6,0)</f>
        <v>护理病历</v>
      </c>
      <c r="C1265" s="183" t="str">
        <f>VLOOKUP(F1265,数据集标准分类!A:E,5,0)</f>
        <v>0602</v>
      </c>
      <c r="D1265" s="183" t="str">
        <f>VLOOKUP(F1265,数据集标准分类!A:D,4,0)</f>
        <v>护理评估</v>
      </c>
      <c r="E1265" s="183" t="str">
        <f>VLOOKUP(F1265,数据集标准分类!A:C,3,0)</f>
        <v>060201</v>
      </c>
      <c r="F1265" s="170" t="s">
        <v>3235</v>
      </c>
      <c r="G1265" s="183" t="str">
        <f>VLOOKUP(F1265,数据集标准分类!A:B,2,0)</f>
        <v>admission_nursing_eval</v>
      </c>
      <c r="H1265" s="294">
        <f>VLOOKUP(F1265,数据集标准分类!A:H,8,0)</f>
        <v>70</v>
      </c>
      <c r="I1265" s="170" t="s">
        <v>112</v>
      </c>
      <c r="J1265" s="170" t="s">
        <v>113</v>
      </c>
      <c r="K1265" s="170" t="s">
        <v>114</v>
      </c>
      <c r="L1265" s="170" t="s">
        <v>115</v>
      </c>
      <c r="M1265" s="170" t="s">
        <v>111</v>
      </c>
      <c r="N1265" s="294">
        <v>36</v>
      </c>
      <c r="O1265" s="170"/>
    </row>
    <row r="1266" ht="15.75" customHeight="1" spans="1:15">
      <c r="A1266" s="183" t="str">
        <f>VLOOKUP(F1266,数据集标准分类!A:G,7,0)</f>
        <v>06</v>
      </c>
      <c r="B1266" s="183" t="str">
        <f>VLOOKUP(F1266,数据集标准分类!A:F,6,0)</f>
        <v>护理病历</v>
      </c>
      <c r="C1266" s="183" t="str">
        <f>VLOOKUP(F1266,数据集标准分类!A:E,5,0)</f>
        <v>0602</v>
      </c>
      <c r="D1266" s="183" t="str">
        <f>VLOOKUP(F1266,数据集标准分类!A:D,4,0)</f>
        <v>护理评估</v>
      </c>
      <c r="E1266" s="183" t="str">
        <f>VLOOKUP(F1266,数据集标准分类!A:C,3,0)</f>
        <v>060201</v>
      </c>
      <c r="F1266" s="170" t="s">
        <v>3235</v>
      </c>
      <c r="G1266" s="183" t="str">
        <f>VLOOKUP(F1266,数据集标准分类!A:B,2,0)</f>
        <v>admission_nursing_eval</v>
      </c>
      <c r="H1266" s="294">
        <f>VLOOKUP(F1266,数据集标准分类!A:H,8,0)</f>
        <v>70</v>
      </c>
      <c r="I1266" s="170" t="s">
        <v>508</v>
      </c>
      <c r="J1266" s="170" t="s">
        <v>509</v>
      </c>
      <c r="K1266" s="170" t="s">
        <v>510</v>
      </c>
      <c r="L1266" s="170" t="s">
        <v>511</v>
      </c>
      <c r="M1266" s="170" t="s">
        <v>116</v>
      </c>
      <c r="N1266" s="294">
        <v>37</v>
      </c>
      <c r="O1266" s="170"/>
    </row>
    <row r="1267" ht="15.75" customHeight="1" spans="1:15">
      <c r="A1267" s="183" t="str">
        <f>VLOOKUP(F1267,数据集标准分类!A:G,7,0)</f>
        <v>06</v>
      </c>
      <c r="B1267" s="183" t="str">
        <f>VLOOKUP(F1267,数据集标准分类!A:F,6,0)</f>
        <v>护理病历</v>
      </c>
      <c r="C1267" s="183" t="str">
        <f>VLOOKUP(F1267,数据集标准分类!A:E,5,0)</f>
        <v>0602</v>
      </c>
      <c r="D1267" s="183" t="str">
        <f>VLOOKUP(F1267,数据集标准分类!A:D,4,0)</f>
        <v>护理评估</v>
      </c>
      <c r="E1267" s="183" t="str">
        <f>VLOOKUP(F1267,数据集标准分类!A:C,3,0)</f>
        <v>060201</v>
      </c>
      <c r="F1267" s="170" t="s">
        <v>3235</v>
      </c>
      <c r="G1267" s="183" t="str">
        <f>VLOOKUP(F1267,数据集标准分类!A:B,2,0)</f>
        <v>admission_nursing_eval</v>
      </c>
      <c r="H1267" s="294">
        <f>VLOOKUP(F1267,数据集标准分类!A:H,8,0)</f>
        <v>70</v>
      </c>
      <c r="I1267" s="170" t="s">
        <v>126</v>
      </c>
      <c r="J1267" s="170" t="s">
        <v>127</v>
      </c>
      <c r="K1267" s="170" t="s">
        <v>128</v>
      </c>
      <c r="L1267" s="170" t="s">
        <v>129</v>
      </c>
      <c r="M1267" s="170" t="s">
        <v>130</v>
      </c>
      <c r="N1267" s="294">
        <v>38</v>
      </c>
      <c r="O1267" s="170"/>
    </row>
    <row r="1268" ht="15.75" customHeight="1" spans="1:15">
      <c r="A1268" s="183" t="str">
        <f>VLOOKUP(F1268,数据集标准分类!A:G,7,0)</f>
        <v>06</v>
      </c>
      <c r="B1268" s="183" t="str">
        <f>VLOOKUP(F1268,数据集标准分类!A:F,6,0)</f>
        <v>护理病历</v>
      </c>
      <c r="C1268" s="183" t="str">
        <f>VLOOKUP(F1268,数据集标准分类!A:E,5,0)</f>
        <v>0602</v>
      </c>
      <c r="D1268" s="183" t="str">
        <f>VLOOKUP(F1268,数据集标准分类!A:D,4,0)</f>
        <v>护理评估</v>
      </c>
      <c r="E1268" s="183" t="str">
        <f>VLOOKUP(F1268,数据集标准分类!A:C,3,0)</f>
        <v>060201</v>
      </c>
      <c r="F1268" s="170" t="s">
        <v>3235</v>
      </c>
      <c r="G1268" s="183" t="str">
        <f>VLOOKUP(F1268,数据集标准分类!A:B,2,0)</f>
        <v>admission_nursing_eval</v>
      </c>
      <c r="H1268" s="294">
        <f>VLOOKUP(F1268,数据集标准分类!A:H,8,0)</f>
        <v>70</v>
      </c>
      <c r="I1268" s="170" t="s">
        <v>3229</v>
      </c>
      <c r="J1268" s="170" t="s">
        <v>3230</v>
      </c>
      <c r="K1268" s="170" t="s">
        <v>3231</v>
      </c>
      <c r="L1268" s="170" t="s">
        <v>3232</v>
      </c>
      <c r="M1268" s="170" t="s">
        <v>3233</v>
      </c>
      <c r="N1268" s="294">
        <v>39</v>
      </c>
      <c r="O1268" s="170"/>
    </row>
    <row r="1269" ht="15.75" customHeight="1" spans="1:15">
      <c r="A1269" s="183" t="str">
        <f>VLOOKUP(F1269,数据集标准分类!A:G,7,0)</f>
        <v>06</v>
      </c>
      <c r="B1269" s="183" t="str">
        <f>VLOOKUP(F1269,数据集标准分类!A:F,6,0)</f>
        <v>护理病历</v>
      </c>
      <c r="C1269" s="183" t="str">
        <f>VLOOKUP(F1269,数据集标准分类!A:E,5,0)</f>
        <v>0602</v>
      </c>
      <c r="D1269" s="183" t="str">
        <f>VLOOKUP(F1269,数据集标准分类!A:D,4,0)</f>
        <v>护理评估</v>
      </c>
      <c r="E1269" s="183" t="str">
        <f>VLOOKUP(F1269,数据集标准分类!A:C,3,0)</f>
        <v>060201</v>
      </c>
      <c r="F1269" s="170" t="s">
        <v>3235</v>
      </c>
      <c r="G1269" s="183" t="str">
        <f>VLOOKUP(F1269,数据集标准分类!A:B,2,0)</f>
        <v>admission_nursing_eval</v>
      </c>
      <c r="H1269" s="294">
        <f>VLOOKUP(F1269,数据集标准分类!A:H,8,0)</f>
        <v>70</v>
      </c>
      <c r="I1269" s="170" t="s">
        <v>784</v>
      </c>
      <c r="J1269" s="170" t="s">
        <v>785</v>
      </c>
      <c r="K1269" s="170" t="s">
        <v>786</v>
      </c>
      <c r="L1269" s="170" t="s">
        <v>787</v>
      </c>
      <c r="M1269" s="170" t="s">
        <v>3234</v>
      </c>
      <c r="N1269" s="294">
        <v>40</v>
      </c>
      <c r="O1269" s="170"/>
    </row>
    <row r="1270" ht="15.75" customHeight="1" spans="1:15">
      <c r="A1270" s="183" t="str">
        <f>VLOOKUP(F1270,数据集标准分类!A:G,7,0)</f>
        <v>06</v>
      </c>
      <c r="B1270" s="183" t="str">
        <f>VLOOKUP(F1270,数据集标准分类!A:F,6,0)</f>
        <v>护理病历</v>
      </c>
      <c r="C1270" s="183" t="str">
        <f>VLOOKUP(F1270,数据集标准分类!A:E,5,0)</f>
        <v>0602</v>
      </c>
      <c r="D1270" s="183" t="str">
        <f>VLOOKUP(F1270,数据集标准分类!A:D,4,0)</f>
        <v>护理评估</v>
      </c>
      <c r="E1270" s="183" t="str">
        <f>VLOOKUP(F1270,数据集标准分类!A:C,3,0)</f>
        <v>060201</v>
      </c>
      <c r="F1270" s="170" t="s">
        <v>3235</v>
      </c>
      <c r="G1270" s="183" t="str">
        <f>VLOOKUP(F1270,数据集标准分类!A:B,2,0)</f>
        <v>admission_nursing_eval</v>
      </c>
      <c r="H1270" s="294">
        <f>VLOOKUP(F1270,数据集标准分类!A:H,8,0)</f>
        <v>70</v>
      </c>
      <c r="I1270" s="170" t="s">
        <v>3290</v>
      </c>
      <c r="J1270" s="170" t="s">
        <v>3291</v>
      </c>
      <c r="K1270" s="170" t="s">
        <v>3292</v>
      </c>
      <c r="L1270" s="170" t="s">
        <v>3293</v>
      </c>
      <c r="M1270" s="170" t="s">
        <v>3294</v>
      </c>
      <c r="N1270" s="294">
        <v>41</v>
      </c>
      <c r="O1270" s="170"/>
    </row>
    <row r="1271" ht="15.75" customHeight="1" spans="1:15">
      <c r="A1271" s="183" t="str">
        <f>VLOOKUP(F1271,数据集标准分类!A:G,7,0)</f>
        <v>06</v>
      </c>
      <c r="B1271" s="183" t="str">
        <f>VLOOKUP(F1271,数据集标准分类!A:F,6,0)</f>
        <v>护理病历</v>
      </c>
      <c r="C1271" s="183" t="str">
        <f>VLOOKUP(F1271,数据集标准分类!A:E,5,0)</f>
        <v>0602</v>
      </c>
      <c r="D1271" s="183" t="str">
        <f>VLOOKUP(F1271,数据集标准分类!A:D,4,0)</f>
        <v>护理评估</v>
      </c>
      <c r="E1271" s="183" t="str">
        <f>VLOOKUP(F1271,数据集标准分类!A:C,3,0)</f>
        <v>060201</v>
      </c>
      <c r="F1271" s="170" t="s">
        <v>3235</v>
      </c>
      <c r="G1271" s="183" t="str">
        <f>VLOOKUP(F1271,数据集标准分类!A:B,2,0)</f>
        <v>admission_nursing_eval</v>
      </c>
      <c r="H1271" s="294">
        <f>VLOOKUP(F1271,数据集标准分类!A:H,8,0)</f>
        <v>70</v>
      </c>
      <c r="I1271" s="170" t="s">
        <v>3295</v>
      </c>
      <c r="J1271" s="170" t="s">
        <v>3296</v>
      </c>
      <c r="K1271" s="170" t="s">
        <v>3297</v>
      </c>
      <c r="L1271" s="170" t="s">
        <v>3298</v>
      </c>
      <c r="M1271" s="170" t="s">
        <v>3299</v>
      </c>
      <c r="N1271" s="294">
        <v>42</v>
      </c>
      <c r="O1271" s="170"/>
    </row>
    <row r="1272" ht="15.75" customHeight="1" spans="1:15">
      <c r="A1272" s="183" t="str">
        <f>VLOOKUP(F1272,数据集标准分类!A:G,7,0)</f>
        <v>06</v>
      </c>
      <c r="B1272" s="183" t="str">
        <f>VLOOKUP(F1272,数据集标准分类!A:F,6,0)</f>
        <v>护理病历</v>
      </c>
      <c r="C1272" s="183" t="str">
        <f>VLOOKUP(F1272,数据集标准分类!A:E,5,0)</f>
        <v>0602</v>
      </c>
      <c r="D1272" s="183" t="str">
        <f>VLOOKUP(F1272,数据集标准分类!A:D,4,0)</f>
        <v>护理评估</v>
      </c>
      <c r="E1272" s="183" t="str">
        <f>VLOOKUP(F1272,数据集标准分类!A:C,3,0)</f>
        <v>060201</v>
      </c>
      <c r="F1272" s="170" t="s">
        <v>3235</v>
      </c>
      <c r="G1272" s="183" t="str">
        <f>VLOOKUP(F1272,数据集标准分类!A:B,2,0)</f>
        <v>admission_nursing_eval</v>
      </c>
      <c r="H1272" s="294">
        <f>VLOOKUP(F1272,数据集标准分类!A:H,8,0)</f>
        <v>70</v>
      </c>
      <c r="I1272" s="170" t="s">
        <v>3300</v>
      </c>
      <c r="J1272" s="170" t="s">
        <v>3301</v>
      </c>
      <c r="K1272" s="170" t="s">
        <v>3302</v>
      </c>
      <c r="L1272" s="170" t="s">
        <v>3303</v>
      </c>
      <c r="M1272" s="170" t="s">
        <v>3304</v>
      </c>
      <c r="N1272" s="294">
        <v>43</v>
      </c>
      <c r="O1272" s="170"/>
    </row>
    <row r="1273" ht="15.75" customHeight="1" spans="1:15">
      <c r="A1273" s="183" t="str">
        <f>VLOOKUP(F1273,数据集标准分类!A:G,7,0)</f>
        <v>06</v>
      </c>
      <c r="B1273" s="183" t="str">
        <f>VLOOKUP(F1273,数据集标准分类!A:F,6,0)</f>
        <v>护理病历</v>
      </c>
      <c r="C1273" s="183" t="str">
        <f>VLOOKUP(F1273,数据集标准分类!A:E,5,0)</f>
        <v>0602</v>
      </c>
      <c r="D1273" s="183" t="str">
        <f>VLOOKUP(F1273,数据集标准分类!A:D,4,0)</f>
        <v>护理评估</v>
      </c>
      <c r="E1273" s="183" t="str">
        <f>VLOOKUP(F1273,数据集标准分类!A:C,3,0)</f>
        <v>060201</v>
      </c>
      <c r="F1273" s="170" t="s">
        <v>3235</v>
      </c>
      <c r="G1273" s="183" t="str">
        <f>VLOOKUP(F1273,数据集标准分类!A:B,2,0)</f>
        <v>admission_nursing_eval</v>
      </c>
      <c r="H1273" s="294">
        <f>VLOOKUP(F1273,数据集标准分类!A:H,8,0)</f>
        <v>70</v>
      </c>
      <c r="I1273" s="170" t="s">
        <v>3305</v>
      </c>
      <c r="J1273" s="170" t="s">
        <v>3306</v>
      </c>
      <c r="K1273" s="170" t="s">
        <v>3307</v>
      </c>
      <c r="L1273" s="170" t="s">
        <v>3308</v>
      </c>
      <c r="M1273" s="170" t="s">
        <v>3309</v>
      </c>
      <c r="N1273" s="294">
        <v>44</v>
      </c>
      <c r="O1273" s="170"/>
    </row>
    <row r="1274" ht="15.75" customHeight="1" spans="1:15">
      <c r="A1274" s="183" t="str">
        <f>VLOOKUP(F1274,数据集标准分类!A:G,7,0)</f>
        <v>06</v>
      </c>
      <c r="B1274" s="183" t="str">
        <f>VLOOKUP(F1274,数据集标准分类!A:F,6,0)</f>
        <v>护理病历</v>
      </c>
      <c r="C1274" s="183" t="str">
        <f>VLOOKUP(F1274,数据集标准分类!A:E,5,0)</f>
        <v>0602</v>
      </c>
      <c r="D1274" s="183" t="str">
        <f>VLOOKUP(F1274,数据集标准分类!A:D,4,0)</f>
        <v>护理评估</v>
      </c>
      <c r="E1274" s="183" t="str">
        <f>VLOOKUP(F1274,数据集标准分类!A:C,3,0)</f>
        <v>060201</v>
      </c>
      <c r="F1274" s="170" t="s">
        <v>3235</v>
      </c>
      <c r="G1274" s="183" t="str">
        <f>VLOOKUP(F1274,数据集标准分类!A:B,2,0)</f>
        <v>admission_nursing_eval</v>
      </c>
      <c r="H1274" s="294">
        <f>VLOOKUP(F1274,数据集标准分类!A:H,8,0)</f>
        <v>70</v>
      </c>
      <c r="I1274" s="170" t="s">
        <v>3310</v>
      </c>
      <c r="J1274" s="170" t="s">
        <v>3311</v>
      </c>
      <c r="K1274" s="170" t="s">
        <v>3312</v>
      </c>
      <c r="L1274" s="170" t="s">
        <v>3313</v>
      </c>
      <c r="M1274" s="170" t="s">
        <v>3314</v>
      </c>
      <c r="N1274" s="294">
        <v>45</v>
      </c>
      <c r="O1274" s="170"/>
    </row>
    <row r="1275" ht="15.75" customHeight="1" spans="1:15">
      <c r="A1275" s="183" t="str">
        <f>VLOOKUP(F1275,数据集标准分类!A:G,7,0)</f>
        <v>06</v>
      </c>
      <c r="B1275" s="183" t="str">
        <f>VLOOKUP(F1275,数据集标准分类!A:F,6,0)</f>
        <v>护理病历</v>
      </c>
      <c r="C1275" s="183" t="str">
        <f>VLOOKUP(F1275,数据集标准分类!A:E,5,0)</f>
        <v>0602</v>
      </c>
      <c r="D1275" s="183" t="str">
        <f>VLOOKUP(F1275,数据集标准分类!A:D,4,0)</f>
        <v>护理评估</v>
      </c>
      <c r="E1275" s="183" t="str">
        <f>VLOOKUP(F1275,数据集标准分类!A:C,3,0)</f>
        <v>060201</v>
      </c>
      <c r="F1275" s="170" t="s">
        <v>3235</v>
      </c>
      <c r="G1275" s="183" t="str">
        <f>VLOOKUP(F1275,数据集标准分类!A:B,2,0)</f>
        <v>admission_nursing_eval</v>
      </c>
      <c r="H1275" s="294">
        <f>VLOOKUP(F1275,数据集标准分类!A:H,8,0)</f>
        <v>70</v>
      </c>
      <c r="I1275" s="170" t="s">
        <v>3315</v>
      </c>
      <c r="J1275" s="170" t="s">
        <v>3316</v>
      </c>
      <c r="K1275" s="170" t="s">
        <v>3317</v>
      </c>
      <c r="L1275" s="170" t="s">
        <v>3318</v>
      </c>
      <c r="M1275" s="170" t="s">
        <v>3319</v>
      </c>
      <c r="N1275" s="294">
        <v>46</v>
      </c>
      <c r="O1275" s="170"/>
    </row>
    <row r="1276" ht="15.75" customHeight="1" spans="1:15">
      <c r="A1276" s="183" t="str">
        <f>VLOOKUP(F1276,数据集标准分类!A:G,7,0)</f>
        <v>06</v>
      </c>
      <c r="B1276" s="183" t="str">
        <f>VLOOKUP(F1276,数据集标准分类!A:F,6,0)</f>
        <v>护理病历</v>
      </c>
      <c r="C1276" s="183" t="str">
        <f>VLOOKUP(F1276,数据集标准分类!A:E,5,0)</f>
        <v>0602</v>
      </c>
      <c r="D1276" s="183" t="str">
        <f>VLOOKUP(F1276,数据集标准分类!A:D,4,0)</f>
        <v>护理评估</v>
      </c>
      <c r="E1276" s="183" t="str">
        <f>VLOOKUP(F1276,数据集标准分类!A:C,3,0)</f>
        <v>060201</v>
      </c>
      <c r="F1276" s="170" t="s">
        <v>3235</v>
      </c>
      <c r="G1276" s="183" t="str">
        <f>VLOOKUP(F1276,数据集标准分类!A:B,2,0)</f>
        <v>admission_nursing_eval</v>
      </c>
      <c r="H1276" s="294">
        <f>VLOOKUP(F1276,数据集标准分类!A:H,8,0)</f>
        <v>70</v>
      </c>
      <c r="I1276" s="170" t="s">
        <v>3320</v>
      </c>
      <c r="J1276" s="170" t="s">
        <v>3321</v>
      </c>
      <c r="K1276" s="170" t="s">
        <v>3322</v>
      </c>
      <c r="L1276" s="170" t="s">
        <v>3323</v>
      </c>
      <c r="M1276" s="170" t="s">
        <v>3324</v>
      </c>
      <c r="N1276" s="294">
        <v>47</v>
      </c>
      <c r="O1276" s="170"/>
    </row>
    <row r="1277" ht="15.75" customHeight="1" spans="1:15">
      <c r="A1277" s="183" t="str">
        <f>VLOOKUP(F1277,数据集标准分类!A:G,7,0)</f>
        <v>06</v>
      </c>
      <c r="B1277" s="183" t="str">
        <f>VLOOKUP(F1277,数据集标准分类!A:F,6,0)</f>
        <v>护理病历</v>
      </c>
      <c r="C1277" s="183" t="str">
        <f>VLOOKUP(F1277,数据集标准分类!A:E,5,0)</f>
        <v>0602</v>
      </c>
      <c r="D1277" s="183" t="str">
        <f>VLOOKUP(F1277,数据集标准分类!A:D,4,0)</f>
        <v>护理评估</v>
      </c>
      <c r="E1277" s="183" t="str">
        <f>VLOOKUP(F1277,数据集标准分类!A:C,3,0)</f>
        <v>060201</v>
      </c>
      <c r="F1277" s="170" t="s">
        <v>3235</v>
      </c>
      <c r="G1277" s="183" t="str">
        <f>VLOOKUP(F1277,数据集标准分类!A:B,2,0)</f>
        <v>admission_nursing_eval</v>
      </c>
      <c r="H1277" s="294">
        <f>VLOOKUP(F1277,数据集标准分类!A:H,8,0)</f>
        <v>70</v>
      </c>
      <c r="I1277" s="170" t="s">
        <v>3192</v>
      </c>
      <c r="J1277" s="170" t="s">
        <v>3193</v>
      </c>
      <c r="K1277" s="170" t="s">
        <v>3194</v>
      </c>
      <c r="L1277" s="170" t="s">
        <v>3195</v>
      </c>
      <c r="M1277" s="170" t="s">
        <v>3325</v>
      </c>
      <c r="N1277" s="294">
        <v>48</v>
      </c>
      <c r="O1277" s="170"/>
    </row>
    <row r="1278" ht="15.75" customHeight="1" spans="1:15">
      <c r="A1278" s="183" t="str">
        <f>VLOOKUP(F1278,数据集标准分类!A:G,7,0)</f>
        <v>06</v>
      </c>
      <c r="B1278" s="183" t="str">
        <f>VLOOKUP(F1278,数据集标准分类!A:F,6,0)</f>
        <v>护理病历</v>
      </c>
      <c r="C1278" s="183" t="str">
        <f>VLOOKUP(F1278,数据集标准分类!A:E,5,0)</f>
        <v>0602</v>
      </c>
      <c r="D1278" s="183" t="str">
        <f>VLOOKUP(F1278,数据集标准分类!A:D,4,0)</f>
        <v>护理评估</v>
      </c>
      <c r="E1278" s="183" t="str">
        <f>VLOOKUP(F1278,数据集标准分类!A:C,3,0)</f>
        <v>060202</v>
      </c>
      <c r="F1278" s="170" t="s">
        <v>3326</v>
      </c>
      <c r="G1278" s="183" t="str">
        <f>VLOOKUP(F1278,数据集标准分类!A:B,2,0)</f>
        <v>inp_assessment_mrpg</v>
      </c>
      <c r="H1278" s="294">
        <f>VLOOKUP(F1278,数据集标准分类!A:H,8,0)</f>
        <v>71</v>
      </c>
      <c r="I1278" s="170" t="s">
        <v>3196</v>
      </c>
      <c r="J1278" s="170" t="s">
        <v>3197</v>
      </c>
      <c r="K1278" s="170" t="s">
        <v>3198</v>
      </c>
      <c r="L1278" s="170" t="s">
        <v>2740</v>
      </c>
      <c r="M1278" s="170"/>
      <c r="N1278" s="294">
        <v>1</v>
      </c>
      <c r="O1278" s="170"/>
    </row>
    <row r="1279" ht="15.75" customHeight="1" spans="1:15">
      <c r="A1279" s="183" t="str">
        <f>VLOOKUP(F1279,数据集标准分类!A:G,7,0)</f>
        <v>06</v>
      </c>
      <c r="B1279" s="183" t="str">
        <f>VLOOKUP(F1279,数据集标准分类!A:F,6,0)</f>
        <v>护理病历</v>
      </c>
      <c r="C1279" s="183" t="str">
        <f>VLOOKUP(F1279,数据集标准分类!A:E,5,0)</f>
        <v>0602</v>
      </c>
      <c r="D1279" s="183" t="str">
        <f>VLOOKUP(F1279,数据集标准分类!A:D,4,0)</f>
        <v>护理评估</v>
      </c>
      <c r="E1279" s="183" t="str">
        <f>VLOOKUP(F1279,数据集标准分类!A:C,3,0)</f>
        <v>060202</v>
      </c>
      <c r="F1279" s="170" t="s">
        <v>3326</v>
      </c>
      <c r="G1279" s="183" t="str">
        <f>VLOOKUP(F1279,数据集标准分类!A:B,2,0)</f>
        <v>inp_assessment_mrpg</v>
      </c>
      <c r="H1279" s="294">
        <f>VLOOKUP(F1279,数据集标准分类!A:H,8,0)</f>
        <v>71</v>
      </c>
      <c r="I1279" s="170" t="s">
        <v>3199</v>
      </c>
      <c r="J1279" s="170" t="s">
        <v>3200</v>
      </c>
      <c r="K1279" s="170" t="s">
        <v>3201</v>
      </c>
      <c r="L1279" s="170" t="s">
        <v>3327</v>
      </c>
      <c r="M1279" s="170"/>
      <c r="N1279" s="294">
        <v>2</v>
      </c>
      <c r="O1279" s="170"/>
    </row>
    <row r="1280" ht="15.75" customHeight="1" spans="1:15">
      <c r="A1280" s="183" t="str">
        <f>VLOOKUP(F1280,数据集标准分类!A:G,7,0)</f>
        <v>06</v>
      </c>
      <c r="B1280" s="183" t="str">
        <f>VLOOKUP(F1280,数据集标准分类!A:F,6,0)</f>
        <v>护理病历</v>
      </c>
      <c r="C1280" s="183" t="str">
        <f>VLOOKUP(F1280,数据集标准分类!A:E,5,0)</f>
        <v>0602</v>
      </c>
      <c r="D1280" s="183" t="str">
        <f>VLOOKUP(F1280,数据集标准分类!A:D,4,0)</f>
        <v>护理评估</v>
      </c>
      <c r="E1280" s="183" t="str">
        <f>VLOOKUP(F1280,数据集标准分类!A:C,3,0)</f>
        <v>060202</v>
      </c>
      <c r="F1280" s="170" t="s">
        <v>3326</v>
      </c>
      <c r="G1280" s="183" t="str">
        <f>VLOOKUP(F1280,数据集标准分类!A:B,2,0)</f>
        <v>inp_assessment_mrpg</v>
      </c>
      <c r="H1280" s="294">
        <f>VLOOKUP(F1280,数据集标准分类!A:H,8,0)</f>
        <v>71</v>
      </c>
      <c r="I1280" s="170" t="s">
        <v>3328</v>
      </c>
      <c r="J1280" s="170" t="s">
        <v>3329</v>
      </c>
      <c r="K1280" s="170" t="s">
        <v>3330</v>
      </c>
      <c r="L1280" s="170" t="s">
        <v>1499</v>
      </c>
      <c r="M1280" s="170"/>
      <c r="N1280" s="294">
        <v>3</v>
      </c>
      <c r="O1280" s="170"/>
    </row>
    <row r="1281" ht="15.75" customHeight="1" spans="1:15">
      <c r="A1281" s="183" t="str">
        <f>VLOOKUP(F1281,数据集标准分类!A:G,7,0)</f>
        <v>06</v>
      </c>
      <c r="B1281" s="183" t="str">
        <f>VLOOKUP(F1281,数据集标准分类!A:F,6,0)</f>
        <v>护理病历</v>
      </c>
      <c r="C1281" s="183" t="str">
        <f>VLOOKUP(F1281,数据集标准分类!A:E,5,0)</f>
        <v>0602</v>
      </c>
      <c r="D1281" s="183" t="str">
        <f>VLOOKUP(F1281,数据集标准分类!A:D,4,0)</f>
        <v>护理评估</v>
      </c>
      <c r="E1281" s="183" t="str">
        <f>VLOOKUP(F1281,数据集标准分类!A:C,3,0)</f>
        <v>060202</v>
      </c>
      <c r="F1281" s="170" t="s">
        <v>3326</v>
      </c>
      <c r="G1281" s="183" t="str">
        <f>VLOOKUP(F1281,数据集标准分类!A:B,2,0)</f>
        <v>inp_assessment_mrpg</v>
      </c>
      <c r="H1281" s="294">
        <f>VLOOKUP(F1281,数据集标准分类!A:H,8,0)</f>
        <v>71</v>
      </c>
      <c r="I1281" s="170" t="s">
        <v>1774</v>
      </c>
      <c r="J1281" s="170" t="s">
        <v>1775</v>
      </c>
      <c r="K1281" s="170" t="s">
        <v>1776</v>
      </c>
      <c r="L1281" s="170" t="s">
        <v>1777</v>
      </c>
      <c r="M1281" s="170"/>
      <c r="N1281" s="294">
        <v>4</v>
      </c>
      <c r="O1281" s="170"/>
    </row>
    <row r="1282" ht="15.75" customHeight="1" spans="1:15">
      <c r="A1282" s="183" t="str">
        <f>VLOOKUP(F1282,数据集标准分类!A:G,7,0)</f>
        <v>06</v>
      </c>
      <c r="B1282" s="183" t="str">
        <f>VLOOKUP(F1282,数据集标准分类!A:F,6,0)</f>
        <v>护理病历</v>
      </c>
      <c r="C1282" s="183" t="str">
        <f>VLOOKUP(F1282,数据集标准分类!A:E,5,0)</f>
        <v>0602</v>
      </c>
      <c r="D1282" s="183" t="str">
        <f>VLOOKUP(F1282,数据集标准分类!A:D,4,0)</f>
        <v>护理评估</v>
      </c>
      <c r="E1282" s="183" t="str">
        <f>VLOOKUP(F1282,数据集标准分类!A:C,3,0)</f>
        <v>060202</v>
      </c>
      <c r="F1282" s="170" t="s">
        <v>3326</v>
      </c>
      <c r="G1282" s="183" t="str">
        <f>VLOOKUP(F1282,数据集标准分类!A:B,2,0)</f>
        <v>inp_assessment_mrpg</v>
      </c>
      <c r="H1282" s="294">
        <f>VLOOKUP(F1282,数据集标准分类!A:H,8,0)</f>
        <v>71</v>
      </c>
      <c r="I1282" s="170" t="s">
        <v>3192</v>
      </c>
      <c r="J1282" s="170" t="s">
        <v>3193</v>
      </c>
      <c r="K1282" s="170" t="s">
        <v>3194</v>
      </c>
      <c r="L1282" s="170" t="s">
        <v>3195</v>
      </c>
      <c r="M1282" s="170"/>
      <c r="N1282" s="294">
        <v>5</v>
      </c>
      <c r="O1282" s="170"/>
    </row>
    <row r="1283" ht="15.75" customHeight="1" spans="1:15">
      <c r="A1283" s="183" t="str">
        <f>VLOOKUP(F1283,数据集标准分类!A:G,7,0)</f>
        <v>06</v>
      </c>
      <c r="B1283" s="183" t="str">
        <f>VLOOKUP(F1283,数据集标准分类!A:F,6,0)</f>
        <v>护理病历</v>
      </c>
      <c r="C1283" s="183" t="str">
        <f>VLOOKUP(F1283,数据集标准分类!A:E,5,0)</f>
        <v>0602</v>
      </c>
      <c r="D1283" s="183" t="str">
        <f>VLOOKUP(F1283,数据集标准分类!A:D,4,0)</f>
        <v>护理评估</v>
      </c>
      <c r="E1283" s="183" t="str">
        <f>VLOOKUP(F1283,数据集标准分类!A:C,3,0)</f>
        <v>060203</v>
      </c>
      <c r="F1283" s="170" t="s">
        <v>3331</v>
      </c>
      <c r="G1283" s="183" t="str">
        <f>VLOOKUP(F1283,数据集标准分类!A:B,2,0)</f>
        <v>fall_assessment_record</v>
      </c>
      <c r="H1283" s="294">
        <f>VLOOKUP(F1283,数据集标准分类!A:H,8,0)</f>
        <v>72</v>
      </c>
      <c r="I1283" s="170" t="s">
        <v>3196</v>
      </c>
      <c r="J1283" s="170" t="s">
        <v>3197</v>
      </c>
      <c r="K1283" s="170" t="s">
        <v>3198</v>
      </c>
      <c r="L1283" s="170" t="s">
        <v>2740</v>
      </c>
      <c r="M1283" s="170"/>
      <c r="N1283" s="294">
        <v>1</v>
      </c>
      <c r="O1283" s="170"/>
    </row>
    <row r="1284" ht="15.75" customHeight="1" spans="1:15">
      <c r="A1284" s="183" t="str">
        <f>VLOOKUP(F1284,数据集标准分类!A:G,7,0)</f>
        <v>06</v>
      </c>
      <c r="B1284" s="183" t="str">
        <f>VLOOKUP(F1284,数据集标准分类!A:F,6,0)</f>
        <v>护理病历</v>
      </c>
      <c r="C1284" s="183" t="str">
        <f>VLOOKUP(F1284,数据集标准分类!A:E,5,0)</f>
        <v>0602</v>
      </c>
      <c r="D1284" s="183" t="str">
        <f>VLOOKUP(F1284,数据集标准分类!A:D,4,0)</f>
        <v>护理评估</v>
      </c>
      <c r="E1284" s="183" t="str">
        <f>VLOOKUP(F1284,数据集标准分类!A:C,3,0)</f>
        <v>060203</v>
      </c>
      <c r="F1284" s="170" t="s">
        <v>3331</v>
      </c>
      <c r="G1284" s="183" t="str">
        <f>VLOOKUP(F1284,数据集标准分类!A:B,2,0)</f>
        <v>fall_assessment_record</v>
      </c>
      <c r="H1284" s="294">
        <f>VLOOKUP(F1284,数据集标准分类!A:H,8,0)</f>
        <v>72</v>
      </c>
      <c r="I1284" s="170" t="s">
        <v>1774</v>
      </c>
      <c r="J1284" s="170" t="s">
        <v>1775</v>
      </c>
      <c r="K1284" s="170" t="s">
        <v>1776</v>
      </c>
      <c r="L1284" s="170" t="s">
        <v>1777</v>
      </c>
      <c r="M1284" s="170"/>
      <c r="N1284" s="294">
        <v>7</v>
      </c>
      <c r="O1284" s="170"/>
    </row>
    <row r="1285" ht="15.75" customHeight="1" spans="1:15">
      <c r="A1285" s="183" t="str">
        <f>VLOOKUP(F1285,数据集标准分类!A:G,7,0)</f>
        <v>06</v>
      </c>
      <c r="B1285" s="183" t="str">
        <f>VLOOKUP(F1285,数据集标准分类!A:F,6,0)</f>
        <v>护理病历</v>
      </c>
      <c r="C1285" s="183" t="str">
        <f>VLOOKUP(F1285,数据集标准分类!A:E,5,0)</f>
        <v>0602</v>
      </c>
      <c r="D1285" s="183" t="str">
        <f>VLOOKUP(F1285,数据集标准分类!A:D,4,0)</f>
        <v>护理评估</v>
      </c>
      <c r="E1285" s="183" t="str">
        <f>VLOOKUP(F1285,数据集标准分类!A:C,3,0)</f>
        <v>060203</v>
      </c>
      <c r="F1285" s="170" t="s">
        <v>3331</v>
      </c>
      <c r="G1285" s="183" t="str">
        <f>VLOOKUP(F1285,数据集标准分类!A:B,2,0)</f>
        <v>fall_assessment_record</v>
      </c>
      <c r="H1285" s="294">
        <f>VLOOKUP(F1285,数据集标准分类!A:H,8,0)</f>
        <v>72</v>
      </c>
      <c r="I1285" s="170" t="s">
        <v>3192</v>
      </c>
      <c r="J1285" s="170" t="s">
        <v>3193</v>
      </c>
      <c r="K1285" s="170" t="s">
        <v>3194</v>
      </c>
      <c r="L1285" s="170" t="s">
        <v>3195</v>
      </c>
      <c r="M1285" s="170"/>
      <c r="N1285" s="294">
        <v>9</v>
      </c>
      <c r="O1285" s="170"/>
    </row>
    <row r="1286" ht="15.75" customHeight="1" spans="1:15">
      <c r="A1286" s="183" t="str">
        <f>VLOOKUP(F1286,数据集标准分类!A:G,7,0)</f>
        <v>06</v>
      </c>
      <c r="B1286" s="183" t="str">
        <f>VLOOKUP(F1286,数据集标准分类!A:F,6,0)</f>
        <v>护理病历</v>
      </c>
      <c r="C1286" s="183" t="str">
        <f>VLOOKUP(F1286,数据集标准分类!A:E,5,0)</f>
        <v>0602</v>
      </c>
      <c r="D1286" s="183" t="str">
        <f>VLOOKUP(F1286,数据集标准分类!A:D,4,0)</f>
        <v>护理评估</v>
      </c>
      <c r="E1286" s="183" t="str">
        <f>VLOOKUP(F1286,数据集标准分类!A:C,3,0)</f>
        <v>060203</v>
      </c>
      <c r="F1286" s="170" t="s">
        <v>3331</v>
      </c>
      <c r="G1286" s="183" t="str">
        <f>VLOOKUP(F1286,数据集标准分类!A:B,2,0)</f>
        <v>fall_assessment_record</v>
      </c>
      <c r="H1286" s="294">
        <f>VLOOKUP(F1286,数据集标准分类!A:H,8,0)</f>
        <v>72</v>
      </c>
      <c r="I1286" s="170" t="s">
        <v>3332</v>
      </c>
      <c r="J1286" s="170" t="s">
        <v>3333</v>
      </c>
      <c r="K1286" s="170" t="s">
        <v>3334</v>
      </c>
      <c r="L1286" s="170" t="s">
        <v>3335</v>
      </c>
      <c r="M1286" s="170"/>
      <c r="N1286" s="294">
        <v>10</v>
      </c>
      <c r="O1286" s="170"/>
    </row>
    <row r="1287" ht="15.75" customHeight="1" spans="1:15">
      <c r="A1287" s="183" t="str">
        <f>VLOOKUP(F1287,数据集标准分类!A:G,7,0)</f>
        <v>06</v>
      </c>
      <c r="B1287" s="183" t="str">
        <f>VLOOKUP(F1287,数据集标准分类!A:F,6,0)</f>
        <v>护理病历</v>
      </c>
      <c r="C1287" s="183" t="str">
        <f>VLOOKUP(F1287,数据集标准分类!A:E,5,0)</f>
        <v>0602</v>
      </c>
      <c r="D1287" s="183" t="str">
        <f>VLOOKUP(F1287,数据集标准分类!A:D,4,0)</f>
        <v>护理评估</v>
      </c>
      <c r="E1287" s="183" t="str">
        <f>VLOOKUP(F1287,数据集标准分类!A:C,3,0)</f>
        <v>060203</v>
      </c>
      <c r="F1287" s="170" t="s">
        <v>3331</v>
      </c>
      <c r="G1287" s="183" t="str">
        <f>VLOOKUP(F1287,数据集标准分类!A:B,2,0)</f>
        <v>fall_assessment_record</v>
      </c>
      <c r="H1287" s="294">
        <f>VLOOKUP(F1287,数据集标准分类!A:H,8,0)</f>
        <v>72</v>
      </c>
      <c r="I1287" s="170" t="s">
        <v>3336</v>
      </c>
      <c r="J1287" s="170" t="s">
        <v>3337</v>
      </c>
      <c r="K1287" s="170" t="s">
        <v>3338</v>
      </c>
      <c r="L1287" s="170" t="s">
        <v>3339</v>
      </c>
      <c r="M1287" s="170"/>
      <c r="N1287" s="294">
        <v>11</v>
      </c>
      <c r="O1287" s="170"/>
    </row>
    <row r="1288" ht="15.75" customHeight="1" spans="1:15">
      <c r="A1288" s="183" t="str">
        <f>VLOOKUP(F1288,数据集标准分类!A:G,7,0)</f>
        <v>06</v>
      </c>
      <c r="B1288" s="183" t="str">
        <f>VLOOKUP(F1288,数据集标准分类!A:F,6,0)</f>
        <v>护理病历</v>
      </c>
      <c r="C1288" s="183" t="str">
        <f>VLOOKUP(F1288,数据集标准分类!A:E,5,0)</f>
        <v>0602</v>
      </c>
      <c r="D1288" s="183" t="str">
        <f>VLOOKUP(F1288,数据集标准分类!A:D,4,0)</f>
        <v>护理评估</v>
      </c>
      <c r="E1288" s="183" t="str">
        <f>VLOOKUP(F1288,数据集标准分类!A:C,3,0)</f>
        <v>060203</v>
      </c>
      <c r="F1288" s="170" t="s">
        <v>3331</v>
      </c>
      <c r="G1288" s="183" t="str">
        <f>VLOOKUP(F1288,数据集标准分类!A:B,2,0)</f>
        <v>fall_assessment_record</v>
      </c>
      <c r="H1288" s="294">
        <f>VLOOKUP(F1288,数据集标准分类!A:H,8,0)</f>
        <v>72</v>
      </c>
      <c r="I1288" s="170" t="s">
        <v>3340</v>
      </c>
      <c r="J1288" s="170" t="s">
        <v>3341</v>
      </c>
      <c r="K1288" s="170" t="s">
        <v>3342</v>
      </c>
      <c r="L1288" s="170" t="s">
        <v>3343</v>
      </c>
      <c r="M1288" s="170" t="s">
        <v>3344</v>
      </c>
      <c r="N1288" s="294">
        <v>12</v>
      </c>
      <c r="O1288" s="170"/>
    </row>
    <row r="1289" ht="15.75" customHeight="1" spans="1:15">
      <c r="A1289" s="183" t="str">
        <f>VLOOKUP(F1289,数据集标准分类!A:G,7,0)</f>
        <v>06</v>
      </c>
      <c r="B1289" s="183" t="str">
        <f>VLOOKUP(F1289,数据集标准分类!A:F,6,0)</f>
        <v>护理病历</v>
      </c>
      <c r="C1289" s="183" t="str">
        <f>VLOOKUP(F1289,数据集标准分类!A:E,5,0)</f>
        <v>0602</v>
      </c>
      <c r="D1289" s="183" t="str">
        <f>VLOOKUP(F1289,数据集标准分类!A:D,4,0)</f>
        <v>护理评估</v>
      </c>
      <c r="E1289" s="183" t="str">
        <f>VLOOKUP(F1289,数据集标准分类!A:C,3,0)</f>
        <v>060204</v>
      </c>
      <c r="F1289" s="170" t="s">
        <v>3345</v>
      </c>
      <c r="G1289" s="183" t="str">
        <f>VLOOKUP(F1289,数据集标准分类!A:B,2,0)</f>
        <v>dgview_inp_assessment_yachuang</v>
      </c>
      <c r="H1289" s="294">
        <f>VLOOKUP(F1289,数据集标准分类!A:H,8,0)</f>
        <v>73</v>
      </c>
      <c r="I1289" s="170" t="s">
        <v>3196</v>
      </c>
      <c r="J1289" s="170" t="s">
        <v>3197</v>
      </c>
      <c r="K1289" s="170" t="s">
        <v>3198</v>
      </c>
      <c r="L1289" s="170" t="s">
        <v>2740</v>
      </c>
      <c r="M1289" s="170"/>
      <c r="N1289" s="294">
        <v>1</v>
      </c>
      <c r="O1289" s="170"/>
    </row>
    <row r="1290" ht="15.75" customHeight="1" spans="1:15">
      <c r="A1290" s="183" t="str">
        <f>VLOOKUP(F1290,数据集标准分类!A:G,7,0)</f>
        <v>06</v>
      </c>
      <c r="B1290" s="183" t="str">
        <f>VLOOKUP(F1290,数据集标准分类!A:F,6,0)</f>
        <v>护理病历</v>
      </c>
      <c r="C1290" s="183" t="str">
        <f>VLOOKUP(F1290,数据集标准分类!A:E,5,0)</f>
        <v>0602</v>
      </c>
      <c r="D1290" s="183" t="str">
        <f>VLOOKUP(F1290,数据集标准分类!A:D,4,0)</f>
        <v>护理评估</v>
      </c>
      <c r="E1290" s="183" t="str">
        <f>VLOOKUP(F1290,数据集标准分类!A:C,3,0)</f>
        <v>060204</v>
      </c>
      <c r="F1290" s="170" t="s">
        <v>3345</v>
      </c>
      <c r="G1290" s="183" t="str">
        <f>VLOOKUP(F1290,数据集标准分类!A:B,2,0)</f>
        <v>dgview_inp_assessment_yachuang</v>
      </c>
      <c r="H1290" s="294">
        <f>VLOOKUP(F1290,数据集标准分类!A:H,8,0)</f>
        <v>73</v>
      </c>
      <c r="I1290" s="170" t="s">
        <v>3199</v>
      </c>
      <c r="J1290" s="170" t="s">
        <v>3200</v>
      </c>
      <c r="K1290" s="170" t="s">
        <v>3201</v>
      </c>
      <c r="L1290" s="170" t="s">
        <v>3202</v>
      </c>
      <c r="M1290" s="170"/>
      <c r="N1290" s="294">
        <v>2</v>
      </c>
      <c r="O1290" s="170"/>
    </row>
    <row r="1291" ht="15.75" customHeight="1" spans="1:15">
      <c r="A1291" s="183" t="str">
        <f>VLOOKUP(F1291,数据集标准分类!A:G,7,0)</f>
        <v>06</v>
      </c>
      <c r="B1291" s="183" t="str">
        <f>VLOOKUP(F1291,数据集标准分类!A:F,6,0)</f>
        <v>护理病历</v>
      </c>
      <c r="C1291" s="183" t="str">
        <f>VLOOKUP(F1291,数据集标准分类!A:E,5,0)</f>
        <v>0602</v>
      </c>
      <c r="D1291" s="183" t="str">
        <f>VLOOKUP(F1291,数据集标准分类!A:D,4,0)</f>
        <v>护理评估</v>
      </c>
      <c r="E1291" s="183" t="str">
        <f>VLOOKUP(F1291,数据集标准分类!A:C,3,0)</f>
        <v>060204</v>
      </c>
      <c r="F1291" s="170" t="s">
        <v>3345</v>
      </c>
      <c r="G1291" s="183" t="str">
        <f>VLOOKUP(F1291,数据集标准分类!A:B,2,0)</f>
        <v>dgview_inp_assessment_yachuang</v>
      </c>
      <c r="H1291" s="294">
        <f>VLOOKUP(F1291,数据集标准分类!A:H,8,0)</f>
        <v>73</v>
      </c>
      <c r="I1291" s="170" t="s">
        <v>3328</v>
      </c>
      <c r="J1291" s="170" t="s">
        <v>3329</v>
      </c>
      <c r="K1291" s="170" t="s">
        <v>3330</v>
      </c>
      <c r="L1291" s="170" t="s">
        <v>3346</v>
      </c>
      <c r="M1291" s="170"/>
      <c r="N1291" s="294">
        <v>3</v>
      </c>
      <c r="O1291" s="170"/>
    </row>
    <row r="1292" ht="15.75" customHeight="1" spans="1:15">
      <c r="A1292" s="183" t="str">
        <f>VLOOKUP(F1292,数据集标准分类!A:G,7,0)</f>
        <v>06</v>
      </c>
      <c r="B1292" s="183" t="str">
        <f>VLOOKUP(F1292,数据集标准分类!A:F,6,0)</f>
        <v>护理病历</v>
      </c>
      <c r="C1292" s="183" t="str">
        <f>VLOOKUP(F1292,数据集标准分类!A:E,5,0)</f>
        <v>0602</v>
      </c>
      <c r="D1292" s="183" t="str">
        <f>VLOOKUP(F1292,数据集标准分类!A:D,4,0)</f>
        <v>护理评估</v>
      </c>
      <c r="E1292" s="183" t="str">
        <f>VLOOKUP(F1292,数据集标准分类!A:C,3,0)</f>
        <v>060204</v>
      </c>
      <c r="F1292" s="170" t="s">
        <v>3345</v>
      </c>
      <c r="G1292" s="183" t="str">
        <f>VLOOKUP(F1292,数据集标准分类!A:B,2,0)</f>
        <v>dgview_inp_assessment_yachuang</v>
      </c>
      <c r="H1292" s="294">
        <f>VLOOKUP(F1292,数据集标准分类!A:H,8,0)</f>
        <v>73</v>
      </c>
      <c r="I1292" s="170" t="s">
        <v>1774</v>
      </c>
      <c r="J1292" s="170" t="s">
        <v>1775</v>
      </c>
      <c r="K1292" s="170" t="s">
        <v>1776</v>
      </c>
      <c r="L1292" s="170" t="s">
        <v>1777</v>
      </c>
      <c r="M1292" s="170"/>
      <c r="N1292" s="294">
        <v>4</v>
      </c>
      <c r="O1292" s="170"/>
    </row>
    <row r="1293" ht="15.75" customHeight="1" spans="1:15">
      <c r="A1293" s="183" t="str">
        <f>VLOOKUP(F1293,数据集标准分类!A:G,7,0)</f>
        <v>06</v>
      </c>
      <c r="B1293" s="183" t="str">
        <f>VLOOKUP(F1293,数据集标准分类!A:F,6,0)</f>
        <v>护理病历</v>
      </c>
      <c r="C1293" s="183" t="str">
        <f>VLOOKUP(F1293,数据集标准分类!A:E,5,0)</f>
        <v>0602</v>
      </c>
      <c r="D1293" s="183" t="str">
        <f>VLOOKUP(F1293,数据集标准分类!A:D,4,0)</f>
        <v>护理评估</v>
      </c>
      <c r="E1293" s="183" t="str">
        <f>VLOOKUP(F1293,数据集标准分类!A:C,3,0)</f>
        <v>060204</v>
      </c>
      <c r="F1293" s="170" t="s">
        <v>3345</v>
      </c>
      <c r="G1293" s="183" t="str">
        <f>VLOOKUP(F1293,数据集标准分类!A:B,2,0)</f>
        <v>dgview_inp_assessment_yachuang</v>
      </c>
      <c r="H1293" s="294">
        <f>VLOOKUP(F1293,数据集标准分类!A:H,8,0)</f>
        <v>73</v>
      </c>
      <c r="I1293" s="170" t="s">
        <v>3192</v>
      </c>
      <c r="J1293" s="170" t="s">
        <v>3193</v>
      </c>
      <c r="K1293" s="170" t="s">
        <v>3194</v>
      </c>
      <c r="L1293" s="170" t="s">
        <v>3195</v>
      </c>
      <c r="M1293" s="170"/>
      <c r="N1293" s="294">
        <v>5</v>
      </c>
      <c r="O1293" s="170"/>
    </row>
    <row r="1294" ht="15.75" customHeight="1" spans="1:15">
      <c r="A1294" s="183" t="str">
        <f>VLOOKUP(F1294,数据集标准分类!A:G,7,0)</f>
        <v>06</v>
      </c>
      <c r="B1294" s="183" t="str">
        <f>VLOOKUP(F1294,数据集标准分类!A:F,6,0)</f>
        <v>护理病历</v>
      </c>
      <c r="C1294" s="183" t="str">
        <f>VLOOKUP(F1294,数据集标准分类!A:E,5,0)</f>
        <v>0602</v>
      </c>
      <c r="D1294" s="183" t="str">
        <f>VLOOKUP(F1294,数据集标准分类!A:D,4,0)</f>
        <v>护理评估</v>
      </c>
      <c r="E1294" s="183" t="str">
        <f>VLOOKUP(F1294,数据集标准分类!A:C,3,0)</f>
        <v>060205</v>
      </c>
      <c r="F1294" s="170" t="s">
        <v>3347</v>
      </c>
      <c r="G1294" s="183" t="str">
        <f>VLOOKUP(F1294,数据集标准分类!A:B,2,0)</f>
        <v>jilipg</v>
      </c>
      <c r="H1294" s="294">
        <f>VLOOKUP(F1294,数据集标准分类!A:H,8,0)</f>
        <v>74</v>
      </c>
      <c r="I1294" s="170" t="s">
        <v>3332</v>
      </c>
      <c r="J1294" s="170" t="s">
        <v>3333</v>
      </c>
      <c r="K1294" s="170" t="s">
        <v>3334</v>
      </c>
      <c r="L1294" s="170" t="s">
        <v>3335</v>
      </c>
      <c r="M1294" s="170"/>
      <c r="N1294" s="294">
        <v>1</v>
      </c>
      <c r="O1294" s="170"/>
    </row>
    <row r="1295" ht="15.75" customHeight="1" spans="1:15">
      <c r="A1295" s="183" t="str">
        <f>VLOOKUP(F1295,数据集标准分类!A:G,7,0)</f>
        <v>06</v>
      </c>
      <c r="B1295" s="183" t="str">
        <f>VLOOKUP(F1295,数据集标准分类!A:F,6,0)</f>
        <v>护理病历</v>
      </c>
      <c r="C1295" s="183" t="str">
        <f>VLOOKUP(F1295,数据集标准分类!A:E,5,0)</f>
        <v>0602</v>
      </c>
      <c r="D1295" s="183" t="str">
        <f>VLOOKUP(F1295,数据集标准分类!A:D,4,0)</f>
        <v>护理评估</v>
      </c>
      <c r="E1295" s="183" t="str">
        <f>VLOOKUP(F1295,数据集标准分类!A:C,3,0)</f>
        <v>060205</v>
      </c>
      <c r="F1295" s="170" t="s">
        <v>3347</v>
      </c>
      <c r="G1295" s="183" t="str">
        <f>VLOOKUP(F1295,数据集标准分类!A:B,2,0)</f>
        <v>jilipg</v>
      </c>
      <c r="H1295" s="294">
        <f>VLOOKUP(F1295,数据集标准分类!A:H,8,0)</f>
        <v>74</v>
      </c>
      <c r="I1295" s="170" t="s">
        <v>3192</v>
      </c>
      <c r="J1295" s="170" t="s">
        <v>3193</v>
      </c>
      <c r="K1295" s="170" t="s">
        <v>3194</v>
      </c>
      <c r="L1295" s="170" t="s">
        <v>3195</v>
      </c>
      <c r="M1295" s="170"/>
      <c r="N1295" s="294">
        <v>2</v>
      </c>
      <c r="O1295" s="170"/>
    </row>
    <row r="1296" ht="15.75" customHeight="1" spans="1:15">
      <c r="A1296" s="183" t="str">
        <f>VLOOKUP(F1296,数据集标准分类!A:G,7,0)</f>
        <v>06</v>
      </c>
      <c r="B1296" s="183" t="str">
        <f>VLOOKUP(F1296,数据集标准分类!A:F,6,0)</f>
        <v>护理病历</v>
      </c>
      <c r="C1296" s="183" t="str">
        <f>VLOOKUP(F1296,数据集标准分类!A:E,5,0)</f>
        <v>0602</v>
      </c>
      <c r="D1296" s="183" t="str">
        <f>VLOOKUP(F1296,数据集标准分类!A:D,4,0)</f>
        <v>护理评估</v>
      </c>
      <c r="E1296" s="183" t="str">
        <f>VLOOKUP(F1296,数据集标准分类!A:C,3,0)</f>
        <v>060205</v>
      </c>
      <c r="F1296" s="170" t="s">
        <v>3347</v>
      </c>
      <c r="G1296" s="183" t="str">
        <f>VLOOKUP(F1296,数据集标准分类!A:B,2,0)</f>
        <v>jilipg</v>
      </c>
      <c r="H1296" s="294">
        <f>VLOOKUP(F1296,数据集标准分类!A:H,8,0)</f>
        <v>74</v>
      </c>
      <c r="I1296" s="170" t="s">
        <v>3196</v>
      </c>
      <c r="J1296" s="170" t="s">
        <v>3197</v>
      </c>
      <c r="K1296" s="170" t="s">
        <v>3198</v>
      </c>
      <c r="L1296" s="170" t="s">
        <v>3348</v>
      </c>
      <c r="M1296" s="170"/>
      <c r="N1296" s="294">
        <v>3</v>
      </c>
      <c r="O1296" s="170"/>
    </row>
    <row r="1297" ht="15.75" customHeight="1" spans="1:15">
      <c r="A1297" s="183" t="str">
        <f>VLOOKUP(F1297,数据集标准分类!A:G,7,0)</f>
        <v>06</v>
      </c>
      <c r="B1297" s="183" t="str">
        <f>VLOOKUP(F1297,数据集标准分类!A:F,6,0)</f>
        <v>护理病历</v>
      </c>
      <c r="C1297" s="183" t="str">
        <f>VLOOKUP(F1297,数据集标准分类!A:E,5,0)</f>
        <v>0602</v>
      </c>
      <c r="D1297" s="183" t="str">
        <f>VLOOKUP(F1297,数据集标准分类!A:D,4,0)</f>
        <v>护理评估</v>
      </c>
      <c r="E1297" s="183" t="str">
        <f>VLOOKUP(F1297,数据集标准分类!A:C,3,0)</f>
        <v>060205</v>
      </c>
      <c r="F1297" s="170" t="s">
        <v>3347</v>
      </c>
      <c r="G1297" s="183" t="str">
        <f>VLOOKUP(F1297,数据集标准分类!A:B,2,0)</f>
        <v>jilipg</v>
      </c>
      <c r="H1297" s="294">
        <f>VLOOKUP(F1297,数据集标准分类!A:H,8,0)</f>
        <v>74</v>
      </c>
      <c r="I1297" s="170" t="s">
        <v>1774</v>
      </c>
      <c r="J1297" s="170" t="s">
        <v>1775</v>
      </c>
      <c r="K1297" s="170" t="s">
        <v>1776</v>
      </c>
      <c r="L1297" s="170" t="s">
        <v>1777</v>
      </c>
      <c r="M1297" s="170"/>
      <c r="N1297" s="294">
        <v>4</v>
      </c>
      <c r="O1297" s="170"/>
    </row>
    <row r="1298" ht="15.75" customHeight="1" spans="1:15">
      <c r="A1298" s="183" t="str">
        <f>VLOOKUP(F1298,数据集标准分类!A:G,7,0)</f>
        <v>06</v>
      </c>
      <c r="B1298" s="183" t="str">
        <f>VLOOKUP(F1298,数据集标准分类!A:F,6,0)</f>
        <v>护理病历</v>
      </c>
      <c r="C1298" s="183" t="str">
        <f>VLOOKUP(F1298,数据集标准分类!A:E,5,0)</f>
        <v>0602</v>
      </c>
      <c r="D1298" s="183" t="str">
        <f>VLOOKUP(F1298,数据集标准分类!A:D,4,0)</f>
        <v>护理评估</v>
      </c>
      <c r="E1298" s="183" t="str">
        <f>VLOOKUP(F1298,数据集标准分类!A:C,3,0)</f>
        <v>060205</v>
      </c>
      <c r="F1298" s="170" t="s">
        <v>3347</v>
      </c>
      <c r="G1298" s="183" t="str">
        <f>VLOOKUP(F1298,数据集标准分类!A:B,2,0)</f>
        <v>jilipg</v>
      </c>
      <c r="H1298" s="294">
        <f>VLOOKUP(F1298,数据集标准分类!A:H,8,0)</f>
        <v>74</v>
      </c>
      <c r="I1298" s="170" t="s">
        <v>3328</v>
      </c>
      <c r="J1298" s="170" t="s">
        <v>3329</v>
      </c>
      <c r="K1298" s="170" t="s">
        <v>3330</v>
      </c>
      <c r="L1298" s="170" t="s">
        <v>3346</v>
      </c>
      <c r="M1298" s="170"/>
      <c r="N1298" s="294">
        <v>5</v>
      </c>
      <c r="O1298" s="170"/>
    </row>
    <row r="1299" ht="15.75" customHeight="1" spans="1:15">
      <c r="A1299" s="183" t="str">
        <f>VLOOKUP(F1299,数据集标准分类!A:G,7,0)</f>
        <v>06</v>
      </c>
      <c r="B1299" s="183" t="str">
        <f>VLOOKUP(F1299,数据集标准分类!A:F,6,0)</f>
        <v>护理病历</v>
      </c>
      <c r="C1299" s="183" t="str">
        <f>VLOOKUP(F1299,数据集标准分类!A:E,5,0)</f>
        <v>0602</v>
      </c>
      <c r="D1299" s="183" t="str">
        <f>VLOOKUP(F1299,数据集标准分类!A:D,4,0)</f>
        <v>护理评估</v>
      </c>
      <c r="E1299" s="183" t="str">
        <f>VLOOKUP(F1299,数据集标准分类!A:C,3,0)</f>
        <v>060206</v>
      </c>
      <c r="F1299" s="170" t="s">
        <v>3349</v>
      </c>
      <c r="G1299" s="183" t="str">
        <f>VLOOKUP(F1299,数据集标准分类!A:B,2,0)</f>
        <v>inp_assessment_mrcjili</v>
      </c>
      <c r="H1299" s="294">
        <f>VLOOKUP(F1299,数据集标准分类!A:H,8,0)</f>
        <v>75</v>
      </c>
      <c r="I1299" s="170" t="s">
        <v>3196</v>
      </c>
      <c r="J1299" s="170" t="s">
        <v>3197</v>
      </c>
      <c r="K1299" s="170" t="s">
        <v>3198</v>
      </c>
      <c r="L1299" s="170" t="s">
        <v>2740</v>
      </c>
      <c r="M1299" s="170"/>
      <c r="N1299" s="294">
        <v>1</v>
      </c>
      <c r="O1299" s="170"/>
    </row>
    <row r="1300" ht="15.75" customHeight="1" spans="1:15">
      <c r="A1300" s="183" t="str">
        <f>VLOOKUP(F1300,数据集标准分类!A:G,7,0)</f>
        <v>06</v>
      </c>
      <c r="B1300" s="183" t="str">
        <f>VLOOKUP(F1300,数据集标准分类!A:F,6,0)</f>
        <v>护理病历</v>
      </c>
      <c r="C1300" s="183" t="str">
        <f>VLOOKUP(F1300,数据集标准分类!A:E,5,0)</f>
        <v>0602</v>
      </c>
      <c r="D1300" s="183" t="str">
        <f>VLOOKUP(F1300,数据集标准分类!A:D,4,0)</f>
        <v>护理评估</v>
      </c>
      <c r="E1300" s="183" t="str">
        <f>VLOOKUP(F1300,数据集标准分类!A:C,3,0)</f>
        <v>060206</v>
      </c>
      <c r="F1300" s="170" t="s">
        <v>3349</v>
      </c>
      <c r="G1300" s="183" t="str">
        <f>VLOOKUP(F1300,数据集标准分类!A:B,2,0)</f>
        <v>inp_assessment_mrcjili</v>
      </c>
      <c r="H1300" s="294">
        <f>VLOOKUP(F1300,数据集标准分类!A:H,8,0)</f>
        <v>75</v>
      </c>
      <c r="I1300" s="170" t="s">
        <v>3199</v>
      </c>
      <c r="J1300" s="170" t="s">
        <v>3200</v>
      </c>
      <c r="K1300" s="170" t="s">
        <v>3201</v>
      </c>
      <c r="L1300" s="170" t="s">
        <v>3202</v>
      </c>
      <c r="M1300" s="170"/>
      <c r="N1300" s="294">
        <v>2</v>
      </c>
      <c r="O1300" s="170"/>
    </row>
    <row r="1301" ht="15.75" customHeight="1" spans="1:15">
      <c r="A1301" s="183" t="str">
        <f>VLOOKUP(F1301,数据集标准分类!A:G,7,0)</f>
        <v>06</v>
      </c>
      <c r="B1301" s="183" t="str">
        <f>VLOOKUP(F1301,数据集标准分类!A:F,6,0)</f>
        <v>护理病历</v>
      </c>
      <c r="C1301" s="183" t="str">
        <f>VLOOKUP(F1301,数据集标准分类!A:E,5,0)</f>
        <v>0602</v>
      </c>
      <c r="D1301" s="183" t="str">
        <f>VLOOKUP(F1301,数据集标准分类!A:D,4,0)</f>
        <v>护理评估</v>
      </c>
      <c r="E1301" s="183" t="str">
        <f>VLOOKUP(F1301,数据集标准分类!A:C,3,0)</f>
        <v>060206</v>
      </c>
      <c r="F1301" s="170" t="s">
        <v>3349</v>
      </c>
      <c r="G1301" s="183" t="str">
        <f>VLOOKUP(F1301,数据集标准分类!A:B,2,0)</f>
        <v>inp_assessment_mrcjili</v>
      </c>
      <c r="H1301" s="294">
        <f>VLOOKUP(F1301,数据集标准分类!A:H,8,0)</f>
        <v>75</v>
      </c>
      <c r="I1301" s="170" t="s">
        <v>1774</v>
      </c>
      <c r="J1301" s="170" t="s">
        <v>1775</v>
      </c>
      <c r="K1301" s="170" t="s">
        <v>1776</v>
      </c>
      <c r="L1301" s="170" t="s">
        <v>1777</v>
      </c>
      <c r="M1301" s="170"/>
      <c r="N1301" s="294">
        <v>3</v>
      </c>
      <c r="O1301" s="170"/>
    </row>
    <row r="1302" ht="15.75" customHeight="1" spans="1:15">
      <c r="A1302" s="183" t="str">
        <f>VLOOKUP(F1302,数据集标准分类!A:G,7,0)</f>
        <v>06</v>
      </c>
      <c r="B1302" s="183" t="str">
        <f>VLOOKUP(F1302,数据集标准分类!A:F,6,0)</f>
        <v>护理病历</v>
      </c>
      <c r="C1302" s="183" t="str">
        <f>VLOOKUP(F1302,数据集标准分类!A:E,5,0)</f>
        <v>0602</v>
      </c>
      <c r="D1302" s="183" t="str">
        <f>VLOOKUP(F1302,数据集标准分类!A:D,4,0)</f>
        <v>护理评估</v>
      </c>
      <c r="E1302" s="183" t="str">
        <f>VLOOKUP(F1302,数据集标准分类!A:C,3,0)</f>
        <v>060206</v>
      </c>
      <c r="F1302" s="170" t="s">
        <v>3349</v>
      </c>
      <c r="G1302" s="183" t="str">
        <f>VLOOKUP(F1302,数据集标准分类!A:B,2,0)</f>
        <v>inp_assessment_mrcjili</v>
      </c>
      <c r="H1302" s="294">
        <f>VLOOKUP(F1302,数据集标准分类!A:H,8,0)</f>
        <v>75</v>
      </c>
      <c r="I1302" s="170" t="s">
        <v>3192</v>
      </c>
      <c r="J1302" s="170" t="s">
        <v>3193</v>
      </c>
      <c r="K1302" s="170" t="s">
        <v>3194</v>
      </c>
      <c r="L1302" s="170" t="s">
        <v>3195</v>
      </c>
      <c r="M1302" s="170"/>
      <c r="N1302" s="294">
        <v>4</v>
      </c>
      <c r="O1302" s="170"/>
    </row>
    <row r="1303" ht="15.75" customHeight="1" spans="1:15">
      <c r="A1303" s="183" t="str">
        <f>VLOOKUP(F1303,数据集标准分类!A:G,7,0)</f>
        <v>06</v>
      </c>
      <c r="B1303" s="183" t="str">
        <f>VLOOKUP(F1303,数据集标准分类!A:F,6,0)</f>
        <v>护理病历</v>
      </c>
      <c r="C1303" s="183" t="str">
        <f>VLOOKUP(F1303,数据集标准分类!A:E,5,0)</f>
        <v>0602</v>
      </c>
      <c r="D1303" s="183" t="str">
        <f>VLOOKUP(F1303,数据集标准分类!A:D,4,0)</f>
        <v>护理评估</v>
      </c>
      <c r="E1303" s="183" t="str">
        <f>VLOOKUP(F1303,数据集标准分类!A:C,3,0)</f>
        <v>060207</v>
      </c>
      <c r="F1303" s="297" t="s">
        <v>3350</v>
      </c>
      <c r="G1303" s="183" t="str">
        <f>VLOOKUP(F1303,数据集标准分类!A:B,2,0)</f>
        <v>physical_restraint_management</v>
      </c>
      <c r="H1303" s="294">
        <f>VLOOKUP(F1303,数据集标准分类!A:H,8,0)</f>
        <v>76</v>
      </c>
      <c r="I1303" s="304" t="s">
        <v>3192</v>
      </c>
      <c r="J1303" s="170" t="s">
        <v>3193</v>
      </c>
      <c r="K1303" s="170" t="s">
        <v>3194</v>
      </c>
      <c r="L1303" s="304" t="s">
        <v>3195</v>
      </c>
      <c r="M1303" s="301"/>
      <c r="N1303" s="183" t="s">
        <v>3351</v>
      </c>
      <c r="O1303" s="303"/>
    </row>
    <row r="1304" ht="15.75" customHeight="1" spans="1:15">
      <c r="A1304" s="183" t="str">
        <f>VLOOKUP(F1304,数据集标准分类!A:G,7,0)</f>
        <v>06</v>
      </c>
      <c r="B1304" s="183" t="str">
        <f>VLOOKUP(F1304,数据集标准分类!A:F,6,0)</f>
        <v>护理病历</v>
      </c>
      <c r="C1304" s="183" t="str">
        <f>VLOOKUP(F1304,数据集标准分类!A:E,5,0)</f>
        <v>0602</v>
      </c>
      <c r="D1304" s="183" t="str">
        <f>VLOOKUP(F1304,数据集标准分类!A:D,4,0)</f>
        <v>护理评估</v>
      </c>
      <c r="E1304" s="183" t="str">
        <f>VLOOKUP(F1304,数据集标准分类!A:C,3,0)</f>
        <v>060207</v>
      </c>
      <c r="F1304" s="297" t="s">
        <v>3350</v>
      </c>
      <c r="G1304" s="183" t="str">
        <f>VLOOKUP(F1304,数据集标准分类!A:B,2,0)</f>
        <v>physical_restraint_management</v>
      </c>
      <c r="H1304" s="294">
        <f>VLOOKUP(F1304,数据集标准分类!A:H,8,0)</f>
        <v>76</v>
      </c>
      <c r="I1304" s="304" t="s">
        <v>1597</v>
      </c>
      <c r="J1304" s="170" t="s">
        <v>1598</v>
      </c>
      <c r="K1304" s="170" t="s">
        <v>1599</v>
      </c>
      <c r="L1304" s="304" t="s">
        <v>1600</v>
      </c>
      <c r="M1304" s="301"/>
      <c r="N1304" s="183" t="s">
        <v>3352</v>
      </c>
      <c r="O1304" s="303"/>
    </row>
    <row r="1305" ht="15.75" customHeight="1" spans="1:15">
      <c r="A1305" s="183" t="str">
        <f>VLOOKUP(F1305,数据集标准分类!A:G,7,0)</f>
        <v>06</v>
      </c>
      <c r="B1305" s="183" t="str">
        <f>VLOOKUP(F1305,数据集标准分类!A:F,6,0)</f>
        <v>护理病历</v>
      </c>
      <c r="C1305" s="183" t="str">
        <f>VLOOKUP(F1305,数据集标准分类!A:E,5,0)</f>
        <v>0602</v>
      </c>
      <c r="D1305" s="183" t="str">
        <f>VLOOKUP(F1305,数据集标准分类!A:D,4,0)</f>
        <v>护理评估</v>
      </c>
      <c r="E1305" s="183" t="str">
        <f>VLOOKUP(F1305,数据集标准分类!A:C,3,0)</f>
        <v>060207</v>
      </c>
      <c r="F1305" s="297" t="s">
        <v>3350</v>
      </c>
      <c r="G1305" s="183" t="str">
        <f>VLOOKUP(F1305,数据集标准分类!A:B,2,0)</f>
        <v>physical_restraint_management</v>
      </c>
      <c r="H1305" s="294">
        <f>VLOOKUP(F1305,数据集标准分类!A:H,8,0)</f>
        <v>76</v>
      </c>
      <c r="I1305" s="304" t="s">
        <v>1774</v>
      </c>
      <c r="J1305" s="170" t="s">
        <v>1775</v>
      </c>
      <c r="K1305" s="170" t="s">
        <v>1776</v>
      </c>
      <c r="L1305" s="304" t="s">
        <v>1777</v>
      </c>
      <c r="M1305" s="301"/>
      <c r="N1305" s="183" t="s">
        <v>3353</v>
      </c>
      <c r="O1305" s="303"/>
    </row>
    <row r="1306" ht="15.75" customHeight="1" spans="1:15">
      <c r="A1306" s="183" t="str">
        <f>VLOOKUP(F1306,数据集标准分类!A:G,7,0)</f>
        <v>06</v>
      </c>
      <c r="B1306" s="183" t="str">
        <f>VLOOKUP(F1306,数据集标准分类!A:F,6,0)</f>
        <v>护理病历</v>
      </c>
      <c r="C1306" s="183" t="str">
        <f>VLOOKUP(F1306,数据集标准分类!A:E,5,0)</f>
        <v>0602</v>
      </c>
      <c r="D1306" s="183" t="str">
        <f>VLOOKUP(F1306,数据集标准分类!A:D,4,0)</f>
        <v>护理评估</v>
      </c>
      <c r="E1306" s="183" t="str">
        <f>VLOOKUP(F1306,数据集标准分类!A:C,3,0)</f>
        <v>060208</v>
      </c>
      <c r="F1306" s="170" t="s">
        <v>3354</v>
      </c>
      <c r="G1306" s="183" t="str">
        <f>VLOOKUP(F1306,数据集标准分类!A:B,2,0)</f>
        <v>inp_assessment_adl</v>
      </c>
      <c r="H1306" s="294">
        <f>VLOOKUP(F1306,数据集标准分类!A:H,8,0)</f>
        <v>77</v>
      </c>
      <c r="I1306" s="170" t="s">
        <v>3236</v>
      </c>
      <c r="J1306" s="170" t="s">
        <v>3237</v>
      </c>
      <c r="K1306" s="170" t="s">
        <v>3238</v>
      </c>
      <c r="L1306" s="170" t="s">
        <v>3239</v>
      </c>
      <c r="M1306" s="170" t="s">
        <v>3355</v>
      </c>
      <c r="N1306" s="294">
        <v>1</v>
      </c>
      <c r="O1306" s="170"/>
    </row>
    <row r="1307" ht="15.75" customHeight="1" spans="1:15">
      <c r="A1307" s="183" t="str">
        <f>VLOOKUP(F1307,数据集标准分类!A:G,7,0)</f>
        <v>06</v>
      </c>
      <c r="B1307" s="183" t="str">
        <f>VLOOKUP(F1307,数据集标准分类!A:F,6,0)</f>
        <v>护理病历</v>
      </c>
      <c r="C1307" s="183" t="str">
        <f>VLOOKUP(F1307,数据集标准分类!A:E,5,0)</f>
        <v>0602</v>
      </c>
      <c r="D1307" s="183" t="str">
        <f>VLOOKUP(F1307,数据集标准分类!A:D,4,0)</f>
        <v>护理评估</v>
      </c>
      <c r="E1307" s="183" t="str">
        <f>VLOOKUP(F1307,数据集标准分类!A:C,3,0)</f>
        <v>060208</v>
      </c>
      <c r="F1307" s="170" t="s">
        <v>3354</v>
      </c>
      <c r="G1307" s="183" t="str">
        <f>VLOOKUP(F1307,数据集标准分类!A:B,2,0)</f>
        <v>inp_assessment_adl</v>
      </c>
      <c r="H1307" s="294">
        <f>VLOOKUP(F1307,数据集标准分类!A:H,8,0)</f>
        <v>77</v>
      </c>
      <c r="I1307" s="170" t="s">
        <v>3196</v>
      </c>
      <c r="J1307" s="170" t="s">
        <v>3197</v>
      </c>
      <c r="K1307" s="170" t="s">
        <v>3198</v>
      </c>
      <c r="L1307" s="170" t="s">
        <v>2740</v>
      </c>
      <c r="M1307" s="170" t="s">
        <v>3356</v>
      </c>
      <c r="N1307" s="294">
        <v>2</v>
      </c>
      <c r="O1307" s="170"/>
    </row>
    <row r="1308" ht="15.75" customHeight="1" spans="1:15">
      <c r="A1308" s="183" t="str">
        <f>VLOOKUP(F1308,数据集标准分类!A:G,7,0)</f>
        <v>06</v>
      </c>
      <c r="B1308" s="183" t="str">
        <f>VLOOKUP(F1308,数据集标准分类!A:F,6,0)</f>
        <v>护理病历</v>
      </c>
      <c r="C1308" s="183" t="str">
        <f>VLOOKUP(F1308,数据集标准分类!A:E,5,0)</f>
        <v>0602</v>
      </c>
      <c r="D1308" s="183" t="str">
        <f>VLOOKUP(F1308,数据集标准分类!A:D,4,0)</f>
        <v>护理评估</v>
      </c>
      <c r="E1308" s="183" t="str">
        <f>VLOOKUP(F1308,数据集标准分类!A:C,3,0)</f>
        <v>060208</v>
      </c>
      <c r="F1308" s="170" t="s">
        <v>3354</v>
      </c>
      <c r="G1308" s="183" t="str">
        <f>VLOOKUP(F1308,数据集标准分类!A:B,2,0)</f>
        <v>inp_assessment_adl</v>
      </c>
      <c r="H1308" s="294">
        <f>VLOOKUP(F1308,数据集标准分类!A:H,8,0)</f>
        <v>77</v>
      </c>
      <c r="I1308" s="170" t="s">
        <v>3199</v>
      </c>
      <c r="J1308" s="170" t="s">
        <v>3200</v>
      </c>
      <c r="K1308" s="170" t="s">
        <v>3201</v>
      </c>
      <c r="L1308" s="170" t="s">
        <v>3202</v>
      </c>
      <c r="M1308" s="170" t="s">
        <v>3357</v>
      </c>
      <c r="N1308" s="294">
        <v>3</v>
      </c>
      <c r="O1308" s="170"/>
    </row>
    <row r="1309" ht="15.75" customHeight="1" spans="1:15">
      <c r="A1309" s="183" t="str">
        <f>VLOOKUP(F1309,数据集标准分类!A:G,7,0)</f>
        <v>06</v>
      </c>
      <c r="B1309" s="183" t="str">
        <f>VLOOKUP(F1309,数据集标准分类!A:F,6,0)</f>
        <v>护理病历</v>
      </c>
      <c r="C1309" s="183" t="str">
        <f>VLOOKUP(F1309,数据集标准分类!A:E,5,0)</f>
        <v>0602</v>
      </c>
      <c r="D1309" s="183" t="str">
        <f>VLOOKUP(F1309,数据集标准分类!A:D,4,0)</f>
        <v>护理评估</v>
      </c>
      <c r="E1309" s="183" t="str">
        <f>VLOOKUP(F1309,数据集标准分类!A:C,3,0)</f>
        <v>060208</v>
      </c>
      <c r="F1309" s="170" t="s">
        <v>3354</v>
      </c>
      <c r="G1309" s="183" t="str">
        <f>VLOOKUP(F1309,数据集标准分类!A:B,2,0)</f>
        <v>inp_assessment_adl</v>
      </c>
      <c r="H1309" s="294">
        <f>VLOOKUP(F1309,数据集标准分类!A:H,8,0)</f>
        <v>77</v>
      </c>
      <c r="I1309" s="170" t="s">
        <v>3244</v>
      </c>
      <c r="J1309" s="170" t="s">
        <v>3245</v>
      </c>
      <c r="K1309" s="170" t="s">
        <v>3246</v>
      </c>
      <c r="L1309" s="170" t="s">
        <v>3247</v>
      </c>
      <c r="M1309" s="170" t="s">
        <v>3358</v>
      </c>
      <c r="N1309" s="294">
        <v>4</v>
      </c>
      <c r="O1309" s="170"/>
    </row>
    <row r="1310" ht="15.75" customHeight="1" spans="1:15">
      <c r="A1310" s="183" t="str">
        <f>VLOOKUP(F1310,数据集标准分类!A:G,7,0)</f>
        <v>06</v>
      </c>
      <c r="B1310" s="183" t="str">
        <f>VLOOKUP(F1310,数据集标准分类!A:F,6,0)</f>
        <v>护理病历</v>
      </c>
      <c r="C1310" s="183" t="str">
        <f>VLOOKUP(F1310,数据集标准分类!A:E,5,0)</f>
        <v>0602</v>
      </c>
      <c r="D1310" s="183" t="str">
        <f>VLOOKUP(F1310,数据集标准分类!A:D,4,0)</f>
        <v>护理评估</v>
      </c>
      <c r="E1310" s="183" t="str">
        <f>VLOOKUP(F1310,数据集标准分类!A:C,3,0)</f>
        <v>060208</v>
      </c>
      <c r="F1310" s="170" t="s">
        <v>3354</v>
      </c>
      <c r="G1310" s="183" t="str">
        <f>VLOOKUP(F1310,数据集标准分类!A:B,2,0)</f>
        <v>inp_assessment_adl</v>
      </c>
      <c r="H1310" s="294">
        <f>VLOOKUP(F1310,数据集标准分类!A:H,8,0)</f>
        <v>77</v>
      </c>
      <c r="I1310" s="170" t="s">
        <v>3192</v>
      </c>
      <c r="J1310" s="170" t="s">
        <v>3193</v>
      </c>
      <c r="K1310" s="170" t="s">
        <v>3194</v>
      </c>
      <c r="L1310" s="170" t="s">
        <v>3195</v>
      </c>
      <c r="M1310" s="170" t="s">
        <v>3195</v>
      </c>
      <c r="N1310" s="294">
        <v>5</v>
      </c>
      <c r="O1310" s="170"/>
    </row>
    <row r="1311" ht="15.75" customHeight="1" spans="1:15">
      <c r="A1311" s="183" t="str">
        <f>VLOOKUP(F1311,数据集标准分类!A:G,7,0)</f>
        <v>06</v>
      </c>
      <c r="B1311" s="183" t="str">
        <f>VLOOKUP(F1311,数据集标准分类!A:F,6,0)</f>
        <v>护理病历</v>
      </c>
      <c r="C1311" s="183" t="str">
        <f>VLOOKUP(F1311,数据集标准分类!A:E,5,0)</f>
        <v>0602</v>
      </c>
      <c r="D1311" s="183" t="str">
        <f>VLOOKUP(F1311,数据集标准分类!A:D,4,0)</f>
        <v>护理评估</v>
      </c>
      <c r="E1311" s="183" t="str">
        <f>VLOOKUP(F1311,数据集标准分类!A:C,3,0)</f>
        <v>060208</v>
      </c>
      <c r="F1311" s="170" t="s">
        <v>3354</v>
      </c>
      <c r="G1311" s="183" t="str">
        <f>VLOOKUP(F1311,数据集标准分类!A:B,2,0)</f>
        <v>inp_assessment_adl</v>
      </c>
      <c r="H1311" s="294">
        <f>VLOOKUP(F1311,数据集标准分类!A:H,8,0)</f>
        <v>77</v>
      </c>
      <c r="I1311" s="170" t="s">
        <v>1774</v>
      </c>
      <c r="J1311" s="170" t="s">
        <v>1775</v>
      </c>
      <c r="K1311" s="170" t="s">
        <v>1776</v>
      </c>
      <c r="L1311" s="170" t="s">
        <v>1777</v>
      </c>
      <c r="M1311" s="170" t="s">
        <v>1777</v>
      </c>
      <c r="N1311" s="294">
        <v>6</v>
      </c>
      <c r="O1311" s="170"/>
    </row>
    <row r="1312" ht="15.75" customHeight="1" spans="1:15">
      <c r="A1312" s="183" t="str">
        <f>VLOOKUP(F1312,数据集标准分类!A:G,7,0)</f>
        <v>06</v>
      </c>
      <c r="B1312" s="183" t="str">
        <f>VLOOKUP(F1312,数据集标准分类!A:F,6,0)</f>
        <v>护理病历</v>
      </c>
      <c r="C1312" s="183" t="str">
        <f>VLOOKUP(F1312,数据集标准分类!A:E,5,0)</f>
        <v>0602</v>
      </c>
      <c r="D1312" s="183" t="str">
        <f>VLOOKUP(F1312,数据集标准分类!A:D,4,0)</f>
        <v>护理评估</v>
      </c>
      <c r="E1312" s="183" t="str">
        <f>VLOOKUP(F1312,数据集标准分类!A:C,3,0)</f>
        <v>060208</v>
      </c>
      <c r="F1312" s="170" t="s">
        <v>3354</v>
      </c>
      <c r="G1312" s="183" t="str">
        <f>VLOOKUP(F1312,数据集标准分类!A:B,2,0)</f>
        <v>inp_assessment_adl</v>
      </c>
      <c r="H1312" s="294">
        <f>VLOOKUP(F1312,数据集标准分类!A:H,8,0)</f>
        <v>77</v>
      </c>
      <c r="I1312" s="170" t="s">
        <v>3240</v>
      </c>
      <c r="J1312" s="170" t="s">
        <v>3241</v>
      </c>
      <c r="K1312" s="170" t="s">
        <v>3242</v>
      </c>
      <c r="L1312" s="170" t="s">
        <v>3243</v>
      </c>
      <c r="M1312" s="170" t="s">
        <v>3359</v>
      </c>
      <c r="N1312" s="294">
        <v>7</v>
      </c>
      <c r="O1312" s="170"/>
    </row>
    <row r="1313" ht="15.75" customHeight="1" spans="1:15">
      <c r="A1313" s="183" t="str">
        <f>VLOOKUP(F1313,数据集标准分类!A:G,7,0)</f>
        <v>06</v>
      </c>
      <c r="B1313" s="183" t="str">
        <f>VLOOKUP(F1313,数据集标准分类!A:F,6,0)</f>
        <v>护理病历</v>
      </c>
      <c r="C1313" s="183" t="str">
        <f>VLOOKUP(F1313,数据集标准分类!A:E,5,0)</f>
        <v>0602</v>
      </c>
      <c r="D1313" s="183" t="str">
        <f>VLOOKUP(F1313,数据集标准分类!A:D,4,0)</f>
        <v>护理评估</v>
      </c>
      <c r="E1313" s="183" t="str">
        <f>VLOOKUP(F1313,数据集标准分类!A:C,3,0)</f>
        <v>060209</v>
      </c>
      <c r="F1313" s="297" t="s">
        <v>3360</v>
      </c>
      <c r="G1313" s="183" t="str">
        <f>VLOOKUP(F1313,数据集标准分类!A:B,2,0)</f>
        <v>triple_assessment</v>
      </c>
      <c r="H1313" s="294">
        <f>VLOOKUP(F1313,数据集标准分类!A:H,8,0)</f>
        <v>78</v>
      </c>
      <c r="I1313" s="297" t="s">
        <v>3192</v>
      </c>
      <c r="J1313" s="297" t="s">
        <v>3193</v>
      </c>
      <c r="K1313" s="297" t="s">
        <v>3194</v>
      </c>
      <c r="L1313" s="297" t="s">
        <v>3195</v>
      </c>
      <c r="M1313" s="301"/>
      <c r="N1313" s="183" t="s">
        <v>3351</v>
      </c>
      <c r="O1313" s="170"/>
    </row>
    <row r="1314" ht="15.75" customHeight="1" spans="1:15">
      <c r="A1314" s="183" t="str">
        <f>VLOOKUP(F1314,数据集标准分类!A:G,7,0)</f>
        <v>06</v>
      </c>
      <c r="B1314" s="183" t="str">
        <f>VLOOKUP(F1314,数据集标准分类!A:F,6,0)</f>
        <v>护理病历</v>
      </c>
      <c r="C1314" s="183" t="str">
        <f>VLOOKUP(F1314,数据集标准分类!A:E,5,0)</f>
        <v>0602</v>
      </c>
      <c r="D1314" s="183" t="str">
        <f>VLOOKUP(F1314,数据集标准分类!A:D,4,0)</f>
        <v>护理评估</v>
      </c>
      <c r="E1314" s="183" t="str">
        <f>VLOOKUP(F1314,数据集标准分类!A:C,3,0)</f>
        <v>060209</v>
      </c>
      <c r="F1314" s="297" t="s">
        <v>3360</v>
      </c>
      <c r="G1314" s="183" t="str">
        <f>VLOOKUP(F1314,数据集标准分类!A:B,2,0)</f>
        <v>triple_assessment</v>
      </c>
      <c r="H1314" s="294">
        <f>VLOOKUP(F1314,数据集标准分类!A:H,8,0)</f>
        <v>78</v>
      </c>
      <c r="I1314" s="297" t="s">
        <v>3361</v>
      </c>
      <c r="J1314" s="297" t="s">
        <v>3362</v>
      </c>
      <c r="K1314" s="297" t="s">
        <v>3363</v>
      </c>
      <c r="L1314" s="297" t="s">
        <v>3364</v>
      </c>
      <c r="M1314" s="301"/>
      <c r="N1314" s="183" t="s">
        <v>3352</v>
      </c>
      <c r="O1314" s="170"/>
    </row>
    <row r="1315" ht="15.75" customHeight="1" spans="1:15">
      <c r="A1315" s="183" t="str">
        <f>VLOOKUP(F1315,数据集标准分类!A:G,7,0)</f>
        <v>06</v>
      </c>
      <c r="B1315" s="183" t="str">
        <f>VLOOKUP(F1315,数据集标准分类!A:F,6,0)</f>
        <v>护理病历</v>
      </c>
      <c r="C1315" s="183" t="str">
        <f>VLOOKUP(F1315,数据集标准分类!A:E,5,0)</f>
        <v>0602</v>
      </c>
      <c r="D1315" s="183" t="str">
        <f>VLOOKUP(F1315,数据集标准分类!A:D,4,0)</f>
        <v>护理评估</v>
      </c>
      <c r="E1315" s="183" t="str">
        <f>VLOOKUP(F1315,数据集标准分类!A:C,3,0)</f>
        <v>060209</v>
      </c>
      <c r="F1315" s="297" t="s">
        <v>3360</v>
      </c>
      <c r="G1315" s="183" t="str">
        <f>VLOOKUP(F1315,数据集标准分类!A:B,2,0)</f>
        <v>triple_assessment</v>
      </c>
      <c r="H1315" s="294">
        <f>VLOOKUP(F1315,数据集标准分类!A:H,8,0)</f>
        <v>78</v>
      </c>
      <c r="I1315" s="297" t="s">
        <v>1496</v>
      </c>
      <c r="J1315" s="297" t="s">
        <v>1497</v>
      </c>
      <c r="K1315" s="297" t="s">
        <v>1498</v>
      </c>
      <c r="L1315" s="297" t="s">
        <v>1499</v>
      </c>
      <c r="M1315" s="301"/>
      <c r="N1315" s="183" t="s">
        <v>3353</v>
      </c>
      <c r="O1315" s="170"/>
    </row>
    <row r="1316" ht="15.75" customHeight="1" spans="1:15">
      <c r="A1316" s="183" t="str">
        <f>VLOOKUP(F1316,数据集标准分类!A:G,7,0)</f>
        <v>06</v>
      </c>
      <c r="B1316" s="183" t="str">
        <f>VLOOKUP(F1316,数据集标准分类!A:F,6,0)</f>
        <v>护理病历</v>
      </c>
      <c r="C1316" s="183" t="str">
        <f>VLOOKUP(F1316,数据集标准分类!A:E,5,0)</f>
        <v>0602</v>
      </c>
      <c r="D1316" s="183" t="str">
        <f>VLOOKUP(F1316,数据集标准分类!A:D,4,0)</f>
        <v>护理评估</v>
      </c>
      <c r="E1316" s="183" t="str">
        <f>VLOOKUP(F1316,数据集标准分类!A:C,3,0)</f>
        <v>060209</v>
      </c>
      <c r="F1316" s="297" t="s">
        <v>3360</v>
      </c>
      <c r="G1316" s="183" t="str">
        <f>VLOOKUP(F1316,数据集标准分类!A:B,2,0)</f>
        <v>triple_assessment</v>
      </c>
      <c r="H1316" s="294">
        <f>VLOOKUP(F1316,数据集标准分类!A:H,8,0)</f>
        <v>78</v>
      </c>
      <c r="I1316" s="297" t="s">
        <v>3199</v>
      </c>
      <c r="J1316" s="297" t="s">
        <v>3200</v>
      </c>
      <c r="K1316" s="297" t="s">
        <v>3201</v>
      </c>
      <c r="L1316" s="297" t="s">
        <v>3202</v>
      </c>
      <c r="M1316" s="301"/>
      <c r="N1316" s="183" t="s">
        <v>3365</v>
      </c>
      <c r="O1316" s="170"/>
    </row>
    <row r="1317" ht="15.75" customHeight="1" spans="1:15">
      <c r="A1317" s="183" t="str">
        <f>VLOOKUP(F1317,数据集标准分类!A:G,7,0)</f>
        <v>06</v>
      </c>
      <c r="B1317" s="183" t="str">
        <f>VLOOKUP(F1317,数据集标准分类!A:F,6,0)</f>
        <v>护理病历</v>
      </c>
      <c r="C1317" s="183" t="str">
        <f>VLOOKUP(F1317,数据集标准分类!A:E,5,0)</f>
        <v>0602</v>
      </c>
      <c r="D1317" s="183" t="str">
        <f>VLOOKUP(F1317,数据集标准分类!A:D,4,0)</f>
        <v>护理评估</v>
      </c>
      <c r="E1317" s="183" t="str">
        <f>VLOOKUP(F1317,数据集标准分类!A:C,3,0)</f>
        <v>060209</v>
      </c>
      <c r="F1317" s="297" t="s">
        <v>3360</v>
      </c>
      <c r="G1317" s="183" t="str">
        <f>VLOOKUP(F1317,数据集标准分类!A:B,2,0)</f>
        <v>triple_assessment</v>
      </c>
      <c r="H1317" s="294">
        <f>VLOOKUP(F1317,数据集标准分类!A:H,8,0)</f>
        <v>78</v>
      </c>
      <c r="I1317" s="297" t="s">
        <v>3366</v>
      </c>
      <c r="J1317" s="297" t="s">
        <v>3367</v>
      </c>
      <c r="K1317" s="297" t="s">
        <v>3368</v>
      </c>
      <c r="L1317" s="297" t="s">
        <v>3369</v>
      </c>
      <c r="M1317" s="301"/>
      <c r="N1317" s="183" t="s">
        <v>3370</v>
      </c>
      <c r="O1317" s="170"/>
    </row>
    <row r="1318" ht="15.75" customHeight="1" spans="1:15">
      <c r="A1318" s="183" t="str">
        <f>VLOOKUP(F1318,数据集标准分类!A:G,7,0)</f>
        <v>06</v>
      </c>
      <c r="B1318" s="183" t="str">
        <f>VLOOKUP(F1318,数据集标准分类!A:F,6,0)</f>
        <v>护理病历</v>
      </c>
      <c r="C1318" s="183" t="str">
        <f>VLOOKUP(F1318,数据集标准分类!A:E,5,0)</f>
        <v>0602</v>
      </c>
      <c r="D1318" s="183" t="str">
        <f>VLOOKUP(F1318,数据集标准分类!A:D,4,0)</f>
        <v>护理评估</v>
      </c>
      <c r="E1318" s="183" t="str">
        <f>VLOOKUP(F1318,数据集标准分类!A:C,3,0)</f>
        <v>060209</v>
      </c>
      <c r="F1318" s="297" t="s">
        <v>3360</v>
      </c>
      <c r="G1318" s="183" t="str">
        <f>VLOOKUP(F1318,数据集标准分类!A:B,2,0)</f>
        <v>triple_assessment</v>
      </c>
      <c r="H1318" s="294">
        <f>VLOOKUP(F1318,数据集标准分类!A:H,8,0)</f>
        <v>78</v>
      </c>
      <c r="I1318" s="297" t="s">
        <v>3336</v>
      </c>
      <c r="J1318" s="297" t="s">
        <v>3337</v>
      </c>
      <c r="K1318" s="297" t="s">
        <v>3338</v>
      </c>
      <c r="L1318" s="297" t="s">
        <v>3339</v>
      </c>
      <c r="M1318" s="301"/>
      <c r="N1318" s="183" t="s">
        <v>3371</v>
      </c>
      <c r="O1318" s="170"/>
    </row>
    <row r="1319" ht="15.75" customHeight="1" spans="1:15">
      <c r="A1319" s="183" t="str">
        <f>VLOOKUP(F1319,数据集标准分类!A:G,7,0)</f>
        <v>06</v>
      </c>
      <c r="B1319" s="183" t="str">
        <f>VLOOKUP(F1319,数据集标准分类!A:F,6,0)</f>
        <v>护理病历</v>
      </c>
      <c r="C1319" s="183" t="str">
        <f>VLOOKUP(F1319,数据集标准分类!A:E,5,0)</f>
        <v>0602</v>
      </c>
      <c r="D1319" s="183" t="str">
        <f>VLOOKUP(F1319,数据集标准分类!A:D,4,0)</f>
        <v>护理评估</v>
      </c>
      <c r="E1319" s="183" t="str">
        <f>VLOOKUP(F1319,数据集标准分类!A:C,3,0)</f>
        <v>060210</v>
      </c>
      <c r="F1319" s="170" t="s">
        <v>3372</v>
      </c>
      <c r="G1319" s="183" t="str">
        <f>VLOOKUP(F1319,数据集标准分类!A:B,2,0)</f>
        <v>pain_assessment_record</v>
      </c>
      <c r="H1319" s="294">
        <f>VLOOKUP(F1319,数据集标准分类!A:H,8,0)</f>
        <v>79</v>
      </c>
      <c r="I1319" s="170" t="s">
        <v>3192</v>
      </c>
      <c r="J1319" s="170" t="s">
        <v>3193</v>
      </c>
      <c r="K1319" s="170" t="s">
        <v>3194</v>
      </c>
      <c r="L1319" s="170" t="s">
        <v>3195</v>
      </c>
      <c r="M1319" s="170"/>
      <c r="N1319" s="294">
        <v>1</v>
      </c>
      <c r="O1319" s="170"/>
    </row>
    <row r="1320" ht="15.75" customHeight="1" spans="1:15">
      <c r="A1320" s="183" t="str">
        <f>VLOOKUP(F1320,数据集标准分类!A:G,7,0)</f>
        <v>06</v>
      </c>
      <c r="B1320" s="183" t="str">
        <f>VLOOKUP(F1320,数据集标准分类!A:F,6,0)</f>
        <v>护理病历</v>
      </c>
      <c r="C1320" s="183" t="str">
        <f>VLOOKUP(F1320,数据集标准分类!A:E,5,0)</f>
        <v>0602</v>
      </c>
      <c r="D1320" s="183" t="str">
        <f>VLOOKUP(F1320,数据集标准分类!A:D,4,0)</f>
        <v>护理评估</v>
      </c>
      <c r="E1320" s="183" t="str">
        <f>VLOOKUP(F1320,数据集标准分类!A:C,3,0)</f>
        <v>060210</v>
      </c>
      <c r="F1320" s="170" t="s">
        <v>3372</v>
      </c>
      <c r="G1320" s="183" t="str">
        <f>VLOOKUP(F1320,数据集标准分类!A:B,2,0)</f>
        <v>pain_assessment_record</v>
      </c>
      <c r="H1320" s="294">
        <f>VLOOKUP(F1320,数据集标准分类!A:H,8,0)</f>
        <v>79</v>
      </c>
      <c r="I1320" s="170" t="s">
        <v>3361</v>
      </c>
      <c r="J1320" s="170" t="s">
        <v>3362</v>
      </c>
      <c r="K1320" s="170" t="s">
        <v>3363</v>
      </c>
      <c r="L1320" s="170" t="s">
        <v>3364</v>
      </c>
      <c r="M1320" s="170"/>
      <c r="N1320" s="294">
        <v>2</v>
      </c>
      <c r="O1320" s="170"/>
    </row>
    <row r="1321" ht="15.75" customHeight="1" spans="1:15">
      <c r="A1321" s="183" t="str">
        <f>VLOOKUP(F1321,数据集标准分类!A:G,7,0)</f>
        <v>06</v>
      </c>
      <c r="B1321" s="183" t="str">
        <f>VLOOKUP(F1321,数据集标准分类!A:F,6,0)</f>
        <v>护理病历</v>
      </c>
      <c r="C1321" s="183" t="str">
        <f>VLOOKUP(F1321,数据集标准分类!A:E,5,0)</f>
        <v>0602</v>
      </c>
      <c r="D1321" s="183" t="str">
        <f>VLOOKUP(F1321,数据集标准分类!A:D,4,0)</f>
        <v>护理评估</v>
      </c>
      <c r="E1321" s="183" t="str">
        <f>VLOOKUP(F1321,数据集标准分类!A:C,3,0)</f>
        <v>060210</v>
      </c>
      <c r="F1321" s="170" t="s">
        <v>3372</v>
      </c>
      <c r="G1321" s="183" t="str">
        <f>VLOOKUP(F1321,数据集标准分类!A:B,2,0)</f>
        <v>pain_assessment_record</v>
      </c>
      <c r="H1321" s="294">
        <f>VLOOKUP(F1321,数据集标准分类!A:H,8,0)</f>
        <v>79</v>
      </c>
      <c r="I1321" s="170" t="s">
        <v>1496</v>
      </c>
      <c r="J1321" s="170" t="s">
        <v>1497</v>
      </c>
      <c r="K1321" s="170" t="s">
        <v>1498</v>
      </c>
      <c r="L1321" s="170" t="s">
        <v>1499</v>
      </c>
      <c r="M1321" s="170"/>
      <c r="N1321" s="294">
        <v>3</v>
      </c>
      <c r="O1321" s="170"/>
    </row>
    <row r="1322" ht="15.75" customHeight="1" spans="1:15">
      <c r="A1322" s="183" t="str">
        <f>VLOOKUP(F1322,数据集标准分类!A:G,7,0)</f>
        <v>06</v>
      </c>
      <c r="B1322" s="183" t="str">
        <f>VLOOKUP(F1322,数据集标准分类!A:F,6,0)</f>
        <v>护理病历</v>
      </c>
      <c r="C1322" s="183" t="str">
        <f>VLOOKUP(F1322,数据集标准分类!A:E,5,0)</f>
        <v>0602</v>
      </c>
      <c r="D1322" s="183" t="str">
        <f>VLOOKUP(F1322,数据集标准分类!A:D,4,0)</f>
        <v>护理评估</v>
      </c>
      <c r="E1322" s="183" t="str">
        <f>VLOOKUP(F1322,数据集标准分类!A:C,3,0)</f>
        <v>060210</v>
      </c>
      <c r="F1322" s="170" t="s">
        <v>3372</v>
      </c>
      <c r="G1322" s="183" t="str">
        <f>VLOOKUP(F1322,数据集标准分类!A:B,2,0)</f>
        <v>pain_assessment_record</v>
      </c>
      <c r="H1322" s="294">
        <f>VLOOKUP(F1322,数据集标准分类!A:H,8,0)</f>
        <v>79</v>
      </c>
      <c r="I1322" s="170" t="s">
        <v>3199</v>
      </c>
      <c r="J1322" s="170" t="s">
        <v>3200</v>
      </c>
      <c r="K1322" s="170" t="s">
        <v>3201</v>
      </c>
      <c r="L1322" s="170" t="s">
        <v>3202</v>
      </c>
      <c r="M1322" s="170"/>
      <c r="N1322" s="294">
        <v>4</v>
      </c>
      <c r="O1322" s="170"/>
    </row>
    <row r="1323" ht="15.75" customHeight="1" spans="1:15">
      <c r="A1323" s="183" t="str">
        <f>VLOOKUP(F1323,数据集标准分类!A:G,7,0)</f>
        <v>06</v>
      </c>
      <c r="B1323" s="183" t="str">
        <f>VLOOKUP(F1323,数据集标准分类!A:F,6,0)</f>
        <v>护理病历</v>
      </c>
      <c r="C1323" s="183" t="str">
        <f>VLOOKUP(F1323,数据集标准分类!A:E,5,0)</f>
        <v>0602</v>
      </c>
      <c r="D1323" s="183" t="str">
        <f>VLOOKUP(F1323,数据集标准分类!A:D,4,0)</f>
        <v>护理评估</v>
      </c>
      <c r="E1323" s="183" t="str">
        <f>VLOOKUP(F1323,数据集标准分类!A:C,3,0)</f>
        <v>060210</v>
      </c>
      <c r="F1323" s="170" t="s">
        <v>3372</v>
      </c>
      <c r="G1323" s="183" t="str">
        <f>VLOOKUP(F1323,数据集标准分类!A:B,2,0)</f>
        <v>pain_assessment_record</v>
      </c>
      <c r="H1323" s="294">
        <f>VLOOKUP(F1323,数据集标准分类!A:H,8,0)</f>
        <v>79</v>
      </c>
      <c r="I1323" s="170" t="s">
        <v>3366</v>
      </c>
      <c r="J1323" s="170" t="s">
        <v>3367</v>
      </c>
      <c r="K1323" s="170" t="s">
        <v>3368</v>
      </c>
      <c r="L1323" s="170" t="s">
        <v>3369</v>
      </c>
      <c r="M1323" s="170"/>
      <c r="N1323" s="294">
        <v>5</v>
      </c>
      <c r="O1323" s="170"/>
    </row>
    <row r="1324" ht="15.75" customHeight="1" spans="1:15">
      <c r="A1324" s="183" t="str">
        <f>VLOOKUP(F1324,数据集标准分类!A:G,7,0)</f>
        <v>06</v>
      </c>
      <c r="B1324" s="183" t="str">
        <f>VLOOKUP(F1324,数据集标准分类!A:F,6,0)</f>
        <v>护理病历</v>
      </c>
      <c r="C1324" s="183" t="str">
        <f>VLOOKUP(F1324,数据集标准分类!A:E,5,0)</f>
        <v>0602</v>
      </c>
      <c r="D1324" s="183" t="str">
        <f>VLOOKUP(F1324,数据集标准分类!A:D,4,0)</f>
        <v>护理评估</v>
      </c>
      <c r="E1324" s="183" t="str">
        <f>VLOOKUP(F1324,数据集标准分类!A:C,3,0)</f>
        <v>060210</v>
      </c>
      <c r="F1324" s="170" t="s">
        <v>3372</v>
      </c>
      <c r="G1324" s="183" t="str">
        <f>VLOOKUP(F1324,数据集标准分类!A:B,2,0)</f>
        <v>pain_assessment_record</v>
      </c>
      <c r="H1324" s="294">
        <f>VLOOKUP(F1324,数据集标准分类!A:H,8,0)</f>
        <v>79</v>
      </c>
      <c r="I1324" s="170" t="s">
        <v>3336</v>
      </c>
      <c r="J1324" s="170" t="s">
        <v>3337</v>
      </c>
      <c r="K1324" s="170" t="s">
        <v>3338</v>
      </c>
      <c r="L1324" s="170" t="s">
        <v>3339</v>
      </c>
      <c r="M1324" s="170"/>
      <c r="N1324" s="294">
        <v>6</v>
      </c>
      <c r="O1324" s="170"/>
    </row>
    <row r="1325" ht="15.75" customHeight="1" spans="1:15">
      <c r="A1325" s="183" t="str">
        <f>VLOOKUP(F1325,数据集标准分类!A:G,7,0)</f>
        <v>06</v>
      </c>
      <c r="B1325" s="183" t="str">
        <f>VLOOKUP(F1325,数据集标准分类!A:F,6,0)</f>
        <v>护理病历</v>
      </c>
      <c r="C1325" s="183" t="str">
        <f>VLOOKUP(F1325,数据集标准分类!A:E,5,0)</f>
        <v>0602</v>
      </c>
      <c r="D1325" s="183" t="str">
        <f>VLOOKUP(F1325,数据集标准分类!A:D,4,0)</f>
        <v>护理评估</v>
      </c>
      <c r="E1325" s="183" t="str">
        <f>VLOOKUP(F1325,数据集标准分类!A:C,3,0)</f>
        <v>060211</v>
      </c>
      <c r="F1325" s="170" t="s">
        <v>3373</v>
      </c>
      <c r="G1325" s="183" t="str">
        <f>VLOOKUP(F1325,数据集标准分类!A:B,2,0)</f>
        <v>vulnerable_elderly_assessment</v>
      </c>
      <c r="H1325" s="294">
        <f>VLOOKUP(F1325,数据集标准分类!A:H,8,0)</f>
        <v>80</v>
      </c>
      <c r="I1325" s="170" t="s">
        <v>3192</v>
      </c>
      <c r="J1325" s="170" t="s">
        <v>3193</v>
      </c>
      <c r="K1325" s="170" t="s">
        <v>3194</v>
      </c>
      <c r="L1325" s="170" t="s">
        <v>3195</v>
      </c>
      <c r="M1325" s="170"/>
      <c r="N1325" s="294">
        <v>1</v>
      </c>
      <c r="O1325" s="170"/>
    </row>
    <row r="1326" ht="15.75" customHeight="1" spans="1:15">
      <c r="A1326" s="183" t="str">
        <f>VLOOKUP(F1326,数据集标准分类!A:G,7,0)</f>
        <v>06</v>
      </c>
      <c r="B1326" s="183" t="str">
        <f>VLOOKUP(F1326,数据集标准分类!A:F,6,0)</f>
        <v>护理病历</v>
      </c>
      <c r="C1326" s="183" t="str">
        <f>VLOOKUP(F1326,数据集标准分类!A:E,5,0)</f>
        <v>0602</v>
      </c>
      <c r="D1326" s="183" t="str">
        <f>VLOOKUP(F1326,数据集标准分类!A:D,4,0)</f>
        <v>护理评估</v>
      </c>
      <c r="E1326" s="183" t="str">
        <f>VLOOKUP(F1326,数据集标准分类!A:C,3,0)</f>
        <v>060211</v>
      </c>
      <c r="F1326" s="170" t="s">
        <v>3373</v>
      </c>
      <c r="G1326" s="183" t="str">
        <f>VLOOKUP(F1326,数据集标准分类!A:B,2,0)</f>
        <v>vulnerable_elderly_assessment</v>
      </c>
      <c r="H1326" s="294">
        <f>VLOOKUP(F1326,数据集标准分类!A:H,8,0)</f>
        <v>80</v>
      </c>
      <c r="I1326" s="170" t="s">
        <v>32</v>
      </c>
      <c r="J1326" s="170" t="s">
        <v>33</v>
      </c>
      <c r="K1326" s="170" t="s">
        <v>33</v>
      </c>
      <c r="L1326" s="170" t="s">
        <v>34</v>
      </c>
      <c r="M1326" s="170"/>
      <c r="N1326" s="294">
        <v>2</v>
      </c>
      <c r="O1326" s="170"/>
    </row>
    <row r="1327" ht="15.75" customHeight="1" spans="1:15">
      <c r="A1327" s="183" t="str">
        <f>VLOOKUP(F1327,数据集标准分类!A:G,7,0)</f>
        <v>06</v>
      </c>
      <c r="B1327" s="183" t="str">
        <f>VLOOKUP(F1327,数据集标准分类!A:F,6,0)</f>
        <v>护理病历</v>
      </c>
      <c r="C1327" s="183" t="str">
        <f>VLOOKUP(F1327,数据集标准分类!A:E,5,0)</f>
        <v>0602</v>
      </c>
      <c r="D1327" s="183" t="str">
        <f>VLOOKUP(F1327,数据集标准分类!A:D,4,0)</f>
        <v>护理评估</v>
      </c>
      <c r="E1327" s="183" t="str">
        <f>VLOOKUP(F1327,数据集标准分类!A:C,3,0)</f>
        <v>060211</v>
      </c>
      <c r="F1327" s="170" t="s">
        <v>3373</v>
      </c>
      <c r="G1327" s="183" t="str">
        <f>VLOOKUP(F1327,数据集标准分类!A:B,2,0)</f>
        <v>vulnerable_elderly_assessment</v>
      </c>
      <c r="H1327" s="294">
        <f>VLOOKUP(F1327,数据集标准分类!A:H,8,0)</f>
        <v>80</v>
      </c>
      <c r="I1327" s="170" t="s">
        <v>3374</v>
      </c>
      <c r="J1327" s="170" t="s">
        <v>3375</v>
      </c>
      <c r="K1327" s="170" t="s">
        <v>3376</v>
      </c>
      <c r="L1327" s="170" t="s">
        <v>3377</v>
      </c>
      <c r="M1327" s="170"/>
      <c r="N1327" s="294">
        <v>3</v>
      </c>
      <c r="O1327" s="170"/>
    </row>
    <row r="1328" ht="15.75" customHeight="1" spans="1:15">
      <c r="A1328" s="183" t="str">
        <f>VLOOKUP(F1328,数据集标准分类!A:G,7,0)</f>
        <v>06</v>
      </c>
      <c r="B1328" s="183" t="str">
        <f>VLOOKUP(F1328,数据集标准分类!A:F,6,0)</f>
        <v>护理病历</v>
      </c>
      <c r="C1328" s="183" t="str">
        <f>VLOOKUP(F1328,数据集标准分类!A:E,5,0)</f>
        <v>0602</v>
      </c>
      <c r="D1328" s="183" t="str">
        <f>VLOOKUP(F1328,数据集标准分类!A:D,4,0)</f>
        <v>护理评估</v>
      </c>
      <c r="E1328" s="183" t="str">
        <f>VLOOKUP(F1328,数据集标准分类!A:C,3,0)</f>
        <v>060211</v>
      </c>
      <c r="F1328" s="170" t="s">
        <v>3373</v>
      </c>
      <c r="G1328" s="183" t="str">
        <f>VLOOKUP(F1328,数据集标准分类!A:B,2,0)</f>
        <v>vulnerable_elderly_assessment</v>
      </c>
      <c r="H1328" s="294">
        <f>VLOOKUP(F1328,数据集标准分类!A:H,8,0)</f>
        <v>80</v>
      </c>
      <c r="I1328" s="170" t="s">
        <v>3378</v>
      </c>
      <c r="J1328" s="170" t="s">
        <v>3379</v>
      </c>
      <c r="K1328" s="170" t="s">
        <v>3380</v>
      </c>
      <c r="L1328" s="170" t="s">
        <v>3381</v>
      </c>
      <c r="M1328" s="170"/>
      <c r="N1328" s="294">
        <v>4</v>
      </c>
      <c r="O1328" s="170"/>
    </row>
    <row r="1329" ht="15.75" customHeight="1" spans="1:15">
      <c r="A1329" s="183" t="str">
        <f>VLOOKUP(F1329,数据集标准分类!A:G,7,0)</f>
        <v>06</v>
      </c>
      <c r="B1329" s="183" t="str">
        <f>VLOOKUP(F1329,数据集标准分类!A:F,6,0)</f>
        <v>护理病历</v>
      </c>
      <c r="C1329" s="183" t="str">
        <f>VLOOKUP(F1329,数据集标准分类!A:E,5,0)</f>
        <v>0602</v>
      </c>
      <c r="D1329" s="183" t="str">
        <f>VLOOKUP(F1329,数据集标准分类!A:D,4,0)</f>
        <v>护理评估</v>
      </c>
      <c r="E1329" s="183" t="str">
        <f>VLOOKUP(F1329,数据集标准分类!A:C,3,0)</f>
        <v>060211</v>
      </c>
      <c r="F1329" s="170" t="s">
        <v>3373</v>
      </c>
      <c r="G1329" s="183" t="str">
        <f>VLOOKUP(F1329,数据集标准分类!A:B,2,0)</f>
        <v>vulnerable_elderly_assessment</v>
      </c>
      <c r="H1329" s="294">
        <f>VLOOKUP(F1329,数据集标准分类!A:H,8,0)</f>
        <v>80</v>
      </c>
      <c r="I1329" s="170" t="s">
        <v>3382</v>
      </c>
      <c r="J1329" s="170" t="s">
        <v>3383</v>
      </c>
      <c r="K1329" s="170" t="s">
        <v>3384</v>
      </c>
      <c r="L1329" s="170" t="s">
        <v>3385</v>
      </c>
      <c r="M1329" s="170"/>
      <c r="N1329" s="294">
        <v>5</v>
      </c>
      <c r="O1329" s="170"/>
    </row>
    <row r="1330" ht="15.75" customHeight="1" spans="1:15">
      <c r="A1330" s="183" t="str">
        <f>VLOOKUP(F1330,数据集标准分类!A:G,7,0)</f>
        <v>06</v>
      </c>
      <c r="B1330" s="183" t="str">
        <f>VLOOKUP(F1330,数据集标准分类!A:F,6,0)</f>
        <v>护理病历</v>
      </c>
      <c r="C1330" s="183" t="str">
        <f>VLOOKUP(F1330,数据集标准分类!A:E,5,0)</f>
        <v>0602</v>
      </c>
      <c r="D1330" s="183" t="str">
        <f>VLOOKUP(F1330,数据集标准分类!A:D,4,0)</f>
        <v>护理评估</v>
      </c>
      <c r="E1330" s="183" t="str">
        <f>VLOOKUP(F1330,数据集标准分类!A:C,3,0)</f>
        <v>060211</v>
      </c>
      <c r="F1330" s="170" t="s">
        <v>3373</v>
      </c>
      <c r="G1330" s="183" t="str">
        <f>VLOOKUP(F1330,数据集标准分类!A:B,2,0)</f>
        <v>vulnerable_elderly_assessment</v>
      </c>
      <c r="H1330" s="294">
        <f>VLOOKUP(F1330,数据集标准分类!A:H,8,0)</f>
        <v>80</v>
      </c>
      <c r="I1330" s="170" t="s">
        <v>1496</v>
      </c>
      <c r="J1330" s="170" t="s">
        <v>1497</v>
      </c>
      <c r="K1330" s="170" t="s">
        <v>1498</v>
      </c>
      <c r="L1330" s="170" t="s">
        <v>1499</v>
      </c>
      <c r="M1330" s="170"/>
      <c r="N1330" s="294">
        <v>6</v>
      </c>
      <c r="O1330" s="170"/>
    </row>
    <row r="1331" ht="15.75" customHeight="1" spans="1:15">
      <c r="A1331" s="183" t="str">
        <f>VLOOKUP(F1331,数据集标准分类!A:G,7,0)</f>
        <v>06</v>
      </c>
      <c r="B1331" s="183" t="str">
        <f>VLOOKUP(F1331,数据集标准分类!A:F,6,0)</f>
        <v>护理病历</v>
      </c>
      <c r="C1331" s="183" t="str">
        <f>VLOOKUP(F1331,数据集标准分类!A:E,5,0)</f>
        <v>0602</v>
      </c>
      <c r="D1331" s="183" t="str">
        <f>VLOOKUP(F1331,数据集标准分类!A:D,4,0)</f>
        <v>护理评估</v>
      </c>
      <c r="E1331" s="183" t="str">
        <f>VLOOKUP(F1331,数据集标准分类!A:C,3,0)</f>
        <v>060212</v>
      </c>
      <c r="F1331" s="170" t="s">
        <v>3386</v>
      </c>
      <c r="G1331" s="183" t="str">
        <f>VLOOKUP(F1331,数据集标准分类!A:B,2,0)</f>
        <v>child_fall_assessment_record</v>
      </c>
      <c r="H1331" s="294">
        <f>VLOOKUP(F1331,数据集标准分类!A:H,8,0)</f>
        <v>81</v>
      </c>
      <c r="I1331" s="170" t="s">
        <v>3192</v>
      </c>
      <c r="J1331" s="170" t="s">
        <v>3193</v>
      </c>
      <c r="K1331" s="170" t="s">
        <v>3194</v>
      </c>
      <c r="L1331" s="170" t="s">
        <v>3195</v>
      </c>
      <c r="M1331" s="170"/>
      <c r="N1331" s="294">
        <v>1</v>
      </c>
      <c r="O1331" s="170"/>
    </row>
    <row r="1332" ht="15.75" customHeight="1" spans="1:15">
      <c r="A1332" s="183" t="str">
        <f>VLOOKUP(F1332,数据集标准分类!A:G,7,0)</f>
        <v>06</v>
      </c>
      <c r="B1332" s="183" t="str">
        <f>VLOOKUP(F1332,数据集标准分类!A:F,6,0)</f>
        <v>护理病历</v>
      </c>
      <c r="C1332" s="183" t="str">
        <f>VLOOKUP(F1332,数据集标准分类!A:E,5,0)</f>
        <v>0602</v>
      </c>
      <c r="D1332" s="183" t="str">
        <f>VLOOKUP(F1332,数据集标准分类!A:D,4,0)</f>
        <v>护理评估</v>
      </c>
      <c r="E1332" s="183" t="str">
        <f>VLOOKUP(F1332,数据集标准分类!A:C,3,0)</f>
        <v>060212</v>
      </c>
      <c r="F1332" s="170" t="s">
        <v>3386</v>
      </c>
      <c r="G1332" s="183" t="str">
        <f>VLOOKUP(F1332,数据集标准分类!A:B,2,0)</f>
        <v>child_fall_assessment_record</v>
      </c>
      <c r="H1332" s="294">
        <f>VLOOKUP(F1332,数据集标准分类!A:H,8,0)</f>
        <v>81</v>
      </c>
      <c r="I1332" s="170" t="s">
        <v>3361</v>
      </c>
      <c r="J1332" s="170" t="s">
        <v>3362</v>
      </c>
      <c r="K1332" s="170" t="s">
        <v>3363</v>
      </c>
      <c r="L1332" s="170" t="s">
        <v>3364</v>
      </c>
      <c r="M1332" s="170"/>
      <c r="N1332" s="294">
        <v>2</v>
      </c>
      <c r="O1332" s="170"/>
    </row>
    <row r="1333" ht="15.75" customHeight="1" spans="1:15">
      <c r="A1333" s="183" t="str">
        <f>VLOOKUP(F1333,数据集标准分类!A:G,7,0)</f>
        <v>06</v>
      </c>
      <c r="B1333" s="183" t="str">
        <f>VLOOKUP(F1333,数据集标准分类!A:F,6,0)</f>
        <v>护理病历</v>
      </c>
      <c r="C1333" s="183" t="str">
        <f>VLOOKUP(F1333,数据集标准分类!A:E,5,0)</f>
        <v>0602</v>
      </c>
      <c r="D1333" s="183" t="str">
        <f>VLOOKUP(F1333,数据集标准分类!A:D,4,0)</f>
        <v>护理评估</v>
      </c>
      <c r="E1333" s="183" t="str">
        <f>VLOOKUP(F1333,数据集标准分类!A:C,3,0)</f>
        <v>060212</v>
      </c>
      <c r="F1333" s="170" t="s">
        <v>3386</v>
      </c>
      <c r="G1333" s="183" t="str">
        <f>VLOOKUP(F1333,数据集标准分类!A:B,2,0)</f>
        <v>child_fall_assessment_record</v>
      </c>
      <c r="H1333" s="294">
        <f>VLOOKUP(F1333,数据集标准分类!A:H,8,0)</f>
        <v>81</v>
      </c>
      <c r="I1333" s="170" t="s">
        <v>1496</v>
      </c>
      <c r="J1333" s="170" t="s">
        <v>1497</v>
      </c>
      <c r="K1333" s="170" t="s">
        <v>1498</v>
      </c>
      <c r="L1333" s="170" t="s">
        <v>1499</v>
      </c>
      <c r="M1333" s="170"/>
      <c r="N1333" s="294">
        <v>3</v>
      </c>
      <c r="O1333" s="170"/>
    </row>
    <row r="1334" ht="15.75" customHeight="1" spans="1:15">
      <c r="A1334" s="183" t="str">
        <f>VLOOKUP(F1334,数据集标准分类!A:G,7,0)</f>
        <v>06</v>
      </c>
      <c r="B1334" s="183" t="str">
        <f>VLOOKUP(F1334,数据集标准分类!A:F,6,0)</f>
        <v>护理病历</v>
      </c>
      <c r="C1334" s="183" t="str">
        <f>VLOOKUP(F1334,数据集标准分类!A:E,5,0)</f>
        <v>0602</v>
      </c>
      <c r="D1334" s="183" t="str">
        <f>VLOOKUP(F1334,数据集标准分类!A:D,4,0)</f>
        <v>护理评估</v>
      </c>
      <c r="E1334" s="183" t="str">
        <f>VLOOKUP(F1334,数据集标准分类!A:C,3,0)</f>
        <v>060212</v>
      </c>
      <c r="F1334" s="170" t="s">
        <v>3386</v>
      </c>
      <c r="G1334" s="183" t="str">
        <f>VLOOKUP(F1334,数据集标准分类!A:B,2,0)</f>
        <v>child_fall_assessment_record</v>
      </c>
      <c r="H1334" s="294">
        <f>VLOOKUP(F1334,数据集标准分类!A:H,8,0)</f>
        <v>81</v>
      </c>
      <c r="I1334" s="170" t="s">
        <v>3199</v>
      </c>
      <c r="J1334" s="170" t="s">
        <v>3200</v>
      </c>
      <c r="K1334" s="170" t="s">
        <v>3201</v>
      </c>
      <c r="L1334" s="170" t="s">
        <v>3202</v>
      </c>
      <c r="M1334" s="170"/>
      <c r="N1334" s="294">
        <v>4</v>
      </c>
      <c r="O1334" s="170"/>
    </row>
    <row r="1335" ht="15.75" customHeight="1" spans="1:15">
      <c r="A1335" s="183" t="str">
        <f>VLOOKUP(F1335,数据集标准分类!A:G,7,0)</f>
        <v>06</v>
      </c>
      <c r="B1335" s="183" t="str">
        <f>VLOOKUP(F1335,数据集标准分类!A:F,6,0)</f>
        <v>护理病历</v>
      </c>
      <c r="C1335" s="183" t="str">
        <f>VLOOKUP(F1335,数据集标准分类!A:E,5,0)</f>
        <v>0602</v>
      </c>
      <c r="D1335" s="183" t="str">
        <f>VLOOKUP(F1335,数据集标准分类!A:D,4,0)</f>
        <v>护理评估</v>
      </c>
      <c r="E1335" s="183" t="str">
        <f>VLOOKUP(F1335,数据集标准分类!A:C,3,0)</f>
        <v>060212</v>
      </c>
      <c r="F1335" s="170" t="s">
        <v>3386</v>
      </c>
      <c r="G1335" s="183" t="str">
        <f>VLOOKUP(F1335,数据集标准分类!A:B,2,0)</f>
        <v>child_fall_assessment_record</v>
      </c>
      <c r="H1335" s="294">
        <f>VLOOKUP(F1335,数据集标准分类!A:H,8,0)</f>
        <v>81</v>
      </c>
      <c r="I1335" s="170" t="s">
        <v>3366</v>
      </c>
      <c r="J1335" s="170" t="s">
        <v>3367</v>
      </c>
      <c r="K1335" s="170" t="s">
        <v>3368</v>
      </c>
      <c r="L1335" s="170" t="s">
        <v>3369</v>
      </c>
      <c r="M1335" s="170"/>
      <c r="N1335" s="294">
        <v>5</v>
      </c>
      <c r="O1335" s="170"/>
    </row>
    <row r="1336" ht="15.75" customHeight="1" spans="1:15">
      <c r="A1336" s="183" t="str">
        <f>VLOOKUP(F1336,数据集标准分类!A:G,7,0)</f>
        <v>06</v>
      </c>
      <c r="B1336" s="183" t="str">
        <f>VLOOKUP(F1336,数据集标准分类!A:F,6,0)</f>
        <v>护理病历</v>
      </c>
      <c r="C1336" s="183" t="str">
        <f>VLOOKUP(F1336,数据集标准分类!A:E,5,0)</f>
        <v>0602</v>
      </c>
      <c r="D1336" s="183" t="str">
        <f>VLOOKUP(F1336,数据集标准分类!A:D,4,0)</f>
        <v>护理评估</v>
      </c>
      <c r="E1336" s="183" t="str">
        <f>VLOOKUP(F1336,数据集标准分类!A:C,3,0)</f>
        <v>060212</v>
      </c>
      <c r="F1336" s="170" t="s">
        <v>3386</v>
      </c>
      <c r="G1336" s="183" t="str">
        <f>VLOOKUP(F1336,数据集标准分类!A:B,2,0)</f>
        <v>child_fall_assessment_record</v>
      </c>
      <c r="H1336" s="294">
        <f>VLOOKUP(F1336,数据集标准分类!A:H,8,0)</f>
        <v>81</v>
      </c>
      <c r="I1336" s="170" t="s">
        <v>3336</v>
      </c>
      <c r="J1336" s="170" t="s">
        <v>3337</v>
      </c>
      <c r="K1336" s="170" t="s">
        <v>3338</v>
      </c>
      <c r="L1336" s="170" t="s">
        <v>3339</v>
      </c>
      <c r="M1336" s="170"/>
      <c r="N1336" s="294">
        <v>6</v>
      </c>
      <c r="O1336" s="170"/>
    </row>
    <row r="1337" ht="15.75" customHeight="1" spans="1:15">
      <c r="A1337" s="183" t="str">
        <f>VLOOKUP(F1337,数据集标准分类!A:G,7,0)</f>
        <v>06</v>
      </c>
      <c r="B1337" s="183" t="str">
        <f>VLOOKUP(F1337,数据集标准分类!A:F,6,0)</f>
        <v>护理病历</v>
      </c>
      <c r="C1337" s="183" t="str">
        <f>VLOOKUP(F1337,数据集标准分类!A:E,5,0)</f>
        <v>0602</v>
      </c>
      <c r="D1337" s="183" t="str">
        <f>VLOOKUP(F1337,数据集标准分类!A:D,4,0)</f>
        <v>护理评估</v>
      </c>
      <c r="E1337" s="183" t="str">
        <f>VLOOKUP(F1337,数据集标准分类!A:C,3,0)</f>
        <v>060213</v>
      </c>
      <c r="F1337" s="170" t="s">
        <v>3387</v>
      </c>
      <c r="G1337" s="183" t="str">
        <f>VLOOKUP(F1337,数据集标准分类!A:B,2,0)</f>
        <v>assessment_sppb_record</v>
      </c>
      <c r="H1337" s="294">
        <f>VLOOKUP(F1337,数据集标准分类!A:H,8,0)</f>
        <v>82</v>
      </c>
      <c r="I1337" s="170" t="s">
        <v>3192</v>
      </c>
      <c r="J1337" s="170" t="s">
        <v>3193</v>
      </c>
      <c r="K1337" s="170" t="s">
        <v>3194</v>
      </c>
      <c r="L1337" s="170" t="s">
        <v>3195</v>
      </c>
      <c r="M1337" s="170"/>
      <c r="N1337" s="294">
        <v>1</v>
      </c>
      <c r="O1337" s="170"/>
    </row>
    <row r="1338" ht="15.75" customHeight="1" spans="1:15">
      <c r="A1338" s="183" t="str">
        <f>VLOOKUP(F1338,数据集标准分类!A:G,7,0)</f>
        <v>06</v>
      </c>
      <c r="B1338" s="183" t="str">
        <f>VLOOKUP(F1338,数据集标准分类!A:F,6,0)</f>
        <v>护理病历</v>
      </c>
      <c r="C1338" s="183" t="str">
        <f>VLOOKUP(F1338,数据集标准分类!A:E,5,0)</f>
        <v>0602</v>
      </c>
      <c r="D1338" s="183" t="str">
        <f>VLOOKUP(F1338,数据集标准分类!A:D,4,0)</f>
        <v>护理评估</v>
      </c>
      <c r="E1338" s="183" t="str">
        <f>VLOOKUP(F1338,数据集标准分类!A:C,3,0)</f>
        <v>060213</v>
      </c>
      <c r="F1338" s="170" t="s">
        <v>3387</v>
      </c>
      <c r="G1338" s="183" t="str">
        <f>VLOOKUP(F1338,数据集标准分类!A:B,2,0)</f>
        <v>assessment_sppb_record</v>
      </c>
      <c r="H1338" s="294">
        <f>VLOOKUP(F1338,数据集标准分类!A:H,8,0)</f>
        <v>82</v>
      </c>
      <c r="I1338" s="170" t="s">
        <v>3361</v>
      </c>
      <c r="J1338" s="170" t="s">
        <v>3362</v>
      </c>
      <c r="K1338" s="170" t="s">
        <v>3363</v>
      </c>
      <c r="L1338" s="170" t="s">
        <v>3364</v>
      </c>
      <c r="M1338" s="170"/>
      <c r="N1338" s="294">
        <v>2</v>
      </c>
      <c r="O1338" s="170"/>
    </row>
    <row r="1339" ht="15.75" customHeight="1" spans="1:15">
      <c r="A1339" s="183" t="str">
        <f>VLOOKUP(F1339,数据集标准分类!A:G,7,0)</f>
        <v>06</v>
      </c>
      <c r="B1339" s="183" t="str">
        <f>VLOOKUP(F1339,数据集标准分类!A:F,6,0)</f>
        <v>护理病历</v>
      </c>
      <c r="C1339" s="183" t="str">
        <f>VLOOKUP(F1339,数据集标准分类!A:E,5,0)</f>
        <v>0602</v>
      </c>
      <c r="D1339" s="183" t="str">
        <f>VLOOKUP(F1339,数据集标准分类!A:D,4,0)</f>
        <v>护理评估</v>
      </c>
      <c r="E1339" s="183" t="str">
        <f>VLOOKUP(F1339,数据集标准分类!A:C,3,0)</f>
        <v>060213</v>
      </c>
      <c r="F1339" s="170" t="s">
        <v>3387</v>
      </c>
      <c r="G1339" s="183" t="str">
        <f>VLOOKUP(F1339,数据集标准分类!A:B,2,0)</f>
        <v>assessment_sppb_record</v>
      </c>
      <c r="H1339" s="294">
        <f>VLOOKUP(F1339,数据集标准分类!A:H,8,0)</f>
        <v>82</v>
      </c>
      <c r="I1339" s="170" t="s">
        <v>1496</v>
      </c>
      <c r="J1339" s="170" t="s">
        <v>1497</v>
      </c>
      <c r="K1339" s="170" t="s">
        <v>1498</v>
      </c>
      <c r="L1339" s="170" t="s">
        <v>1499</v>
      </c>
      <c r="M1339" s="170"/>
      <c r="N1339" s="294">
        <v>3</v>
      </c>
      <c r="O1339" s="170"/>
    </row>
    <row r="1340" ht="15.75" customHeight="1" spans="1:15">
      <c r="A1340" s="183" t="str">
        <f>VLOOKUP(F1340,数据集标准分类!A:G,7,0)</f>
        <v>06</v>
      </c>
      <c r="B1340" s="183" t="str">
        <f>VLOOKUP(F1340,数据集标准分类!A:F,6,0)</f>
        <v>护理病历</v>
      </c>
      <c r="C1340" s="183" t="str">
        <f>VLOOKUP(F1340,数据集标准分类!A:E,5,0)</f>
        <v>0602</v>
      </c>
      <c r="D1340" s="183" t="str">
        <f>VLOOKUP(F1340,数据集标准分类!A:D,4,0)</f>
        <v>护理评估</v>
      </c>
      <c r="E1340" s="183" t="str">
        <f>VLOOKUP(F1340,数据集标准分类!A:C,3,0)</f>
        <v>060213</v>
      </c>
      <c r="F1340" s="170" t="s">
        <v>3387</v>
      </c>
      <c r="G1340" s="183" t="str">
        <f>VLOOKUP(F1340,数据集标准分类!A:B,2,0)</f>
        <v>assessment_sppb_record</v>
      </c>
      <c r="H1340" s="294">
        <f>VLOOKUP(F1340,数据集标准分类!A:H,8,0)</f>
        <v>82</v>
      </c>
      <c r="I1340" s="170" t="s">
        <v>3199</v>
      </c>
      <c r="J1340" s="170" t="s">
        <v>3200</v>
      </c>
      <c r="K1340" s="170" t="s">
        <v>3201</v>
      </c>
      <c r="L1340" s="170" t="s">
        <v>3202</v>
      </c>
      <c r="M1340" s="170"/>
      <c r="N1340" s="294">
        <v>4</v>
      </c>
      <c r="O1340" s="170"/>
    </row>
    <row r="1341" ht="15.75" customHeight="1" spans="1:15">
      <c r="A1341" s="183" t="str">
        <f>VLOOKUP(F1341,数据集标准分类!A:G,7,0)</f>
        <v>06</v>
      </c>
      <c r="B1341" s="183" t="str">
        <f>VLOOKUP(F1341,数据集标准分类!A:F,6,0)</f>
        <v>护理病历</v>
      </c>
      <c r="C1341" s="183" t="str">
        <f>VLOOKUP(F1341,数据集标准分类!A:E,5,0)</f>
        <v>0602</v>
      </c>
      <c r="D1341" s="183" t="str">
        <f>VLOOKUP(F1341,数据集标准分类!A:D,4,0)</f>
        <v>护理评估</v>
      </c>
      <c r="E1341" s="183" t="str">
        <f>VLOOKUP(F1341,数据集标准分类!A:C,3,0)</f>
        <v>060213</v>
      </c>
      <c r="F1341" s="170" t="s">
        <v>3387</v>
      </c>
      <c r="G1341" s="183" t="str">
        <f>VLOOKUP(F1341,数据集标准分类!A:B,2,0)</f>
        <v>assessment_sppb_record</v>
      </c>
      <c r="H1341" s="294">
        <f>VLOOKUP(F1341,数据集标准分类!A:H,8,0)</f>
        <v>82</v>
      </c>
      <c r="I1341" s="170" t="s">
        <v>3366</v>
      </c>
      <c r="J1341" s="170" t="s">
        <v>3367</v>
      </c>
      <c r="K1341" s="170" t="s">
        <v>3368</v>
      </c>
      <c r="L1341" s="170" t="s">
        <v>3369</v>
      </c>
      <c r="M1341" s="170"/>
      <c r="N1341" s="294">
        <v>5</v>
      </c>
      <c r="O1341" s="170"/>
    </row>
    <row r="1342" ht="15.75" customHeight="1" spans="1:15">
      <c r="A1342" s="183" t="str">
        <f>VLOOKUP(F1342,数据集标准分类!A:G,7,0)</f>
        <v>06</v>
      </c>
      <c r="B1342" s="183" t="str">
        <f>VLOOKUP(F1342,数据集标准分类!A:F,6,0)</f>
        <v>护理病历</v>
      </c>
      <c r="C1342" s="183" t="str">
        <f>VLOOKUP(F1342,数据集标准分类!A:E,5,0)</f>
        <v>0602</v>
      </c>
      <c r="D1342" s="183" t="str">
        <f>VLOOKUP(F1342,数据集标准分类!A:D,4,0)</f>
        <v>护理评估</v>
      </c>
      <c r="E1342" s="183" t="str">
        <f>VLOOKUP(F1342,数据集标准分类!A:C,3,0)</f>
        <v>060213</v>
      </c>
      <c r="F1342" s="170" t="s">
        <v>3387</v>
      </c>
      <c r="G1342" s="183" t="str">
        <f>VLOOKUP(F1342,数据集标准分类!A:B,2,0)</f>
        <v>assessment_sppb_record</v>
      </c>
      <c r="H1342" s="294">
        <f>VLOOKUP(F1342,数据集标准分类!A:H,8,0)</f>
        <v>82</v>
      </c>
      <c r="I1342" s="170" t="s">
        <v>3336</v>
      </c>
      <c r="J1342" s="170" t="s">
        <v>3337</v>
      </c>
      <c r="K1342" s="170" t="s">
        <v>3338</v>
      </c>
      <c r="L1342" s="170" t="s">
        <v>3339</v>
      </c>
      <c r="M1342" s="170"/>
      <c r="N1342" s="294">
        <v>6</v>
      </c>
      <c r="O1342" s="170"/>
    </row>
    <row r="1343" ht="15.75" customHeight="1" spans="1:15">
      <c r="A1343" s="183" t="str">
        <f>VLOOKUP(F1343,数据集标准分类!A:G,7,0)</f>
        <v>06</v>
      </c>
      <c r="B1343" s="183" t="str">
        <f>VLOOKUP(F1343,数据集标准分类!A:F,6,0)</f>
        <v>护理病历</v>
      </c>
      <c r="C1343" s="183" t="str">
        <f>VLOOKUP(F1343,数据集标准分类!A:E,5,0)</f>
        <v>0602</v>
      </c>
      <c r="D1343" s="183" t="str">
        <f>VLOOKUP(F1343,数据集标准分类!A:D,4,0)</f>
        <v>护理评估</v>
      </c>
      <c r="E1343" s="183" t="str">
        <f>VLOOKUP(F1343,数据集标准分类!A:C,3,0)</f>
        <v>060214</v>
      </c>
      <c r="F1343" s="170" t="s">
        <v>3388</v>
      </c>
      <c r="G1343" s="183" t="str">
        <f>VLOOKUP(F1343,数据集标准分类!A:B,2,0)</f>
        <v>dc_assmnt_with_guide_rec</v>
      </c>
      <c r="H1343" s="294">
        <f>VLOOKUP(F1343,数据集标准分类!A:H,8,0)</f>
        <v>83</v>
      </c>
      <c r="I1343" s="170" t="s">
        <v>172</v>
      </c>
      <c r="J1343" s="170" t="s">
        <v>173</v>
      </c>
      <c r="K1343" s="170" t="s">
        <v>174</v>
      </c>
      <c r="L1343" s="170" t="s">
        <v>175</v>
      </c>
      <c r="M1343" s="170" t="s">
        <v>3389</v>
      </c>
      <c r="N1343" s="294">
        <v>1</v>
      </c>
      <c r="O1343" s="170"/>
    </row>
    <row r="1344" ht="15.75" customHeight="1" spans="1:15">
      <c r="A1344" s="183" t="str">
        <f>VLOOKUP(F1344,数据集标准分类!A:G,7,0)</f>
        <v>06</v>
      </c>
      <c r="B1344" s="183" t="str">
        <f>VLOOKUP(F1344,数据集标准分类!A:F,6,0)</f>
        <v>护理病历</v>
      </c>
      <c r="C1344" s="183" t="str">
        <f>VLOOKUP(F1344,数据集标准分类!A:E,5,0)</f>
        <v>0602</v>
      </c>
      <c r="D1344" s="183" t="str">
        <f>VLOOKUP(F1344,数据集标准分类!A:D,4,0)</f>
        <v>护理评估</v>
      </c>
      <c r="E1344" s="183" t="str">
        <f>VLOOKUP(F1344,数据集标准分类!A:C,3,0)</f>
        <v>060214</v>
      </c>
      <c r="F1344" s="170" t="s">
        <v>3388</v>
      </c>
      <c r="G1344" s="183" t="str">
        <f>VLOOKUP(F1344,数据集标准分类!A:B,2,0)</f>
        <v>dc_assmnt_with_guide_rec</v>
      </c>
      <c r="H1344" s="294">
        <f>VLOOKUP(F1344,数据集标准分类!A:H,8,0)</f>
        <v>83</v>
      </c>
      <c r="I1344" s="170" t="s">
        <v>157</v>
      </c>
      <c r="J1344" s="170" t="s">
        <v>158</v>
      </c>
      <c r="K1344" s="170" t="s">
        <v>159</v>
      </c>
      <c r="L1344" s="170" t="s">
        <v>160</v>
      </c>
      <c r="M1344" s="170" t="s">
        <v>161</v>
      </c>
      <c r="N1344" s="294">
        <v>2</v>
      </c>
      <c r="O1344" s="170"/>
    </row>
    <row r="1345" ht="15.75" customHeight="1" spans="1:15">
      <c r="A1345" s="183" t="str">
        <f>VLOOKUP(F1345,数据集标准分类!A:G,7,0)</f>
        <v>06</v>
      </c>
      <c r="B1345" s="183" t="str">
        <f>VLOOKUP(F1345,数据集标准分类!A:F,6,0)</f>
        <v>护理病历</v>
      </c>
      <c r="C1345" s="183" t="str">
        <f>VLOOKUP(F1345,数据集标准分类!A:E,5,0)</f>
        <v>0602</v>
      </c>
      <c r="D1345" s="183" t="str">
        <f>VLOOKUP(F1345,数据集标准分类!A:D,4,0)</f>
        <v>护理评估</v>
      </c>
      <c r="E1345" s="183" t="str">
        <f>VLOOKUP(F1345,数据集标准分类!A:C,3,0)</f>
        <v>060214</v>
      </c>
      <c r="F1345" s="170" t="s">
        <v>3388</v>
      </c>
      <c r="G1345" s="183" t="str">
        <f>VLOOKUP(F1345,数据集标准分类!A:B,2,0)</f>
        <v>dc_assmnt_with_guide_rec</v>
      </c>
      <c r="H1345" s="294">
        <f>VLOOKUP(F1345,数据集标准分类!A:H,8,0)</f>
        <v>83</v>
      </c>
      <c r="I1345" s="170" t="s">
        <v>3260</v>
      </c>
      <c r="J1345" s="170" t="s">
        <v>3261</v>
      </c>
      <c r="K1345" s="170" t="s">
        <v>3262</v>
      </c>
      <c r="L1345" s="170" t="s">
        <v>3263</v>
      </c>
      <c r="M1345" s="170" t="s">
        <v>3264</v>
      </c>
      <c r="N1345" s="294">
        <v>3</v>
      </c>
      <c r="O1345" s="170"/>
    </row>
    <row r="1346" ht="15.75" customHeight="1" spans="1:15">
      <c r="A1346" s="183" t="str">
        <f>VLOOKUP(F1346,数据集标准分类!A:G,7,0)</f>
        <v>06</v>
      </c>
      <c r="B1346" s="183" t="str">
        <f>VLOOKUP(F1346,数据集标准分类!A:F,6,0)</f>
        <v>护理病历</v>
      </c>
      <c r="C1346" s="183" t="str">
        <f>VLOOKUP(F1346,数据集标准分类!A:E,5,0)</f>
        <v>0602</v>
      </c>
      <c r="D1346" s="183" t="str">
        <f>VLOOKUP(F1346,数据集标准分类!A:D,4,0)</f>
        <v>护理评估</v>
      </c>
      <c r="E1346" s="183" t="str">
        <f>VLOOKUP(F1346,数据集标准分类!A:C,3,0)</f>
        <v>060214</v>
      </c>
      <c r="F1346" s="170" t="s">
        <v>3388</v>
      </c>
      <c r="G1346" s="183" t="str">
        <f>VLOOKUP(F1346,数据集标准分类!A:B,2,0)</f>
        <v>dc_assmnt_with_guide_rec</v>
      </c>
      <c r="H1346" s="294">
        <f>VLOOKUP(F1346,数据集标准分类!A:H,8,0)</f>
        <v>83</v>
      </c>
      <c r="I1346" s="170" t="s">
        <v>3285</v>
      </c>
      <c r="J1346" s="170" t="s">
        <v>3286</v>
      </c>
      <c r="K1346" s="170" t="s">
        <v>3287</v>
      </c>
      <c r="L1346" s="170" t="s">
        <v>3288</v>
      </c>
      <c r="M1346" s="170" t="s">
        <v>3289</v>
      </c>
      <c r="N1346" s="294">
        <v>4</v>
      </c>
      <c r="O1346" s="170"/>
    </row>
    <row r="1347" ht="15.75" customHeight="1" spans="1:15">
      <c r="A1347" s="183" t="str">
        <f>VLOOKUP(F1347,数据集标准分类!A:G,7,0)</f>
        <v>06</v>
      </c>
      <c r="B1347" s="183" t="str">
        <f>VLOOKUP(F1347,数据集标准分类!A:F,6,0)</f>
        <v>护理病历</v>
      </c>
      <c r="C1347" s="183" t="str">
        <f>VLOOKUP(F1347,数据集标准分类!A:E,5,0)</f>
        <v>0602</v>
      </c>
      <c r="D1347" s="183" t="str">
        <f>VLOOKUP(F1347,数据集标准分类!A:D,4,0)</f>
        <v>护理评估</v>
      </c>
      <c r="E1347" s="183" t="str">
        <f>VLOOKUP(F1347,数据集标准分类!A:C,3,0)</f>
        <v>060214</v>
      </c>
      <c r="F1347" s="170" t="s">
        <v>3388</v>
      </c>
      <c r="G1347" s="183" t="str">
        <f>VLOOKUP(F1347,数据集标准分类!A:B,2,0)</f>
        <v>dc_assmnt_with_guide_rec</v>
      </c>
      <c r="H1347" s="294">
        <f>VLOOKUP(F1347,数据集标准分类!A:H,8,0)</f>
        <v>83</v>
      </c>
      <c r="I1347" s="170" t="s">
        <v>971</v>
      </c>
      <c r="J1347" s="170" t="s">
        <v>972</v>
      </c>
      <c r="K1347" s="170" t="s">
        <v>973</v>
      </c>
      <c r="L1347" s="170" t="s">
        <v>974</v>
      </c>
      <c r="M1347" s="170" t="s">
        <v>975</v>
      </c>
      <c r="N1347" s="294">
        <v>5</v>
      </c>
      <c r="O1347" s="170"/>
    </row>
    <row r="1348" ht="15.75" customHeight="1" spans="1:15">
      <c r="A1348" s="183" t="str">
        <f>VLOOKUP(F1348,数据集标准分类!A:G,7,0)</f>
        <v>06</v>
      </c>
      <c r="B1348" s="183" t="str">
        <f>VLOOKUP(F1348,数据集标准分类!A:F,6,0)</f>
        <v>护理病历</v>
      </c>
      <c r="C1348" s="183" t="str">
        <f>VLOOKUP(F1348,数据集标准分类!A:E,5,0)</f>
        <v>0602</v>
      </c>
      <c r="D1348" s="183" t="str">
        <f>VLOOKUP(F1348,数据集标准分类!A:D,4,0)</f>
        <v>护理评估</v>
      </c>
      <c r="E1348" s="183" t="str">
        <f>VLOOKUP(F1348,数据集标准分类!A:C,3,0)</f>
        <v>060214</v>
      </c>
      <c r="F1348" s="170" t="s">
        <v>3388</v>
      </c>
      <c r="G1348" s="183" t="str">
        <f>VLOOKUP(F1348,数据集标准分类!A:B,2,0)</f>
        <v>dc_assmnt_with_guide_rec</v>
      </c>
      <c r="H1348" s="294">
        <f>VLOOKUP(F1348,数据集标准分类!A:H,8,0)</f>
        <v>83</v>
      </c>
      <c r="I1348" s="170" t="s">
        <v>355</v>
      </c>
      <c r="J1348" s="170" t="s">
        <v>356</v>
      </c>
      <c r="K1348" s="170" t="s">
        <v>357</v>
      </c>
      <c r="L1348" s="170" t="s">
        <v>358</v>
      </c>
      <c r="M1348" s="170" t="s">
        <v>359</v>
      </c>
      <c r="N1348" s="294">
        <v>6</v>
      </c>
      <c r="O1348" s="170"/>
    </row>
    <row r="1349" ht="15.75" customHeight="1" spans="1:15">
      <c r="A1349" s="183" t="str">
        <f>VLOOKUP(F1349,数据集标准分类!A:G,7,0)</f>
        <v>06</v>
      </c>
      <c r="B1349" s="183" t="str">
        <f>VLOOKUP(F1349,数据集标准分类!A:F,6,0)</f>
        <v>护理病历</v>
      </c>
      <c r="C1349" s="183" t="str">
        <f>VLOOKUP(F1349,数据集标准分类!A:E,5,0)</f>
        <v>0602</v>
      </c>
      <c r="D1349" s="183" t="str">
        <f>VLOOKUP(F1349,数据集标准分类!A:D,4,0)</f>
        <v>护理评估</v>
      </c>
      <c r="E1349" s="183" t="str">
        <f>VLOOKUP(F1349,数据集标准分类!A:C,3,0)</f>
        <v>060214</v>
      </c>
      <c r="F1349" s="170" t="s">
        <v>3388</v>
      </c>
      <c r="G1349" s="183" t="str">
        <f>VLOOKUP(F1349,数据集标准分类!A:B,2,0)</f>
        <v>dc_assmnt_with_guide_rec</v>
      </c>
      <c r="H1349" s="294">
        <f>VLOOKUP(F1349,数据集标准分类!A:H,8,0)</f>
        <v>83</v>
      </c>
      <c r="I1349" s="170" t="s">
        <v>201</v>
      </c>
      <c r="J1349" s="170" t="s">
        <v>202</v>
      </c>
      <c r="K1349" s="170" t="s">
        <v>203</v>
      </c>
      <c r="L1349" s="170" t="s">
        <v>204</v>
      </c>
      <c r="M1349" s="170" t="s">
        <v>3390</v>
      </c>
      <c r="N1349" s="294">
        <v>7</v>
      </c>
      <c r="O1349" s="170"/>
    </row>
    <row r="1350" ht="15.75" customHeight="1" spans="1:15">
      <c r="A1350" s="183" t="str">
        <f>VLOOKUP(F1350,数据集标准分类!A:G,7,0)</f>
        <v>06</v>
      </c>
      <c r="B1350" s="183" t="str">
        <f>VLOOKUP(F1350,数据集标准分类!A:F,6,0)</f>
        <v>护理病历</v>
      </c>
      <c r="C1350" s="183" t="str">
        <f>VLOOKUP(F1350,数据集标准分类!A:E,5,0)</f>
        <v>0602</v>
      </c>
      <c r="D1350" s="183" t="str">
        <f>VLOOKUP(F1350,数据集标准分类!A:D,4,0)</f>
        <v>护理评估</v>
      </c>
      <c r="E1350" s="183" t="str">
        <f>VLOOKUP(F1350,数据集标准分类!A:C,3,0)</f>
        <v>060214</v>
      </c>
      <c r="F1350" s="170" t="s">
        <v>3388</v>
      </c>
      <c r="G1350" s="183" t="str">
        <f>VLOOKUP(F1350,数据集标准分类!A:B,2,0)</f>
        <v>dc_assmnt_with_guide_rec</v>
      </c>
      <c r="H1350" s="294">
        <f>VLOOKUP(F1350,数据集标准分类!A:H,8,0)</f>
        <v>83</v>
      </c>
      <c r="I1350" s="170" t="s">
        <v>3391</v>
      </c>
      <c r="J1350" s="170" t="s">
        <v>3392</v>
      </c>
      <c r="K1350" s="170" t="s">
        <v>3393</v>
      </c>
      <c r="L1350" s="170" t="s">
        <v>3394</v>
      </c>
      <c r="M1350" s="170" t="s">
        <v>3395</v>
      </c>
      <c r="N1350" s="294">
        <v>8</v>
      </c>
      <c r="O1350" s="170"/>
    </row>
    <row r="1351" ht="15.75" customHeight="1" spans="1:15">
      <c r="A1351" s="183" t="str">
        <f>VLOOKUP(F1351,数据集标准分类!A:G,7,0)</f>
        <v>06</v>
      </c>
      <c r="B1351" s="183" t="str">
        <f>VLOOKUP(F1351,数据集标准分类!A:F,6,0)</f>
        <v>护理病历</v>
      </c>
      <c r="C1351" s="183" t="str">
        <f>VLOOKUP(F1351,数据集标准分类!A:E,5,0)</f>
        <v>0602</v>
      </c>
      <c r="D1351" s="183" t="str">
        <f>VLOOKUP(F1351,数据集标准分类!A:D,4,0)</f>
        <v>护理评估</v>
      </c>
      <c r="E1351" s="183" t="str">
        <f>VLOOKUP(F1351,数据集标准分类!A:C,3,0)</f>
        <v>060214</v>
      </c>
      <c r="F1351" s="170" t="s">
        <v>3388</v>
      </c>
      <c r="G1351" s="183" t="str">
        <f>VLOOKUP(F1351,数据集标准分类!A:B,2,0)</f>
        <v>dc_assmnt_with_guide_rec</v>
      </c>
      <c r="H1351" s="294">
        <f>VLOOKUP(F1351,数据集标准分类!A:H,8,0)</f>
        <v>83</v>
      </c>
      <c r="I1351" s="170" t="s">
        <v>3396</v>
      </c>
      <c r="J1351" s="170" t="s">
        <v>3397</v>
      </c>
      <c r="K1351" s="170" t="s">
        <v>3398</v>
      </c>
      <c r="L1351" s="170" t="s">
        <v>3399</v>
      </c>
      <c r="M1351" s="170" t="s">
        <v>3400</v>
      </c>
      <c r="N1351" s="294">
        <v>9</v>
      </c>
      <c r="O1351" s="170"/>
    </row>
    <row r="1352" ht="15.75" customHeight="1" spans="1:15">
      <c r="A1352" s="183" t="str">
        <f>VLOOKUP(F1352,数据集标准分类!A:G,7,0)</f>
        <v>06</v>
      </c>
      <c r="B1352" s="183" t="str">
        <f>VLOOKUP(F1352,数据集标准分类!A:F,6,0)</f>
        <v>护理病历</v>
      </c>
      <c r="C1352" s="183" t="str">
        <f>VLOOKUP(F1352,数据集标准分类!A:E,5,0)</f>
        <v>0602</v>
      </c>
      <c r="D1352" s="183" t="str">
        <f>VLOOKUP(F1352,数据集标准分类!A:D,4,0)</f>
        <v>护理评估</v>
      </c>
      <c r="E1352" s="183" t="str">
        <f>VLOOKUP(F1352,数据集标准分类!A:C,3,0)</f>
        <v>060214</v>
      </c>
      <c r="F1352" s="170" t="s">
        <v>3388</v>
      </c>
      <c r="G1352" s="183" t="str">
        <f>VLOOKUP(F1352,数据集标准分类!A:B,2,0)</f>
        <v>dc_assmnt_with_guide_rec</v>
      </c>
      <c r="H1352" s="294">
        <f>VLOOKUP(F1352,数据集标准分类!A:H,8,0)</f>
        <v>83</v>
      </c>
      <c r="I1352" s="170" t="s">
        <v>3401</v>
      </c>
      <c r="J1352" s="170" t="s">
        <v>3402</v>
      </c>
      <c r="K1352" s="170" t="s">
        <v>3403</v>
      </c>
      <c r="L1352" s="170" t="s">
        <v>3404</v>
      </c>
      <c r="M1352" s="170" t="s">
        <v>3405</v>
      </c>
      <c r="N1352" s="294">
        <v>10</v>
      </c>
      <c r="O1352" s="170"/>
    </row>
    <row r="1353" ht="15.75" customHeight="1" spans="1:15">
      <c r="A1353" s="183" t="str">
        <f>VLOOKUP(F1353,数据集标准分类!A:G,7,0)</f>
        <v>06</v>
      </c>
      <c r="B1353" s="183" t="str">
        <f>VLOOKUP(F1353,数据集标准分类!A:F,6,0)</f>
        <v>护理病历</v>
      </c>
      <c r="C1353" s="183" t="str">
        <f>VLOOKUP(F1353,数据集标准分类!A:E,5,0)</f>
        <v>0602</v>
      </c>
      <c r="D1353" s="183" t="str">
        <f>VLOOKUP(F1353,数据集标准分类!A:D,4,0)</f>
        <v>护理评估</v>
      </c>
      <c r="E1353" s="183" t="str">
        <f>VLOOKUP(F1353,数据集标准分类!A:C,3,0)</f>
        <v>060214</v>
      </c>
      <c r="F1353" s="170" t="s">
        <v>3388</v>
      </c>
      <c r="G1353" s="183" t="str">
        <f>VLOOKUP(F1353,数据集标准分类!A:B,2,0)</f>
        <v>dc_assmnt_with_guide_rec</v>
      </c>
      <c r="H1353" s="294">
        <f>VLOOKUP(F1353,数据集标准分类!A:H,8,0)</f>
        <v>83</v>
      </c>
      <c r="I1353" s="170" t="s">
        <v>3406</v>
      </c>
      <c r="J1353" s="170" t="s">
        <v>3407</v>
      </c>
      <c r="K1353" s="170" t="s">
        <v>3408</v>
      </c>
      <c r="L1353" s="170" t="s">
        <v>3409</v>
      </c>
      <c r="M1353" s="170" t="s">
        <v>3410</v>
      </c>
      <c r="N1353" s="294">
        <v>11</v>
      </c>
      <c r="O1353" s="170"/>
    </row>
    <row r="1354" ht="15.75" customHeight="1" spans="1:15">
      <c r="A1354" s="183" t="str">
        <f>VLOOKUP(F1354,数据集标准分类!A:G,7,0)</f>
        <v>06</v>
      </c>
      <c r="B1354" s="183" t="str">
        <f>VLOOKUP(F1354,数据集标准分类!A:F,6,0)</f>
        <v>护理病历</v>
      </c>
      <c r="C1354" s="183" t="str">
        <f>VLOOKUP(F1354,数据集标准分类!A:E,5,0)</f>
        <v>0603</v>
      </c>
      <c r="D1354" s="183" t="str">
        <f>VLOOKUP(F1354,数据集标准分类!A:D,4,0)</f>
        <v>专项评估</v>
      </c>
      <c r="E1354" s="183" t="str">
        <f>VLOOKUP(F1354,数据集标准分类!A:C,3,0)</f>
        <v>060301</v>
      </c>
      <c r="F1354" s="170" t="s">
        <v>3411</v>
      </c>
      <c r="G1354" s="183" t="str">
        <f>VLOOKUP(F1354,数据集标准分类!A:B,2,0)</f>
        <v>inp_assessment_rass</v>
      </c>
      <c r="H1354" s="294">
        <f>VLOOKUP(F1354,数据集标准分类!A:H,8,0)</f>
        <v>84</v>
      </c>
      <c r="I1354" s="170" t="s">
        <v>3196</v>
      </c>
      <c r="J1354" s="170" t="s">
        <v>3197</v>
      </c>
      <c r="K1354" s="170" t="s">
        <v>3198</v>
      </c>
      <c r="L1354" s="170" t="s">
        <v>2740</v>
      </c>
      <c r="M1354" s="170"/>
      <c r="N1354" s="294">
        <v>1</v>
      </c>
      <c r="O1354" s="170"/>
    </row>
    <row r="1355" ht="15.75" customHeight="1" spans="1:15">
      <c r="A1355" s="183" t="str">
        <f>VLOOKUP(F1355,数据集标准分类!A:G,7,0)</f>
        <v>06</v>
      </c>
      <c r="B1355" s="183" t="str">
        <f>VLOOKUP(F1355,数据集标准分类!A:F,6,0)</f>
        <v>护理病历</v>
      </c>
      <c r="C1355" s="183" t="str">
        <f>VLOOKUP(F1355,数据集标准分类!A:E,5,0)</f>
        <v>0603</v>
      </c>
      <c r="D1355" s="183" t="str">
        <f>VLOOKUP(F1355,数据集标准分类!A:D,4,0)</f>
        <v>专项评估</v>
      </c>
      <c r="E1355" s="183" t="str">
        <f>VLOOKUP(F1355,数据集标准分类!A:C,3,0)</f>
        <v>060301</v>
      </c>
      <c r="F1355" s="170" t="s">
        <v>3411</v>
      </c>
      <c r="G1355" s="183" t="str">
        <f>VLOOKUP(F1355,数据集标准分类!A:B,2,0)</f>
        <v>inp_assessment_rass</v>
      </c>
      <c r="H1355" s="294">
        <f>VLOOKUP(F1355,数据集标准分类!A:H,8,0)</f>
        <v>84</v>
      </c>
      <c r="I1355" s="170" t="s">
        <v>3199</v>
      </c>
      <c r="J1355" s="170" t="s">
        <v>3200</v>
      </c>
      <c r="K1355" s="170" t="s">
        <v>3201</v>
      </c>
      <c r="L1355" s="170" t="s">
        <v>3202</v>
      </c>
      <c r="M1355" s="170"/>
      <c r="N1355" s="294">
        <v>2</v>
      </c>
      <c r="O1355" s="170"/>
    </row>
    <row r="1356" ht="15.75" customHeight="1" spans="1:15">
      <c r="A1356" s="183" t="str">
        <f>VLOOKUP(F1356,数据集标准分类!A:G,7,0)</f>
        <v>06</v>
      </c>
      <c r="B1356" s="183" t="str">
        <f>VLOOKUP(F1356,数据集标准分类!A:F,6,0)</f>
        <v>护理病历</v>
      </c>
      <c r="C1356" s="183" t="str">
        <f>VLOOKUP(F1356,数据集标准分类!A:E,5,0)</f>
        <v>0603</v>
      </c>
      <c r="D1356" s="183" t="str">
        <f>VLOOKUP(F1356,数据集标准分类!A:D,4,0)</f>
        <v>专项评估</v>
      </c>
      <c r="E1356" s="183" t="str">
        <f>VLOOKUP(F1356,数据集标准分类!A:C,3,0)</f>
        <v>060301</v>
      </c>
      <c r="F1356" s="170" t="s">
        <v>3411</v>
      </c>
      <c r="G1356" s="183" t="str">
        <f>VLOOKUP(F1356,数据集标准分类!A:B,2,0)</f>
        <v>inp_assessment_rass</v>
      </c>
      <c r="H1356" s="294">
        <f>VLOOKUP(F1356,数据集标准分类!A:H,8,0)</f>
        <v>84</v>
      </c>
      <c r="I1356" s="170" t="s">
        <v>3328</v>
      </c>
      <c r="J1356" s="170" t="s">
        <v>3329</v>
      </c>
      <c r="K1356" s="170" t="s">
        <v>3330</v>
      </c>
      <c r="L1356" s="170" t="s">
        <v>3346</v>
      </c>
      <c r="M1356" s="170"/>
      <c r="N1356" s="294">
        <v>3</v>
      </c>
      <c r="O1356" s="170"/>
    </row>
    <row r="1357" ht="15.75" customHeight="1" spans="1:15">
      <c r="A1357" s="183" t="str">
        <f>VLOOKUP(F1357,数据集标准分类!A:G,7,0)</f>
        <v>06</v>
      </c>
      <c r="B1357" s="183" t="str">
        <f>VLOOKUP(F1357,数据集标准分类!A:F,6,0)</f>
        <v>护理病历</v>
      </c>
      <c r="C1357" s="183" t="str">
        <f>VLOOKUP(F1357,数据集标准分类!A:E,5,0)</f>
        <v>0603</v>
      </c>
      <c r="D1357" s="183" t="str">
        <f>VLOOKUP(F1357,数据集标准分类!A:D,4,0)</f>
        <v>专项评估</v>
      </c>
      <c r="E1357" s="183" t="str">
        <f>VLOOKUP(F1357,数据集标准分类!A:C,3,0)</f>
        <v>060301</v>
      </c>
      <c r="F1357" s="170" t="s">
        <v>3411</v>
      </c>
      <c r="G1357" s="183" t="str">
        <f>VLOOKUP(F1357,数据集标准分类!A:B,2,0)</f>
        <v>inp_assessment_rass</v>
      </c>
      <c r="H1357" s="294">
        <f>VLOOKUP(F1357,数据集标准分类!A:H,8,0)</f>
        <v>84</v>
      </c>
      <c r="I1357" s="170" t="s">
        <v>1774</v>
      </c>
      <c r="J1357" s="170" t="s">
        <v>1775</v>
      </c>
      <c r="K1357" s="170" t="s">
        <v>1776</v>
      </c>
      <c r="L1357" s="170" t="s">
        <v>1777</v>
      </c>
      <c r="M1357" s="170"/>
      <c r="N1357" s="294">
        <v>4</v>
      </c>
      <c r="O1357" s="170"/>
    </row>
    <row r="1358" ht="15.75" customHeight="1" spans="1:15">
      <c r="A1358" s="183" t="str">
        <f>VLOOKUP(F1358,数据集标准分类!A:G,7,0)</f>
        <v>06</v>
      </c>
      <c r="B1358" s="183" t="str">
        <f>VLOOKUP(F1358,数据集标准分类!A:F,6,0)</f>
        <v>护理病历</v>
      </c>
      <c r="C1358" s="183" t="str">
        <f>VLOOKUP(F1358,数据集标准分类!A:E,5,0)</f>
        <v>0603</v>
      </c>
      <c r="D1358" s="183" t="str">
        <f>VLOOKUP(F1358,数据集标准分类!A:D,4,0)</f>
        <v>专项评估</v>
      </c>
      <c r="E1358" s="183" t="str">
        <f>VLOOKUP(F1358,数据集标准分类!A:C,3,0)</f>
        <v>060301</v>
      </c>
      <c r="F1358" s="170" t="s">
        <v>3411</v>
      </c>
      <c r="G1358" s="183" t="str">
        <f>VLOOKUP(F1358,数据集标准分类!A:B,2,0)</f>
        <v>inp_assessment_rass</v>
      </c>
      <c r="H1358" s="294">
        <f>VLOOKUP(F1358,数据集标准分类!A:H,8,0)</f>
        <v>84</v>
      </c>
      <c r="I1358" s="170" t="s">
        <v>3192</v>
      </c>
      <c r="J1358" s="170" t="s">
        <v>3193</v>
      </c>
      <c r="K1358" s="170" t="s">
        <v>3194</v>
      </c>
      <c r="L1358" s="170" t="s">
        <v>3195</v>
      </c>
      <c r="M1358" s="170"/>
      <c r="N1358" s="294">
        <v>5</v>
      </c>
      <c r="O1358" s="170"/>
    </row>
    <row r="1359" ht="15.75" customHeight="1" spans="1:15">
      <c r="A1359" s="183" t="str">
        <f>VLOOKUP(F1359,数据集标准分类!A:G,7,0)</f>
        <v>06</v>
      </c>
      <c r="B1359" s="183" t="str">
        <f>VLOOKUP(F1359,数据集标准分类!A:F,6,0)</f>
        <v>护理病历</v>
      </c>
      <c r="C1359" s="183" t="str">
        <f>VLOOKUP(F1359,数据集标准分类!A:E,5,0)</f>
        <v>0603</v>
      </c>
      <c r="D1359" s="183" t="str">
        <f>VLOOKUP(F1359,数据集标准分类!A:D,4,0)</f>
        <v>专项评估</v>
      </c>
      <c r="E1359" s="183" t="str">
        <f>VLOOKUP(F1359,数据集标准分类!A:C,3,0)</f>
        <v>060302</v>
      </c>
      <c r="F1359" s="170" t="s">
        <v>3412</v>
      </c>
      <c r="G1359" s="183" t="str">
        <f>VLOOKUP(F1359,数据集标准分类!A:B,2,0)</f>
        <v>inp_assessment_cpot</v>
      </c>
      <c r="H1359" s="294">
        <f>VLOOKUP(F1359,数据集标准分类!A:H,8,0)</f>
        <v>85</v>
      </c>
      <c r="I1359" s="170" t="s">
        <v>3196</v>
      </c>
      <c r="J1359" s="170" t="s">
        <v>3197</v>
      </c>
      <c r="K1359" s="170" t="s">
        <v>3198</v>
      </c>
      <c r="L1359" s="170" t="s">
        <v>2740</v>
      </c>
      <c r="M1359" s="170"/>
      <c r="N1359" s="294">
        <v>1</v>
      </c>
      <c r="O1359" s="170"/>
    </row>
    <row r="1360" ht="15.75" customHeight="1" spans="1:15">
      <c r="A1360" s="183" t="str">
        <f>VLOOKUP(F1360,数据集标准分类!A:G,7,0)</f>
        <v>06</v>
      </c>
      <c r="B1360" s="183" t="str">
        <f>VLOOKUP(F1360,数据集标准分类!A:F,6,0)</f>
        <v>护理病历</v>
      </c>
      <c r="C1360" s="183" t="str">
        <f>VLOOKUP(F1360,数据集标准分类!A:E,5,0)</f>
        <v>0603</v>
      </c>
      <c r="D1360" s="183" t="str">
        <f>VLOOKUP(F1360,数据集标准分类!A:D,4,0)</f>
        <v>专项评估</v>
      </c>
      <c r="E1360" s="183" t="str">
        <f>VLOOKUP(F1360,数据集标准分类!A:C,3,0)</f>
        <v>060302</v>
      </c>
      <c r="F1360" s="170" t="s">
        <v>3412</v>
      </c>
      <c r="G1360" s="183" t="str">
        <f>VLOOKUP(F1360,数据集标准分类!A:B,2,0)</f>
        <v>inp_assessment_cpot</v>
      </c>
      <c r="H1360" s="294">
        <f>VLOOKUP(F1360,数据集标准分类!A:H,8,0)</f>
        <v>85</v>
      </c>
      <c r="I1360" s="170" t="s">
        <v>3199</v>
      </c>
      <c r="J1360" s="170" t="s">
        <v>3200</v>
      </c>
      <c r="K1360" s="170" t="s">
        <v>3201</v>
      </c>
      <c r="L1360" s="170" t="s">
        <v>3202</v>
      </c>
      <c r="M1360" s="170"/>
      <c r="N1360" s="294">
        <v>2</v>
      </c>
      <c r="O1360" s="170"/>
    </row>
    <row r="1361" ht="15.75" customHeight="1" spans="1:15">
      <c r="A1361" s="183" t="str">
        <f>VLOOKUP(F1361,数据集标准分类!A:G,7,0)</f>
        <v>06</v>
      </c>
      <c r="B1361" s="183" t="str">
        <f>VLOOKUP(F1361,数据集标准分类!A:F,6,0)</f>
        <v>护理病历</v>
      </c>
      <c r="C1361" s="183" t="str">
        <f>VLOOKUP(F1361,数据集标准分类!A:E,5,0)</f>
        <v>0603</v>
      </c>
      <c r="D1361" s="183" t="str">
        <f>VLOOKUP(F1361,数据集标准分类!A:D,4,0)</f>
        <v>专项评估</v>
      </c>
      <c r="E1361" s="183" t="str">
        <f>VLOOKUP(F1361,数据集标准分类!A:C,3,0)</f>
        <v>060302</v>
      </c>
      <c r="F1361" s="170" t="s">
        <v>3412</v>
      </c>
      <c r="G1361" s="183" t="str">
        <f>VLOOKUP(F1361,数据集标准分类!A:B,2,0)</f>
        <v>inp_assessment_cpot</v>
      </c>
      <c r="H1361" s="294">
        <f>VLOOKUP(F1361,数据集标准分类!A:H,8,0)</f>
        <v>85</v>
      </c>
      <c r="I1361" s="170" t="s">
        <v>3328</v>
      </c>
      <c r="J1361" s="170" t="s">
        <v>3329</v>
      </c>
      <c r="K1361" s="170" t="s">
        <v>3330</v>
      </c>
      <c r="L1361" s="170" t="s">
        <v>3346</v>
      </c>
      <c r="M1361" s="170"/>
      <c r="N1361" s="294">
        <v>3</v>
      </c>
      <c r="O1361" s="170"/>
    </row>
    <row r="1362" ht="15.75" customHeight="1" spans="1:15">
      <c r="A1362" s="183" t="str">
        <f>VLOOKUP(F1362,数据集标准分类!A:G,7,0)</f>
        <v>06</v>
      </c>
      <c r="B1362" s="183" t="str">
        <f>VLOOKUP(F1362,数据集标准分类!A:F,6,0)</f>
        <v>护理病历</v>
      </c>
      <c r="C1362" s="183" t="str">
        <f>VLOOKUP(F1362,数据集标准分类!A:E,5,0)</f>
        <v>0603</v>
      </c>
      <c r="D1362" s="183" t="str">
        <f>VLOOKUP(F1362,数据集标准分类!A:D,4,0)</f>
        <v>专项评估</v>
      </c>
      <c r="E1362" s="183" t="str">
        <f>VLOOKUP(F1362,数据集标准分类!A:C,3,0)</f>
        <v>060302</v>
      </c>
      <c r="F1362" s="170" t="s">
        <v>3412</v>
      </c>
      <c r="G1362" s="183" t="str">
        <f>VLOOKUP(F1362,数据集标准分类!A:B,2,0)</f>
        <v>inp_assessment_cpot</v>
      </c>
      <c r="H1362" s="294">
        <f>VLOOKUP(F1362,数据集标准分类!A:H,8,0)</f>
        <v>85</v>
      </c>
      <c r="I1362" s="170" t="s">
        <v>1774</v>
      </c>
      <c r="J1362" s="170" t="s">
        <v>1775</v>
      </c>
      <c r="K1362" s="170" t="s">
        <v>1776</v>
      </c>
      <c r="L1362" s="170" t="s">
        <v>1777</v>
      </c>
      <c r="M1362" s="170"/>
      <c r="N1362" s="294">
        <v>4</v>
      </c>
      <c r="O1362" s="170"/>
    </row>
    <row r="1363" ht="15.75" customHeight="1" spans="1:15">
      <c r="A1363" s="183" t="str">
        <f>VLOOKUP(F1363,数据集标准分类!A:G,7,0)</f>
        <v>06</v>
      </c>
      <c r="B1363" s="183" t="str">
        <f>VLOOKUP(F1363,数据集标准分类!A:F,6,0)</f>
        <v>护理病历</v>
      </c>
      <c r="C1363" s="183" t="str">
        <f>VLOOKUP(F1363,数据集标准分类!A:E,5,0)</f>
        <v>0603</v>
      </c>
      <c r="D1363" s="183" t="str">
        <f>VLOOKUP(F1363,数据集标准分类!A:D,4,0)</f>
        <v>专项评估</v>
      </c>
      <c r="E1363" s="183" t="str">
        <f>VLOOKUP(F1363,数据集标准分类!A:C,3,0)</f>
        <v>060302</v>
      </c>
      <c r="F1363" s="170" t="s">
        <v>3412</v>
      </c>
      <c r="G1363" s="183" t="str">
        <f>VLOOKUP(F1363,数据集标准分类!A:B,2,0)</f>
        <v>inp_assessment_cpot</v>
      </c>
      <c r="H1363" s="294">
        <f>VLOOKUP(F1363,数据集标准分类!A:H,8,0)</f>
        <v>85</v>
      </c>
      <c r="I1363" s="170" t="s">
        <v>3192</v>
      </c>
      <c r="J1363" s="170" t="s">
        <v>3193</v>
      </c>
      <c r="K1363" s="170" t="s">
        <v>3194</v>
      </c>
      <c r="L1363" s="170" t="s">
        <v>3195</v>
      </c>
      <c r="M1363" s="170"/>
      <c r="N1363" s="294">
        <v>5</v>
      </c>
      <c r="O1363" s="170"/>
    </row>
    <row r="1364" ht="15.75" customHeight="1" spans="1:15">
      <c r="A1364" s="183" t="str">
        <f>VLOOKUP(F1364,数据集标准分类!A:G,7,0)</f>
        <v>06</v>
      </c>
      <c r="B1364" s="183" t="str">
        <f>VLOOKUP(F1364,数据集标准分类!A:F,6,0)</f>
        <v>护理病历</v>
      </c>
      <c r="C1364" s="183" t="str">
        <f>VLOOKUP(F1364,数据集标准分类!A:E,5,0)</f>
        <v>0603</v>
      </c>
      <c r="D1364" s="183" t="str">
        <f>VLOOKUP(F1364,数据集标准分类!A:D,4,0)</f>
        <v>专项评估</v>
      </c>
      <c r="E1364" s="183" t="str">
        <f>VLOOKUP(F1364,数据集标准分类!A:C,3,0)</f>
        <v>060303</v>
      </c>
      <c r="F1364" s="170" t="s">
        <v>3413</v>
      </c>
      <c r="G1364" s="183" t="str">
        <f>VLOOKUP(F1364,数据集标准分类!A:B,2,0)</f>
        <v>mini_mental_state_examination</v>
      </c>
      <c r="H1364" s="294">
        <f>VLOOKUP(F1364,数据集标准分类!A:H,8,0)</f>
        <v>86</v>
      </c>
      <c r="I1364" s="170" t="s">
        <v>3199</v>
      </c>
      <c r="J1364" s="170" t="s">
        <v>3200</v>
      </c>
      <c r="K1364" s="170" t="s">
        <v>3201</v>
      </c>
      <c r="L1364" s="170" t="s">
        <v>3202</v>
      </c>
      <c r="M1364" s="170"/>
      <c r="N1364" s="294">
        <v>1</v>
      </c>
      <c r="O1364" s="170"/>
    </row>
    <row r="1365" ht="15.75" customHeight="1" spans="1:15">
      <c r="A1365" s="183" t="str">
        <f>VLOOKUP(F1365,数据集标准分类!A:G,7,0)</f>
        <v>06</v>
      </c>
      <c r="B1365" s="183" t="str">
        <f>VLOOKUP(F1365,数据集标准分类!A:F,6,0)</f>
        <v>护理病历</v>
      </c>
      <c r="C1365" s="183" t="str">
        <f>VLOOKUP(F1365,数据集标准分类!A:E,5,0)</f>
        <v>0603</v>
      </c>
      <c r="D1365" s="183" t="str">
        <f>VLOOKUP(F1365,数据集标准分类!A:D,4,0)</f>
        <v>专项评估</v>
      </c>
      <c r="E1365" s="183" t="str">
        <f>VLOOKUP(F1365,数据集标准分类!A:C,3,0)</f>
        <v>060303</v>
      </c>
      <c r="F1365" s="170" t="s">
        <v>3413</v>
      </c>
      <c r="G1365" s="183" t="str">
        <f>VLOOKUP(F1365,数据集标准分类!A:B,2,0)</f>
        <v>mini_mental_state_examination</v>
      </c>
      <c r="H1365" s="294">
        <f>VLOOKUP(F1365,数据集标准分类!A:H,8,0)</f>
        <v>86</v>
      </c>
      <c r="I1365" s="170" t="s">
        <v>3366</v>
      </c>
      <c r="J1365" s="170" t="s">
        <v>3367</v>
      </c>
      <c r="K1365" s="170" t="s">
        <v>3368</v>
      </c>
      <c r="L1365" s="170" t="s">
        <v>3369</v>
      </c>
      <c r="M1365" s="170"/>
      <c r="N1365" s="294">
        <v>2</v>
      </c>
      <c r="O1365" s="170"/>
    </row>
    <row r="1366" ht="15.75" customHeight="1" spans="1:15">
      <c r="A1366" s="183" t="str">
        <f>VLOOKUP(F1366,数据集标准分类!A:G,7,0)</f>
        <v>06</v>
      </c>
      <c r="B1366" s="183" t="str">
        <f>VLOOKUP(F1366,数据集标准分类!A:F,6,0)</f>
        <v>护理病历</v>
      </c>
      <c r="C1366" s="183" t="str">
        <f>VLOOKUP(F1366,数据集标准分类!A:E,5,0)</f>
        <v>0603</v>
      </c>
      <c r="D1366" s="183" t="str">
        <f>VLOOKUP(F1366,数据集标准分类!A:D,4,0)</f>
        <v>专项评估</v>
      </c>
      <c r="E1366" s="183" t="str">
        <f>VLOOKUP(F1366,数据集标准分类!A:C,3,0)</f>
        <v>060303</v>
      </c>
      <c r="F1366" s="170" t="s">
        <v>3413</v>
      </c>
      <c r="G1366" s="183" t="str">
        <f>VLOOKUP(F1366,数据集标准分类!A:B,2,0)</f>
        <v>mini_mental_state_examination</v>
      </c>
      <c r="H1366" s="294">
        <f>VLOOKUP(F1366,数据集标准分类!A:H,8,0)</f>
        <v>86</v>
      </c>
      <c r="I1366" s="170" t="s">
        <v>3336</v>
      </c>
      <c r="J1366" s="170" t="s">
        <v>3337</v>
      </c>
      <c r="K1366" s="170" t="s">
        <v>3338</v>
      </c>
      <c r="L1366" s="170" t="s">
        <v>3339</v>
      </c>
      <c r="M1366" s="170"/>
      <c r="N1366" s="294">
        <v>3</v>
      </c>
      <c r="O1366" s="170"/>
    </row>
    <row r="1367" ht="15.75" customHeight="1" spans="1:15">
      <c r="A1367" s="183" t="str">
        <f>VLOOKUP(F1367,数据集标准分类!A:G,7,0)</f>
        <v>06</v>
      </c>
      <c r="B1367" s="183" t="str">
        <f>VLOOKUP(F1367,数据集标准分类!A:F,6,0)</f>
        <v>护理病历</v>
      </c>
      <c r="C1367" s="183" t="str">
        <f>VLOOKUP(F1367,数据集标准分类!A:E,5,0)</f>
        <v>0603</v>
      </c>
      <c r="D1367" s="183" t="str">
        <f>VLOOKUP(F1367,数据集标准分类!A:D,4,0)</f>
        <v>专项评估</v>
      </c>
      <c r="E1367" s="183" t="str">
        <f>VLOOKUP(F1367,数据集标准分类!A:C,3,0)</f>
        <v>060304</v>
      </c>
      <c r="F1367" s="170" t="s">
        <v>3414</v>
      </c>
      <c r="G1367" s="183" t="str">
        <f>VLOOKUP(F1367,数据集标准分类!A:B,2,0)</f>
        <v>icdsc_record</v>
      </c>
      <c r="H1367" s="294">
        <f>VLOOKUP(F1367,数据集标准分类!A:H,8,0)</f>
        <v>87</v>
      </c>
      <c r="I1367" s="170" t="s">
        <v>3192</v>
      </c>
      <c r="J1367" s="170" t="s">
        <v>3193</v>
      </c>
      <c r="K1367" s="170" t="s">
        <v>3194</v>
      </c>
      <c r="L1367" s="170" t="s">
        <v>3195</v>
      </c>
      <c r="M1367" s="170"/>
      <c r="N1367" s="294">
        <v>1</v>
      </c>
      <c r="O1367" s="170"/>
    </row>
    <row r="1368" ht="15.75" customHeight="1" spans="1:15">
      <c r="A1368" s="183" t="str">
        <f>VLOOKUP(F1368,数据集标准分类!A:G,7,0)</f>
        <v>06</v>
      </c>
      <c r="B1368" s="183" t="str">
        <f>VLOOKUP(F1368,数据集标准分类!A:F,6,0)</f>
        <v>护理病历</v>
      </c>
      <c r="C1368" s="183" t="str">
        <f>VLOOKUP(F1368,数据集标准分类!A:E,5,0)</f>
        <v>0603</v>
      </c>
      <c r="D1368" s="183" t="str">
        <f>VLOOKUP(F1368,数据集标准分类!A:D,4,0)</f>
        <v>专项评估</v>
      </c>
      <c r="E1368" s="183" t="str">
        <f>VLOOKUP(F1368,数据集标准分类!A:C,3,0)</f>
        <v>060304</v>
      </c>
      <c r="F1368" s="170" t="s">
        <v>3414</v>
      </c>
      <c r="G1368" s="183" t="str">
        <f>VLOOKUP(F1368,数据集标准分类!A:B,2,0)</f>
        <v>icdsc_record</v>
      </c>
      <c r="H1368" s="294">
        <f>VLOOKUP(F1368,数据集标准分类!A:H,8,0)</f>
        <v>87</v>
      </c>
      <c r="I1368" s="170" t="s">
        <v>3361</v>
      </c>
      <c r="J1368" s="170" t="s">
        <v>3362</v>
      </c>
      <c r="K1368" s="170" t="s">
        <v>3363</v>
      </c>
      <c r="L1368" s="170" t="s">
        <v>3364</v>
      </c>
      <c r="M1368" s="170"/>
      <c r="N1368" s="294">
        <v>2</v>
      </c>
      <c r="O1368" s="170"/>
    </row>
    <row r="1369" ht="15.75" customHeight="1" spans="1:15">
      <c r="A1369" s="183" t="str">
        <f>VLOOKUP(F1369,数据集标准分类!A:G,7,0)</f>
        <v>06</v>
      </c>
      <c r="B1369" s="183" t="str">
        <f>VLOOKUP(F1369,数据集标准分类!A:F,6,0)</f>
        <v>护理病历</v>
      </c>
      <c r="C1369" s="183" t="str">
        <f>VLOOKUP(F1369,数据集标准分类!A:E,5,0)</f>
        <v>0603</v>
      </c>
      <c r="D1369" s="183" t="str">
        <f>VLOOKUP(F1369,数据集标准分类!A:D,4,0)</f>
        <v>专项评估</v>
      </c>
      <c r="E1369" s="183" t="str">
        <f>VLOOKUP(F1369,数据集标准分类!A:C,3,0)</f>
        <v>060304</v>
      </c>
      <c r="F1369" s="170" t="s">
        <v>3414</v>
      </c>
      <c r="G1369" s="183" t="str">
        <f>VLOOKUP(F1369,数据集标准分类!A:B,2,0)</f>
        <v>icdsc_record</v>
      </c>
      <c r="H1369" s="294">
        <f>VLOOKUP(F1369,数据集标准分类!A:H,8,0)</f>
        <v>87</v>
      </c>
      <c r="I1369" s="170" t="s">
        <v>1496</v>
      </c>
      <c r="J1369" s="170" t="s">
        <v>1497</v>
      </c>
      <c r="K1369" s="170" t="s">
        <v>1498</v>
      </c>
      <c r="L1369" s="170" t="s">
        <v>1499</v>
      </c>
      <c r="M1369" s="170"/>
      <c r="N1369" s="294">
        <v>3</v>
      </c>
      <c r="O1369" s="170"/>
    </row>
    <row r="1370" ht="15.75" customHeight="1" spans="1:15">
      <c r="A1370" s="183" t="str">
        <f>VLOOKUP(F1370,数据集标准分类!A:G,7,0)</f>
        <v>06</v>
      </c>
      <c r="B1370" s="183" t="str">
        <f>VLOOKUP(F1370,数据集标准分类!A:F,6,0)</f>
        <v>护理病历</v>
      </c>
      <c r="C1370" s="183" t="str">
        <f>VLOOKUP(F1370,数据集标准分类!A:E,5,0)</f>
        <v>0603</v>
      </c>
      <c r="D1370" s="183" t="str">
        <f>VLOOKUP(F1370,数据集标准分类!A:D,4,0)</f>
        <v>专项评估</v>
      </c>
      <c r="E1370" s="183" t="str">
        <f>VLOOKUP(F1370,数据集标准分类!A:C,3,0)</f>
        <v>060304</v>
      </c>
      <c r="F1370" s="170" t="s">
        <v>3414</v>
      </c>
      <c r="G1370" s="183" t="str">
        <f>VLOOKUP(F1370,数据集标准分类!A:B,2,0)</f>
        <v>icdsc_record</v>
      </c>
      <c r="H1370" s="294">
        <f>VLOOKUP(F1370,数据集标准分类!A:H,8,0)</f>
        <v>87</v>
      </c>
      <c r="I1370" s="170" t="s">
        <v>3199</v>
      </c>
      <c r="J1370" s="170" t="s">
        <v>3200</v>
      </c>
      <c r="K1370" s="170" t="s">
        <v>3201</v>
      </c>
      <c r="L1370" s="170" t="s">
        <v>3202</v>
      </c>
      <c r="M1370" s="170"/>
      <c r="N1370" s="294">
        <v>4</v>
      </c>
      <c r="O1370" s="170"/>
    </row>
    <row r="1371" ht="15.75" customHeight="1" spans="1:15">
      <c r="A1371" s="183" t="str">
        <f>VLOOKUP(F1371,数据集标准分类!A:G,7,0)</f>
        <v>06</v>
      </c>
      <c r="B1371" s="183" t="str">
        <f>VLOOKUP(F1371,数据集标准分类!A:F,6,0)</f>
        <v>护理病历</v>
      </c>
      <c r="C1371" s="183" t="str">
        <f>VLOOKUP(F1371,数据集标准分类!A:E,5,0)</f>
        <v>0603</v>
      </c>
      <c r="D1371" s="183" t="str">
        <f>VLOOKUP(F1371,数据集标准分类!A:D,4,0)</f>
        <v>专项评估</v>
      </c>
      <c r="E1371" s="183" t="str">
        <f>VLOOKUP(F1371,数据集标准分类!A:C,3,0)</f>
        <v>060304</v>
      </c>
      <c r="F1371" s="170" t="s">
        <v>3414</v>
      </c>
      <c r="G1371" s="183" t="str">
        <f>VLOOKUP(F1371,数据集标准分类!A:B,2,0)</f>
        <v>icdsc_record</v>
      </c>
      <c r="H1371" s="294">
        <f>VLOOKUP(F1371,数据集标准分类!A:H,8,0)</f>
        <v>87</v>
      </c>
      <c r="I1371" s="170" t="s">
        <v>3366</v>
      </c>
      <c r="J1371" s="170" t="s">
        <v>3367</v>
      </c>
      <c r="K1371" s="170" t="s">
        <v>3368</v>
      </c>
      <c r="L1371" s="170" t="s">
        <v>3369</v>
      </c>
      <c r="M1371" s="170"/>
      <c r="N1371" s="294">
        <v>5</v>
      </c>
      <c r="O1371" s="170"/>
    </row>
    <row r="1372" ht="15.75" customHeight="1" spans="1:15">
      <c r="A1372" s="183" t="str">
        <f>VLOOKUP(F1372,数据集标准分类!A:G,7,0)</f>
        <v>06</v>
      </c>
      <c r="B1372" s="183" t="str">
        <f>VLOOKUP(F1372,数据集标准分类!A:F,6,0)</f>
        <v>护理病历</v>
      </c>
      <c r="C1372" s="183" t="str">
        <f>VLOOKUP(F1372,数据集标准分类!A:E,5,0)</f>
        <v>0603</v>
      </c>
      <c r="D1372" s="183" t="str">
        <f>VLOOKUP(F1372,数据集标准分类!A:D,4,0)</f>
        <v>专项评估</v>
      </c>
      <c r="E1372" s="183" t="str">
        <f>VLOOKUP(F1372,数据集标准分类!A:C,3,0)</f>
        <v>060304</v>
      </c>
      <c r="F1372" s="170" t="s">
        <v>3414</v>
      </c>
      <c r="G1372" s="183" t="str">
        <f>VLOOKUP(F1372,数据集标准分类!A:B,2,0)</f>
        <v>icdsc_record</v>
      </c>
      <c r="H1372" s="294">
        <f>VLOOKUP(F1372,数据集标准分类!A:H,8,0)</f>
        <v>87</v>
      </c>
      <c r="I1372" s="170" t="s">
        <v>3336</v>
      </c>
      <c r="J1372" s="170" t="s">
        <v>3337</v>
      </c>
      <c r="K1372" s="170" t="s">
        <v>3338</v>
      </c>
      <c r="L1372" s="170" t="s">
        <v>3339</v>
      </c>
      <c r="M1372" s="170"/>
      <c r="N1372" s="294">
        <v>6</v>
      </c>
      <c r="O1372" s="170"/>
    </row>
    <row r="1373" ht="15.75" customHeight="1" spans="1:15">
      <c r="A1373" s="183" t="str">
        <f>VLOOKUP(F1373,数据集标准分类!A:G,7,0)</f>
        <v>06</v>
      </c>
      <c r="B1373" s="183" t="str">
        <f>VLOOKUP(F1373,数据集标准分类!A:F,6,0)</f>
        <v>护理病历</v>
      </c>
      <c r="C1373" s="183" t="str">
        <f>VLOOKUP(F1373,数据集标准分类!A:E,5,0)</f>
        <v>0603</v>
      </c>
      <c r="D1373" s="183" t="str">
        <f>VLOOKUP(F1373,数据集标准分类!A:D,4,0)</f>
        <v>专项评估</v>
      </c>
      <c r="E1373" s="183" t="str">
        <f>VLOOKUP(F1373,数据集标准分类!A:C,3,0)</f>
        <v>060305</v>
      </c>
      <c r="F1373" s="170" t="s">
        <v>3415</v>
      </c>
      <c r="G1373" s="183" t="str">
        <f>VLOOKUP(F1373,数据集标准分类!A:B,2,0)</f>
        <v>cam_icu_record</v>
      </c>
      <c r="H1373" s="294">
        <f>VLOOKUP(F1373,数据集标准分类!A:H,8,0)</f>
        <v>88</v>
      </c>
      <c r="I1373" s="170" t="s">
        <v>3192</v>
      </c>
      <c r="J1373" s="170" t="s">
        <v>3193</v>
      </c>
      <c r="K1373" s="170" t="s">
        <v>3194</v>
      </c>
      <c r="L1373" s="170" t="s">
        <v>3195</v>
      </c>
      <c r="M1373" s="170"/>
      <c r="N1373" s="294">
        <v>1</v>
      </c>
      <c r="O1373" s="170"/>
    </row>
    <row r="1374" ht="15.75" customHeight="1" spans="1:15">
      <c r="A1374" s="183" t="str">
        <f>VLOOKUP(F1374,数据集标准分类!A:G,7,0)</f>
        <v>06</v>
      </c>
      <c r="B1374" s="183" t="str">
        <f>VLOOKUP(F1374,数据集标准分类!A:F,6,0)</f>
        <v>护理病历</v>
      </c>
      <c r="C1374" s="183" t="str">
        <f>VLOOKUP(F1374,数据集标准分类!A:E,5,0)</f>
        <v>0603</v>
      </c>
      <c r="D1374" s="183" t="str">
        <f>VLOOKUP(F1374,数据集标准分类!A:D,4,0)</f>
        <v>专项评估</v>
      </c>
      <c r="E1374" s="183" t="str">
        <f>VLOOKUP(F1374,数据集标准分类!A:C,3,0)</f>
        <v>060305</v>
      </c>
      <c r="F1374" s="170" t="s">
        <v>3415</v>
      </c>
      <c r="G1374" s="183" t="str">
        <f>VLOOKUP(F1374,数据集标准分类!A:B,2,0)</f>
        <v>cam_icu_record</v>
      </c>
      <c r="H1374" s="294">
        <f>VLOOKUP(F1374,数据集标准分类!A:H,8,0)</f>
        <v>88</v>
      </c>
      <c r="I1374" s="170" t="s">
        <v>3361</v>
      </c>
      <c r="J1374" s="170" t="s">
        <v>3362</v>
      </c>
      <c r="K1374" s="170" t="s">
        <v>3363</v>
      </c>
      <c r="L1374" s="170" t="s">
        <v>3364</v>
      </c>
      <c r="M1374" s="170"/>
      <c r="N1374" s="294">
        <v>2</v>
      </c>
      <c r="O1374" s="170"/>
    </row>
    <row r="1375" ht="15.75" customHeight="1" spans="1:15">
      <c r="A1375" s="183" t="str">
        <f>VLOOKUP(F1375,数据集标准分类!A:G,7,0)</f>
        <v>06</v>
      </c>
      <c r="B1375" s="183" t="str">
        <f>VLOOKUP(F1375,数据集标准分类!A:F,6,0)</f>
        <v>护理病历</v>
      </c>
      <c r="C1375" s="183" t="str">
        <f>VLOOKUP(F1375,数据集标准分类!A:E,5,0)</f>
        <v>0603</v>
      </c>
      <c r="D1375" s="183" t="str">
        <f>VLOOKUP(F1375,数据集标准分类!A:D,4,0)</f>
        <v>专项评估</v>
      </c>
      <c r="E1375" s="183" t="str">
        <f>VLOOKUP(F1375,数据集标准分类!A:C,3,0)</f>
        <v>060305</v>
      </c>
      <c r="F1375" s="170" t="s">
        <v>3415</v>
      </c>
      <c r="G1375" s="183" t="str">
        <f>VLOOKUP(F1375,数据集标准分类!A:B,2,0)</f>
        <v>cam_icu_record</v>
      </c>
      <c r="H1375" s="294">
        <f>VLOOKUP(F1375,数据集标准分类!A:H,8,0)</f>
        <v>88</v>
      </c>
      <c r="I1375" s="170" t="s">
        <v>1496</v>
      </c>
      <c r="J1375" s="170" t="s">
        <v>1497</v>
      </c>
      <c r="K1375" s="170" t="s">
        <v>1498</v>
      </c>
      <c r="L1375" s="170" t="s">
        <v>1499</v>
      </c>
      <c r="M1375" s="170"/>
      <c r="N1375" s="294">
        <v>3</v>
      </c>
      <c r="O1375" s="170"/>
    </row>
    <row r="1376" ht="15.75" customHeight="1" spans="1:15">
      <c r="A1376" s="183" t="str">
        <f>VLOOKUP(F1376,数据集标准分类!A:G,7,0)</f>
        <v>06</v>
      </c>
      <c r="B1376" s="183" t="str">
        <f>VLOOKUP(F1376,数据集标准分类!A:F,6,0)</f>
        <v>护理病历</v>
      </c>
      <c r="C1376" s="183" t="str">
        <f>VLOOKUP(F1376,数据集标准分类!A:E,5,0)</f>
        <v>0603</v>
      </c>
      <c r="D1376" s="183" t="str">
        <f>VLOOKUP(F1376,数据集标准分类!A:D,4,0)</f>
        <v>专项评估</v>
      </c>
      <c r="E1376" s="183" t="str">
        <f>VLOOKUP(F1376,数据集标准分类!A:C,3,0)</f>
        <v>060305</v>
      </c>
      <c r="F1376" s="170" t="s">
        <v>3415</v>
      </c>
      <c r="G1376" s="183" t="str">
        <f>VLOOKUP(F1376,数据集标准分类!A:B,2,0)</f>
        <v>cam_icu_record</v>
      </c>
      <c r="H1376" s="294">
        <f>VLOOKUP(F1376,数据集标准分类!A:H,8,0)</f>
        <v>88</v>
      </c>
      <c r="I1376" s="170" t="s">
        <v>3199</v>
      </c>
      <c r="J1376" s="170" t="s">
        <v>3200</v>
      </c>
      <c r="K1376" s="170" t="s">
        <v>3201</v>
      </c>
      <c r="L1376" s="170" t="s">
        <v>3202</v>
      </c>
      <c r="M1376" s="170"/>
      <c r="N1376" s="294">
        <v>4</v>
      </c>
      <c r="O1376" s="170"/>
    </row>
    <row r="1377" ht="15.75" customHeight="1" spans="1:15">
      <c r="A1377" s="183" t="str">
        <f>VLOOKUP(F1377,数据集标准分类!A:G,7,0)</f>
        <v>06</v>
      </c>
      <c r="B1377" s="183" t="str">
        <f>VLOOKUP(F1377,数据集标准分类!A:F,6,0)</f>
        <v>护理病历</v>
      </c>
      <c r="C1377" s="183" t="str">
        <f>VLOOKUP(F1377,数据集标准分类!A:E,5,0)</f>
        <v>0603</v>
      </c>
      <c r="D1377" s="183" t="str">
        <f>VLOOKUP(F1377,数据集标准分类!A:D,4,0)</f>
        <v>专项评估</v>
      </c>
      <c r="E1377" s="183" t="str">
        <f>VLOOKUP(F1377,数据集标准分类!A:C,3,0)</f>
        <v>060305</v>
      </c>
      <c r="F1377" s="170" t="s">
        <v>3415</v>
      </c>
      <c r="G1377" s="183" t="str">
        <f>VLOOKUP(F1377,数据集标准分类!A:B,2,0)</f>
        <v>cam_icu_record</v>
      </c>
      <c r="H1377" s="294">
        <f>VLOOKUP(F1377,数据集标准分类!A:H,8,0)</f>
        <v>88</v>
      </c>
      <c r="I1377" s="170" t="s">
        <v>3366</v>
      </c>
      <c r="J1377" s="170" t="s">
        <v>3367</v>
      </c>
      <c r="K1377" s="170" t="s">
        <v>3368</v>
      </c>
      <c r="L1377" s="170" t="s">
        <v>3369</v>
      </c>
      <c r="M1377" s="170"/>
      <c r="N1377" s="294">
        <v>5</v>
      </c>
      <c r="O1377" s="170"/>
    </row>
    <row r="1378" ht="15.75" customHeight="1" spans="1:15">
      <c r="A1378" s="183" t="str">
        <f>VLOOKUP(F1378,数据集标准分类!A:G,7,0)</f>
        <v>06</v>
      </c>
      <c r="B1378" s="183" t="str">
        <f>VLOOKUP(F1378,数据集标准分类!A:F,6,0)</f>
        <v>护理病历</v>
      </c>
      <c r="C1378" s="183" t="str">
        <f>VLOOKUP(F1378,数据集标准分类!A:E,5,0)</f>
        <v>0603</v>
      </c>
      <c r="D1378" s="183" t="str">
        <f>VLOOKUP(F1378,数据集标准分类!A:D,4,0)</f>
        <v>专项评估</v>
      </c>
      <c r="E1378" s="183" t="str">
        <f>VLOOKUP(F1378,数据集标准分类!A:C,3,0)</f>
        <v>060305</v>
      </c>
      <c r="F1378" s="170" t="s">
        <v>3415</v>
      </c>
      <c r="G1378" s="183" t="str">
        <f>VLOOKUP(F1378,数据集标准分类!A:B,2,0)</f>
        <v>cam_icu_record</v>
      </c>
      <c r="H1378" s="294">
        <f>VLOOKUP(F1378,数据集标准分类!A:H,8,0)</f>
        <v>88</v>
      </c>
      <c r="I1378" s="170" t="s">
        <v>3336</v>
      </c>
      <c r="J1378" s="170" t="s">
        <v>3337</v>
      </c>
      <c r="K1378" s="170" t="s">
        <v>3338</v>
      </c>
      <c r="L1378" s="170" t="s">
        <v>3339</v>
      </c>
      <c r="M1378" s="170"/>
      <c r="N1378" s="294">
        <v>6</v>
      </c>
      <c r="O1378" s="170"/>
    </row>
    <row r="1379" ht="15.75" customHeight="1" spans="1:15">
      <c r="A1379" s="183" t="str">
        <f>VLOOKUP(F1379,数据集标准分类!A:G,7,0)</f>
        <v>06</v>
      </c>
      <c r="B1379" s="183" t="str">
        <f>VLOOKUP(F1379,数据集标准分类!A:F,6,0)</f>
        <v>护理病历</v>
      </c>
      <c r="C1379" s="183" t="str">
        <f>VLOOKUP(F1379,数据集标准分类!A:E,5,0)</f>
        <v>0603</v>
      </c>
      <c r="D1379" s="183" t="str">
        <f>VLOOKUP(F1379,数据集标准分类!A:D,4,0)</f>
        <v>专项评估</v>
      </c>
      <c r="E1379" s="183" t="str">
        <f>VLOOKUP(F1379,数据集标准分类!A:C,3,0)</f>
        <v>060306</v>
      </c>
      <c r="F1379" s="170" t="s">
        <v>3416</v>
      </c>
      <c r="G1379" s="183" t="str">
        <f>VLOOKUP(F1379,数据集标准分类!A:B,2,0)</f>
        <v>pipeline_dl_assmnt_rec</v>
      </c>
      <c r="H1379" s="294">
        <f>VLOOKUP(F1379,数据集标准分类!A:H,8,0)</f>
        <v>89</v>
      </c>
      <c r="I1379" s="170" t="s">
        <v>3192</v>
      </c>
      <c r="J1379" s="170" t="s">
        <v>3193</v>
      </c>
      <c r="K1379" s="170" t="s">
        <v>3194</v>
      </c>
      <c r="L1379" s="170" t="s">
        <v>3195</v>
      </c>
      <c r="M1379" s="170"/>
      <c r="N1379" s="294">
        <v>1</v>
      </c>
      <c r="O1379" s="170"/>
    </row>
    <row r="1380" ht="15.75" customHeight="1" spans="1:15">
      <c r="A1380" s="183" t="str">
        <f>VLOOKUP(F1380,数据集标准分类!A:G,7,0)</f>
        <v>06</v>
      </c>
      <c r="B1380" s="183" t="str">
        <f>VLOOKUP(F1380,数据集标准分类!A:F,6,0)</f>
        <v>护理病历</v>
      </c>
      <c r="C1380" s="183" t="str">
        <f>VLOOKUP(F1380,数据集标准分类!A:E,5,0)</f>
        <v>0603</v>
      </c>
      <c r="D1380" s="183" t="str">
        <f>VLOOKUP(F1380,数据集标准分类!A:D,4,0)</f>
        <v>专项评估</v>
      </c>
      <c r="E1380" s="183" t="str">
        <f>VLOOKUP(F1380,数据集标准分类!A:C,3,0)</f>
        <v>060306</v>
      </c>
      <c r="F1380" s="170" t="s">
        <v>3416</v>
      </c>
      <c r="G1380" s="183" t="str">
        <f>VLOOKUP(F1380,数据集标准分类!A:B,2,0)</f>
        <v>pipeline_dl_assmnt_rec</v>
      </c>
      <c r="H1380" s="294">
        <f>VLOOKUP(F1380,数据集标准分类!A:H,8,0)</f>
        <v>89</v>
      </c>
      <c r="I1380" s="170" t="s">
        <v>3361</v>
      </c>
      <c r="J1380" s="170" t="s">
        <v>3362</v>
      </c>
      <c r="K1380" s="170" t="s">
        <v>3363</v>
      </c>
      <c r="L1380" s="170" t="s">
        <v>3364</v>
      </c>
      <c r="M1380" s="170"/>
      <c r="N1380" s="294">
        <v>2</v>
      </c>
      <c r="O1380" s="170"/>
    </row>
    <row r="1381" ht="15.75" customHeight="1" spans="1:15">
      <c r="A1381" s="183" t="str">
        <f>VLOOKUP(F1381,数据集标准分类!A:G,7,0)</f>
        <v>06</v>
      </c>
      <c r="B1381" s="183" t="str">
        <f>VLOOKUP(F1381,数据集标准分类!A:F,6,0)</f>
        <v>护理病历</v>
      </c>
      <c r="C1381" s="183" t="str">
        <f>VLOOKUP(F1381,数据集标准分类!A:E,5,0)</f>
        <v>0603</v>
      </c>
      <c r="D1381" s="183" t="str">
        <f>VLOOKUP(F1381,数据集标准分类!A:D,4,0)</f>
        <v>专项评估</v>
      </c>
      <c r="E1381" s="183" t="str">
        <f>VLOOKUP(F1381,数据集标准分类!A:C,3,0)</f>
        <v>060306</v>
      </c>
      <c r="F1381" s="170" t="s">
        <v>3416</v>
      </c>
      <c r="G1381" s="183" t="str">
        <f>VLOOKUP(F1381,数据集标准分类!A:B,2,0)</f>
        <v>pipeline_dl_assmnt_rec</v>
      </c>
      <c r="H1381" s="294">
        <f>VLOOKUP(F1381,数据集标准分类!A:H,8,0)</f>
        <v>89</v>
      </c>
      <c r="I1381" s="170" t="s">
        <v>1496</v>
      </c>
      <c r="J1381" s="170" t="s">
        <v>1497</v>
      </c>
      <c r="K1381" s="170" t="s">
        <v>1498</v>
      </c>
      <c r="L1381" s="170" t="s">
        <v>1499</v>
      </c>
      <c r="M1381" s="170"/>
      <c r="N1381" s="294">
        <v>3</v>
      </c>
      <c r="O1381" s="170"/>
    </row>
    <row r="1382" ht="15.75" customHeight="1" spans="1:15">
      <c r="A1382" s="183" t="str">
        <f>VLOOKUP(F1382,数据集标准分类!A:G,7,0)</f>
        <v>06</v>
      </c>
      <c r="B1382" s="183" t="str">
        <f>VLOOKUP(F1382,数据集标准分类!A:F,6,0)</f>
        <v>护理病历</v>
      </c>
      <c r="C1382" s="183" t="str">
        <f>VLOOKUP(F1382,数据集标准分类!A:E,5,0)</f>
        <v>0603</v>
      </c>
      <c r="D1382" s="183" t="str">
        <f>VLOOKUP(F1382,数据集标准分类!A:D,4,0)</f>
        <v>专项评估</v>
      </c>
      <c r="E1382" s="183" t="str">
        <f>VLOOKUP(F1382,数据集标准分类!A:C,3,0)</f>
        <v>060306</v>
      </c>
      <c r="F1382" s="170" t="s">
        <v>3416</v>
      </c>
      <c r="G1382" s="183" t="str">
        <f>VLOOKUP(F1382,数据集标准分类!A:B,2,0)</f>
        <v>pipeline_dl_assmnt_rec</v>
      </c>
      <c r="H1382" s="294">
        <f>VLOOKUP(F1382,数据集标准分类!A:H,8,0)</f>
        <v>89</v>
      </c>
      <c r="I1382" s="170" t="s">
        <v>3199</v>
      </c>
      <c r="J1382" s="170" t="s">
        <v>3200</v>
      </c>
      <c r="K1382" s="170" t="s">
        <v>3201</v>
      </c>
      <c r="L1382" s="170" t="s">
        <v>3202</v>
      </c>
      <c r="M1382" s="170"/>
      <c r="N1382" s="294">
        <v>4</v>
      </c>
      <c r="O1382" s="170"/>
    </row>
    <row r="1383" ht="15.75" customHeight="1" spans="1:15">
      <c r="A1383" s="183" t="str">
        <f>VLOOKUP(F1383,数据集标准分类!A:G,7,0)</f>
        <v>06</v>
      </c>
      <c r="B1383" s="183" t="str">
        <f>VLOOKUP(F1383,数据集标准分类!A:F,6,0)</f>
        <v>护理病历</v>
      </c>
      <c r="C1383" s="183" t="str">
        <f>VLOOKUP(F1383,数据集标准分类!A:E,5,0)</f>
        <v>0603</v>
      </c>
      <c r="D1383" s="183" t="str">
        <f>VLOOKUP(F1383,数据集标准分类!A:D,4,0)</f>
        <v>专项评估</v>
      </c>
      <c r="E1383" s="183" t="str">
        <f>VLOOKUP(F1383,数据集标准分类!A:C,3,0)</f>
        <v>060306</v>
      </c>
      <c r="F1383" s="170" t="s">
        <v>3416</v>
      </c>
      <c r="G1383" s="183" t="str">
        <f>VLOOKUP(F1383,数据集标准分类!A:B,2,0)</f>
        <v>pipeline_dl_assmnt_rec</v>
      </c>
      <c r="H1383" s="294">
        <f>VLOOKUP(F1383,数据集标准分类!A:H,8,0)</f>
        <v>89</v>
      </c>
      <c r="I1383" s="170" t="s">
        <v>3366</v>
      </c>
      <c r="J1383" s="170" t="s">
        <v>3367</v>
      </c>
      <c r="K1383" s="170" t="s">
        <v>3368</v>
      </c>
      <c r="L1383" s="170" t="s">
        <v>3369</v>
      </c>
      <c r="M1383" s="170"/>
      <c r="N1383" s="294">
        <v>5</v>
      </c>
      <c r="O1383" s="170"/>
    </row>
    <row r="1384" ht="15.75" customHeight="1" spans="1:15">
      <c r="A1384" s="183" t="str">
        <f>VLOOKUP(F1384,数据集标准分类!A:G,7,0)</f>
        <v>06</v>
      </c>
      <c r="B1384" s="183" t="str">
        <f>VLOOKUP(F1384,数据集标准分类!A:F,6,0)</f>
        <v>护理病历</v>
      </c>
      <c r="C1384" s="183" t="str">
        <f>VLOOKUP(F1384,数据集标准分类!A:E,5,0)</f>
        <v>0603</v>
      </c>
      <c r="D1384" s="183" t="str">
        <f>VLOOKUP(F1384,数据集标准分类!A:D,4,0)</f>
        <v>专项评估</v>
      </c>
      <c r="E1384" s="183" t="str">
        <f>VLOOKUP(F1384,数据集标准分类!A:C,3,0)</f>
        <v>060306</v>
      </c>
      <c r="F1384" s="170" t="s">
        <v>3416</v>
      </c>
      <c r="G1384" s="183" t="str">
        <f>VLOOKUP(F1384,数据集标准分类!A:B,2,0)</f>
        <v>pipeline_dl_assmnt_rec</v>
      </c>
      <c r="H1384" s="294">
        <f>VLOOKUP(F1384,数据集标准分类!A:H,8,0)</f>
        <v>89</v>
      </c>
      <c r="I1384" s="170" t="s">
        <v>3336</v>
      </c>
      <c r="J1384" s="170" t="s">
        <v>3337</v>
      </c>
      <c r="K1384" s="170" t="s">
        <v>3338</v>
      </c>
      <c r="L1384" s="170" t="s">
        <v>3339</v>
      </c>
      <c r="M1384" s="170"/>
      <c r="N1384" s="294">
        <v>6</v>
      </c>
      <c r="O1384" s="170"/>
    </row>
    <row r="1385" ht="15.75" customHeight="1" spans="1:15">
      <c r="A1385" s="183" t="str">
        <f>VLOOKUP(F1385,数据集标准分类!A:G,7,0)</f>
        <v>06</v>
      </c>
      <c r="B1385" s="183" t="str">
        <f>VLOOKUP(F1385,数据集标准分类!A:F,6,0)</f>
        <v>护理病历</v>
      </c>
      <c r="C1385" s="183" t="str">
        <f>VLOOKUP(F1385,数据集标准分类!A:E,5,0)</f>
        <v>0603</v>
      </c>
      <c r="D1385" s="183" t="str">
        <f>VLOOKUP(F1385,数据集标准分类!A:D,4,0)</f>
        <v>专项评估</v>
      </c>
      <c r="E1385" s="183" t="str">
        <f>VLOOKUP(F1385,数据集标准分类!A:C,3,0)</f>
        <v>060307</v>
      </c>
      <c r="F1385" s="170" t="s">
        <v>3417</v>
      </c>
      <c r="G1385" s="183" t="str">
        <f>VLOOKUP(F1385,数据集标准分类!A:B,2,0)</f>
        <v>enter_record</v>
      </c>
      <c r="H1385" s="294">
        <f>VLOOKUP(F1385,数据集标准分类!A:H,8,0)</f>
        <v>90</v>
      </c>
      <c r="I1385" s="170" t="s">
        <v>3192</v>
      </c>
      <c r="J1385" s="170" t="s">
        <v>3193</v>
      </c>
      <c r="K1385" s="170" t="s">
        <v>3194</v>
      </c>
      <c r="L1385" s="170" t="s">
        <v>3195</v>
      </c>
      <c r="M1385" s="170"/>
      <c r="N1385" s="294">
        <v>1</v>
      </c>
      <c r="O1385" s="170"/>
    </row>
    <row r="1386" ht="15.75" customHeight="1" spans="1:15">
      <c r="A1386" s="183" t="str">
        <f>VLOOKUP(F1386,数据集标准分类!A:G,7,0)</f>
        <v>06</v>
      </c>
      <c r="B1386" s="183" t="str">
        <f>VLOOKUP(F1386,数据集标准分类!A:F,6,0)</f>
        <v>护理病历</v>
      </c>
      <c r="C1386" s="183" t="str">
        <f>VLOOKUP(F1386,数据集标准分类!A:E,5,0)</f>
        <v>0603</v>
      </c>
      <c r="D1386" s="183" t="str">
        <f>VLOOKUP(F1386,数据集标准分类!A:D,4,0)</f>
        <v>专项评估</v>
      </c>
      <c r="E1386" s="183" t="str">
        <f>VLOOKUP(F1386,数据集标准分类!A:C,3,0)</f>
        <v>060307</v>
      </c>
      <c r="F1386" s="170" t="s">
        <v>3417</v>
      </c>
      <c r="G1386" s="183" t="str">
        <f>VLOOKUP(F1386,数据集标准分类!A:B,2,0)</f>
        <v>enter_record</v>
      </c>
      <c r="H1386" s="294">
        <f>VLOOKUP(F1386,数据集标准分类!A:H,8,0)</f>
        <v>90</v>
      </c>
      <c r="I1386" s="170" t="s">
        <v>3361</v>
      </c>
      <c r="J1386" s="170" t="s">
        <v>3362</v>
      </c>
      <c r="K1386" s="170" t="s">
        <v>3363</v>
      </c>
      <c r="L1386" s="170" t="s">
        <v>3364</v>
      </c>
      <c r="M1386" s="170"/>
      <c r="N1386" s="294">
        <v>2</v>
      </c>
      <c r="O1386" s="170"/>
    </row>
    <row r="1387" ht="15.75" customHeight="1" spans="1:15">
      <c r="A1387" s="183" t="str">
        <f>VLOOKUP(F1387,数据集标准分类!A:G,7,0)</f>
        <v>06</v>
      </c>
      <c r="B1387" s="183" t="str">
        <f>VLOOKUP(F1387,数据集标准分类!A:F,6,0)</f>
        <v>护理病历</v>
      </c>
      <c r="C1387" s="183" t="str">
        <f>VLOOKUP(F1387,数据集标准分类!A:E,5,0)</f>
        <v>0603</v>
      </c>
      <c r="D1387" s="183" t="str">
        <f>VLOOKUP(F1387,数据集标准分类!A:D,4,0)</f>
        <v>专项评估</v>
      </c>
      <c r="E1387" s="183" t="str">
        <f>VLOOKUP(F1387,数据集标准分类!A:C,3,0)</f>
        <v>060307</v>
      </c>
      <c r="F1387" s="170" t="s">
        <v>3417</v>
      </c>
      <c r="G1387" s="183" t="str">
        <f>VLOOKUP(F1387,数据集标准分类!A:B,2,0)</f>
        <v>enter_record</v>
      </c>
      <c r="H1387" s="294">
        <f>VLOOKUP(F1387,数据集标准分类!A:H,8,0)</f>
        <v>90</v>
      </c>
      <c r="I1387" s="170" t="s">
        <v>1496</v>
      </c>
      <c r="J1387" s="170" t="s">
        <v>1497</v>
      </c>
      <c r="K1387" s="170" t="s">
        <v>1498</v>
      </c>
      <c r="L1387" s="170" t="s">
        <v>1499</v>
      </c>
      <c r="M1387" s="170"/>
      <c r="N1387" s="294">
        <v>3</v>
      </c>
      <c r="O1387" s="170"/>
    </row>
    <row r="1388" ht="15.75" customHeight="1" spans="1:15">
      <c r="A1388" s="183" t="str">
        <f>VLOOKUP(F1388,数据集标准分类!A:G,7,0)</f>
        <v>06</v>
      </c>
      <c r="B1388" s="183" t="str">
        <f>VLOOKUP(F1388,数据集标准分类!A:F,6,0)</f>
        <v>护理病历</v>
      </c>
      <c r="C1388" s="183" t="str">
        <f>VLOOKUP(F1388,数据集标准分类!A:E,5,0)</f>
        <v>0603</v>
      </c>
      <c r="D1388" s="183" t="str">
        <f>VLOOKUP(F1388,数据集标准分类!A:D,4,0)</f>
        <v>专项评估</v>
      </c>
      <c r="E1388" s="183" t="str">
        <f>VLOOKUP(F1388,数据集标准分类!A:C,3,0)</f>
        <v>060307</v>
      </c>
      <c r="F1388" s="170" t="s">
        <v>3417</v>
      </c>
      <c r="G1388" s="183" t="str">
        <f>VLOOKUP(F1388,数据集标准分类!A:B,2,0)</f>
        <v>enter_record</v>
      </c>
      <c r="H1388" s="294">
        <f>VLOOKUP(F1388,数据集标准分类!A:H,8,0)</f>
        <v>90</v>
      </c>
      <c r="I1388" s="170" t="s">
        <v>3199</v>
      </c>
      <c r="J1388" s="170" t="s">
        <v>3200</v>
      </c>
      <c r="K1388" s="170" t="s">
        <v>3201</v>
      </c>
      <c r="L1388" s="170" t="s">
        <v>3202</v>
      </c>
      <c r="M1388" s="170"/>
      <c r="N1388" s="294">
        <v>4</v>
      </c>
      <c r="O1388" s="170"/>
    </row>
    <row r="1389" ht="15.75" customHeight="1" spans="1:15">
      <c r="A1389" s="183" t="str">
        <f>VLOOKUP(F1389,数据集标准分类!A:G,7,0)</f>
        <v>06</v>
      </c>
      <c r="B1389" s="183" t="str">
        <f>VLOOKUP(F1389,数据集标准分类!A:F,6,0)</f>
        <v>护理病历</v>
      </c>
      <c r="C1389" s="183" t="str">
        <f>VLOOKUP(F1389,数据集标准分类!A:E,5,0)</f>
        <v>0603</v>
      </c>
      <c r="D1389" s="183" t="str">
        <f>VLOOKUP(F1389,数据集标准分类!A:D,4,0)</f>
        <v>专项评估</v>
      </c>
      <c r="E1389" s="183" t="str">
        <f>VLOOKUP(F1389,数据集标准分类!A:C,3,0)</f>
        <v>060307</v>
      </c>
      <c r="F1389" s="170" t="s">
        <v>3417</v>
      </c>
      <c r="G1389" s="183" t="str">
        <f>VLOOKUP(F1389,数据集标准分类!A:B,2,0)</f>
        <v>enter_record</v>
      </c>
      <c r="H1389" s="294">
        <f>VLOOKUP(F1389,数据集标准分类!A:H,8,0)</f>
        <v>90</v>
      </c>
      <c r="I1389" s="170" t="s">
        <v>3366</v>
      </c>
      <c r="J1389" s="170" t="s">
        <v>3367</v>
      </c>
      <c r="K1389" s="170" t="s">
        <v>3368</v>
      </c>
      <c r="L1389" s="170" t="s">
        <v>3369</v>
      </c>
      <c r="M1389" s="170"/>
      <c r="N1389" s="294">
        <v>5</v>
      </c>
      <c r="O1389" s="170"/>
    </row>
    <row r="1390" ht="15.75" customHeight="1" spans="1:15">
      <c r="A1390" s="183" t="str">
        <f>VLOOKUP(F1390,数据集标准分类!A:G,7,0)</f>
        <v>06</v>
      </c>
      <c r="B1390" s="183" t="str">
        <f>VLOOKUP(F1390,数据集标准分类!A:F,6,0)</f>
        <v>护理病历</v>
      </c>
      <c r="C1390" s="183" t="str">
        <f>VLOOKUP(F1390,数据集标准分类!A:E,5,0)</f>
        <v>0603</v>
      </c>
      <c r="D1390" s="183" t="str">
        <f>VLOOKUP(F1390,数据集标准分类!A:D,4,0)</f>
        <v>专项评估</v>
      </c>
      <c r="E1390" s="183" t="str">
        <f>VLOOKUP(F1390,数据集标准分类!A:C,3,0)</f>
        <v>060307</v>
      </c>
      <c r="F1390" s="170" t="s">
        <v>3417</v>
      </c>
      <c r="G1390" s="183" t="str">
        <f>VLOOKUP(F1390,数据集标准分类!A:B,2,0)</f>
        <v>enter_record</v>
      </c>
      <c r="H1390" s="294">
        <f>VLOOKUP(F1390,数据集标准分类!A:H,8,0)</f>
        <v>90</v>
      </c>
      <c r="I1390" s="170" t="s">
        <v>3336</v>
      </c>
      <c r="J1390" s="170" t="s">
        <v>3337</v>
      </c>
      <c r="K1390" s="170" t="s">
        <v>3338</v>
      </c>
      <c r="L1390" s="170" t="s">
        <v>3339</v>
      </c>
      <c r="M1390" s="170"/>
      <c r="N1390" s="294">
        <v>6</v>
      </c>
      <c r="O1390" s="170"/>
    </row>
    <row r="1391" ht="15.75" customHeight="1" spans="1:15">
      <c r="A1391" s="183" t="str">
        <f>VLOOKUP(F1391,数据集标准分类!A:G,7,0)</f>
        <v>06</v>
      </c>
      <c r="B1391" s="183" t="str">
        <f>VLOOKUP(F1391,数据集标准分类!A:F,6,0)</f>
        <v>护理病历</v>
      </c>
      <c r="C1391" s="183" t="str">
        <f>VLOOKUP(F1391,数据集标准分类!A:E,5,0)</f>
        <v>0603</v>
      </c>
      <c r="D1391" s="183" t="str">
        <f>VLOOKUP(F1391,数据集标准分类!A:D,4,0)</f>
        <v>专项评估</v>
      </c>
      <c r="E1391" s="183" t="str">
        <f>VLOOKUP(F1391,数据集标准分类!A:C,3,0)</f>
        <v>060308</v>
      </c>
      <c r="F1391" s="170" t="s">
        <v>3418</v>
      </c>
      <c r="G1391" s="183" t="str">
        <f>VLOOKUP(F1391,数据集标准分类!A:B,2,0)</f>
        <v>kubota_water_swallowing_test</v>
      </c>
      <c r="H1391" s="294">
        <f>VLOOKUP(F1391,数据集标准分类!A:H,8,0)</f>
        <v>91</v>
      </c>
      <c r="I1391" s="170" t="s">
        <v>3192</v>
      </c>
      <c r="J1391" s="170" t="s">
        <v>3193</v>
      </c>
      <c r="K1391" s="170" t="s">
        <v>3194</v>
      </c>
      <c r="L1391" s="170" t="s">
        <v>3195</v>
      </c>
      <c r="M1391" s="170"/>
      <c r="N1391" s="294">
        <v>1</v>
      </c>
      <c r="O1391" s="170"/>
    </row>
    <row r="1392" ht="15.75" customHeight="1" spans="1:15">
      <c r="A1392" s="183" t="str">
        <f>VLOOKUP(F1392,数据集标准分类!A:G,7,0)</f>
        <v>06</v>
      </c>
      <c r="B1392" s="183" t="str">
        <f>VLOOKUP(F1392,数据集标准分类!A:F,6,0)</f>
        <v>护理病历</v>
      </c>
      <c r="C1392" s="183" t="str">
        <f>VLOOKUP(F1392,数据集标准分类!A:E,5,0)</f>
        <v>0603</v>
      </c>
      <c r="D1392" s="183" t="str">
        <f>VLOOKUP(F1392,数据集标准分类!A:D,4,0)</f>
        <v>专项评估</v>
      </c>
      <c r="E1392" s="183" t="str">
        <f>VLOOKUP(F1392,数据集标准分类!A:C,3,0)</f>
        <v>060308</v>
      </c>
      <c r="F1392" s="170" t="s">
        <v>3418</v>
      </c>
      <c r="G1392" s="183" t="str">
        <f>VLOOKUP(F1392,数据集标准分类!A:B,2,0)</f>
        <v>kubota_water_swallowing_test</v>
      </c>
      <c r="H1392" s="294">
        <f>VLOOKUP(F1392,数据集标准分类!A:H,8,0)</f>
        <v>91</v>
      </c>
      <c r="I1392" s="170" t="s">
        <v>3199</v>
      </c>
      <c r="J1392" s="170" t="s">
        <v>3200</v>
      </c>
      <c r="K1392" s="170" t="s">
        <v>3201</v>
      </c>
      <c r="L1392" s="170" t="s">
        <v>3202</v>
      </c>
      <c r="M1392" s="170"/>
      <c r="N1392" s="294">
        <v>2</v>
      </c>
      <c r="O1392" s="170"/>
    </row>
    <row r="1393" ht="15.75" customHeight="1" spans="1:15">
      <c r="A1393" s="183" t="str">
        <f>VLOOKUP(F1393,数据集标准分类!A:G,7,0)</f>
        <v>06</v>
      </c>
      <c r="B1393" s="183" t="str">
        <f>VLOOKUP(F1393,数据集标准分类!A:F,6,0)</f>
        <v>护理病历</v>
      </c>
      <c r="C1393" s="183" t="str">
        <f>VLOOKUP(F1393,数据集标准分类!A:E,5,0)</f>
        <v>0603</v>
      </c>
      <c r="D1393" s="183" t="str">
        <f>VLOOKUP(F1393,数据集标准分类!A:D,4,0)</f>
        <v>专项评估</v>
      </c>
      <c r="E1393" s="183" t="str">
        <f>VLOOKUP(F1393,数据集标准分类!A:C,3,0)</f>
        <v>060308</v>
      </c>
      <c r="F1393" s="170" t="s">
        <v>3418</v>
      </c>
      <c r="G1393" s="183" t="str">
        <f>VLOOKUP(F1393,数据集标准分类!A:B,2,0)</f>
        <v>kubota_water_swallowing_test</v>
      </c>
      <c r="H1393" s="294">
        <f>VLOOKUP(F1393,数据集标准分类!A:H,8,0)</f>
        <v>91</v>
      </c>
      <c r="I1393" s="170" t="s">
        <v>3366</v>
      </c>
      <c r="J1393" s="170" t="s">
        <v>3367</v>
      </c>
      <c r="K1393" s="170" t="s">
        <v>3368</v>
      </c>
      <c r="L1393" s="170" t="s">
        <v>3369</v>
      </c>
      <c r="M1393" s="170"/>
      <c r="N1393" s="294">
        <v>3</v>
      </c>
      <c r="O1393" s="170"/>
    </row>
    <row r="1394" ht="15.75" customHeight="1" spans="1:15">
      <c r="A1394" s="183" t="str">
        <f>VLOOKUP(F1394,数据集标准分类!A:G,7,0)</f>
        <v>06</v>
      </c>
      <c r="B1394" s="183" t="str">
        <f>VLOOKUP(F1394,数据集标准分类!A:F,6,0)</f>
        <v>护理病历</v>
      </c>
      <c r="C1394" s="183" t="str">
        <f>VLOOKUP(F1394,数据集标准分类!A:E,5,0)</f>
        <v>0603</v>
      </c>
      <c r="D1394" s="183" t="str">
        <f>VLOOKUP(F1394,数据集标准分类!A:D,4,0)</f>
        <v>专项评估</v>
      </c>
      <c r="E1394" s="183" t="str">
        <f>VLOOKUP(F1394,数据集标准分类!A:C,3,0)</f>
        <v>060308</v>
      </c>
      <c r="F1394" s="170" t="s">
        <v>3418</v>
      </c>
      <c r="G1394" s="183" t="str">
        <f>VLOOKUP(F1394,数据集标准分类!A:B,2,0)</f>
        <v>kubota_water_swallowing_test</v>
      </c>
      <c r="H1394" s="294">
        <f>VLOOKUP(F1394,数据集标准分类!A:H,8,0)</f>
        <v>91</v>
      </c>
      <c r="I1394" s="170" t="s">
        <v>3336</v>
      </c>
      <c r="J1394" s="170" t="s">
        <v>3337</v>
      </c>
      <c r="K1394" s="170" t="s">
        <v>3338</v>
      </c>
      <c r="L1394" s="170" t="s">
        <v>3339</v>
      </c>
      <c r="M1394" s="170"/>
      <c r="N1394" s="294">
        <v>4</v>
      </c>
      <c r="O1394" s="170"/>
    </row>
    <row r="1395" ht="15.75" customHeight="1" spans="1:15">
      <c r="A1395" s="183" t="str">
        <f>VLOOKUP(F1395,数据集标准分类!A:G,7,0)</f>
        <v>06</v>
      </c>
      <c r="B1395" s="183" t="str">
        <f>VLOOKUP(F1395,数据集标准分类!A:F,6,0)</f>
        <v>护理病历</v>
      </c>
      <c r="C1395" s="183" t="str">
        <f>VLOOKUP(F1395,数据集标准分类!A:E,5,0)</f>
        <v>0603</v>
      </c>
      <c r="D1395" s="183" t="str">
        <f>VLOOKUP(F1395,数据集标准分类!A:D,4,0)</f>
        <v>专项评估</v>
      </c>
      <c r="E1395" s="183" t="str">
        <f>VLOOKUP(F1395,数据集标准分类!A:C,3,0)</f>
        <v>060309</v>
      </c>
      <c r="F1395" s="170" t="s">
        <v>3419</v>
      </c>
      <c r="G1395" s="183" t="str">
        <f>VLOOKUP(F1395,数据集标准分类!A:B,2,0)</f>
        <v>pilot_assessment_tool</v>
      </c>
      <c r="H1395" s="294">
        <f>VLOOKUP(F1395,数据集标准分类!A:H,8,0)</f>
        <v>92</v>
      </c>
      <c r="I1395" s="170" t="s">
        <v>3192</v>
      </c>
      <c r="J1395" s="170" t="s">
        <v>3193</v>
      </c>
      <c r="K1395" s="170" t="s">
        <v>3194</v>
      </c>
      <c r="L1395" s="170" t="s">
        <v>3195</v>
      </c>
      <c r="M1395" s="170"/>
      <c r="N1395" s="294">
        <v>1</v>
      </c>
      <c r="O1395" s="170"/>
    </row>
    <row r="1396" ht="15.75" customHeight="1" spans="1:15">
      <c r="A1396" s="183" t="str">
        <f>VLOOKUP(F1396,数据集标准分类!A:G,7,0)</f>
        <v>06</v>
      </c>
      <c r="B1396" s="183" t="str">
        <f>VLOOKUP(F1396,数据集标准分类!A:F,6,0)</f>
        <v>护理病历</v>
      </c>
      <c r="C1396" s="183" t="str">
        <f>VLOOKUP(F1396,数据集标准分类!A:E,5,0)</f>
        <v>0603</v>
      </c>
      <c r="D1396" s="183" t="str">
        <f>VLOOKUP(F1396,数据集标准分类!A:D,4,0)</f>
        <v>专项评估</v>
      </c>
      <c r="E1396" s="183" t="str">
        <f>VLOOKUP(F1396,数据集标准分类!A:C,3,0)</f>
        <v>060309</v>
      </c>
      <c r="F1396" s="170" t="s">
        <v>3419</v>
      </c>
      <c r="G1396" s="183" t="str">
        <f>VLOOKUP(F1396,数据集标准分类!A:B,2,0)</f>
        <v>pilot_assessment_tool</v>
      </c>
      <c r="H1396" s="294">
        <f>VLOOKUP(F1396,数据集标准分类!A:H,8,0)</f>
        <v>92</v>
      </c>
      <c r="I1396" s="170" t="s">
        <v>3361</v>
      </c>
      <c r="J1396" s="170" t="s">
        <v>3362</v>
      </c>
      <c r="K1396" s="170" t="s">
        <v>3363</v>
      </c>
      <c r="L1396" s="170" t="s">
        <v>3364</v>
      </c>
      <c r="M1396" s="170"/>
      <c r="N1396" s="294">
        <v>2</v>
      </c>
      <c r="O1396" s="170"/>
    </row>
    <row r="1397" ht="15.75" customHeight="1" spans="1:15">
      <c r="A1397" s="183" t="str">
        <f>VLOOKUP(F1397,数据集标准分类!A:G,7,0)</f>
        <v>06</v>
      </c>
      <c r="B1397" s="183" t="str">
        <f>VLOOKUP(F1397,数据集标准分类!A:F,6,0)</f>
        <v>护理病历</v>
      </c>
      <c r="C1397" s="183" t="str">
        <f>VLOOKUP(F1397,数据集标准分类!A:E,5,0)</f>
        <v>0603</v>
      </c>
      <c r="D1397" s="183" t="str">
        <f>VLOOKUP(F1397,数据集标准分类!A:D,4,0)</f>
        <v>专项评估</v>
      </c>
      <c r="E1397" s="183" t="str">
        <f>VLOOKUP(F1397,数据集标准分类!A:C,3,0)</f>
        <v>060309</v>
      </c>
      <c r="F1397" s="170" t="s">
        <v>3419</v>
      </c>
      <c r="G1397" s="183" t="str">
        <f>VLOOKUP(F1397,数据集标准分类!A:B,2,0)</f>
        <v>pilot_assessment_tool</v>
      </c>
      <c r="H1397" s="294">
        <f>VLOOKUP(F1397,数据集标准分类!A:H,8,0)</f>
        <v>92</v>
      </c>
      <c r="I1397" s="170" t="s">
        <v>1496</v>
      </c>
      <c r="J1397" s="170" t="s">
        <v>1497</v>
      </c>
      <c r="K1397" s="170" t="s">
        <v>1498</v>
      </c>
      <c r="L1397" s="170" t="s">
        <v>1499</v>
      </c>
      <c r="M1397" s="170"/>
      <c r="N1397" s="294">
        <v>3</v>
      </c>
      <c r="O1397" s="170"/>
    </row>
    <row r="1398" ht="15.75" customHeight="1" spans="1:15">
      <c r="A1398" s="183" t="str">
        <f>VLOOKUP(F1398,数据集标准分类!A:G,7,0)</f>
        <v>06</v>
      </c>
      <c r="B1398" s="183" t="str">
        <f>VLOOKUP(F1398,数据集标准分类!A:F,6,0)</f>
        <v>护理病历</v>
      </c>
      <c r="C1398" s="183" t="str">
        <f>VLOOKUP(F1398,数据集标准分类!A:E,5,0)</f>
        <v>0603</v>
      </c>
      <c r="D1398" s="183" t="str">
        <f>VLOOKUP(F1398,数据集标准分类!A:D,4,0)</f>
        <v>专项评估</v>
      </c>
      <c r="E1398" s="183" t="str">
        <f>VLOOKUP(F1398,数据集标准分类!A:C,3,0)</f>
        <v>060309</v>
      </c>
      <c r="F1398" s="170" t="s">
        <v>3419</v>
      </c>
      <c r="G1398" s="183" t="str">
        <f>VLOOKUP(F1398,数据集标准分类!A:B,2,0)</f>
        <v>pilot_assessment_tool</v>
      </c>
      <c r="H1398" s="294">
        <f>VLOOKUP(F1398,数据集标准分类!A:H,8,0)</f>
        <v>92</v>
      </c>
      <c r="I1398" s="170" t="s">
        <v>3199</v>
      </c>
      <c r="J1398" s="170" t="s">
        <v>3200</v>
      </c>
      <c r="K1398" s="170" t="s">
        <v>3201</v>
      </c>
      <c r="L1398" s="170" t="s">
        <v>3202</v>
      </c>
      <c r="M1398" s="170"/>
      <c r="N1398" s="294">
        <v>4</v>
      </c>
      <c r="O1398" s="170"/>
    </row>
    <row r="1399" ht="15.75" customHeight="1" spans="1:15">
      <c r="A1399" s="183" t="str">
        <f>VLOOKUP(F1399,数据集标准分类!A:G,7,0)</f>
        <v>06</v>
      </c>
      <c r="B1399" s="183" t="str">
        <f>VLOOKUP(F1399,数据集标准分类!A:F,6,0)</f>
        <v>护理病历</v>
      </c>
      <c r="C1399" s="183" t="str">
        <f>VLOOKUP(F1399,数据集标准分类!A:E,5,0)</f>
        <v>0603</v>
      </c>
      <c r="D1399" s="183" t="str">
        <f>VLOOKUP(F1399,数据集标准分类!A:D,4,0)</f>
        <v>专项评估</v>
      </c>
      <c r="E1399" s="183" t="str">
        <f>VLOOKUP(F1399,数据集标准分类!A:C,3,0)</f>
        <v>060309</v>
      </c>
      <c r="F1399" s="170" t="s">
        <v>3419</v>
      </c>
      <c r="G1399" s="183" t="str">
        <f>VLOOKUP(F1399,数据集标准分类!A:B,2,0)</f>
        <v>pilot_assessment_tool</v>
      </c>
      <c r="H1399" s="294">
        <f>VLOOKUP(F1399,数据集标准分类!A:H,8,0)</f>
        <v>92</v>
      </c>
      <c r="I1399" s="170" t="s">
        <v>3366</v>
      </c>
      <c r="J1399" s="170" t="s">
        <v>3367</v>
      </c>
      <c r="K1399" s="170" t="s">
        <v>3368</v>
      </c>
      <c r="L1399" s="170" t="s">
        <v>3369</v>
      </c>
      <c r="M1399" s="170"/>
      <c r="N1399" s="294">
        <v>5</v>
      </c>
      <c r="O1399" s="170"/>
    </row>
    <row r="1400" ht="15.75" customHeight="1" spans="1:15">
      <c r="A1400" s="183" t="str">
        <f>VLOOKUP(F1400,数据集标准分类!A:G,7,0)</f>
        <v>06</v>
      </c>
      <c r="B1400" s="183" t="str">
        <f>VLOOKUP(F1400,数据集标准分类!A:F,6,0)</f>
        <v>护理病历</v>
      </c>
      <c r="C1400" s="183" t="str">
        <f>VLOOKUP(F1400,数据集标准分类!A:E,5,0)</f>
        <v>0603</v>
      </c>
      <c r="D1400" s="183" t="str">
        <f>VLOOKUP(F1400,数据集标准分类!A:D,4,0)</f>
        <v>专项评估</v>
      </c>
      <c r="E1400" s="183" t="str">
        <f>VLOOKUP(F1400,数据集标准分类!A:C,3,0)</f>
        <v>060309</v>
      </c>
      <c r="F1400" s="170" t="s">
        <v>3419</v>
      </c>
      <c r="G1400" s="183" t="str">
        <f>VLOOKUP(F1400,数据集标准分类!A:B,2,0)</f>
        <v>pilot_assessment_tool</v>
      </c>
      <c r="H1400" s="294">
        <f>VLOOKUP(F1400,数据集标准分类!A:H,8,0)</f>
        <v>92</v>
      </c>
      <c r="I1400" s="170" t="s">
        <v>3336</v>
      </c>
      <c r="J1400" s="170" t="s">
        <v>3337</v>
      </c>
      <c r="K1400" s="170" t="s">
        <v>3338</v>
      </c>
      <c r="L1400" s="170" t="s">
        <v>3339</v>
      </c>
      <c r="M1400" s="170"/>
      <c r="N1400" s="294">
        <v>6</v>
      </c>
      <c r="O1400" s="170"/>
    </row>
    <row r="1401" ht="15.75" customHeight="1" spans="1:15">
      <c r="A1401" s="183" t="str">
        <f>VLOOKUP(F1401,数据集标准分类!A:G,7,0)</f>
        <v>06</v>
      </c>
      <c r="B1401" s="183" t="str">
        <f>VLOOKUP(F1401,数据集标准分类!A:F,6,0)</f>
        <v>护理病历</v>
      </c>
      <c r="C1401" s="183" t="str">
        <f>VLOOKUP(F1401,数据集标准分类!A:E,5,0)</f>
        <v>0603</v>
      </c>
      <c r="D1401" s="183" t="str">
        <f>VLOOKUP(F1401,数据集标准分类!A:D,4,0)</f>
        <v>专项评估</v>
      </c>
      <c r="E1401" s="183" t="str">
        <f>VLOOKUP(F1401,数据集标准分类!A:C,3,0)</f>
        <v>060310</v>
      </c>
      <c r="F1401" s="170" t="s">
        <v>3420</v>
      </c>
      <c r="G1401" s="183" t="str">
        <f>VLOOKUP(F1401,数据集标准分类!A:B,2,0)</f>
        <v>inp_assessment_jiaolv</v>
      </c>
      <c r="H1401" s="294">
        <f>VLOOKUP(F1401,数据集标准分类!A:H,8,0)</f>
        <v>93</v>
      </c>
      <c r="I1401" s="170" t="s">
        <v>3196</v>
      </c>
      <c r="J1401" s="170" t="s">
        <v>3197</v>
      </c>
      <c r="K1401" s="170" t="s">
        <v>3198</v>
      </c>
      <c r="L1401" s="170" t="s">
        <v>2740</v>
      </c>
      <c r="M1401" s="170"/>
      <c r="N1401" s="294">
        <v>1</v>
      </c>
      <c r="O1401" s="170"/>
    </row>
    <row r="1402" ht="15.75" customHeight="1" spans="1:15">
      <c r="A1402" s="183" t="str">
        <f>VLOOKUP(F1402,数据集标准分类!A:G,7,0)</f>
        <v>06</v>
      </c>
      <c r="B1402" s="183" t="str">
        <f>VLOOKUP(F1402,数据集标准分类!A:F,6,0)</f>
        <v>护理病历</v>
      </c>
      <c r="C1402" s="183" t="str">
        <f>VLOOKUP(F1402,数据集标准分类!A:E,5,0)</f>
        <v>0603</v>
      </c>
      <c r="D1402" s="183" t="str">
        <f>VLOOKUP(F1402,数据集标准分类!A:D,4,0)</f>
        <v>专项评估</v>
      </c>
      <c r="E1402" s="183" t="str">
        <f>VLOOKUP(F1402,数据集标准分类!A:C,3,0)</f>
        <v>060310</v>
      </c>
      <c r="F1402" s="170" t="s">
        <v>3420</v>
      </c>
      <c r="G1402" s="183" t="str">
        <f>VLOOKUP(F1402,数据集标准分类!A:B,2,0)</f>
        <v>inp_assessment_jiaolv</v>
      </c>
      <c r="H1402" s="294">
        <f>VLOOKUP(F1402,数据集标准分类!A:H,8,0)</f>
        <v>93</v>
      </c>
      <c r="I1402" s="170" t="s">
        <v>1774</v>
      </c>
      <c r="J1402" s="170" t="s">
        <v>1775</v>
      </c>
      <c r="K1402" s="170" t="s">
        <v>1776</v>
      </c>
      <c r="L1402" s="170" t="s">
        <v>1777</v>
      </c>
      <c r="M1402" s="170"/>
      <c r="N1402" s="294">
        <v>2</v>
      </c>
      <c r="O1402" s="170"/>
    </row>
    <row r="1403" ht="15.75" customHeight="1" spans="1:15">
      <c r="A1403" s="183" t="str">
        <f>VLOOKUP(F1403,数据集标准分类!A:G,7,0)</f>
        <v>06</v>
      </c>
      <c r="B1403" s="183" t="str">
        <f>VLOOKUP(F1403,数据集标准分类!A:F,6,0)</f>
        <v>护理病历</v>
      </c>
      <c r="C1403" s="183" t="str">
        <f>VLOOKUP(F1403,数据集标准分类!A:E,5,0)</f>
        <v>0603</v>
      </c>
      <c r="D1403" s="183" t="str">
        <f>VLOOKUP(F1403,数据集标准分类!A:D,4,0)</f>
        <v>专项评估</v>
      </c>
      <c r="E1403" s="183" t="str">
        <f>VLOOKUP(F1403,数据集标准分类!A:C,3,0)</f>
        <v>060310</v>
      </c>
      <c r="F1403" s="170" t="s">
        <v>3420</v>
      </c>
      <c r="G1403" s="183" t="str">
        <f>VLOOKUP(F1403,数据集标准分类!A:B,2,0)</f>
        <v>inp_assessment_jiaolv</v>
      </c>
      <c r="H1403" s="294">
        <f>VLOOKUP(F1403,数据集标准分类!A:H,8,0)</f>
        <v>93</v>
      </c>
      <c r="I1403" s="170" t="s">
        <v>3192</v>
      </c>
      <c r="J1403" s="170" t="s">
        <v>3193</v>
      </c>
      <c r="K1403" s="170" t="s">
        <v>3194</v>
      </c>
      <c r="L1403" s="170" t="s">
        <v>3195</v>
      </c>
      <c r="M1403" s="170"/>
      <c r="N1403" s="294">
        <v>3</v>
      </c>
      <c r="O1403" s="170"/>
    </row>
    <row r="1404" ht="15.75" customHeight="1" spans="1:15">
      <c r="A1404" s="183" t="str">
        <f>VLOOKUP(F1404,数据集标准分类!A:G,7,0)</f>
        <v>06</v>
      </c>
      <c r="B1404" s="183" t="str">
        <f>VLOOKUP(F1404,数据集标准分类!A:F,6,0)</f>
        <v>护理病历</v>
      </c>
      <c r="C1404" s="183" t="str">
        <f>VLOOKUP(F1404,数据集标准分类!A:E,5,0)</f>
        <v>0603</v>
      </c>
      <c r="D1404" s="183" t="str">
        <f>VLOOKUP(F1404,数据集标准分类!A:D,4,0)</f>
        <v>专项评估</v>
      </c>
      <c r="E1404" s="183" t="str">
        <f>VLOOKUP(F1404,数据集标准分类!A:C,3,0)</f>
        <v>060310</v>
      </c>
      <c r="F1404" s="170" t="s">
        <v>3420</v>
      </c>
      <c r="G1404" s="183" t="str">
        <f>VLOOKUP(F1404,数据集标准分类!A:B,2,0)</f>
        <v>inp_assessment_jiaolv</v>
      </c>
      <c r="H1404" s="294">
        <f>VLOOKUP(F1404,数据集标准分类!A:H,8,0)</f>
        <v>93</v>
      </c>
      <c r="I1404" s="170" t="s">
        <v>3332</v>
      </c>
      <c r="J1404" s="170" t="s">
        <v>3333</v>
      </c>
      <c r="K1404" s="170" t="s">
        <v>3334</v>
      </c>
      <c r="L1404" s="170" t="s">
        <v>3335</v>
      </c>
      <c r="M1404" s="170"/>
      <c r="N1404" s="294">
        <v>4</v>
      </c>
      <c r="O1404" s="170"/>
    </row>
    <row r="1405" ht="15.75" customHeight="1" spans="1:15">
      <c r="A1405" s="183" t="str">
        <f>VLOOKUP(F1405,数据集标准分类!A:G,7,0)</f>
        <v>06</v>
      </c>
      <c r="B1405" s="183" t="str">
        <f>VLOOKUP(F1405,数据集标准分类!A:F,6,0)</f>
        <v>护理病历</v>
      </c>
      <c r="C1405" s="183" t="str">
        <f>VLOOKUP(F1405,数据集标准分类!A:E,5,0)</f>
        <v>0603</v>
      </c>
      <c r="D1405" s="183" t="str">
        <f>VLOOKUP(F1405,数据集标准分类!A:D,4,0)</f>
        <v>专项评估</v>
      </c>
      <c r="E1405" s="183" t="str">
        <f>VLOOKUP(F1405,数据集标准分类!A:C,3,0)</f>
        <v>060310</v>
      </c>
      <c r="F1405" s="170" t="s">
        <v>3420</v>
      </c>
      <c r="G1405" s="183" t="str">
        <f>VLOOKUP(F1405,数据集标准分类!A:B,2,0)</f>
        <v>inp_assessment_jiaolv</v>
      </c>
      <c r="H1405" s="294">
        <f>VLOOKUP(F1405,数据集标准分类!A:H,8,0)</f>
        <v>93</v>
      </c>
      <c r="I1405" s="170" t="s">
        <v>3336</v>
      </c>
      <c r="J1405" s="170" t="s">
        <v>3337</v>
      </c>
      <c r="K1405" s="170" t="s">
        <v>3338</v>
      </c>
      <c r="L1405" s="170" t="s">
        <v>3339</v>
      </c>
      <c r="M1405" s="170"/>
      <c r="N1405" s="294">
        <v>5</v>
      </c>
      <c r="O1405" s="170"/>
    </row>
    <row r="1406" ht="15.75" customHeight="1" spans="1:15">
      <c r="A1406" s="183" t="str">
        <f>VLOOKUP(F1406,数据集标准分类!A:G,7,0)</f>
        <v>06</v>
      </c>
      <c r="B1406" s="183" t="str">
        <f>VLOOKUP(F1406,数据集标准分类!A:F,6,0)</f>
        <v>护理病历</v>
      </c>
      <c r="C1406" s="183" t="str">
        <f>VLOOKUP(F1406,数据集标准分类!A:E,5,0)</f>
        <v>0603</v>
      </c>
      <c r="D1406" s="183" t="str">
        <f>VLOOKUP(F1406,数据集标准分类!A:D,4,0)</f>
        <v>专项评估</v>
      </c>
      <c r="E1406" s="183" t="str">
        <f>VLOOKUP(F1406,数据集标准分类!A:C,3,0)</f>
        <v>060311</v>
      </c>
      <c r="F1406" s="170" t="s">
        <v>3421</v>
      </c>
      <c r="G1406" s="183" t="str">
        <f>VLOOKUP(F1406,数据集标准分类!A:B,2,0)</f>
        <v>inp_assessment_yiyu</v>
      </c>
      <c r="H1406" s="294">
        <f>VLOOKUP(F1406,数据集标准分类!A:H,8,0)</f>
        <v>94</v>
      </c>
      <c r="I1406" s="170" t="s">
        <v>3196</v>
      </c>
      <c r="J1406" s="170" t="s">
        <v>3197</v>
      </c>
      <c r="K1406" s="170" t="s">
        <v>3198</v>
      </c>
      <c r="L1406" s="170" t="s">
        <v>2740</v>
      </c>
      <c r="M1406" s="170"/>
      <c r="N1406" s="294">
        <v>1</v>
      </c>
      <c r="O1406" s="170"/>
    </row>
    <row r="1407" ht="15.75" customHeight="1" spans="1:15">
      <c r="A1407" s="183" t="str">
        <f>VLOOKUP(F1407,数据集标准分类!A:G,7,0)</f>
        <v>06</v>
      </c>
      <c r="B1407" s="183" t="str">
        <f>VLOOKUP(F1407,数据集标准分类!A:F,6,0)</f>
        <v>护理病历</v>
      </c>
      <c r="C1407" s="183" t="str">
        <f>VLOOKUP(F1407,数据集标准分类!A:E,5,0)</f>
        <v>0603</v>
      </c>
      <c r="D1407" s="183" t="str">
        <f>VLOOKUP(F1407,数据集标准分类!A:D,4,0)</f>
        <v>专项评估</v>
      </c>
      <c r="E1407" s="183" t="str">
        <f>VLOOKUP(F1407,数据集标准分类!A:C,3,0)</f>
        <v>060311</v>
      </c>
      <c r="F1407" s="170" t="s">
        <v>3421</v>
      </c>
      <c r="G1407" s="183" t="str">
        <f>VLOOKUP(F1407,数据集标准分类!A:B,2,0)</f>
        <v>inp_assessment_yiyu</v>
      </c>
      <c r="H1407" s="294">
        <f>VLOOKUP(F1407,数据集标准分类!A:H,8,0)</f>
        <v>94</v>
      </c>
      <c r="I1407" s="170" t="s">
        <v>1774</v>
      </c>
      <c r="J1407" s="170" t="s">
        <v>1775</v>
      </c>
      <c r="K1407" s="170" t="s">
        <v>1776</v>
      </c>
      <c r="L1407" s="170" t="s">
        <v>1777</v>
      </c>
      <c r="M1407" s="170"/>
      <c r="N1407" s="294">
        <v>2</v>
      </c>
      <c r="O1407" s="170"/>
    </row>
    <row r="1408" ht="15.75" customHeight="1" spans="1:15">
      <c r="A1408" s="183" t="str">
        <f>VLOOKUP(F1408,数据集标准分类!A:G,7,0)</f>
        <v>06</v>
      </c>
      <c r="B1408" s="183" t="str">
        <f>VLOOKUP(F1408,数据集标准分类!A:F,6,0)</f>
        <v>护理病历</v>
      </c>
      <c r="C1408" s="183" t="str">
        <f>VLOOKUP(F1408,数据集标准分类!A:E,5,0)</f>
        <v>0603</v>
      </c>
      <c r="D1408" s="183" t="str">
        <f>VLOOKUP(F1408,数据集标准分类!A:D,4,0)</f>
        <v>专项评估</v>
      </c>
      <c r="E1408" s="183" t="str">
        <f>VLOOKUP(F1408,数据集标准分类!A:C,3,0)</f>
        <v>060311</v>
      </c>
      <c r="F1408" s="170" t="s">
        <v>3421</v>
      </c>
      <c r="G1408" s="183" t="str">
        <f>VLOOKUP(F1408,数据集标准分类!A:B,2,0)</f>
        <v>inp_assessment_yiyu</v>
      </c>
      <c r="H1408" s="294">
        <f>VLOOKUP(F1408,数据集标准分类!A:H,8,0)</f>
        <v>94</v>
      </c>
      <c r="I1408" s="170" t="s">
        <v>3192</v>
      </c>
      <c r="J1408" s="170" t="s">
        <v>3193</v>
      </c>
      <c r="K1408" s="170" t="s">
        <v>3194</v>
      </c>
      <c r="L1408" s="170" t="s">
        <v>3195</v>
      </c>
      <c r="M1408" s="170"/>
      <c r="N1408" s="294">
        <v>3</v>
      </c>
      <c r="O1408" s="170"/>
    </row>
    <row r="1409" ht="15.75" customHeight="1" spans="1:15">
      <c r="A1409" s="183" t="str">
        <f>VLOOKUP(F1409,数据集标准分类!A:G,7,0)</f>
        <v>06</v>
      </c>
      <c r="B1409" s="183" t="str">
        <f>VLOOKUP(F1409,数据集标准分类!A:F,6,0)</f>
        <v>护理病历</v>
      </c>
      <c r="C1409" s="183" t="str">
        <f>VLOOKUP(F1409,数据集标准分类!A:E,5,0)</f>
        <v>0603</v>
      </c>
      <c r="D1409" s="183" t="str">
        <f>VLOOKUP(F1409,数据集标准分类!A:D,4,0)</f>
        <v>专项评估</v>
      </c>
      <c r="E1409" s="183" t="str">
        <f>VLOOKUP(F1409,数据集标准分类!A:C,3,0)</f>
        <v>060311</v>
      </c>
      <c r="F1409" s="170" t="s">
        <v>3421</v>
      </c>
      <c r="G1409" s="183" t="str">
        <f>VLOOKUP(F1409,数据集标准分类!A:B,2,0)</f>
        <v>inp_assessment_yiyu</v>
      </c>
      <c r="H1409" s="294">
        <f>VLOOKUP(F1409,数据集标准分类!A:H,8,0)</f>
        <v>94</v>
      </c>
      <c r="I1409" s="170" t="s">
        <v>3332</v>
      </c>
      <c r="J1409" s="170" t="s">
        <v>3333</v>
      </c>
      <c r="K1409" s="170" t="s">
        <v>3334</v>
      </c>
      <c r="L1409" s="170" t="s">
        <v>3335</v>
      </c>
      <c r="M1409" s="170"/>
      <c r="N1409" s="294">
        <v>4</v>
      </c>
      <c r="O1409" s="170"/>
    </row>
    <row r="1410" ht="15.75" customHeight="1" spans="1:15">
      <c r="A1410" s="183" t="str">
        <f>VLOOKUP(F1410,数据集标准分类!A:G,7,0)</f>
        <v>06</v>
      </c>
      <c r="B1410" s="183" t="str">
        <f>VLOOKUP(F1410,数据集标准分类!A:F,6,0)</f>
        <v>护理病历</v>
      </c>
      <c r="C1410" s="183" t="str">
        <f>VLOOKUP(F1410,数据集标准分类!A:E,5,0)</f>
        <v>0603</v>
      </c>
      <c r="D1410" s="183" t="str">
        <f>VLOOKUP(F1410,数据集标准分类!A:D,4,0)</f>
        <v>专项评估</v>
      </c>
      <c r="E1410" s="183" t="str">
        <f>VLOOKUP(F1410,数据集标准分类!A:C,3,0)</f>
        <v>060311</v>
      </c>
      <c r="F1410" s="170" t="s">
        <v>3421</v>
      </c>
      <c r="G1410" s="183" t="str">
        <f>VLOOKUP(F1410,数据集标准分类!A:B,2,0)</f>
        <v>inp_assessment_yiyu</v>
      </c>
      <c r="H1410" s="294">
        <f>VLOOKUP(F1410,数据集标准分类!A:H,8,0)</f>
        <v>94</v>
      </c>
      <c r="I1410" s="170" t="s">
        <v>3336</v>
      </c>
      <c r="J1410" s="170" t="s">
        <v>3337</v>
      </c>
      <c r="K1410" s="170" t="s">
        <v>3338</v>
      </c>
      <c r="L1410" s="170" t="s">
        <v>3339</v>
      </c>
      <c r="M1410" s="170"/>
      <c r="N1410" s="294">
        <v>5</v>
      </c>
      <c r="O1410" s="170"/>
    </row>
    <row r="1411" ht="15.75" customHeight="1" spans="1:15">
      <c r="A1411" s="183" t="str">
        <f>VLOOKUP(F1411,数据集标准分类!A:G,7,0)</f>
        <v>06</v>
      </c>
      <c r="B1411" s="183" t="str">
        <f>VLOOKUP(F1411,数据集标准分类!A:F,6,0)</f>
        <v>护理病历</v>
      </c>
      <c r="C1411" s="183" t="str">
        <f>VLOOKUP(F1411,数据集标准分类!A:E,5,0)</f>
        <v>0603</v>
      </c>
      <c r="D1411" s="183" t="str">
        <f>VLOOKUP(F1411,数据集标准分类!A:D,4,0)</f>
        <v>专项评估</v>
      </c>
      <c r="E1411" s="183" t="str">
        <f>VLOOKUP(F1411,数据集标准分类!A:C,3,0)</f>
        <v>060312</v>
      </c>
      <c r="F1411" s="170" t="s">
        <v>3422</v>
      </c>
      <c r="G1411" s="183" t="str">
        <f>VLOOKUP(F1411,数据集标准分类!A:B,2,0)</f>
        <v>inp_assessment_quti</v>
      </c>
      <c r="H1411" s="294">
        <f>VLOOKUP(F1411,数据集标准分类!A:H,8,0)</f>
        <v>95</v>
      </c>
      <c r="I1411" s="170" t="s">
        <v>3196</v>
      </c>
      <c r="J1411" s="170" t="s">
        <v>3197</v>
      </c>
      <c r="K1411" s="170" t="s">
        <v>3198</v>
      </c>
      <c r="L1411" s="170" t="s">
        <v>2740</v>
      </c>
      <c r="M1411" s="170"/>
      <c r="N1411" s="294">
        <v>1</v>
      </c>
      <c r="O1411" s="170"/>
    </row>
    <row r="1412" ht="15.75" customHeight="1" spans="1:15">
      <c r="A1412" s="183" t="str">
        <f>VLOOKUP(F1412,数据集标准分类!A:G,7,0)</f>
        <v>06</v>
      </c>
      <c r="B1412" s="183" t="str">
        <f>VLOOKUP(F1412,数据集标准分类!A:F,6,0)</f>
        <v>护理病历</v>
      </c>
      <c r="C1412" s="183" t="str">
        <f>VLOOKUP(F1412,数据集标准分类!A:E,5,0)</f>
        <v>0603</v>
      </c>
      <c r="D1412" s="183" t="str">
        <f>VLOOKUP(F1412,数据集标准分类!A:D,4,0)</f>
        <v>专项评估</v>
      </c>
      <c r="E1412" s="183" t="str">
        <f>VLOOKUP(F1412,数据集标准分类!A:C,3,0)</f>
        <v>060312</v>
      </c>
      <c r="F1412" s="170" t="s">
        <v>3422</v>
      </c>
      <c r="G1412" s="183" t="str">
        <f>VLOOKUP(F1412,数据集标准分类!A:B,2,0)</f>
        <v>inp_assessment_quti</v>
      </c>
      <c r="H1412" s="294">
        <f>VLOOKUP(F1412,数据集标准分类!A:H,8,0)</f>
        <v>95</v>
      </c>
      <c r="I1412" s="170" t="s">
        <v>1774</v>
      </c>
      <c r="J1412" s="170" t="s">
        <v>1775</v>
      </c>
      <c r="K1412" s="170" t="s">
        <v>1776</v>
      </c>
      <c r="L1412" s="170" t="s">
        <v>1777</v>
      </c>
      <c r="M1412" s="170"/>
      <c r="N1412" s="294">
        <v>2</v>
      </c>
      <c r="O1412" s="170"/>
    </row>
    <row r="1413" ht="15.75" customHeight="1" spans="1:15">
      <c r="A1413" s="183" t="str">
        <f>VLOOKUP(F1413,数据集标准分类!A:G,7,0)</f>
        <v>06</v>
      </c>
      <c r="B1413" s="183" t="str">
        <f>VLOOKUP(F1413,数据集标准分类!A:F,6,0)</f>
        <v>护理病历</v>
      </c>
      <c r="C1413" s="183" t="str">
        <f>VLOOKUP(F1413,数据集标准分类!A:E,5,0)</f>
        <v>0603</v>
      </c>
      <c r="D1413" s="183" t="str">
        <f>VLOOKUP(F1413,数据集标准分类!A:D,4,0)</f>
        <v>专项评估</v>
      </c>
      <c r="E1413" s="183" t="str">
        <f>VLOOKUP(F1413,数据集标准分类!A:C,3,0)</f>
        <v>060312</v>
      </c>
      <c r="F1413" s="170" t="s">
        <v>3422</v>
      </c>
      <c r="G1413" s="183" t="str">
        <f>VLOOKUP(F1413,数据集标准分类!A:B,2,0)</f>
        <v>inp_assessment_quti</v>
      </c>
      <c r="H1413" s="294">
        <f>VLOOKUP(F1413,数据集标准分类!A:H,8,0)</f>
        <v>95</v>
      </c>
      <c r="I1413" s="170" t="s">
        <v>3192</v>
      </c>
      <c r="J1413" s="170" t="s">
        <v>3193</v>
      </c>
      <c r="K1413" s="170" t="s">
        <v>3194</v>
      </c>
      <c r="L1413" s="170" t="s">
        <v>3195</v>
      </c>
      <c r="M1413" s="170"/>
      <c r="N1413" s="294">
        <v>3</v>
      </c>
      <c r="O1413" s="170"/>
    </row>
    <row r="1414" ht="15.75" customHeight="1" spans="1:15">
      <c r="A1414" s="183" t="str">
        <f>VLOOKUP(F1414,数据集标准分类!A:G,7,0)</f>
        <v>06</v>
      </c>
      <c r="B1414" s="183" t="str">
        <f>VLOOKUP(F1414,数据集标准分类!A:F,6,0)</f>
        <v>护理病历</v>
      </c>
      <c r="C1414" s="183" t="str">
        <f>VLOOKUP(F1414,数据集标准分类!A:E,5,0)</f>
        <v>0603</v>
      </c>
      <c r="D1414" s="183" t="str">
        <f>VLOOKUP(F1414,数据集标准分类!A:D,4,0)</f>
        <v>专项评估</v>
      </c>
      <c r="E1414" s="183" t="str">
        <f>VLOOKUP(F1414,数据集标准分类!A:C,3,0)</f>
        <v>060312</v>
      </c>
      <c r="F1414" s="170" t="s">
        <v>3422</v>
      </c>
      <c r="G1414" s="183" t="str">
        <f>VLOOKUP(F1414,数据集标准分类!A:B,2,0)</f>
        <v>inp_assessment_quti</v>
      </c>
      <c r="H1414" s="294">
        <f>VLOOKUP(F1414,数据集标准分类!A:H,8,0)</f>
        <v>95</v>
      </c>
      <c r="I1414" s="170" t="s">
        <v>3332</v>
      </c>
      <c r="J1414" s="170" t="s">
        <v>3333</v>
      </c>
      <c r="K1414" s="170" t="s">
        <v>3334</v>
      </c>
      <c r="L1414" s="170" t="s">
        <v>3335</v>
      </c>
      <c r="M1414" s="170"/>
      <c r="N1414" s="294">
        <v>4</v>
      </c>
      <c r="O1414" s="170"/>
    </row>
    <row r="1415" ht="15.75" customHeight="1" spans="1:15">
      <c r="A1415" s="183" t="str">
        <f>VLOOKUP(F1415,数据集标准分类!A:G,7,0)</f>
        <v>06</v>
      </c>
      <c r="B1415" s="183" t="str">
        <f>VLOOKUP(F1415,数据集标准分类!A:F,6,0)</f>
        <v>护理病历</v>
      </c>
      <c r="C1415" s="183" t="str">
        <f>VLOOKUP(F1415,数据集标准分类!A:E,5,0)</f>
        <v>0603</v>
      </c>
      <c r="D1415" s="183" t="str">
        <f>VLOOKUP(F1415,数据集标准分类!A:D,4,0)</f>
        <v>专项评估</v>
      </c>
      <c r="E1415" s="183" t="str">
        <f>VLOOKUP(F1415,数据集标准分类!A:C,3,0)</f>
        <v>060312</v>
      </c>
      <c r="F1415" s="170" t="s">
        <v>3422</v>
      </c>
      <c r="G1415" s="183" t="str">
        <f>VLOOKUP(F1415,数据集标准分类!A:B,2,0)</f>
        <v>inp_assessment_quti</v>
      </c>
      <c r="H1415" s="294">
        <f>VLOOKUP(F1415,数据集标准分类!A:H,8,0)</f>
        <v>95</v>
      </c>
      <c r="I1415" s="170" t="s">
        <v>3336</v>
      </c>
      <c r="J1415" s="170" t="s">
        <v>3337</v>
      </c>
      <c r="K1415" s="170" t="s">
        <v>3338</v>
      </c>
      <c r="L1415" s="170" t="s">
        <v>3339</v>
      </c>
      <c r="M1415" s="170"/>
      <c r="N1415" s="294">
        <v>5</v>
      </c>
      <c r="O1415" s="170"/>
    </row>
    <row r="1416" ht="15.75" customHeight="1" spans="1:15">
      <c r="A1416" s="183" t="str">
        <f>VLOOKUP(F1416,数据集标准分类!A:G,7,0)</f>
        <v>06</v>
      </c>
      <c r="B1416" s="183" t="str">
        <f>VLOOKUP(F1416,数据集标准分类!A:F,6,0)</f>
        <v>护理病历</v>
      </c>
      <c r="C1416" s="183" t="str">
        <f>VLOOKUP(F1416,数据集标准分类!A:E,5,0)</f>
        <v>0603</v>
      </c>
      <c r="D1416" s="183" t="str">
        <f>VLOOKUP(F1416,数据集标准分类!A:D,4,0)</f>
        <v>专项评估</v>
      </c>
      <c r="E1416" s="183" t="str">
        <f>VLOOKUP(F1416,数据集标准分类!A:C,3,0)</f>
        <v>060313</v>
      </c>
      <c r="F1416" s="170" t="s">
        <v>3423</v>
      </c>
      <c r="G1416" s="183" t="str">
        <f>VLOOKUP(F1416,数据集标准分类!A:B,2,0)</f>
        <v>rating_of_perceived_exertion</v>
      </c>
      <c r="H1416" s="294">
        <f>VLOOKUP(F1416,数据集标准分类!A:H,8,0)</f>
        <v>96</v>
      </c>
      <c r="I1416" s="170" t="s">
        <v>3192</v>
      </c>
      <c r="J1416" s="170" t="s">
        <v>3193</v>
      </c>
      <c r="K1416" s="170" t="s">
        <v>3194</v>
      </c>
      <c r="L1416" s="170" t="s">
        <v>3195</v>
      </c>
      <c r="M1416" s="170"/>
      <c r="N1416" s="294">
        <v>1</v>
      </c>
      <c r="O1416" s="170"/>
    </row>
    <row r="1417" ht="15.75" customHeight="1" spans="1:15">
      <c r="A1417" s="183" t="str">
        <f>VLOOKUP(F1417,数据集标准分类!A:G,7,0)</f>
        <v>06</v>
      </c>
      <c r="B1417" s="183" t="str">
        <f>VLOOKUP(F1417,数据集标准分类!A:F,6,0)</f>
        <v>护理病历</v>
      </c>
      <c r="C1417" s="183" t="str">
        <f>VLOOKUP(F1417,数据集标准分类!A:E,5,0)</f>
        <v>0603</v>
      </c>
      <c r="D1417" s="183" t="str">
        <f>VLOOKUP(F1417,数据集标准分类!A:D,4,0)</f>
        <v>专项评估</v>
      </c>
      <c r="E1417" s="183" t="str">
        <f>VLOOKUP(F1417,数据集标准分类!A:C,3,0)</f>
        <v>060313</v>
      </c>
      <c r="F1417" s="170" t="s">
        <v>3423</v>
      </c>
      <c r="G1417" s="183" t="str">
        <f>VLOOKUP(F1417,数据集标准分类!A:B,2,0)</f>
        <v>rating_of_perceived_exertion</v>
      </c>
      <c r="H1417" s="294">
        <f>VLOOKUP(F1417,数据集标准分类!A:H,8,0)</f>
        <v>96</v>
      </c>
      <c r="I1417" s="170" t="s">
        <v>3361</v>
      </c>
      <c r="J1417" s="170" t="s">
        <v>3362</v>
      </c>
      <c r="K1417" s="170" t="s">
        <v>3363</v>
      </c>
      <c r="L1417" s="170" t="s">
        <v>3364</v>
      </c>
      <c r="M1417" s="170"/>
      <c r="N1417" s="294">
        <v>2</v>
      </c>
      <c r="O1417" s="170"/>
    </row>
    <row r="1418" ht="15.75" customHeight="1" spans="1:15">
      <c r="A1418" s="183" t="str">
        <f>VLOOKUP(F1418,数据集标准分类!A:G,7,0)</f>
        <v>06</v>
      </c>
      <c r="B1418" s="183" t="str">
        <f>VLOOKUP(F1418,数据集标准分类!A:F,6,0)</f>
        <v>护理病历</v>
      </c>
      <c r="C1418" s="183" t="str">
        <f>VLOOKUP(F1418,数据集标准分类!A:E,5,0)</f>
        <v>0603</v>
      </c>
      <c r="D1418" s="183" t="str">
        <f>VLOOKUP(F1418,数据集标准分类!A:D,4,0)</f>
        <v>专项评估</v>
      </c>
      <c r="E1418" s="183" t="str">
        <f>VLOOKUP(F1418,数据集标准分类!A:C,3,0)</f>
        <v>060313</v>
      </c>
      <c r="F1418" s="170" t="s">
        <v>3423</v>
      </c>
      <c r="G1418" s="183" t="str">
        <f>VLOOKUP(F1418,数据集标准分类!A:B,2,0)</f>
        <v>rating_of_perceived_exertion</v>
      </c>
      <c r="H1418" s="294">
        <f>VLOOKUP(F1418,数据集标准分类!A:H,8,0)</f>
        <v>96</v>
      </c>
      <c r="I1418" s="170" t="s">
        <v>1496</v>
      </c>
      <c r="J1418" s="170" t="s">
        <v>1497</v>
      </c>
      <c r="K1418" s="170" t="s">
        <v>1498</v>
      </c>
      <c r="L1418" s="170" t="s">
        <v>1499</v>
      </c>
      <c r="M1418" s="170"/>
      <c r="N1418" s="294">
        <v>3</v>
      </c>
      <c r="O1418" s="170"/>
    </row>
    <row r="1419" ht="15.75" customHeight="1" spans="1:15">
      <c r="A1419" s="183" t="str">
        <f>VLOOKUP(F1419,数据集标准分类!A:G,7,0)</f>
        <v>06</v>
      </c>
      <c r="B1419" s="183" t="str">
        <f>VLOOKUP(F1419,数据集标准分类!A:F,6,0)</f>
        <v>护理病历</v>
      </c>
      <c r="C1419" s="183" t="str">
        <f>VLOOKUP(F1419,数据集标准分类!A:E,5,0)</f>
        <v>0603</v>
      </c>
      <c r="D1419" s="183" t="str">
        <f>VLOOKUP(F1419,数据集标准分类!A:D,4,0)</f>
        <v>专项评估</v>
      </c>
      <c r="E1419" s="183" t="str">
        <f>VLOOKUP(F1419,数据集标准分类!A:C,3,0)</f>
        <v>060313</v>
      </c>
      <c r="F1419" s="170" t="s">
        <v>3423</v>
      </c>
      <c r="G1419" s="183" t="str">
        <f>VLOOKUP(F1419,数据集标准分类!A:B,2,0)</f>
        <v>rating_of_perceived_exertion</v>
      </c>
      <c r="H1419" s="294">
        <f>VLOOKUP(F1419,数据集标准分类!A:H,8,0)</f>
        <v>96</v>
      </c>
      <c r="I1419" s="170" t="s">
        <v>3199</v>
      </c>
      <c r="J1419" s="170" t="s">
        <v>3200</v>
      </c>
      <c r="K1419" s="170" t="s">
        <v>3201</v>
      </c>
      <c r="L1419" s="170" t="s">
        <v>3202</v>
      </c>
      <c r="M1419" s="170"/>
      <c r="N1419" s="294">
        <v>4</v>
      </c>
      <c r="O1419" s="170"/>
    </row>
    <row r="1420" ht="15.75" customHeight="1" spans="1:15">
      <c r="A1420" s="183" t="str">
        <f>VLOOKUP(F1420,数据集标准分类!A:G,7,0)</f>
        <v>06</v>
      </c>
      <c r="B1420" s="183" t="str">
        <f>VLOOKUP(F1420,数据集标准分类!A:F,6,0)</f>
        <v>护理病历</v>
      </c>
      <c r="C1420" s="183" t="str">
        <f>VLOOKUP(F1420,数据集标准分类!A:E,5,0)</f>
        <v>0603</v>
      </c>
      <c r="D1420" s="183" t="str">
        <f>VLOOKUP(F1420,数据集标准分类!A:D,4,0)</f>
        <v>专项评估</v>
      </c>
      <c r="E1420" s="183" t="str">
        <f>VLOOKUP(F1420,数据集标准分类!A:C,3,0)</f>
        <v>060313</v>
      </c>
      <c r="F1420" s="170" t="s">
        <v>3423</v>
      </c>
      <c r="G1420" s="183" t="str">
        <f>VLOOKUP(F1420,数据集标准分类!A:B,2,0)</f>
        <v>rating_of_perceived_exertion</v>
      </c>
      <c r="H1420" s="294">
        <f>VLOOKUP(F1420,数据集标准分类!A:H,8,0)</f>
        <v>96</v>
      </c>
      <c r="I1420" s="170" t="s">
        <v>3366</v>
      </c>
      <c r="J1420" s="170" t="s">
        <v>3367</v>
      </c>
      <c r="K1420" s="170" t="s">
        <v>3368</v>
      </c>
      <c r="L1420" s="170" t="s">
        <v>3369</v>
      </c>
      <c r="M1420" s="170"/>
      <c r="N1420" s="294">
        <v>5</v>
      </c>
      <c r="O1420" s="170"/>
    </row>
    <row r="1421" ht="15.75" customHeight="1" spans="1:15">
      <c r="A1421" s="183" t="str">
        <f>VLOOKUP(F1421,数据集标准分类!A:G,7,0)</f>
        <v>06</v>
      </c>
      <c r="B1421" s="183" t="str">
        <f>VLOOKUP(F1421,数据集标准分类!A:F,6,0)</f>
        <v>护理病历</v>
      </c>
      <c r="C1421" s="183" t="str">
        <f>VLOOKUP(F1421,数据集标准分类!A:E,5,0)</f>
        <v>0603</v>
      </c>
      <c r="D1421" s="183" t="str">
        <f>VLOOKUP(F1421,数据集标准分类!A:D,4,0)</f>
        <v>专项评估</v>
      </c>
      <c r="E1421" s="183" t="str">
        <f>VLOOKUP(F1421,数据集标准分类!A:C,3,0)</f>
        <v>060313</v>
      </c>
      <c r="F1421" s="170" t="s">
        <v>3423</v>
      </c>
      <c r="G1421" s="183" t="str">
        <f>VLOOKUP(F1421,数据集标准分类!A:B,2,0)</f>
        <v>rating_of_perceived_exertion</v>
      </c>
      <c r="H1421" s="294">
        <f>VLOOKUP(F1421,数据集标准分类!A:H,8,0)</f>
        <v>96</v>
      </c>
      <c r="I1421" s="170" t="s">
        <v>3336</v>
      </c>
      <c r="J1421" s="170" t="s">
        <v>3337</v>
      </c>
      <c r="K1421" s="170" t="s">
        <v>3338</v>
      </c>
      <c r="L1421" s="170" t="s">
        <v>3339</v>
      </c>
      <c r="M1421" s="170"/>
      <c r="N1421" s="294">
        <v>6</v>
      </c>
      <c r="O1421" s="170"/>
    </row>
    <row r="1422" ht="15.75" customHeight="1" spans="1:15">
      <c r="A1422" s="183" t="str">
        <f>VLOOKUP(F1422,数据集标准分类!A:G,7,0)</f>
        <v>06</v>
      </c>
      <c r="B1422" s="183" t="str">
        <f>VLOOKUP(F1422,数据集标准分类!A:F,6,0)</f>
        <v>护理病历</v>
      </c>
      <c r="C1422" s="183" t="str">
        <f>VLOOKUP(F1422,数据集标准分类!A:E,5,0)</f>
        <v>0603</v>
      </c>
      <c r="D1422" s="183" t="str">
        <f>VLOOKUP(F1422,数据集标准分类!A:D,4,0)</f>
        <v>专项评估</v>
      </c>
      <c r="E1422" s="183" t="str">
        <f>VLOOKUP(F1422,数据集标准分类!A:C,3,0)</f>
        <v>060314</v>
      </c>
      <c r="F1422" s="170" t="s">
        <v>3424</v>
      </c>
      <c r="G1422" s="183" t="str">
        <f>VLOOKUP(F1422,数据集标准分类!A:B,2,0)</f>
        <v>short_form_36</v>
      </c>
      <c r="H1422" s="294">
        <f>VLOOKUP(F1422,数据集标准分类!A:H,8,0)</f>
        <v>97</v>
      </c>
      <c r="I1422" s="170" t="s">
        <v>3192</v>
      </c>
      <c r="J1422" s="170" t="s">
        <v>3193</v>
      </c>
      <c r="K1422" s="170" t="s">
        <v>3194</v>
      </c>
      <c r="L1422" s="170" t="s">
        <v>3195</v>
      </c>
      <c r="M1422" s="170"/>
      <c r="N1422" s="294">
        <v>1</v>
      </c>
      <c r="O1422" s="170"/>
    </row>
    <row r="1423" ht="15.75" customHeight="1" spans="1:15">
      <c r="A1423" s="183" t="str">
        <f>VLOOKUP(F1423,数据集标准分类!A:G,7,0)</f>
        <v>06</v>
      </c>
      <c r="B1423" s="183" t="str">
        <f>VLOOKUP(F1423,数据集标准分类!A:F,6,0)</f>
        <v>护理病历</v>
      </c>
      <c r="C1423" s="183" t="str">
        <f>VLOOKUP(F1423,数据集标准分类!A:E,5,0)</f>
        <v>0603</v>
      </c>
      <c r="D1423" s="183" t="str">
        <f>VLOOKUP(F1423,数据集标准分类!A:D,4,0)</f>
        <v>专项评估</v>
      </c>
      <c r="E1423" s="183" t="str">
        <f>VLOOKUP(F1423,数据集标准分类!A:C,3,0)</f>
        <v>060314</v>
      </c>
      <c r="F1423" s="170" t="s">
        <v>3424</v>
      </c>
      <c r="G1423" s="183" t="str">
        <f>VLOOKUP(F1423,数据集标准分类!A:B,2,0)</f>
        <v>short_form_36</v>
      </c>
      <c r="H1423" s="294">
        <f>VLOOKUP(F1423,数据集标准分类!A:H,8,0)</f>
        <v>97</v>
      </c>
      <c r="I1423" s="170" t="s">
        <v>3361</v>
      </c>
      <c r="J1423" s="170" t="s">
        <v>3362</v>
      </c>
      <c r="K1423" s="170" t="s">
        <v>3363</v>
      </c>
      <c r="L1423" s="170" t="s">
        <v>3364</v>
      </c>
      <c r="M1423" s="170"/>
      <c r="N1423" s="294">
        <v>2</v>
      </c>
      <c r="O1423" s="170"/>
    </row>
    <row r="1424" ht="15.75" customHeight="1" spans="1:15">
      <c r="A1424" s="183" t="str">
        <f>VLOOKUP(F1424,数据集标准分类!A:G,7,0)</f>
        <v>06</v>
      </c>
      <c r="B1424" s="183" t="str">
        <f>VLOOKUP(F1424,数据集标准分类!A:F,6,0)</f>
        <v>护理病历</v>
      </c>
      <c r="C1424" s="183" t="str">
        <f>VLOOKUP(F1424,数据集标准分类!A:E,5,0)</f>
        <v>0603</v>
      </c>
      <c r="D1424" s="183" t="str">
        <f>VLOOKUP(F1424,数据集标准分类!A:D,4,0)</f>
        <v>专项评估</v>
      </c>
      <c r="E1424" s="183" t="str">
        <f>VLOOKUP(F1424,数据集标准分类!A:C,3,0)</f>
        <v>060314</v>
      </c>
      <c r="F1424" s="170" t="s">
        <v>3424</v>
      </c>
      <c r="G1424" s="183" t="str">
        <f>VLOOKUP(F1424,数据集标准分类!A:B,2,0)</f>
        <v>short_form_36</v>
      </c>
      <c r="H1424" s="294">
        <f>VLOOKUP(F1424,数据集标准分类!A:H,8,0)</f>
        <v>97</v>
      </c>
      <c r="I1424" s="170" t="s">
        <v>1496</v>
      </c>
      <c r="J1424" s="170" t="s">
        <v>1497</v>
      </c>
      <c r="K1424" s="170" t="s">
        <v>1498</v>
      </c>
      <c r="L1424" s="170" t="s">
        <v>1499</v>
      </c>
      <c r="M1424" s="170"/>
      <c r="N1424" s="294">
        <v>3</v>
      </c>
      <c r="O1424" s="170"/>
    </row>
    <row r="1425" ht="15.75" customHeight="1" spans="1:15">
      <c r="A1425" s="183" t="str">
        <f>VLOOKUP(F1425,数据集标准分类!A:G,7,0)</f>
        <v>06</v>
      </c>
      <c r="B1425" s="183" t="str">
        <f>VLOOKUP(F1425,数据集标准分类!A:F,6,0)</f>
        <v>护理病历</v>
      </c>
      <c r="C1425" s="183" t="str">
        <f>VLOOKUP(F1425,数据集标准分类!A:E,5,0)</f>
        <v>0603</v>
      </c>
      <c r="D1425" s="183" t="str">
        <f>VLOOKUP(F1425,数据集标准分类!A:D,4,0)</f>
        <v>专项评估</v>
      </c>
      <c r="E1425" s="183" t="str">
        <f>VLOOKUP(F1425,数据集标准分类!A:C,3,0)</f>
        <v>060314</v>
      </c>
      <c r="F1425" s="170" t="s">
        <v>3424</v>
      </c>
      <c r="G1425" s="183" t="str">
        <f>VLOOKUP(F1425,数据集标准分类!A:B,2,0)</f>
        <v>short_form_36</v>
      </c>
      <c r="H1425" s="294">
        <f>VLOOKUP(F1425,数据集标准分类!A:H,8,0)</f>
        <v>97</v>
      </c>
      <c r="I1425" s="170" t="s">
        <v>3199</v>
      </c>
      <c r="J1425" s="170" t="s">
        <v>3200</v>
      </c>
      <c r="K1425" s="170" t="s">
        <v>3201</v>
      </c>
      <c r="L1425" s="170" t="s">
        <v>3202</v>
      </c>
      <c r="M1425" s="170"/>
      <c r="N1425" s="294">
        <v>4</v>
      </c>
      <c r="O1425" s="170"/>
    </row>
    <row r="1426" ht="15.75" customHeight="1" spans="1:15">
      <c r="A1426" s="183" t="str">
        <f>VLOOKUP(F1426,数据集标准分类!A:G,7,0)</f>
        <v>06</v>
      </c>
      <c r="B1426" s="183" t="str">
        <f>VLOOKUP(F1426,数据集标准分类!A:F,6,0)</f>
        <v>护理病历</v>
      </c>
      <c r="C1426" s="183" t="str">
        <f>VLOOKUP(F1426,数据集标准分类!A:E,5,0)</f>
        <v>0603</v>
      </c>
      <c r="D1426" s="183" t="str">
        <f>VLOOKUP(F1426,数据集标准分类!A:D,4,0)</f>
        <v>专项评估</v>
      </c>
      <c r="E1426" s="183" t="str">
        <f>VLOOKUP(F1426,数据集标准分类!A:C,3,0)</f>
        <v>060314</v>
      </c>
      <c r="F1426" s="170" t="s">
        <v>3424</v>
      </c>
      <c r="G1426" s="183" t="str">
        <f>VLOOKUP(F1426,数据集标准分类!A:B,2,0)</f>
        <v>short_form_36</v>
      </c>
      <c r="H1426" s="294">
        <f>VLOOKUP(F1426,数据集标准分类!A:H,8,0)</f>
        <v>97</v>
      </c>
      <c r="I1426" s="170" t="s">
        <v>3366</v>
      </c>
      <c r="J1426" s="170" t="s">
        <v>3367</v>
      </c>
      <c r="K1426" s="170" t="s">
        <v>3368</v>
      </c>
      <c r="L1426" s="170" t="s">
        <v>3369</v>
      </c>
      <c r="M1426" s="170"/>
      <c r="N1426" s="294">
        <v>5</v>
      </c>
      <c r="O1426" s="170"/>
    </row>
    <row r="1427" ht="15.75" customHeight="1" spans="1:15">
      <c r="A1427" s="183" t="str">
        <f>VLOOKUP(F1427,数据集标准分类!A:G,7,0)</f>
        <v>06</v>
      </c>
      <c r="B1427" s="183" t="str">
        <f>VLOOKUP(F1427,数据集标准分类!A:F,6,0)</f>
        <v>护理病历</v>
      </c>
      <c r="C1427" s="183" t="str">
        <f>VLOOKUP(F1427,数据集标准分类!A:E,5,0)</f>
        <v>0603</v>
      </c>
      <c r="D1427" s="183" t="str">
        <f>VLOOKUP(F1427,数据集标准分类!A:D,4,0)</f>
        <v>专项评估</v>
      </c>
      <c r="E1427" s="183" t="str">
        <f>VLOOKUP(F1427,数据集标准分类!A:C,3,0)</f>
        <v>060314</v>
      </c>
      <c r="F1427" s="170" t="s">
        <v>3424</v>
      </c>
      <c r="G1427" s="183" t="str">
        <f>VLOOKUP(F1427,数据集标准分类!A:B,2,0)</f>
        <v>short_form_36</v>
      </c>
      <c r="H1427" s="294">
        <f>VLOOKUP(F1427,数据集标准分类!A:H,8,0)</f>
        <v>97</v>
      </c>
      <c r="I1427" s="170" t="s">
        <v>3336</v>
      </c>
      <c r="J1427" s="170" t="s">
        <v>3337</v>
      </c>
      <c r="K1427" s="170" t="s">
        <v>3338</v>
      </c>
      <c r="L1427" s="170" t="s">
        <v>3339</v>
      </c>
      <c r="M1427" s="170"/>
      <c r="N1427" s="294">
        <v>6</v>
      </c>
      <c r="O1427" s="170"/>
    </row>
    <row r="1428" ht="15.75" customHeight="1" spans="1:15">
      <c r="A1428" s="183" t="str">
        <f>VLOOKUP(F1428,数据集标准分类!A:G,7,0)</f>
        <v>06</v>
      </c>
      <c r="B1428" s="183" t="str">
        <f>VLOOKUP(F1428,数据集标准分类!A:F,6,0)</f>
        <v>护理病历</v>
      </c>
      <c r="C1428" s="183" t="str">
        <f>VLOOKUP(F1428,数据集标准分类!A:E,5,0)</f>
        <v>0603</v>
      </c>
      <c r="D1428" s="183" t="str">
        <f>VLOOKUP(F1428,数据集标准分类!A:D,4,0)</f>
        <v>专项评估</v>
      </c>
      <c r="E1428" s="183" t="str">
        <f>VLOOKUP(F1428,数据集标准分类!A:C,3,0)</f>
        <v>060315</v>
      </c>
      <c r="F1428" s="170" t="s">
        <v>3425</v>
      </c>
      <c r="G1428" s="183" t="str">
        <f>VLOOKUP(F1428,数据集标准分类!A:B,2,0)</f>
        <v>mini_nutritional_assessment</v>
      </c>
      <c r="H1428" s="294">
        <f>VLOOKUP(F1428,数据集标准分类!A:H,8,0)</f>
        <v>98</v>
      </c>
      <c r="I1428" s="170" t="s">
        <v>3192</v>
      </c>
      <c r="J1428" s="170" t="s">
        <v>3193</v>
      </c>
      <c r="K1428" s="170" t="s">
        <v>3194</v>
      </c>
      <c r="L1428" s="170" t="s">
        <v>3195</v>
      </c>
      <c r="M1428" s="170"/>
      <c r="N1428" s="294">
        <v>1</v>
      </c>
      <c r="O1428" s="170"/>
    </row>
    <row r="1429" ht="15.75" customHeight="1" spans="1:15">
      <c r="A1429" s="183" t="str">
        <f>VLOOKUP(F1429,数据集标准分类!A:G,7,0)</f>
        <v>06</v>
      </c>
      <c r="B1429" s="183" t="str">
        <f>VLOOKUP(F1429,数据集标准分类!A:F,6,0)</f>
        <v>护理病历</v>
      </c>
      <c r="C1429" s="183" t="str">
        <f>VLOOKUP(F1429,数据集标准分类!A:E,5,0)</f>
        <v>0603</v>
      </c>
      <c r="D1429" s="183" t="str">
        <f>VLOOKUP(F1429,数据集标准分类!A:D,4,0)</f>
        <v>专项评估</v>
      </c>
      <c r="E1429" s="183" t="str">
        <f>VLOOKUP(F1429,数据集标准分类!A:C,3,0)</f>
        <v>060315</v>
      </c>
      <c r="F1429" s="170" t="s">
        <v>3425</v>
      </c>
      <c r="G1429" s="183" t="str">
        <f>VLOOKUP(F1429,数据集标准分类!A:B,2,0)</f>
        <v>mini_nutritional_assessment</v>
      </c>
      <c r="H1429" s="294">
        <f>VLOOKUP(F1429,数据集标准分类!A:H,8,0)</f>
        <v>98</v>
      </c>
      <c r="I1429" s="170" t="s">
        <v>3361</v>
      </c>
      <c r="J1429" s="170" t="s">
        <v>3362</v>
      </c>
      <c r="K1429" s="170" t="s">
        <v>3363</v>
      </c>
      <c r="L1429" s="170" t="s">
        <v>3364</v>
      </c>
      <c r="M1429" s="170"/>
      <c r="N1429" s="294">
        <v>2</v>
      </c>
      <c r="O1429" s="170"/>
    </row>
    <row r="1430" ht="15.75" customHeight="1" spans="1:15">
      <c r="A1430" s="183" t="str">
        <f>VLOOKUP(F1430,数据集标准分类!A:G,7,0)</f>
        <v>06</v>
      </c>
      <c r="B1430" s="183" t="str">
        <f>VLOOKUP(F1430,数据集标准分类!A:F,6,0)</f>
        <v>护理病历</v>
      </c>
      <c r="C1430" s="183" t="str">
        <f>VLOOKUP(F1430,数据集标准分类!A:E,5,0)</f>
        <v>0603</v>
      </c>
      <c r="D1430" s="183" t="str">
        <f>VLOOKUP(F1430,数据集标准分类!A:D,4,0)</f>
        <v>专项评估</v>
      </c>
      <c r="E1430" s="183" t="str">
        <f>VLOOKUP(F1430,数据集标准分类!A:C,3,0)</f>
        <v>060315</v>
      </c>
      <c r="F1430" s="170" t="s">
        <v>3425</v>
      </c>
      <c r="G1430" s="183" t="str">
        <f>VLOOKUP(F1430,数据集标准分类!A:B,2,0)</f>
        <v>mini_nutritional_assessment</v>
      </c>
      <c r="H1430" s="294">
        <f>VLOOKUP(F1430,数据集标准分类!A:H,8,0)</f>
        <v>98</v>
      </c>
      <c r="I1430" s="170" t="s">
        <v>1496</v>
      </c>
      <c r="J1430" s="170" t="s">
        <v>1497</v>
      </c>
      <c r="K1430" s="170" t="s">
        <v>1498</v>
      </c>
      <c r="L1430" s="170" t="s">
        <v>1499</v>
      </c>
      <c r="M1430" s="170"/>
      <c r="N1430" s="294">
        <v>3</v>
      </c>
      <c r="O1430" s="170"/>
    </row>
    <row r="1431" ht="15.75" customHeight="1" spans="1:15">
      <c r="A1431" s="183" t="str">
        <f>VLOOKUP(F1431,数据集标准分类!A:G,7,0)</f>
        <v>06</v>
      </c>
      <c r="B1431" s="183" t="str">
        <f>VLOOKUP(F1431,数据集标准分类!A:F,6,0)</f>
        <v>护理病历</v>
      </c>
      <c r="C1431" s="183" t="str">
        <f>VLOOKUP(F1431,数据集标准分类!A:E,5,0)</f>
        <v>0603</v>
      </c>
      <c r="D1431" s="183" t="str">
        <f>VLOOKUP(F1431,数据集标准分类!A:D,4,0)</f>
        <v>专项评估</v>
      </c>
      <c r="E1431" s="183" t="str">
        <f>VLOOKUP(F1431,数据集标准分类!A:C,3,0)</f>
        <v>060315</v>
      </c>
      <c r="F1431" s="170" t="s">
        <v>3425</v>
      </c>
      <c r="G1431" s="183" t="str">
        <f>VLOOKUP(F1431,数据集标准分类!A:B,2,0)</f>
        <v>mini_nutritional_assessment</v>
      </c>
      <c r="H1431" s="294">
        <f>VLOOKUP(F1431,数据集标准分类!A:H,8,0)</f>
        <v>98</v>
      </c>
      <c r="I1431" s="170" t="s">
        <v>3199</v>
      </c>
      <c r="J1431" s="170" t="s">
        <v>3200</v>
      </c>
      <c r="K1431" s="170" t="s">
        <v>3201</v>
      </c>
      <c r="L1431" s="170" t="s">
        <v>3202</v>
      </c>
      <c r="M1431" s="170"/>
      <c r="N1431" s="294">
        <v>4</v>
      </c>
      <c r="O1431" s="170"/>
    </row>
    <row r="1432" ht="15.75" customHeight="1" spans="1:15">
      <c r="A1432" s="183" t="str">
        <f>VLOOKUP(F1432,数据集标准分类!A:G,7,0)</f>
        <v>06</v>
      </c>
      <c r="B1432" s="183" t="str">
        <f>VLOOKUP(F1432,数据集标准分类!A:F,6,0)</f>
        <v>护理病历</v>
      </c>
      <c r="C1432" s="183" t="str">
        <f>VLOOKUP(F1432,数据集标准分类!A:E,5,0)</f>
        <v>0603</v>
      </c>
      <c r="D1432" s="183" t="str">
        <f>VLOOKUP(F1432,数据集标准分类!A:D,4,0)</f>
        <v>专项评估</v>
      </c>
      <c r="E1432" s="183" t="str">
        <f>VLOOKUP(F1432,数据集标准分类!A:C,3,0)</f>
        <v>060315</v>
      </c>
      <c r="F1432" s="170" t="s">
        <v>3425</v>
      </c>
      <c r="G1432" s="183" t="str">
        <f>VLOOKUP(F1432,数据集标准分类!A:B,2,0)</f>
        <v>mini_nutritional_assessment</v>
      </c>
      <c r="H1432" s="294">
        <f>VLOOKUP(F1432,数据集标准分类!A:H,8,0)</f>
        <v>98</v>
      </c>
      <c r="I1432" s="170" t="s">
        <v>3366</v>
      </c>
      <c r="J1432" s="170" t="s">
        <v>3367</v>
      </c>
      <c r="K1432" s="170" t="s">
        <v>3368</v>
      </c>
      <c r="L1432" s="170" t="s">
        <v>3369</v>
      </c>
      <c r="M1432" s="170"/>
      <c r="N1432" s="294">
        <v>5</v>
      </c>
      <c r="O1432" s="170"/>
    </row>
    <row r="1433" ht="15.75" customHeight="1" spans="1:15">
      <c r="A1433" s="183" t="str">
        <f>VLOOKUP(F1433,数据集标准分类!A:G,7,0)</f>
        <v>06</v>
      </c>
      <c r="B1433" s="183" t="str">
        <f>VLOOKUP(F1433,数据集标准分类!A:F,6,0)</f>
        <v>护理病历</v>
      </c>
      <c r="C1433" s="183" t="str">
        <f>VLOOKUP(F1433,数据集标准分类!A:E,5,0)</f>
        <v>0603</v>
      </c>
      <c r="D1433" s="183" t="str">
        <f>VLOOKUP(F1433,数据集标准分类!A:D,4,0)</f>
        <v>专项评估</v>
      </c>
      <c r="E1433" s="183" t="str">
        <f>VLOOKUP(F1433,数据集标准分类!A:C,3,0)</f>
        <v>060315</v>
      </c>
      <c r="F1433" s="170" t="s">
        <v>3425</v>
      </c>
      <c r="G1433" s="183" t="str">
        <f>VLOOKUP(F1433,数据集标准分类!A:B,2,0)</f>
        <v>mini_nutritional_assessment</v>
      </c>
      <c r="H1433" s="294">
        <f>VLOOKUP(F1433,数据集标准分类!A:H,8,0)</f>
        <v>98</v>
      </c>
      <c r="I1433" s="170" t="s">
        <v>3336</v>
      </c>
      <c r="J1433" s="170" t="s">
        <v>3337</v>
      </c>
      <c r="K1433" s="170" t="s">
        <v>3338</v>
      </c>
      <c r="L1433" s="170" t="s">
        <v>3339</v>
      </c>
      <c r="M1433" s="170"/>
      <c r="N1433" s="294">
        <v>6</v>
      </c>
      <c r="O1433" s="170"/>
    </row>
    <row r="1434" ht="15.75" customHeight="1" spans="1:15">
      <c r="A1434" s="183" t="str">
        <f>VLOOKUP(F1434,数据集标准分类!A:G,7,0)</f>
        <v>06</v>
      </c>
      <c r="B1434" s="183" t="str">
        <f>VLOOKUP(F1434,数据集标准分类!A:F,6,0)</f>
        <v>护理病历</v>
      </c>
      <c r="C1434" s="183" t="str">
        <f>VLOOKUP(F1434,数据集标准分类!A:E,5,0)</f>
        <v>0603</v>
      </c>
      <c r="D1434" s="183" t="str">
        <f>VLOOKUP(F1434,数据集标准分类!A:D,4,0)</f>
        <v>专项评估</v>
      </c>
      <c r="E1434" s="183" t="str">
        <f>VLOOKUP(F1434,数据集标准分类!A:C,3,0)</f>
        <v>060316</v>
      </c>
      <c r="F1434" s="170" t="s">
        <v>3426</v>
      </c>
      <c r="G1434" s="183" t="str">
        <f>VLOOKUP(F1434,数据集标准分类!A:B,2,0)</f>
        <v>harvard_healthy_eating_plate</v>
      </c>
      <c r="H1434" s="294">
        <f>VLOOKUP(F1434,数据集标准分类!A:H,8,0)</f>
        <v>99</v>
      </c>
      <c r="I1434" s="170" t="s">
        <v>3192</v>
      </c>
      <c r="J1434" s="170" t="s">
        <v>3193</v>
      </c>
      <c r="K1434" s="170" t="s">
        <v>3194</v>
      </c>
      <c r="L1434" s="170" t="s">
        <v>3195</v>
      </c>
      <c r="M1434" s="170"/>
      <c r="N1434" s="294">
        <v>1</v>
      </c>
      <c r="O1434" s="170"/>
    </row>
    <row r="1435" ht="15.75" customHeight="1" spans="1:15">
      <c r="A1435" s="183" t="str">
        <f>VLOOKUP(F1435,数据集标准分类!A:G,7,0)</f>
        <v>06</v>
      </c>
      <c r="B1435" s="183" t="str">
        <f>VLOOKUP(F1435,数据集标准分类!A:F,6,0)</f>
        <v>护理病历</v>
      </c>
      <c r="C1435" s="183" t="str">
        <f>VLOOKUP(F1435,数据集标准分类!A:E,5,0)</f>
        <v>0603</v>
      </c>
      <c r="D1435" s="183" t="str">
        <f>VLOOKUP(F1435,数据集标准分类!A:D,4,0)</f>
        <v>专项评估</v>
      </c>
      <c r="E1435" s="183" t="str">
        <f>VLOOKUP(F1435,数据集标准分类!A:C,3,0)</f>
        <v>060316</v>
      </c>
      <c r="F1435" s="170" t="s">
        <v>3426</v>
      </c>
      <c r="G1435" s="183" t="str">
        <f>VLOOKUP(F1435,数据集标准分类!A:B,2,0)</f>
        <v>harvard_healthy_eating_plate</v>
      </c>
      <c r="H1435" s="294">
        <f>VLOOKUP(F1435,数据集标准分类!A:H,8,0)</f>
        <v>99</v>
      </c>
      <c r="I1435" s="170" t="s">
        <v>3361</v>
      </c>
      <c r="J1435" s="170" t="s">
        <v>3362</v>
      </c>
      <c r="K1435" s="170" t="s">
        <v>3363</v>
      </c>
      <c r="L1435" s="170" t="s">
        <v>3364</v>
      </c>
      <c r="M1435" s="170"/>
      <c r="N1435" s="294">
        <v>2</v>
      </c>
      <c r="O1435" s="170"/>
    </row>
    <row r="1436" ht="15.75" customHeight="1" spans="1:15">
      <c r="A1436" s="183" t="str">
        <f>VLOOKUP(F1436,数据集标准分类!A:G,7,0)</f>
        <v>06</v>
      </c>
      <c r="B1436" s="183" t="str">
        <f>VLOOKUP(F1436,数据集标准分类!A:F,6,0)</f>
        <v>护理病历</v>
      </c>
      <c r="C1436" s="183" t="str">
        <f>VLOOKUP(F1436,数据集标准分类!A:E,5,0)</f>
        <v>0603</v>
      </c>
      <c r="D1436" s="183" t="str">
        <f>VLOOKUP(F1436,数据集标准分类!A:D,4,0)</f>
        <v>专项评估</v>
      </c>
      <c r="E1436" s="183" t="str">
        <f>VLOOKUP(F1436,数据集标准分类!A:C,3,0)</f>
        <v>060316</v>
      </c>
      <c r="F1436" s="170" t="s">
        <v>3426</v>
      </c>
      <c r="G1436" s="183" t="str">
        <f>VLOOKUP(F1436,数据集标准分类!A:B,2,0)</f>
        <v>harvard_healthy_eating_plate</v>
      </c>
      <c r="H1436" s="294">
        <f>VLOOKUP(F1436,数据集标准分类!A:H,8,0)</f>
        <v>99</v>
      </c>
      <c r="I1436" s="170" t="s">
        <v>1496</v>
      </c>
      <c r="J1436" s="170" t="s">
        <v>1497</v>
      </c>
      <c r="K1436" s="170" t="s">
        <v>1498</v>
      </c>
      <c r="L1436" s="170" t="s">
        <v>1499</v>
      </c>
      <c r="M1436" s="170"/>
      <c r="N1436" s="294">
        <v>3</v>
      </c>
      <c r="O1436" s="170"/>
    </row>
    <row r="1437" ht="15.75" customHeight="1" spans="1:15">
      <c r="A1437" s="183" t="str">
        <f>VLOOKUP(F1437,数据集标准分类!A:G,7,0)</f>
        <v>06</v>
      </c>
      <c r="B1437" s="183" t="str">
        <f>VLOOKUP(F1437,数据集标准分类!A:F,6,0)</f>
        <v>护理病历</v>
      </c>
      <c r="C1437" s="183" t="str">
        <f>VLOOKUP(F1437,数据集标准分类!A:E,5,0)</f>
        <v>0603</v>
      </c>
      <c r="D1437" s="183" t="str">
        <f>VLOOKUP(F1437,数据集标准分类!A:D,4,0)</f>
        <v>专项评估</v>
      </c>
      <c r="E1437" s="183" t="str">
        <f>VLOOKUP(F1437,数据集标准分类!A:C,3,0)</f>
        <v>060316</v>
      </c>
      <c r="F1437" s="170" t="s">
        <v>3426</v>
      </c>
      <c r="G1437" s="183" t="str">
        <f>VLOOKUP(F1437,数据集标准分类!A:B,2,0)</f>
        <v>harvard_healthy_eating_plate</v>
      </c>
      <c r="H1437" s="294">
        <f>VLOOKUP(F1437,数据集标准分类!A:H,8,0)</f>
        <v>99</v>
      </c>
      <c r="I1437" s="170" t="s">
        <v>3199</v>
      </c>
      <c r="J1437" s="170" t="s">
        <v>3200</v>
      </c>
      <c r="K1437" s="170" t="s">
        <v>3201</v>
      </c>
      <c r="L1437" s="170" t="s">
        <v>3202</v>
      </c>
      <c r="M1437" s="170"/>
      <c r="N1437" s="294">
        <v>4</v>
      </c>
      <c r="O1437" s="170"/>
    </row>
    <row r="1438" ht="15.75" customHeight="1" spans="1:15">
      <c r="A1438" s="183" t="str">
        <f>VLOOKUP(F1438,数据集标准分类!A:G,7,0)</f>
        <v>06</v>
      </c>
      <c r="B1438" s="183" t="str">
        <f>VLOOKUP(F1438,数据集标准分类!A:F,6,0)</f>
        <v>护理病历</v>
      </c>
      <c r="C1438" s="183" t="str">
        <f>VLOOKUP(F1438,数据集标准分类!A:E,5,0)</f>
        <v>0603</v>
      </c>
      <c r="D1438" s="183" t="str">
        <f>VLOOKUP(F1438,数据集标准分类!A:D,4,0)</f>
        <v>专项评估</v>
      </c>
      <c r="E1438" s="183" t="str">
        <f>VLOOKUP(F1438,数据集标准分类!A:C,3,0)</f>
        <v>060316</v>
      </c>
      <c r="F1438" s="170" t="s">
        <v>3426</v>
      </c>
      <c r="G1438" s="183" t="str">
        <f>VLOOKUP(F1438,数据集标准分类!A:B,2,0)</f>
        <v>harvard_healthy_eating_plate</v>
      </c>
      <c r="H1438" s="294">
        <f>VLOOKUP(F1438,数据集标准分类!A:H,8,0)</f>
        <v>99</v>
      </c>
      <c r="I1438" s="170" t="s">
        <v>3366</v>
      </c>
      <c r="J1438" s="170" t="s">
        <v>3367</v>
      </c>
      <c r="K1438" s="170" t="s">
        <v>3368</v>
      </c>
      <c r="L1438" s="170" t="s">
        <v>3369</v>
      </c>
      <c r="M1438" s="170"/>
      <c r="N1438" s="294">
        <v>5</v>
      </c>
      <c r="O1438" s="170"/>
    </row>
    <row r="1439" ht="15.75" customHeight="1" spans="1:15">
      <c r="A1439" s="183" t="str">
        <f>VLOOKUP(F1439,数据集标准分类!A:G,7,0)</f>
        <v>06</v>
      </c>
      <c r="B1439" s="183" t="str">
        <f>VLOOKUP(F1439,数据集标准分类!A:F,6,0)</f>
        <v>护理病历</v>
      </c>
      <c r="C1439" s="183" t="str">
        <f>VLOOKUP(F1439,数据集标准分类!A:E,5,0)</f>
        <v>0603</v>
      </c>
      <c r="D1439" s="183" t="str">
        <f>VLOOKUP(F1439,数据集标准分类!A:D,4,0)</f>
        <v>专项评估</v>
      </c>
      <c r="E1439" s="183" t="str">
        <f>VLOOKUP(F1439,数据集标准分类!A:C,3,0)</f>
        <v>060316</v>
      </c>
      <c r="F1439" s="170" t="s">
        <v>3426</v>
      </c>
      <c r="G1439" s="183" t="str">
        <f>VLOOKUP(F1439,数据集标准分类!A:B,2,0)</f>
        <v>harvard_healthy_eating_plate</v>
      </c>
      <c r="H1439" s="294">
        <f>VLOOKUP(F1439,数据集标准分类!A:H,8,0)</f>
        <v>99</v>
      </c>
      <c r="I1439" s="170" t="s">
        <v>3336</v>
      </c>
      <c r="J1439" s="170" t="s">
        <v>3337</v>
      </c>
      <c r="K1439" s="170" t="s">
        <v>3338</v>
      </c>
      <c r="L1439" s="170" t="s">
        <v>3339</v>
      </c>
      <c r="M1439" s="170"/>
      <c r="N1439" s="294">
        <v>6</v>
      </c>
      <c r="O1439" s="170"/>
    </row>
    <row r="1440" ht="15.75" customHeight="1" spans="1:15">
      <c r="A1440" s="183" t="str">
        <f>VLOOKUP(F1440,数据集标准分类!A:G,7,0)</f>
        <v>06</v>
      </c>
      <c r="B1440" s="183" t="str">
        <f>VLOOKUP(F1440,数据集标准分类!A:F,6,0)</f>
        <v>护理病历</v>
      </c>
      <c r="C1440" s="183" t="str">
        <f>VLOOKUP(F1440,数据集标准分类!A:E,5,0)</f>
        <v>0603</v>
      </c>
      <c r="D1440" s="183" t="str">
        <f>VLOOKUP(F1440,数据集标准分类!A:D,4,0)</f>
        <v>专项评估</v>
      </c>
      <c r="E1440" s="183" t="str">
        <f>VLOOKUP(F1440,数据集标准分类!A:C,3,0)</f>
        <v>060317</v>
      </c>
      <c r="F1440" s="170" t="s">
        <v>3427</v>
      </c>
      <c r="G1440" s="183" t="str">
        <f>VLOOKUP(F1440,数据集标准分类!A:B,2,0)</f>
        <v>nicotine_dependence_scale</v>
      </c>
      <c r="H1440" s="294">
        <f>VLOOKUP(F1440,数据集标准分类!A:H,8,0)</f>
        <v>100</v>
      </c>
      <c r="I1440" s="170" t="s">
        <v>3192</v>
      </c>
      <c r="J1440" s="170" t="s">
        <v>3193</v>
      </c>
      <c r="K1440" s="170" t="s">
        <v>3194</v>
      </c>
      <c r="L1440" s="170" t="s">
        <v>3195</v>
      </c>
      <c r="M1440" s="170"/>
      <c r="N1440" s="294">
        <v>1</v>
      </c>
      <c r="O1440" s="170"/>
    </row>
    <row r="1441" ht="15.75" customHeight="1" spans="1:15">
      <c r="A1441" s="183" t="str">
        <f>VLOOKUP(F1441,数据集标准分类!A:G,7,0)</f>
        <v>06</v>
      </c>
      <c r="B1441" s="183" t="str">
        <f>VLOOKUP(F1441,数据集标准分类!A:F,6,0)</f>
        <v>护理病历</v>
      </c>
      <c r="C1441" s="183" t="str">
        <f>VLOOKUP(F1441,数据集标准分类!A:E,5,0)</f>
        <v>0603</v>
      </c>
      <c r="D1441" s="183" t="str">
        <f>VLOOKUP(F1441,数据集标准分类!A:D,4,0)</f>
        <v>专项评估</v>
      </c>
      <c r="E1441" s="183" t="str">
        <f>VLOOKUP(F1441,数据集标准分类!A:C,3,0)</f>
        <v>060317</v>
      </c>
      <c r="F1441" s="170" t="s">
        <v>3427</v>
      </c>
      <c r="G1441" s="183" t="str">
        <f>VLOOKUP(F1441,数据集标准分类!A:B,2,0)</f>
        <v>nicotine_dependence_scale</v>
      </c>
      <c r="H1441" s="294">
        <f>VLOOKUP(F1441,数据集标准分类!A:H,8,0)</f>
        <v>100</v>
      </c>
      <c r="I1441" s="170" t="s">
        <v>3361</v>
      </c>
      <c r="J1441" s="170" t="s">
        <v>3362</v>
      </c>
      <c r="K1441" s="170" t="s">
        <v>3363</v>
      </c>
      <c r="L1441" s="170" t="s">
        <v>3364</v>
      </c>
      <c r="M1441" s="170"/>
      <c r="N1441" s="294">
        <v>2</v>
      </c>
      <c r="O1441" s="170"/>
    </row>
    <row r="1442" ht="15.75" customHeight="1" spans="1:15">
      <c r="A1442" s="183" t="str">
        <f>VLOOKUP(F1442,数据集标准分类!A:G,7,0)</f>
        <v>06</v>
      </c>
      <c r="B1442" s="183" t="str">
        <f>VLOOKUP(F1442,数据集标准分类!A:F,6,0)</f>
        <v>护理病历</v>
      </c>
      <c r="C1442" s="183" t="str">
        <f>VLOOKUP(F1442,数据集标准分类!A:E,5,0)</f>
        <v>0603</v>
      </c>
      <c r="D1442" s="183" t="str">
        <f>VLOOKUP(F1442,数据集标准分类!A:D,4,0)</f>
        <v>专项评估</v>
      </c>
      <c r="E1442" s="183" t="str">
        <f>VLOOKUP(F1442,数据集标准分类!A:C,3,0)</f>
        <v>060317</v>
      </c>
      <c r="F1442" s="170" t="s">
        <v>3427</v>
      </c>
      <c r="G1442" s="183" t="str">
        <f>VLOOKUP(F1442,数据集标准分类!A:B,2,0)</f>
        <v>nicotine_dependence_scale</v>
      </c>
      <c r="H1442" s="294">
        <f>VLOOKUP(F1442,数据集标准分类!A:H,8,0)</f>
        <v>100</v>
      </c>
      <c r="I1442" s="170" t="s">
        <v>1496</v>
      </c>
      <c r="J1442" s="170" t="s">
        <v>1497</v>
      </c>
      <c r="K1442" s="170" t="s">
        <v>1498</v>
      </c>
      <c r="L1442" s="170" t="s">
        <v>1499</v>
      </c>
      <c r="M1442" s="170"/>
      <c r="N1442" s="294">
        <v>3</v>
      </c>
      <c r="O1442" s="170"/>
    </row>
    <row r="1443" ht="15.75" customHeight="1" spans="1:15">
      <c r="A1443" s="183" t="str">
        <f>VLOOKUP(F1443,数据集标准分类!A:G,7,0)</f>
        <v>06</v>
      </c>
      <c r="B1443" s="183" t="str">
        <f>VLOOKUP(F1443,数据集标准分类!A:F,6,0)</f>
        <v>护理病历</v>
      </c>
      <c r="C1443" s="183" t="str">
        <f>VLOOKUP(F1443,数据集标准分类!A:E,5,0)</f>
        <v>0603</v>
      </c>
      <c r="D1443" s="183" t="str">
        <f>VLOOKUP(F1443,数据集标准分类!A:D,4,0)</f>
        <v>专项评估</v>
      </c>
      <c r="E1443" s="183" t="str">
        <f>VLOOKUP(F1443,数据集标准分类!A:C,3,0)</f>
        <v>060317</v>
      </c>
      <c r="F1443" s="170" t="s">
        <v>3427</v>
      </c>
      <c r="G1443" s="183" t="str">
        <f>VLOOKUP(F1443,数据集标准分类!A:B,2,0)</f>
        <v>nicotine_dependence_scale</v>
      </c>
      <c r="H1443" s="294">
        <f>VLOOKUP(F1443,数据集标准分类!A:H,8,0)</f>
        <v>100</v>
      </c>
      <c r="I1443" s="170" t="s">
        <v>3199</v>
      </c>
      <c r="J1443" s="170" t="s">
        <v>3200</v>
      </c>
      <c r="K1443" s="170" t="s">
        <v>3201</v>
      </c>
      <c r="L1443" s="170" t="s">
        <v>3202</v>
      </c>
      <c r="M1443" s="170"/>
      <c r="N1443" s="294">
        <v>4</v>
      </c>
      <c r="O1443" s="170"/>
    </row>
    <row r="1444" ht="15.75" customHeight="1" spans="1:15">
      <c r="A1444" s="183" t="str">
        <f>VLOOKUP(F1444,数据集标准分类!A:G,7,0)</f>
        <v>06</v>
      </c>
      <c r="B1444" s="183" t="str">
        <f>VLOOKUP(F1444,数据集标准分类!A:F,6,0)</f>
        <v>护理病历</v>
      </c>
      <c r="C1444" s="183" t="str">
        <f>VLOOKUP(F1444,数据集标准分类!A:E,5,0)</f>
        <v>0603</v>
      </c>
      <c r="D1444" s="183" t="str">
        <f>VLOOKUP(F1444,数据集标准分类!A:D,4,0)</f>
        <v>专项评估</v>
      </c>
      <c r="E1444" s="183" t="str">
        <f>VLOOKUP(F1444,数据集标准分类!A:C,3,0)</f>
        <v>060317</v>
      </c>
      <c r="F1444" s="170" t="s">
        <v>3427</v>
      </c>
      <c r="G1444" s="183" t="str">
        <f>VLOOKUP(F1444,数据集标准分类!A:B,2,0)</f>
        <v>nicotine_dependence_scale</v>
      </c>
      <c r="H1444" s="294">
        <f>VLOOKUP(F1444,数据集标准分类!A:H,8,0)</f>
        <v>100</v>
      </c>
      <c r="I1444" s="170" t="s">
        <v>3366</v>
      </c>
      <c r="J1444" s="170" t="s">
        <v>3367</v>
      </c>
      <c r="K1444" s="170" t="s">
        <v>3368</v>
      </c>
      <c r="L1444" s="170" t="s">
        <v>3369</v>
      </c>
      <c r="M1444" s="170"/>
      <c r="N1444" s="294">
        <v>5</v>
      </c>
      <c r="O1444" s="170"/>
    </row>
    <row r="1445" ht="15.75" customHeight="1" spans="1:15">
      <c r="A1445" s="183" t="str">
        <f>VLOOKUP(F1445,数据集标准分类!A:G,7,0)</f>
        <v>06</v>
      </c>
      <c r="B1445" s="183" t="str">
        <f>VLOOKUP(F1445,数据集标准分类!A:F,6,0)</f>
        <v>护理病历</v>
      </c>
      <c r="C1445" s="183" t="str">
        <f>VLOOKUP(F1445,数据集标准分类!A:E,5,0)</f>
        <v>0603</v>
      </c>
      <c r="D1445" s="183" t="str">
        <f>VLOOKUP(F1445,数据集标准分类!A:D,4,0)</f>
        <v>专项评估</v>
      </c>
      <c r="E1445" s="183" t="str">
        <f>VLOOKUP(F1445,数据集标准分类!A:C,3,0)</f>
        <v>060317</v>
      </c>
      <c r="F1445" s="170" t="s">
        <v>3427</v>
      </c>
      <c r="G1445" s="183" t="str">
        <f>VLOOKUP(F1445,数据集标准分类!A:B,2,0)</f>
        <v>nicotine_dependence_scale</v>
      </c>
      <c r="H1445" s="294">
        <f>VLOOKUP(F1445,数据集标准分类!A:H,8,0)</f>
        <v>100</v>
      </c>
      <c r="I1445" s="170" t="s">
        <v>3336</v>
      </c>
      <c r="J1445" s="170" t="s">
        <v>3337</v>
      </c>
      <c r="K1445" s="170" t="s">
        <v>3338</v>
      </c>
      <c r="L1445" s="170" t="s">
        <v>3339</v>
      </c>
      <c r="M1445" s="170"/>
      <c r="N1445" s="294">
        <v>6</v>
      </c>
      <c r="O1445" s="170"/>
    </row>
    <row r="1446" ht="15.75" customHeight="1" spans="1:15">
      <c r="A1446" s="183" t="str">
        <f>VLOOKUP(F1446,数据集标准分类!A:G,7,0)</f>
        <v>06</v>
      </c>
      <c r="B1446" s="183" t="str">
        <f>VLOOKUP(F1446,数据集标准分类!A:F,6,0)</f>
        <v>护理病历</v>
      </c>
      <c r="C1446" s="183" t="str">
        <f>VLOOKUP(F1446,数据集标准分类!A:E,5,0)</f>
        <v>0603</v>
      </c>
      <c r="D1446" s="183" t="str">
        <f>VLOOKUP(F1446,数据集标准分类!A:D,4,0)</f>
        <v>专项评估</v>
      </c>
      <c r="E1446" s="183" t="str">
        <f>VLOOKUP(F1446,数据集标准分类!A:C,3,0)</f>
        <v>060318</v>
      </c>
      <c r="F1446" s="170" t="s">
        <v>3428</v>
      </c>
      <c r="G1446" s="183" t="str">
        <f>VLOOKUP(F1446,数据集标准分类!A:B,2,0)</f>
        <v>psqi_sleepassessment</v>
      </c>
      <c r="H1446" s="294">
        <f>VLOOKUP(F1446,数据集标准分类!A:H,8,0)</f>
        <v>101</v>
      </c>
      <c r="I1446" s="170" t="s">
        <v>3192</v>
      </c>
      <c r="J1446" s="170" t="s">
        <v>3193</v>
      </c>
      <c r="K1446" s="170" t="s">
        <v>3194</v>
      </c>
      <c r="L1446" s="170" t="s">
        <v>3195</v>
      </c>
      <c r="M1446" s="170"/>
      <c r="N1446" s="294">
        <v>1</v>
      </c>
      <c r="O1446" s="170"/>
    </row>
    <row r="1447" ht="15.75" customHeight="1" spans="1:15">
      <c r="A1447" s="183" t="str">
        <f>VLOOKUP(F1447,数据集标准分类!A:G,7,0)</f>
        <v>06</v>
      </c>
      <c r="B1447" s="183" t="str">
        <f>VLOOKUP(F1447,数据集标准分类!A:F,6,0)</f>
        <v>护理病历</v>
      </c>
      <c r="C1447" s="183" t="str">
        <f>VLOOKUP(F1447,数据集标准分类!A:E,5,0)</f>
        <v>0603</v>
      </c>
      <c r="D1447" s="183" t="str">
        <f>VLOOKUP(F1447,数据集标准分类!A:D,4,0)</f>
        <v>专项评估</v>
      </c>
      <c r="E1447" s="183" t="str">
        <f>VLOOKUP(F1447,数据集标准分类!A:C,3,0)</f>
        <v>060318</v>
      </c>
      <c r="F1447" s="170" t="s">
        <v>3428</v>
      </c>
      <c r="G1447" s="183" t="str">
        <f>VLOOKUP(F1447,数据集标准分类!A:B,2,0)</f>
        <v>psqi_sleepassessment</v>
      </c>
      <c r="H1447" s="294">
        <f>VLOOKUP(F1447,数据集标准分类!A:H,8,0)</f>
        <v>101</v>
      </c>
      <c r="I1447" s="170" t="s">
        <v>3361</v>
      </c>
      <c r="J1447" s="170" t="s">
        <v>3362</v>
      </c>
      <c r="K1447" s="170" t="s">
        <v>3363</v>
      </c>
      <c r="L1447" s="170" t="s">
        <v>3364</v>
      </c>
      <c r="M1447" s="170"/>
      <c r="N1447" s="294">
        <v>2</v>
      </c>
      <c r="O1447" s="170"/>
    </row>
    <row r="1448" ht="15.75" customHeight="1" spans="1:15">
      <c r="A1448" s="183" t="str">
        <f>VLOOKUP(F1448,数据集标准分类!A:G,7,0)</f>
        <v>06</v>
      </c>
      <c r="B1448" s="183" t="str">
        <f>VLOOKUP(F1448,数据集标准分类!A:F,6,0)</f>
        <v>护理病历</v>
      </c>
      <c r="C1448" s="183" t="str">
        <f>VLOOKUP(F1448,数据集标准分类!A:E,5,0)</f>
        <v>0603</v>
      </c>
      <c r="D1448" s="183" t="str">
        <f>VLOOKUP(F1448,数据集标准分类!A:D,4,0)</f>
        <v>专项评估</v>
      </c>
      <c r="E1448" s="183" t="str">
        <f>VLOOKUP(F1448,数据集标准分类!A:C,3,0)</f>
        <v>060318</v>
      </c>
      <c r="F1448" s="170" t="s">
        <v>3428</v>
      </c>
      <c r="G1448" s="183" t="str">
        <f>VLOOKUP(F1448,数据集标准分类!A:B,2,0)</f>
        <v>psqi_sleepassessment</v>
      </c>
      <c r="H1448" s="294">
        <f>VLOOKUP(F1448,数据集标准分类!A:H,8,0)</f>
        <v>101</v>
      </c>
      <c r="I1448" s="170" t="s">
        <v>1496</v>
      </c>
      <c r="J1448" s="170" t="s">
        <v>1497</v>
      </c>
      <c r="K1448" s="170" t="s">
        <v>1498</v>
      </c>
      <c r="L1448" s="170" t="s">
        <v>1499</v>
      </c>
      <c r="M1448" s="170"/>
      <c r="N1448" s="294">
        <v>3</v>
      </c>
      <c r="O1448" s="170"/>
    </row>
    <row r="1449" ht="15.75" customHeight="1" spans="1:15">
      <c r="A1449" s="183" t="str">
        <f>VLOOKUP(F1449,数据集标准分类!A:G,7,0)</f>
        <v>06</v>
      </c>
      <c r="B1449" s="183" t="str">
        <f>VLOOKUP(F1449,数据集标准分类!A:F,6,0)</f>
        <v>护理病历</v>
      </c>
      <c r="C1449" s="183" t="str">
        <f>VLOOKUP(F1449,数据集标准分类!A:E,5,0)</f>
        <v>0603</v>
      </c>
      <c r="D1449" s="183" t="str">
        <f>VLOOKUP(F1449,数据集标准分类!A:D,4,0)</f>
        <v>专项评估</v>
      </c>
      <c r="E1449" s="183" t="str">
        <f>VLOOKUP(F1449,数据集标准分类!A:C,3,0)</f>
        <v>060318</v>
      </c>
      <c r="F1449" s="170" t="s">
        <v>3428</v>
      </c>
      <c r="G1449" s="183" t="str">
        <f>VLOOKUP(F1449,数据集标准分类!A:B,2,0)</f>
        <v>psqi_sleepassessment</v>
      </c>
      <c r="H1449" s="294">
        <f>VLOOKUP(F1449,数据集标准分类!A:H,8,0)</f>
        <v>101</v>
      </c>
      <c r="I1449" s="170" t="s">
        <v>3199</v>
      </c>
      <c r="J1449" s="170" t="s">
        <v>3200</v>
      </c>
      <c r="K1449" s="170" t="s">
        <v>3201</v>
      </c>
      <c r="L1449" s="170" t="s">
        <v>3202</v>
      </c>
      <c r="M1449" s="170"/>
      <c r="N1449" s="294">
        <v>4</v>
      </c>
      <c r="O1449" s="170"/>
    </row>
    <row r="1450" ht="15.75" customHeight="1" spans="1:15">
      <c r="A1450" s="183" t="str">
        <f>VLOOKUP(F1450,数据集标准分类!A:G,7,0)</f>
        <v>06</v>
      </c>
      <c r="B1450" s="183" t="str">
        <f>VLOOKUP(F1450,数据集标准分类!A:F,6,0)</f>
        <v>护理病历</v>
      </c>
      <c r="C1450" s="183" t="str">
        <f>VLOOKUP(F1450,数据集标准分类!A:E,5,0)</f>
        <v>0603</v>
      </c>
      <c r="D1450" s="183" t="str">
        <f>VLOOKUP(F1450,数据集标准分类!A:D,4,0)</f>
        <v>专项评估</v>
      </c>
      <c r="E1450" s="183" t="str">
        <f>VLOOKUP(F1450,数据集标准分类!A:C,3,0)</f>
        <v>060318</v>
      </c>
      <c r="F1450" s="170" t="s">
        <v>3428</v>
      </c>
      <c r="G1450" s="183" t="str">
        <f>VLOOKUP(F1450,数据集标准分类!A:B,2,0)</f>
        <v>psqi_sleepassessment</v>
      </c>
      <c r="H1450" s="294">
        <f>VLOOKUP(F1450,数据集标准分类!A:H,8,0)</f>
        <v>101</v>
      </c>
      <c r="I1450" s="170" t="s">
        <v>3366</v>
      </c>
      <c r="J1450" s="170" t="s">
        <v>3367</v>
      </c>
      <c r="K1450" s="170" t="s">
        <v>3368</v>
      </c>
      <c r="L1450" s="170" t="s">
        <v>3369</v>
      </c>
      <c r="M1450" s="170"/>
      <c r="N1450" s="294">
        <v>5</v>
      </c>
      <c r="O1450" s="170"/>
    </row>
    <row r="1451" ht="15.75" customHeight="1" spans="1:15">
      <c r="A1451" s="183" t="str">
        <f>VLOOKUP(F1451,数据集标准分类!A:G,7,0)</f>
        <v>06</v>
      </c>
      <c r="B1451" s="183" t="str">
        <f>VLOOKUP(F1451,数据集标准分类!A:F,6,0)</f>
        <v>护理病历</v>
      </c>
      <c r="C1451" s="183" t="str">
        <f>VLOOKUP(F1451,数据集标准分类!A:E,5,0)</f>
        <v>0603</v>
      </c>
      <c r="D1451" s="183" t="str">
        <f>VLOOKUP(F1451,数据集标准分类!A:D,4,0)</f>
        <v>专项评估</v>
      </c>
      <c r="E1451" s="183" t="str">
        <f>VLOOKUP(F1451,数据集标准分类!A:C,3,0)</f>
        <v>060318</v>
      </c>
      <c r="F1451" s="170" t="s">
        <v>3428</v>
      </c>
      <c r="G1451" s="183" t="str">
        <f>VLOOKUP(F1451,数据集标准分类!A:B,2,0)</f>
        <v>psqi_sleepassessment</v>
      </c>
      <c r="H1451" s="294">
        <f>VLOOKUP(F1451,数据集标准分类!A:H,8,0)</f>
        <v>101</v>
      </c>
      <c r="I1451" s="170" t="s">
        <v>3336</v>
      </c>
      <c r="J1451" s="170" t="s">
        <v>3337</v>
      </c>
      <c r="K1451" s="170" t="s">
        <v>3338</v>
      </c>
      <c r="L1451" s="170" t="s">
        <v>3339</v>
      </c>
      <c r="M1451" s="170"/>
      <c r="N1451" s="294">
        <v>6</v>
      </c>
      <c r="O1451" s="170"/>
    </row>
    <row r="1452" ht="15.75" customHeight="1" spans="1:15">
      <c r="A1452" s="183" t="str">
        <f>VLOOKUP(F1452,数据集标准分类!A:G,7,0)</f>
        <v>06</v>
      </c>
      <c r="B1452" s="183" t="str">
        <f>VLOOKUP(F1452,数据集标准分类!A:F,6,0)</f>
        <v>护理病历</v>
      </c>
      <c r="C1452" s="183" t="str">
        <f>VLOOKUP(F1452,数据集标准分类!A:E,5,0)</f>
        <v>0603</v>
      </c>
      <c r="D1452" s="183" t="str">
        <f>VLOOKUP(F1452,数据集标准分类!A:D,4,0)</f>
        <v>专项评估</v>
      </c>
      <c r="E1452" s="183" t="str">
        <f>VLOOKUP(F1452,数据集标准分类!A:C,3,0)</f>
        <v>060319</v>
      </c>
      <c r="F1452" s="170" t="s">
        <v>3429</v>
      </c>
      <c r="G1452" s="183" t="str">
        <f>VLOOKUP(F1452,数据集标准分类!A:B,2,0)</f>
        <v>cubbin_jackson_assessment</v>
      </c>
      <c r="H1452" s="294">
        <f>VLOOKUP(F1452,数据集标准分类!A:H,8,0)</f>
        <v>102</v>
      </c>
      <c r="I1452" s="170" t="s">
        <v>3192</v>
      </c>
      <c r="J1452" s="170" t="s">
        <v>3193</v>
      </c>
      <c r="K1452" s="170" t="s">
        <v>3194</v>
      </c>
      <c r="L1452" s="170" t="s">
        <v>3195</v>
      </c>
      <c r="M1452" s="170"/>
      <c r="N1452" s="294">
        <v>1</v>
      </c>
      <c r="O1452" s="170"/>
    </row>
    <row r="1453" ht="15.75" customHeight="1" spans="1:15">
      <c r="A1453" s="183" t="str">
        <f>VLOOKUP(F1453,数据集标准分类!A:G,7,0)</f>
        <v>06</v>
      </c>
      <c r="B1453" s="183" t="str">
        <f>VLOOKUP(F1453,数据集标准分类!A:F,6,0)</f>
        <v>护理病历</v>
      </c>
      <c r="C1453" s="183" t="str">
        <f>VLOOKUP(F1453,数据集标准分类!A:E,5,0)</f>
        <v>0603</v>
      </c>
      <c r="D1453" s="183" t="str">
        <f>VLOOKUP(F1453,数据集标准分类!A:D,4,0)</f>
        <v>专项评估</v>
      </c>
      <c r="E1453" s="183" t="str">
        <f>VLOOKUP(F1453,数据集标准分类!A:C,3,0)</f>
        <v>060319</v>
      </c>
      <c r="F1453" s="170" t="s">
        <v>3429</v>
      </c>
      <c r="G1453" s="183" t="str">
        <f>VLOOKUP(F1453,数据集标准分类!A:B,2,0)</f>
        <v>cubbin_jackson_assessment</v>
      </c>
      <c r="H1453" s="294">
        <f>VLOOKUP(F1453,数据集标准分类!A:H,8,0)</f>
        <v>102</v>
      </c>
      <c r="I1453" s="170" t="s">
        <v>3361</v>
      </c>
      <c r="J1453" s="170" t="s">
        <v>3362</v>
      </c>
      <c r="K1453" s="170" t="s">
        <v>3363</v>
      </c>
      <c r="L1453" s="170" t="s">
        <v>3364</v>
      </c>
      <c r="M1453" s="170"/>
      <c r="N1453" s="294">
        <v>2</v>
      </c>
      <c r="O1453" s="170"/>
    </row>
    <row r="1454" ht="15.75" customHeight="1" spans="1:15">
      <c r="A1454" s="183" t="str">
        <f>VLOOKUP(F1454,数据集标准分类!A:G,7,0)</f>
        <v>06</v>
      </c>
      <c r="B1454" s="183" t="str">
        <f>VLOOKUP(F1454,数据集标准分类!A:F,6,0)</f>
        <v>护理病历</v>
      </c>
      <c r="C1454" s="183" t="str">
        <f>VLOOKUP(F1454,数据集标准分类!A:E,5,0)</f>
        <v>0603</v>
      </c>
      <c r="D1454" s="183" t="str">
        <f>VLOOKUP(F1454,数据集标准分类!A:D,4,0)</f>
        <v>专项评估</v>
      </c>
      <c r="E1454" s="183" t="str">
        <f>VLOOKUP(F1454,数据集标准分类!A:C,3,0)</f>
        <v>060319</v>
      </c>
      <c r="F1454" s="170" t="s">
        <v>3429</v>
      </c>
      <c r="G1454" s="183" t="str">
        <f>VLOOKUP(F1454,数据集标准分类!A:B,2,0)</f>
        <v>cubbin_jackson_assessment</v>
      </c>
      <c r="H1454" s="294">
        <f>VLOOKUP(F1454,数据集标准分类!A:H,8,0)</f>
        <v>102</v>
      </c>
      <c r="I1454" s="170" t="s">
        <v>1496</v>
      </c>
      <c r="J1454" s="170" t="s">
        <v>1497</v>
      </c>
      <c r="K1454" s="170" t="s">
        <v>1498</v>
      </c>
      <c r="L1454" s="170" t="s">
        <v>1499</v>
      </c>
      <c r="M1454" s="170"/>
      <c r="N1454" s="294">
        <v>3</v>
      </c>
      <c r="O1454" s="170"/>
    </row>
    <row r="1455" ht="15.75" customHeight="1" spans="1:15">
      <c r="A1455" s="183" t="str">
        <f>VLOOKUP(F1455,数据集标准分类!A:G,7,0)</f>
        <v>06</v>
      </c>
      <c r="B1455" s="183" t="str">
        <f>VLOOKUP(F1455,数据集标准分类!A:F,6,0)</f>
        <v>护理病历</v>
      </c>
      <c r="C1455" s="183" t="str">
        <f>VLOOKUP(F1455,数据集标准分类!A:E,5,0)</f>
        <v>0603</v>
      </c>
      <c r="D1455" s="183" t="str">
        <f>VLOOKUP(F1455,数据集标准分类!A:D,4,0)</f>
        <v>专项评估</v>
      </c>
      <c r="E1455" s="183" t="str">
        <f>VLOOKUP(F1455,数据集标准分类!A:C,3,0)</f>
        <v>060319</v>
      </c>
      <c r="F1455" s="170" t="s">
        <v>3429</v>
      </c>
      <c r="G1455" s="183" t="str">
        <f>VLOOKUP(F1455,数据集标准分类!A:B,2,0)</f>
        <v>cubbin_jackson_assessment</v>
      </c>
      <c r="H1455" s="294">
        <f>VLOOKUP(F1455,数据集标准分类!A:H,8,0)</f>
        <v>102</v>
      </c>
      <c r="I1455" s="170" t="s">
        <v>3199</v>
      </c>
      <c r="J1455" s="170" t="s">
        <v>3200</v>
      </c>
      <c r="K1455" s="170" t="s">
        <v>3201</v>
      </c>
      <c r="L1455" s="170" t="s">
        <v>3202</v>
      </c>
      <c r="M1455" s="170"/>
      <c r="N1455" s="294">
        <v>4</v>
      </c>
      <c r="O1455" s="170"/>
    </row>
    <row r="1456" ht="15.75" customHeight="1" spans="1:15">
      <c r="A1456" s="183" t="str">
        <f>VLOOKUP(F1456,数据集标准分类!A:G,7,0)</f>
        <v>06</v>
      </c>
      <c r="B1456" s="183" t="str">
        <f>VLOOKUP(F1456,数据集标准分类!A:F,6,0)</f>
        <v>护理病历</v>
      </c>
      <c r="C1456" s="183" t="str">
        <f>VLOOKUP(F1456,数据集标准分类!A:E,5,0)</f>
        <v>0603</v>
      </c>
      <c r="D1456" s="183" t="str">
        <f>VLOOKUP(F1456,数据集标准分类!A:D,4,0)</f>
        <v>专项评估</v>
      </c>
      <c r="E1456" s="183" t="str">
        <f>VLOOKUP(F1456,数据集标准分类!A:C,3,0)</f>
        <v>060319</v>
      </c>
      <c r="F1456" s="170" t="s">
        <v>3429</v>
      </c>
      <c r="G1456" s="183" t="str">
        <f>VLOOKUP(F1456,数据集标准分类!A:B,2,0)</f>
        <v>cubbin_jackson_assessment</v>
      </c>
      <c r="H1456" s="294">
        <f>VLOOKUP(F1456,数据集标准分类!A:H,8,0)</f>
        <v>102</v>
      </c>
      <c r="I1456" s="170" t="s">
        <v>3366</v>
      </c>
      <c r="J1456" s="170" t="s">
        <v>3367</v>
      </c>
      <c r="K1456" s="170" t="s">
        <v>3368</v>
      </c>
      <c r="L1456" s="170" t="s">
        <v>3369</v>
      </c>
      <c r="M1456" s="170"/>
      <c r="N1456" s="294">
        <v>5</v>
      </c>
      <c r="O1456" s="170"/>
    </row>
    <row r="1457" ht="15.75" customHeight="1" spans="1:15">
      <c r="A1457" s="183" t="str">
        <f>VLOOKUP(F1457,数据集标准分类!A:G,7,0)</f>
        <v>06</v>
      </c>
      <c r="B1457" s="183" t="str">
        <f>VLOOKUP(F1457,数据集标准分类!A:F,6,0)</f>
        <v>护理病历</v>
      </c>
      <c r="C1457" s="183" t="str">
        <f>VLOOKUP(F1457,数据集标准分类!A:E,5,0)</f>
        <v>0603</v>
      </c>
      <c r="D1457" s="183" t="str">
        <f>VLOOKUP(F1457,数据集标准分类!A:D,4,0)</f>
        <v>专项评估</v>
      </c>
      <c r="E1457" s="183" t="str">
        <f>VLOOKUP(F1457,数据集标准分类!A:C,3,0)</f>
        <v>060319</v>
      </c>
      <c r="F1457" s="170" t="s">
        <v>3429</v>
      </c>
      <c r="G1457" s="183" t="str">
        <f>VLOOKUP(F1457,数据集标准分类!A:B,2,0)</f>
        <v>cubbin_jackson_assessment</v>
      </c>
      <c r="H1457" s="294">
        <f>VLOOKUP(F1457,数据集标准分类!A:H,8,0)</f>
        <v>102</v>
      </c>
      <c r="I1457" s="170" t="s">
        <v>3336</v>
      </c>
      <c r="J1457" s="170" t="s">
        <v>3337</v>
      </c>
      <c r="K1457" s="170" t="s">
        <v>3338</v>
      </c>
      <c r="L1457" s="170" t="s">
        <v>3339</v>
      </c>
      <c r="M1457" s="170"/>
      <c r="N1457" s="294">
        <v>6</v>
      </c>
      <c r="O1457" s="170"/>
    </row>
    <row r="1458" ht="15.75" customHeight="1" spans="1:15">
      <c r="A1458" s="183" t="str">
        <f>VLOOKUP(F1458,数据集标准分类!A:G,7,0)</f>
        <v>06</v>
      </c>
      <c r="B1458" s="183" t="str">
        <f>VLOOKUP(F1458,数据集标准分类!A:F,6,0)</f>
        <v>护理病历</v>
      </c>
      <c r="C1458" s="183" t="str">
        <f>VLOOKUP(F1458,数据集标准分类!A:E,5,0)</f>
        <v>0604</v>
      </c>
      <c r="D1458" s="183" t="str">
        <f>VLOOKUP(F1458,数据集标准分类!A:D,4,0)</f>
        <v>护理记录</v>
      </c>
      <c r="E1458" s="183" t="str">
        <f>VLOOKUP(F1458,数据集标准分类!A:C,3,0)</f>
        <v>060401</v>
      </c>
      <c r="F1458" s="170" t="s">
        <v>3430</v>
      </c>
      <c r="G1458" s="183" t="str">
        <f>VLOOKUP(F1458,数据集标准分类!A:B,2,0)</f>
        <v>general_nursing_record_sheet</v>
      </c>
      <c r="H1458" s="294">
        <f>VLOOKUP(F1458,数据集标准分类!A:H,8,0)</f>
        <v>103</v>
      </c>
      <c r="I1458" s="170" t="s">
        <v>2242</v>
      </c>
      <c r="J1458" s="170" t="s">
        <v>2243</v>
      </c>
      <c r="K1458" s="170" t="s">
        <v>2244</v>
      </c>
      <c r="L1458" s="170" t="s">
        <v>2836</v>
      </c>
      <c r="M1458" s="170"/>
      <c r="N1458" s="294">
        <v>1</v>
      </c>
      <c r="O1458" s="170"/>
    </row>
    <row r="1459" ht="15.75" customHeight="1" spans="1:15">
      <c r="A1459" s="183" t="str">
        <f>VLOOKUP(F1459,数据集标准分类!A:G,7,0)</f>
        <v>06</v>
      </c>
      <c r="B1459" s="183" t="str">
        <f>VLOOKUP(F1459,数据集标准分类!A:F,6,0)</f>
        <v>护理病历</v>
      </c>
      <c r="C1459" s="183" t="str">
        <f>VLOOKUP(F1459,数据集标准分类!A:E,5,0)</f>
        <v>0604</v>
      </c>
      <c r="D1459" s="183" t="str">
        <f>VLOOKUP(F1459,数据集标准分类!A:D,4,0)</f>
        <v>护理记录</v>
      </c>
      <c r="E1459" s="183" t="str">
        <f>VLOOKUP(F1459,数据集标准分类!A:C,3,0)</f>
        <v>060401</v>
      </c>
      <c r="F1459" s="170" t="s">
        <v>3430</v>
      </c>
      <c r="G1459" s="183" t="str">
        <f>VLOOKUP(F1459,数据集标准分类!A:B,2,0)</f>
        <v>general_nursing_record_sheet</v>
      </c>
      <c r="H1459" s="294">
        <f>VLOOKUP(F1459,数据集标准分类!A:H,8,0)</f>
        <v>103</v>
      </c>
      <c r="I1459" s="170" t="s">
        <v>3431</v>
      </c>
      <c r="J1459" s="170" t="s">
        <v>3205</v>
      </c>
      <c r="K1459" s="170" t="s">
        <v>3205</v>
      </c>
      <c r="L1459" s="170" t="s">
        <v>3206</v>
      </c>
      <c r="M1459" s="170"/>
      <c r="N1459" s="294">
        <v>2</v>
      </c>
      <c r="O1459" s="170"/>
    </row>
    <row r="1460" ht="15.75" customHeight="1" spans="1:15">
      <c r="A1460" s="183" t="str">
        <f>VLOOKUP(F1460,数据集标准分类!A:G,7,0)</f>
        <v>06</v>
      </c>
      <c r="B1460" s="183" t="str">
        <f>VLOOKUP(F1460,数据集标准分类!A:F,6,0)</f>
        <v>护理病历</v>
      </c>
      <c r="C1460" s="183" t="str">
        <f>VLOOKUP(F1460,数据集标准分类!A:E,5,0)</f>
        <v>0604</v>
      </c>
      <c r="D1460" s="183" t="str">
        <f>VLOOKUP(F1460,数据集标准分类!A:D,4,0)</f>
        <v>护理记录</v>
      </c>
      <c r="E1460" s="183" t="str">
        <f>VLOOKUP(F1460,数据集标准分类!A:C,3,0)</f>
        <v>060402</v>
      </c>
      <c r="F1460" s="170" t="s">
        <v>3432</v>
      </c>
      <c r="G1460" s="183" t="str">
        <f>VLOOKUP(F1460,数据集标准分类!A:B,2,0)</f>
        <v>critical_care_nursing_record</v>
      </c>
      <c r="H1460" s="294">
        <f>VLOOKUP(F1460,数据集标准分类!A:H,8,0)</f>
        <v>104</v>
      </c>
      <c r="I1460" s="170" t="s">
        <v>2242</v>
      </c>
      <c r="J1460" s="170" t="s">
        <v>2243</v>
      </c>
      <c r="K1460" s="170" t="s">
        <v>2244</v>
      </c>
      <c r="L1460" s="170" t="s">
        <v>2836</v>
      </c>
      <c r="M1460" s="170"/>
      <c r="N1460" s="294">
        <v>1</v>
      </c>
      <c r="O1460" s="170"/>
    </row>
    <row r="1461" ht="15.75" customHeight="1" spans="1:15">
      <c r="A1461" s="183" t="str">
        <f>VLOOKUP(F1461,数据集标准分类!A:G,7,0)</f>
        <v>06</v>
      </c>
      <c r="B1461" s="183" t="str">
        <f>VLOOKUP(F1461,数据集标准分类!A:F,6,0)</f>
        <v>护理病历</v>
      </c>
      <c r="C1461" s="183" t="str">
        <f>VLOOKUP(F1461,数据集标准分类!A:E,5,0)</f>
        <v>0604</v>
      </c>
      <c r="D1461" s="183" t="str">
        <f>VLOOKUP(F1461,数据集标准分类!A:D,4,0)</f>
        <v>护理记录</v>
      </c>
      <c r="E1461" s="183" t="str">
        <f>VLOOKUP(F1461,数据集标准分类!A:C,3,0)</f>
        <v>060402</v>
      </c>
      <c r="F1461" s="170" t="s">
        <v>3432</v>
      </c>
      <c r="G1461" s="183" t="str">
        <f>VLOOKUP(F1461,数据集标准分类!A:B,2,0)</f>
        <v>critical_care_nursing_record</v>
      </c>
      <c r="H1461" s="294">
        <f>VLOOKUP(F1461,数据集标准分类!A:H,8,0)</f>
        <v>104</v>
      </c>
      <c r="I1461" s="170" t="s">
        <v>3431</v>
      </c>
      <c r="J1461" s="170" t="s">
        <v>3205</v>
      </c>
      <c r="K1461" s="170" t="s">
        <v>3205</v>
      </c>
      <c r="L1461" s="170" t="s">
        <v>3206</v>
      </c>
      <c r="M1461" s="170"/>
      <c r="N1461" s="294">
        <v>2</v>
      </c>
      <c r="O1461" s="170"/>
    </row>
    <row r="1462" ht="15.75" customHeight="1" spans="1:15">
      <c r="A1462" s="183" t="str">
        <f>VLOOKUP(F1462,数据集标准分类!A:G,7,0)</f>
        <v>06</v>
      </c>
      <c r="B1462" s="183" t="str">
        <f>VLOOKUP(F1462,数据集标准分类!A:F,6,0)</f>
        <v>护理病历</v>
      </c>
      <c r="C1462" s="183" t="str">
        <f>VLOOKUP(F1462,数据集标准分类!A:E,5,0)</f>
        <v>0604</v>
      </c>
      <c r="D1462" s="183" t="str">
        <f>VLOOKUP(F1462,数据集标准分类!A:D,4,0)</f>
        <v>护理记录</v>
      </c>
      <c r="E1462" s="183" t="s">
        <v>3433</v>
      </c>
      <c r="F1462" s="170" t="s">
        <v>3434</v>
      </c>
      <c r="G1462" s="183" t="s">
        <v>3435</v>
      </c>
      <c r="H1462" s="294">
        <f>VLOOKUP(F1462,数据集标准分类!A:H,8,0)</f>
        <v>105</v>
      </c>
      <c r="I1462" s="170" t="s">
        <v>172</v>
      </c>
      <c r="J1462" s="170" t="s">
        <v>173</v>
      </c>
      <c r="K1462" s="170" t="s">
        <v>174</v>
      </c>
      <c r="L1462" s="170" t="s">
        <v>175</v>
      </c>
      <c r="M1462" s="170" t="s">
        <v>1245</v>
      </c>
      <c r="N1462" s="294">
        <v>1</v>
      </c>
      <c r="O1462" s="170"/>
    </row>
    <row r="1463" ht="15.75" customHeight="1" spans="1:15">
      <c r="A1463" s="183" t="str">
        <f>VLOOKUP(F1463,数据集标准分类!A:G,7,0)</f>
        <v>06</v>
      </c>
      <c r="B1463" s="183" t="str">
        <f>VLOOKUP(F1463,数据集标准分类!A:F,6,0)</f>
        <v>护理病历</v>
      </c>
      <c r="C1463" s="183" t="str">
        <f>VLOOKUP(F1463,数据集标准分类!A:E,5,0)</f>
        <v>0604</v>
      </c>
      <c r="D1463" s="183" t="str">
        <f>VLOOKUP(F1463,数据集标准分类!A:D,4,0)</f>
        <v>护理记录</v>
      </c>
      <c r="E1463" s="183" t="str">
        <f>VLOOKUP(F1463,数据集标准分类!A:C,3,0)</f>
        <v>060403</v>
      </c>
      <c r="F1463" s="170" t="s">
        <v>3434</v>
      </c>
      <c r="G1463" s="183" t="str">
        <f>VLOOKUP(F1463,数据集标准分类!A:B,2,0)</f>
        <v>general_nursing_record</v>
      </c>
      <c r="H1463" s="294">
        <f>VLOOKUP(F1463,数据集标准分类!A:H,8,0)</f>
        <v>105</v>
      </c>
      <c r="I1463" s="170" t="s">
        <v>3436</v>
      </c>
      <c r="J1463" s="170" t="s">
        <v>3437</v>
      </c>
      <c r="K1463" s="170" t="s">
        <v>3438</v>
      </c>
      <c r="L1463" s="170" t="s">
        <v>3439</v>
      </c>
      <c r="M1463" s="170" t="s">
        <v>3440</v>
      </c>
      <c r="N1463" s="294">
        <v>2</v>
      </c>
      <c r="O1463" s="170"/>
    </row>
    <row r="1464" ht="15.75" customHeight="1" spans="1:15">
      <c r="A1464" s="183" t="str">
        <f>VLOOKUP(F1464,数据集标准分类!A:G,7,0)</f>
        <v>06</v>
      </c>
      <c r="B1464" s="183" t="str">
        <f>VLOOKUP(F1464,数据集标准分类!A:F,6,0)</f>
        <v>护理病历</v>
      </c>
      <c r="C1464" s="183" t="str">
        <f>VLOOKUP(F1464,数据集标准分类!A:E,5,0)</f>
        <v>0604</v>
      </c>
      <c r="D1464" s="183" t="str">
        <f>VLOOKUP(F1464,数据集标准分类!A:D,4,0)</f>
        <v>护理记录</v>
      </c>
      <c r="E1464" s="183" t="str">
        <f>VLOOKUP(F1464,数据集标准分类!A:C,3,0)</f>
        <v>060403</v>
      </c>
      <c r="F1464" s="170" t="s">
        <v>3434</v>
      </c>
      <c r="G1464" s="183" t="str">
        <f>VLOOKUP(F1464,数据集标准分类!A:B,2,0)</f>
        <v>general_nursing_record</v>
      </c>
      <c r="H1464" s="294">
        <f>VLOOKUP(F1464,数据集标准分类!A:H,8,0)</f>
        <v>105</v>
      </c>
      <c r="I1464" s="170" t="s">
        <v>3441</v>
      </c>
      <c r="J1464" s="170" t="s">
        <v>3442</v>
      </c>
      <c r="K1464" s="170" t="s">
        <v>3443</v>
      </c>
      <c r="L1464" s="170" t="s">
        <v>3444</v>
      </c>
      <c r="M1464" s="170" t="s">
        <v>3445</v>
      </c>
      <c r="N1464" s="294">
        <v>3</v>
      </c>
      <c r="O1464" s="170"/>
    </row>
    <row r="1465" ht="15.75" customHeight="1" spans="1:15">
      <c r="A1465" s="183" t="str">
        <f>VLOOKUP(F1465,数据集标准分类!A:G,7,0)</f>
        <v>06</v>
      </c>
      <c r="B1465" s="183" t="str">
        <f>VLOOKUP(F1465,数据集标准分类!A:F,6,0)</f>
        <v>护理病历</v>
      </c>
      <c r="C1465" s="183" t="str">
        <f>VLOOKUP(F1465,数据集标准分类!A:E,5,0)</f>
        <v>0604</v>
      </c>
      <c r="D1465" s="183" t="str">
        <f>VLOOKUP(F1465,数据集标准分类!A:D,4,0)</f>
        <v>护理记录</v>
      </c>
      <c r="E1465" s="183" t="str">
        <f>VLOOKUP(F1465,数据集标准分类!A:C,3,0)</f>
        <v>060403</v>
      </c>
      <c r="F1465" s="170" t="s">
        <v>3434</v>
      </c>
      <c r="G1465" s="183" t="str">
        <f>VLOOKUP(F1465,数据集标准分类!A:B,2,0)</f>
        <v>general_nursing_record</v>
      </c>
      <c r="H1465" s="294">
        <f>VLOOKUP(F1465,数据集标准分类!A:H,8,0)</f>
        <v>105</v>
      </c>
      <c r="I1465" s="170" t="s">
        <v>508</v>
      </c>
      <c r="J1465" s="170" t="s">
        <v>509</v>
      </c>
      <c r="K1465" s="170" t="s">
        <v>510</v>
      </c>
      <c r="L1465" s="170" t="s">
        <v>511</v>
      </c>
      <c r="M1465" s="170" t="s">
        <v>116</v>
      </c>
      <c r="N1465" s="294">
        <v>4</v>
      </c>
      <c r="O1465" s="170"/>
    </row>
    <row r="1466" ht="15.75" customHeight="1" spans="1:15">
      <c r="A1466" s="183" t="str">
        <f>VLOOKUP(F1466,数据集标准分类!A:G,7,0)</f>
        <v>06</v>
      </c>
      <c r="B1466" s="183" t="str">
        <f>VLOOKUP(F1466,数据集标准分类!A:F,6,0)</f>
        <v>护理病历</v>
      </c>
      <c r="C1466" s="183" t="str">
        <f>VLOOKUP(F1466,数据集标准分类!A:E,5,0)</f>
        <v>0604</v>
      </c>
      <c r="D1466" s="183" t="str">
        <f>VLOOKUP(F1466,数据集标准分类!A:D,4,0)</f>
        <v>护理记录</v>
      </c>
      <c r="E1466" s="183" t="str">
        <f>VLOOKUP(F1466,数据集标准分类!A:C,3,0)</f>
        <v>060403</v>
      </c>
      <c r="F1466" s="170" t="s">
        <v>3434</v>
      </c>
      <c r="G1466" s="183" t="str">
        <f>VLOOKUP(F1466,数据集标准分类!A:B,2,0)</f>
        <v>general_nursing_record</v>
      </c>
      <c r="H1466" s="294">
        <f>VLOOKUP(F1466,数据集标准分类!A:H,8,0)</f>
        <v>105</v>
      </c>
      <c r="I1466" s="170" t="s">
        <v>711</v>
      </c>
      <c r="J1466" s="170" t="s">
        <v>712</v>
      </c>
      <c r="K1466" s="170" t="s">
        <v>712</v>
      </c>
      <c r="L1466" s="170" t="s">
        <v>713</v>
      </c>
      <c r="M1466" s="170" t="s">
        <v>714</v>
      </c>
      <c r="N1466" s="294">
        <v>5</v>
      </c>
      <c r="O1466" s="170"/>
    </row>
    <row r="1467" ht="15.75" customHeight="1" spans="1:15">
      <c r="A1467" s="183" t="str">
        <f>VLOOKUP(F1467,数据集标准分类!A:G,7,0)</f>
        <v>06</v>
      </c>
      <c r="B1467" s="183" t="str">
        <f>VLOOKUP(F1467,数据集标准分类!A:F,6,0)</f>
        <v>护理病历</v>
      </c>
      <c r="C1467" s="183" t="str">
        <f>VLOOKUP(F1467,数据集标准分类!A:E,5,0)</f>
        <v>0604</v>
      </c>
      <c r="D1467" s="183" t="str">
        <f>VLOOKUP(F1467,数据集标准分类!A:D,4,0)</f>
        <v>护理记录</v>
      </c>
      <c r="E1467" s="183" t="str">
        <f>VLOOKUP(F1467,数据集标准分类!A:C,3,0)</f>
        <v>060403</v>
      </c>
      <c r="F1467" s="170" t="s">
        <v>3434</v>
      </c>
      <c r="G1467" s="183" t="str">
        <f>VLOOKUP(F1467,数据集标准分类!A:B,2,0)</f>
        <v>general_nursing_record</v>
      </c>
      <c r="H1467" s="294">
        <f>VLOOKUP(F1467,数据集标准分类!A:H,8,0)</f>
        <v>105</v>
      </c>
      <c r="I1467" s="170" t="s">
        <v>684</v>
      </c>
      <c r="J1467" s="170" t="s">
        <v>685</v>
      </c>
      <c r="K1467" s="170" t="s">
        <v>686</v>
      </c>
      <c r="L1467" s="170" t="s">
        <v>687</v>
      </c>
      <c r="M1467" s="170" t="s">
        <v>688</v>
      </c>
      <c r="N1467" s="294">
        <v>6</v>
      </c>
      <c r="O1467" s="170"/>
    </row>
    <row r="1468" ht="15.75" customHeight="1" spans="1:15">
      <c r="A1468" s="183" t="str">
        <f>VLOOKUP(F1468,数据集标准分类!A:G,7,0)</f>
        <v>06</v>
      </c>
      <c r="B1468" s="183" t="str">
        <f>VLOOKUP(F1468,数据集标准分类!A:F,6,0)</f>
        <v>护理病历</v>
      </c>
      <c r="C1468" s="183" t="str">
        <f>VLOOKUP(F1468,数据集标准分类!A:E,5,0)</f>
        <v>0604</v>
      </c>
      <c r="D1468" s="183" t="str">
        <f>VLOOKUP(F1468,数据集标准分类!A:D,4,0)</f>
        <v>护理记录</v>
      </c>
      <c r="E1468" s="183" t="str">
        <f>VLOOKUP(F1468,数据集标准分类!A:C,3,0)</f>
        <v>060403</v>
      </c>
      <c r="F1468" s="170" t="s">
        <v>3434</v>
      </c>
      <c r="G1468" s="183" t="str">
        <f>VLOOKUP(F1468,数据集标准分类!A:B,2,0)</f>
        <v>general_nursing_record</v>
      </c>
      <c r="H1468" s="294">
        <f>VLOOKUP(F1468,数据集标准分类!A:H,8,0)</f>
        <v>105</v>
      </c>
      <c r="I1468" s="170" t="s">
        <v>694</v>
      </c>
      <c r="J1468" s="170" t="s">
        <v>695</v>
      </c>
      <c r="K1468" s="170" t="s">
        <v>696</v>
      </c>
      <c r="L1468" s="170" t="s">
        <v>697</v>
      </c>
      <c r="M1468" s="170" t="s">
        <v>2057</v>
      </c>
      <c r="N1468" s="294">
        <v>7</v>
      </c>
      <c r="O1468" s="170"/>
    </row>
    <row r="1469" ht="15.75" customHeight="1" spans="1:15">
      <c r="A1469" s="183" t="str">
        <f>VLOOKUP(F1469,数据集标准分类!A:G,7,0)</f>
        <v>06</v>
      </c>
      <c r="B1469" s="183" t="str">
        <f>VLOOKUP(F1469,数据集标准分类!A:F,6,0)</f>
        <v>护理病历</v>
      </c>
      <c r="C1469" s="183" t="str">
        <f>VLOOKUP(F1469,数据集标准分类!A:E,5,0)</f>
        <v>0604</v>
      </c>
      <c r="D1469" s="183" t="str">
        <f>VLOOKUP(F1469,数据集标准分类!A:D,4,0)</f>
        <v>护理记录</v>
      </c>
      <c r="E1469" s="183" t="str">
        <f>VLOOKUP(F1469,数据集标准分类!A:C,3,0)</f>
        <v>060403</v>
      </c>
      <c r="F1469" s="170" t="s">
        <v>3434</v>
      </c>
      <c r="G1469" s="183" t="str">
        <f>VLOOKUP(F1469,数据集标准分类!A:B,2,0)</f>
        <v>general_nursing_record</v>
      </c>
      <c r="H1469" s="294">
        <f>VLOOKUP(F1469,数据集标准分类!A:H,8,0)</f>
        <v>105</v>
      </c>
      <c r="I1469" s="170" t="s">
        <v>689</v>
      </c>
      <c r="J1469" s="170" t="s">
        <v>690</v>
      </c>
      <c r="K1469" s="170" t="s">
        <v>691</v>
      </c>
      <c r="L1469" s="170" t="s">
        <v>692</v>
      </c>
      <c r="M1469" s="170" t="s">
        <v>693</v>
      </c>
      <c r="N1469" s="294">
        <v>8</v>
      </c>
      <c r="O1469" s="170"/>
    </row>
    <row r="1470" ht="15.75" customHeight="1" spans="1:15">
      <c r="A1470" s="183" t="str">
        <f>VLOOKUP(F1470,数据集标准分类!A:G,7,0)</f>
        <v>06</v>
      </c>
      <c r="B1470" s="183" t="str">
        <f>VLOOKUP(F1470,数据集标准分类!A:F,6,0)</f>
        <v>护理病历</v>
      </c>
      <c r="C1470" s="183" t="str">
        <f>VLOOKUP(F1470,数据集标准分类!A:E,5,0)</f>
        <v>0604</v>
      </c>
      <c r="D1470" s="183" t="str">
        <f>VLOOKUP(F1470,数据集标准分类!A:D,4,0)</f>
        <v>护理记录</v>
      </c>
      <c r="E1470" s="183" t="str">
        <f>VLOOKUP(F1470,数据集标准分类!A:C,3,0)</f>
        <v>060403</v>
      </c>
      <c r="F1470" s="170" t="s">
        <v>3434</v>
      </c>
      <c r="G1470" s="183" t="str">
        <f>VLOOKUP(F1470,数据集标准分类!A:B,2,0)</f>
        <v>general_nursing_record</v>
      </c>
      <c r="H1470" s="294">
        <f>VLOOKUP(F1470,数据集标准分类!A:H,8,0)</f>
        <v>105</v>
      </c>
      <c r="I1470" s="170" t="s">
        <v>699</v>
      </c>
      <c r="J1470" s="170" t="s">
        <v>700</v>
      </c>
      <c r="K1470" s="170" t="s">
        <v>700</v>
      </c>
      <c r="L1470" s="170" t="s">
        <v>701</v>
      </c>
      <c r="M1470" s="170" t="s">
        <v>702</v>
      </c>
      <c r="N1470" s="294">
        <v>9</v>
      </c>
      <c r="O1470" s="170"/>
    </row>
    <row r="1471" ht="15.75" customHeight="1" spans="1:15">
      <c r="A1471" s="183" t="str">
        <f>VLOOKUP(F1471,数据集标准分类!A:G,7,0)</f>
        <v>06</v>
      </c>
      <c r="B1471" s="183" t="str">
        <f>VLOOKUP(F1471,数据集标准分类!A:F,6,0)</f>
        <v>护理病历</v>
      </c>
      <c r="C1471" s="183" t="str">
        <f>VLOOKUP(F1471,数据集标准分类!A:E,5,0)</f>
        <v>0604</v>
      </c>
      <c r="D1471" s="183" t="str">
        <f>VLOOKUP(F1471,数据集标准分类!A:D,4,0)</f>
        <v>护理记录</v>
      </c>
      <c r="E1471" s="183" t="str">
        <f>VLOOKUP(F1471,数据集标准分类!A:C,3,0)</f>
        <v>060403</v>
      </c>
      <c r="F1471" s="170" t="s">
        <v>3434</v>
      </c>
      <c r="G1471" s="183" t="str">
        <f>VLOOKUP(F1471,数据集标准分类!A:B,2,0)</f>
        <v>general_nursing_record</v>
      </c>
      <c r="H1471" s="294">
        <f>VLOOKUP(F1471,数据集标准分类!A:H,8,0)</f>
        <v>105</v>
      </c>
      <c r="I1471" s="170" t="s">
        <v>703</v>
      </c>
      <c r="J1471" s="170" t="s">
        <v>704</v>
      </c>
      <c r="K1471" s="170" t="s">
        <v>704</v>
      </c>
      <c r="L1471" s="170" t="s">
        <v>705</v>
      </c>
      <c r="M1471" s="170" t="s">
        <v>706</v>
      </c>
      <c r="N1471" s="294">
        <v>10</v>
      </c>
      <c r="O1471" s="170"/>
    </row>
    <row r="1472" ht="15.75" customHeight="1" spans="1:15">
      <c r="A1472" s="183" t="str">
        <f>VLOOKUP(F1472,数据集标准分类!A:G,7,0)</f>
        <v>06</v>
      </c>
      <c r="B1472" s="183" t="str">
        <f>VLOOKUP(F1472,数据集标准分类!A:F,6,0)</f>
        <v>护理病历</v>
      </c>
      <c r="C1472" s="183" t="str">
        <f>VLOOKUP(F1472,数据集标准分类!A:E,5,0)</f>
        <v>0604</v>
      </c>
      <c r="D1472" s="183" t="str">
        <f>VLOOKUP(F1472,数据集标准分类!A:D,4,0)</f>
        <v>护理记录</v>
      </c>
      <c r="E1472" s="183" t="str">
        <f>VLOOKUP(F1472,数据集标准分类!A:C,3,0)</f>
        <v>060403</v>
      </c>
      <c r="F1472" s="170" t="s">
        <v>3434</v>
      </c>
      <c r="G1472" s="183" t="str">
        <f>VLOOKUP(F1472,数据集标准分类!A:B,2,0)</f>
        <v>general_nursing_record</v>
      </c>
      <c r="H1472" s="294">
        <f>VLOOKUP(F1472,数据集标准分类!A:H,8,0)</f>
        <v>105</v>
      </c>
      <c r="I1472" s="170" t="s">
        <v>3446</v>
      </c>
      <c r="J1472" s="170" t="s">
        <v>3447</v>
      </c>
      <c r="K1472" s="170" t="s">
        <v>3448</v>
      </c>
      <c r="L1472" s="170" t="s">
        <v>3449</v>
      </c>
      <c r="M1472" s="170" t="s">
        <v>3450</v>
      </c>
      <c r="N1472" s="294">
        <v>11</v>
      </c>
      <c r="O1472" s="170"/>
    </row>
    <row r="1473" ht="15.75" customHeight="1" spans="1:15">
      <c r="A1473" s="183" t="str">
        <f>VLOOKUP(F1473,数据集标准分类!A:G,7,0)</f>
        <v>06</v>
      </c>
      <c r="B1473" s="183" t="str">
        <f>VLOOKUP(F1473,数据集标准分类!A:F,6,0)</f>
        <v>护理病历</v>
      </c>
      <c r="C1473" s="183" t="str">
        <f>VLOOKUP(F1473,数据集标准分类!A:E,5,0)</f>
        <v>0604</v>
      </c>
      <c r="D1473" s="183" t="str">
        <f>VLOOKUP(F1473,数据集标准分类!A:D,4,0)</f>
        <v>护理记录</v>
      </c>
      <c r="E1473" s="183" t="str">
        <f>VLOOKUP(F1473,数据集标准分类!A:C,3,0)</f>
        <v>060403</v>
      </c>
      <c r="F1473" s="170" t="s">
        <v>3434</v>
      </c>
      <c r="G1473" s="183" t="str">
        <f>VLOOKUP(F1473,数据集标准分类!A:B,2,0)</f>
        <v>general_nursing_record</v>
      </c>
      <c r="H1473" s="294">
        <f>VLOOKUP(F1473,数据集标准分类!A:H,8,0)</f>
        <v>105</v>
      </c>
      <c r="I1473" s="170" t="s">
        <v>3451</v>
      </c>
      <c r="J1473" s="170" t="s">
        <v>3452</v>
      </c>
      <c r="K1473" s="170" t="s">
        <v>3453</v>
      </c>
      <c r="L1473" s="170" t="s">
        <v>3454</v>
      </c>
      <c r="M1473" s="170" t="s">
        <v>3455</v>
      </c>
      <c r="N1473" s="294">
        <v>12</v>
      </c>
      <c r="O1473" s="170"/>
    </row>
    <row r="1474" ht="15.75" customHeight="1" spans="1:15">
      <c r="A1474" s="183" t="str">
        <f>VLOOKUP(F1474,数据集标准分类!A:G,7,0)</f>
        <v>06</v>
      </c>
      <c r="B1474" s="183" t="str">
        <f>VLOOKUP(F1474,数据集标准分类!A:F,6,0)</f>
        <v>护理病历</v>
      </c>
      <c r="C1474" s="183" t="str">
        <f>VLOOKUP(F1474,数据集标准分类!A:E,5,0)</f>
        <v>0604</v>
      </c>
      <c r="D1474" s="183" t="str">
        <f>VLOOKUP(F1474,数据集标准分类!A:D,4,0)</f>
        <v>护理记录</v>
      </c>
      <c r="E1474" s="183" t="str">
        <f>VLOOKUP(F1474,数据集标准分类!A:C,3,0)</f>
        <v>060403</v>
      </c>
      <c r="F1474" s="170" t="s">
        <v>3434</v>
      </c>
      <c r="G1474" s="183" t="s">
        <v>3456</v>
      </c>
      <c r="H1474" s="294">
        <f>VLOOKUP(F1474,数据集标准分类!A:H,8,0)</f>
        <v>105</v>
      </c>
      <c r="I1474" s="170" t="s">
        <v>3260</v>
      </c>
      <c r="J1474" s="170" t="s">
        <v>3261</v>
      </c>
      <c r="K1474" s="170" t="s">
        <v>3262</v>
      </c>
      <c r="L1474" s="170" t="s">
        <v>3263</v>
      </c>
      <c r="M1474" s="170" t="s">
        <v>3264</v>
      </c>
      <c r="N1474" s="294">
        <v>13</v>
      </c>
      <c r="O1474" s="170"/>
    </row>
    <row r="1475" ht="15.75" customHeight="1" spans="1:15">
      <c r="A1475" s="183" t="str">
        <f>VLOOKUP(F1475,数据集标准分类!A:G,7,0)</f>
        <v>06</v>
      </c>
      <c r="B1475" s="183" t="str">
        <f>VLOOKUP(F1475,数据集标准分类!A:F,6,0)</f>
        <v>护理病历</v>
      </c>
      <c r="C1475" s="183" t="str">
        <f>VLOOKUP(F1475,数据集标准分类!A:E,5,0)</f>
        <v>0604</v>
      </c>
      <c r="D1475" s="183" t="str">
        <f>VLOOKUP(F1475,数据集标准分类!A:D,4,0)</f>
        <v>护理记录</v>
      </c>
      <c r="E1475" s="183" t="str">
        <f>VLOOKUP(F1475,数据集标准分类!A:C,3,0)</f>
        <v>060403</v>
      </c>
      <c r="F1475" s="170" t="s">
        <v>3434</v>
      </c>
      <c r="G1475" s="183" t="str">
        <f>VLOOKUP(F1475,数据集标准分类!A:B,2,0)</f>
        <v>general_nursing_record</v>
      </c>
      <c r="H1475" s="294">
        <f>VLOOKUP(F1475,数据集标准分类!A:H,8,0)</f>
        <v>105</v>
      </c>
      <c r="I1475" s="170" t="s">
        <v>3457</v>
      </c>
      <c r="J1475" s="170" t="s">
        <v>3458</v>
      </c>
      <c r="K1475" s="170" t="s">
        <v>3459</v>
      </c>
      <c r="L1475" s="170" t="s">
        <v>3460</v>
      </c>
      <c r="M1475" s="170" t="s">
        <v>3461</v>
      </c>
      <c r="N1475" s="294">
        <v>14</v>
      </c>
      <c r="O1475" s="170"/>
    </row>
    <row r="1476" ht="15.75" customHeight="1" spans="1:15">
      <c r="A1476" s="183" t="str">
        <f>VLOOKUP(F1476,数据集标准分类!A:G,7,0)</f>
        <v>06</v>
      </c>
      <c r="B1476" s="183" t="str">
        <f>VLOOKUP(F1476,数据集标准分类!A:F,6,0)</f>
        <v>护理病历</v>
      </c>
      <c r="C1476" s="183" t="str">
        <f>VLOOKUP(F1476,数据集标准分类!A:E,5,0)</f>
        <v>0604</v>
      </c>
      <c r="D1476" s="183" t="str">
        <f>VLOOKUP(F1476,数据集标准分类!A:D,4,0)</f>
        <v>护理记录</v>
      </c>
      <c r="E1476" s="183" t="str">
        <f>VLOOKUP(F1476,数据集标准分类!A:C,3,0)</f>
        <v>060403</v>
      </c>
      <c r="F1476" s="170" t="s">
        <v>3434</v>
      </c>
      <c r="G1476" s="183" t="str">
        <f>VLOOKUP(F1476,数据集标准分类!A:B,2,0)</f>
        <v>general_nursing_record</v>
      </c>
      <c r="H1476" s="294">
        <f>VLOOKUP(F1476,数据集标准分类!A:H,8,0)</f>
        <v>105</v>
      </c>
      <c r="I1476" s="170" t="s">
        <v>3462</v>
      </c>
      <c r="J1476" s="170" t="s">
        <v>3463</v>
      </c>
      <c r="K1476" s="170" t="s">
        <v>3464</v>
      </c>
      <c r="L1476" s="170" t="s">
        <v>3465</v>
      </c>
      <c r="M1476" s="170" t="s">
        <v>3466</v>
      </c>
      <c r="N1476" s="294">
        <v>15</v>
      </c>
      <c r="O1476" s="170"/>
    </row>
    <row r="1477" ht="15.75" customHeight="1" spans="1:15">
      <c r="A1477" s="183" t="str">
        <f>VLOOKUP(F1477,数据集标准分类!A:G,7,0)</f>
        <v>06</v>
      </c>
      <c r="B1477" s="183" t="str">
        <f>VLOOKUP(F1477,数据集标准分类!A:F,6,0)</f>
        <v>护理病历</v>
      </c>
      <c r="C1477" s="183" t="str">
        <f>VLOOKUP(F1477,数据集标准分类!A:E,5,0)</f>
        <v>0604</v>
      </c>
      <c r="D1477" s="183" t="str">
        <f>VLOOKUP(F1477,数据集标准分类!A:D,4,0)</f>
        <v>护理记录</v>
      </c>
      <c r="E1477" s="183" t="str">
        <f>VLOOKUP(F1477,数据集标准分类!A:C,3,0)</f>
        <v>060403</v>
      </c>
      <c r="F1477" s="170" t="s">
        <v>3434</v>
      </c>
      <c r="G1477" s="183" t="str">
        <f>VLOOKUP(F1477,数据集标准分类!A:B,2,0)</f>
        <v>general_nursing_record</v>
      </c>
      <c r="H1477" s="294">
        <f>VLOOKUP(F1477,数据集标准分类!A:H,8,0)</f>
        <v>105</v>
      </c>
      <c r="I1477" s="170" t="s">
        <v>3467</v>
      </c>
      <c r="J1477" s="170" t="s">
        <v>3468</v>
      </c>
      <c r="K1477" s="170" t="s">
        <v>3469</v>
      </c>
      <c r="L1477" s="170" t="s">
        <v>3470</v>
      </c>
      <c r="M1477" s="170" t="s">
        <v>3471</v>
      </c>
      <c r="N1477" s="294">
        <v>16</v>
      </c>
      <c r="O1477" s="170"/>
    </row>
    <row r="1478" ht="15.75" customHeight="1" spans="1:15">
      <c r="A1478" s="183" t="str">
        <f>VLOOKUP(F1478,数据集标准分类!A:G,7,0)</f>
        <v>06</v>
      </c>
      <c r="B1478" s="183" t="str">
        <f>VLOOKUP(F1478,数据集标准分类!A:F,6,0)</f>
        <v>护理病历</v>
      </c>
      <c r="C1478" s="183" t="str">
        <f>VLOOKUP(F1478,数据集标准分类!A:E,5,0)</f>
        <v>0604</v>
      </c>
      <c r="D1478" s="183" t="str">
        <f>VLOOKUP(F1478,数据集标准分类!A:D,4,0)</f>
        <v>护理记录</v>
      </c>
      <c r="E1478" s="183" t="str">
        <f>VLOOKUP(F1478,数据集标准分类!A:C,3,0)</f>
        <v>060403</v>
      </c>
      <c r="F1478" s="170" t="s">
        <v>3434</v>
      </c>
      <c r="G1478" s="183" t="str">
        <f>VLOOKUP(F1478,数据集标准分类!A:B,2,0)</f>
        <v>general_nursing_record</v>
      </c>
      <c r="H1478" s="294">
        <f>VLOOKUP(F1478,数据集标准分类!A:H,8,0)</f>
        <v>105</v>
      </c>
      <c r="I1478" s="170" t="s">
        <v>3472</v>
      </c>
      <c r="J1478" s="170" t="s">
        <v>3473</v>
      </c>
      <c r="K1478" s="170" t="s">
        <v>3474</v>
      </c>
      <c r="L1478" s="170" t="s">
        <v>3475</v>
      </c>
      <c r="M1478" s="170" t="s">
        <v>3476</v>
      </c>
      <c r="N1478" s="294">
        <v>17</v>
      </c>
      <c r="O1478" s="170"/>
    </row>
    <row r="1479" ht="15.75" customHeight="1" spans="1:15">
      <c r="A1479" s="183" t="str">
        <f>VLOOKUP(F1479,数据集标准分类!A:G,7,0)</f>
        <v>06</v>
      </c>
      <c r="B1479" s="183" t="str">
        <f>VLOOKUP(F1479,数据集标准分类!A:F,6,0)</f>
        <v>护理病历</v>
      </c>
      <c r="C1479" s="183" t="str">
        <f>VLOOKUP(F1479,数据集标准分类!A:E,5,0)</f>
        <v>0604</v>
      </c>
      <c r="D1479" s="183" t="str">
        <f>VLOOKUP(F1479,数据集标准分类!A:D,4,0)</f>
        <v>护理记录</v>
      </c>
      <c r="E1479" s="183" t="str">
        <f>VLOOKUP(F1479,数据集标准分类!A:C,3,0)</f>
        <v>060403</v>
      </c>
      <c r="F1479" s="170" t="s">
        <v>3434</v>
      </c>
      <c r="G1479" s="183" t="str">
        <f>VLOOKUP(F1479,数据集标准分类!A:B,2,0)</f>
        <v>general_nursing_record</v>
      </c>
      <c r="H1479" s="294">
        <f>VLOOKUP(F1479,数据集标准分类!A:H,8,0)</f>
        <v>105</v>
      </c>
      <c r="I1479" s="170" t="s">
        <v>3477</v>
      </c>
      <c r="J1479" s="170" t="s">
        <v>3478</v>
      </c>
      <c r="K1479" s="170" t="s">
        <v>3479</v>
      </c>
      <c r="L1479" s="170" t="s">
        <v>3480</v>
      </c>
      <c r="M1479" s="170" t="s">
        <v>3481</v>
      </c>
      <c r="N1479" s="294">
        <v>18</v>
      </c>
      <c r="O1479" s="170"/>
    </row>
    <row r="1480" ht="15.75" customHeight="1" spans="1:15">
      <c r="A1480" s="183" t="str">
        <f>VLOOKUP(F1480,数据集标准分类!A:G,7,0)</f>
        <v>06</v>
      </c>
      <c r="B1480" s="183" t="str">
        <f>VLOOKUP(F1480,数据集标准分类!A:F,6,0)</f>
        <v>护理病历</v>
      </c>
      <c r="C1480" s="183" t="str">
        <f>VLOOKUP(F1480,数据集标准分类!A:E,5,0)</f>
        <v>0604</v>
      </c>
      <c r="D1480" s="183" t="str">
        <f>VLOOKUP(F1480,数据集标准分类!A:D,4,0)</f>
        <v>护理记录</v>
      </c>
      <c r="E1480" s="183" t="str">
        <f>VLOOKUP(F1480,数据集标准分类!A:C,3,0)</f>
        <v>060403</v>
      </c>
      <c r="F1480" s="170" t="s">
        <v>3434</v>
      </c>
      <c r="G1480" s="183" t="str">
        <f>VLOOKUP(F1480,数据集标准分类!A:B,2,0)</f>
        <v>general_nursing_record</v>
      </c>
      <c r="H1480" s="294">
        <f>VLOOKUP(F1480,数据集标准分类!A:H,8,0)</f>
        <v>105</v>
      </c>
      <c r="I1480" s="170" t="s">
        <v>3391</v>
      </c>
      <c r="J1480" s="170" t="s">
        <v>3392</v>
      </c>
      <c r="K1480" s="170" t="s">
        <v>3393</v>
      </c>
      <c r="L1480" s="170" t="s">
        <v>3394</v>
      </c>
      <c r="M1480" s="170" t="s">
        <v>3395</v>
      </c>
      <c r="N1480" s="294">
        <v>19</v>
      </c>
      <c r="O1480" s="170"/>
    </row>
    <row r="1481" ht="15.75" customHeight="1" spans="1:15">
      <c r="A1481" s="183" t="str">
        <f>VLOOKUP(F1481,数据集标准分类!A:G,7,0)</f>
        <v>06</v>
      </c>
      <c r="B1481" s="183" t="str">
        <f>VLOOKUP(F1481,数据集标准分类!A:F,6,0)</f>
        <v>护理病历</v>
      </c>
      <c r="C1481" s="183" t="str">
        <f>VLOOKUP(F1481,数据集标准分类!A:E,5,0)</f>
        <v>0604</v>
      </c>
      <c r="D1481" s="183" t="str">
        <f>VLOOKUP(F1481,数据集标准分类!A:D,4,0)</f>
        <v>护理记录</v>
      </c>
      <c r="E1481" s="183" t="str">
        <f>VLOOKUP(F1481,数据集标准分类!A:C,3,0)</f>
        <v>060403</v>
      </c>
      <c r="F1481" s="170" t="s">
        <v>3434</v>
      </c>
      <c r="G1481" s="183" t="str">
        <f>VLOOKUP(F1481,数据集标准分类!A:B,2,0)</f>
        <v>general_nursing_record</v>
      </c>
      <c r="H1481" s="294">
        <f>VLOOKUP(F1481,数据集标准分类!A:H,8,0)</f>
        <v>105</v>
      </c>
      <c r="I1481" s="170" t="s">
        <v>3482</v>
      </c>
      <c r="J1481" s="170" t="s">
        <v>3483</v>
      </c>
      <c r="K1481" s="170" t="s">
        <v>3484</v>
      </c>
      <c r="L1481" s="170" t="s">
        <v>3485</v>
      </c>
      <c r="M1481" s="170" t="s">
        <v>3486</v>
      </c>
      <c r="N1481" s="294">
        <v>20</v>
      </c>
      <c r="O1481" s="170"/>
    </row>
    <row r="1482" ht="15.75" customHeight="1" spans="1:15">
      <c r="A1482" s="183" t="str">
        <f>VLOOKUP(F1482,数据集标准分类!A:G,7,0)</f>
        <v>06</v>
      </c>
      <c r="B1482" s="183" t="str">
        <f>VLOOKUP(F1482,数据集标准分类!A:F,6,0)</f>
        <v>护理病历</v>
      </c>
      <c r="C1482" s="183" t="str">
        <f>VLOOKUP(F1482,数据集标准分类!A:E,5,0)</f>
        <v>0604</v>
      </c>
      <c r="D1482" s="183" t="str">
        <f>VLOOKUP(F1482,数据集标准分类!A:D,4,0)</f>
        <v>护理记录</v>
      </c>
      <c r="E1482" s="183" t="str">
        <f>VLOOKUP(F1482,数据集标准分类!A:C,3,0)</f>
        <v>060403</v>
      </c>
      <c r="F1482" s="170" t="s">
        <v>3434</v>
      </c>
      <c r="G1482" s="183" t="str">
        <f>VLOOKUP(F1482,数据集标准分类!A:B,2,0)</f>
        <v>general_nursing_record</v>
      </c>
      <c r="H1482" s="294">
        <f>VLOOKUP(F1482,数据集标准分类!A:H,8,0)</f>
        <v>105</v>
      </c>
      <c r="I1482" s="170" t="s">
        <v>3487</v>
      </c>
      <c r="J1482" s="170" t="s">
        <v>3488</v>
      </c>
      <c r="K1482" s="170" t="s">
        <v>3489</v>
      </c>
      <c r="L1482" s="170" t="s">
        <v>3490</v>
      </c>
      <c r="M1482" s="170" t="s">
        <v>3491</v>
      </c>
      <c r="N1482" s="294">
        <v>21</v>
      </c>
      <c r="O1482" s="170"/>
    </row>
    <row r="1483" ht="15.75" customHeight="1" spans="1:15">
      <c r="A1483" s="183" t="str">
        <f>VLOOKUP(F1483,数据集标准分类!A:G,7,0)</f>
        <v>06</v>
      </c>
      <c r="B1483" s="183" t="str">
        <f>VLOOKUP(F1483,数据集标准分类!A:F,6,0)</f>
        <v>护理病历</v>
      </c>
      <c r="C1483" s="183" t="str">
        <f>VLOOKUP(F1483,数据集标准分类!A:E,5,0)</f>
        <v>0604</v>
      </c>
      <c r="D1483" s="183" t="str">
        <f>VLOOKUP(F1483,数据集标准分类!A:D,4,0)</f>
        <v>护理记录</v>
      </c>
      <c r="E1483" s="183" t="str">
        <f>VLOOKUP(F1483,数据集标准分类!A:C,3,0)</f>
        <v>060403</v>
      </c>
      <c r="F1483" s="170" t="s">
        <v>3434</v>
      </c>
      <c r="G1483" s="183" t="str">
        <f>VLOOKUP(F1483,数据集标准分类!A:B,2,0)</f>
        <v>general_nursing_record</v>
      </c>
      <c r="H1483" s="294">
        <f>VLOOKUP(F1483,数据集标准分类!A:H,8,0)</f>
        <v>105</v>
      </c>
      <c r="I1483" s="170" t="s">
        <v>1509</v>
      </c>
      <c r="J1483" s="170" t="s">
        <v>1510</v>
      </c>
      <c r="K1483" s="170" t="s">
        <v>1511</v>
      </c>
      <c r="L1483" s="170" t="s">
        <v>1512</v>
      </c>
      <c r="M1483" s="170" t="s">
        <v>3492</v>
      </c>
      <c r="N1483" s="294">
        <v>22</v>
      </c>
      <c r="O1483" s="170"/>
    </row>
    <row r="1484" ht="15.75" customHeight="1" spans="1:15">
      <c r="A1484" s="183" t="str">
        <f>VLOOKUP(F1484,数据集标准分类!A:G,7,0)</f>
        <v>06</v>
      </c>
      <c r="B1484" s="183" t="str">
        <f>VLOOKUP(F1484,数据集标准分类!A:F,6,0)</f>
        <v>护理病历</v>
      </c>
      <c r="C1484" s="183" t="str">
        <f>VLOOKUP(F1484,数据集标准分类!A:E,5,0)</f>
        <v>0604</v>
      </c>
      <c r="D1484" s="183" t="str">
        <f>VLOOKUP(F1484,数据集标准分类!A:D,4,0)</f>
        <v>护理记录</v>
      </c>
      <c r="E1484" s="183" t="str">
        <f>VLOOKUP(F1484,数据集标准分类!A:C,3,0)</f>
        <v>060403</v>
      </c>
      <c r="F1484" s="170" t="s">
        <v>3434</v>
      </c>
      <c r="G1484" s="183" t="str">
        <f>VLOOKUP(F1484,数据集标准分类!A:B,2,0)</f>
        <v>general_nursing_record</v>
      </c>
      <c r="H1484" s="294">
        <f>VLOOKUP(F1484,数据集标准分类!A:H,8,0)</f>
        <v>105</v>
      </c>
      <c r="I1484" s="170" t="s">
        <v>3229</v>
      </c>
      <c r="J1484" s="170" t="s">
        <v>3230</v>
      </c>
      <c r="K1484" s="170" t="s">
        <v>3231</v>
      </c>
      <c r="L1484" s="170" t="s">
        <v>3232</v>
      </c>
      <c r="M1484" s="170" t="s">
        <v>3233</v>
      </c>
      <c r="N1484" s="294">
        <v>23</v>
      </c>
      <c r="O1484" s="170"/>
    </row>
    <row r="1485" ht="15.75" customHeight="1" spans="1:15">
      <c r="A1485" s="183" t="str">
        <f>VLOOKUP(F1485,数据集标准分类!A:G,7,0)</f>
        <v>06</v>
      </c>
      <c r="B1485" s="183" t="str">
        <f>VLOOKUP(F1485,数据集标准分类!A:F,6,0)</f>
        <v>护理病历</v>
      </c>
      <c r="C1485" s="183" t="str">
        <f>VLOOKUP(F1485,数据集标准分类!A:E,5,0)</f>
        <v>0604</v>
      </c>
      <c r="D1485" s="183" t="str">
        <f>VLOOKUP(F1485,数据集标准分类!A:D,4,0)</f>
        <v>护理记录</v>
      </c>
      <c r="E1485" s="183" t="str">
        <f>VLOOKUP(F1485,数据集标准分类!A:C,3,0)</f>
        <v>060403</v>
      </c>
      <c r="F1485" s="170" t="s">
        <v>3434</v>
      </c>
      <c r="G1485" s="183" t="str">
        <f>VLOOKUP(F1485,数据集标准分类!A:B,2,0)</f>
        <v>general_nursing_record</v>
      </c>
      <c r="H1485" s="294">
        <f>VLOOKUP(F1485,数据集标准分类!A:H,8,0)</f>
        <v>105</v>
      </c>
      <c r="I1485" s="170" t="s">
        <v>784</v>
      </c>
      <c r="J1485" s="170" t="s">
        <v>785</v>
      </c>
      <c r="K1485" s="170" t="s">
        <v>786</v>
      </c>
      <c r="L1485" s="170" t="s">
        <v>787</v>
      </c>
      <c r="M1485" s="170" t="s">
        <v>3234</v>
      </c>
      <c r="N1485" s="294">
        <v>24</v>
      </c>
      <c r="O1485" s="170"/>
    </row>
    <row r="1486" ht="15.75" customHeight="1" spans="1:15">
      <c r="A1486" s="183" t="str">
        <f>VLOOKUP(F1486,数据集标准分类!A:G,7,0)</f>
        <v>06</v>
      </c>
      <c r="B1486" s="183" t="str">
        <f>VLOOKUP(F1486,数据集标准分类!A:F,6,0)</f>
        <v>护理病历</v>
      </c>
      <c r="C1486" s="183" t="str">
        <f>VLOOKUP(F1486,数据集标准分类!A:E,5,0)</f>
        <v>0604</v>
      </c>
      <c r="D1486" s="183" t="str">
        <f>VLOOKUP(F1486,数据集标准分类!A:D,4,0)</f>
        <v>护理记录</v>
      </c>
      <c r="E1486" s="183" t="str">
        <f>VLOOKUP(F1486,数据集标准分类!A:C,3,0)</f>
        <v>060403</v>
      </c>
      <c r="F1486" s="170" t="s">
        <v>3434</v>
      </c>
      <c r="G1486" s="183" t="str">
        <f>VLOOKUP(F1486,数据集标准分类!A:B,2,0)</f>
        <v>general_nursing_record</v>
      </c>
      <c r="H1486" s="294">
        <f>VLOOKUP(F1486,数据集标准分类!A:H,8,0)</f>
        <v>105</v>
      </c>
      <c r="I1486" s="170" t="s">
        <v>3493</v>
      </c>
      <c r="J1486" s="170" t="s">
        <v>3494</v>
      </c>
      <c r="K1486" s="170" t="s">
        <v>3495</v>
      </c>
      <c r="L1486" s="170" t="s">
        <v>3496</v>
      </c>
      <c r="M1486" s="170" t="s">
        <v>3497</v>
      </c>
      <c r="N1486" s="294">
        <v>25</v>
      </c>
      <c r="O1486" s="170"/>
    </row>
    <row r="1487" ht="15.75" customHeight="1" spans="1:15">
      <c r="A1487" s="183" t="str">
        <f>VLOOKUP(F1487,数据集标准分类!A:G,7,0)</f>
        <v>06</v>
      </c>
      <c r="B1487" s="183" t="str">
        <f>VLOOKUP(F1487,数据集标准分类!A:F,6,0)</f>
        <v>护理病历</v>
      </c>
      <c r="C1487" s="183" t="str">
        <f>VLOOKUP(F1487,数据集标准分类!A:E,5,0)</f>
        <v>0604</v>
      </c>
      <c r="D1487" s="183" t="str">
        <f>VLOOKUP(F1487,数据集标准分类!A:D,4,0)</f>
        <v>护理记录</v>
      </c>
      <c r="E1487" s="183" t="str">
        <f>VLOOKUP(F1487,数据集标准分类!A:C,3,0)</f>
        <v>060403</v>
      </c>
      <c r="F1487" s="170" t="s">
        <v>3434</v>
      </c>
      <c r="G1487" s="183" t="str">
        <f>VLOOKUP(F1487,数据集标准分类!A:B,2,0)</f>
        <v>general_nursing_record</v>
      </c>
      <c r="H1487" s="294">
        <f>VLOOKUP(F1487,数据集标准分类!A:H,8,0)</f>
        <v>105</v>
      </c>
      <c r="I1487" s="170" t="s">
        <v>3498</v>
      </c>
      <c r="J1487" s="170" t="s">
        <v>3499</v>
      </c>
      <c r="K1487" s="170" t="s">
        <v>3500</v>
      </c>
      <c r="L1487" s="170" t="s">
        <v>3501</v>
      </c>
      <c r="M1487" s="170" t="s">
        <v>3502</v>
      </c>
      <c r="N1487" s="294">
        <v>26</v>
      </c>
      <c r="O1487" s="170"/>
    </row>
    <row r="1488" ht="15.75" customHeight="1" spans="1:15">
      <c r="A1488" s="183" t="str">
        <f>VLOOKUP(F1488,数据集标准分类!A:G,7,0)</f>
        <v>06</v>
      </c>
      <c r="B1488" s="183" t="str">
        <f>VLOOKUP(F1488,数据集标准分类!A:F,6,0)</f>
        <v>护理病历</v>
      </c>
      <c r="C1488" s="183" t="str">
        <f>VLOOKUP(F1488,数据集标准分类!A:E,5,0)</f>
        <v>0604</v>
      </c>
      <c r="D1488" s="183" t="str">
        <f>VLOOKUP(F1488,数据集标准分类!A:D,4,0)</f>
        <v>护理记录</v>
      </c>
      <c r="E1488" s="183" t="str">
        <f>VLOOKUP(F1488,数据集标准分类!A:C,3,0)</f>
        <v>060403</v>
      </c>
      <c r="F1488" s="170" t="s">
        <v>3434</v>
      </c>
      <c r="G1488" s="183" t="str">
        <f>VLOOKUP(F1488,数据集标准分类!A:B,2,0)</f>
        <v>general_nursing_record</v>
      </c>
      <c r="H1488" s="294">
        <f>VLOOKUP(F1488,数据集标准分类!A:H,8,0)</f>
        <v>105</v>
      </c>
      <c r="I1488" s="170" t="s">
        <v>3503</v>
      </c>
      <c r="J1488" s="170" t="s">
        <v>3504</v>
      </c>
      <c r="K1488" s="170" t="s">
        <v>3505</v>
      </c>
      <c r="L1488" s="170" t="s">
        <v>3506</v>
      </c>
      <c r="M1488" s="170" t="s">
        <v>3507</v>
      </c>
      <c r="N1488" s="294">
        <v>27</v>
      </c>
      <c r="O1488" s="170"/>
    </row>
    <row r="1489" ht="15.75" customHeight="1" spans="1:15">
      <c r="A1489" s="183" t="str">
        <f>VLOOKUP(F1489,数据集标准分类!A:G,7,0)</f>
        <v>06</v>
      </c>
      <c r="B1489" s="183" t="str">
        <f>VLOOKUP(F1489,数据集标准分类!A:F,6,0)</f>
        <v>护理病历</v>
      </c>
      <c r="C1489" s="183" t="str">
        <f>VLOOKUP(F1489,数据集标准分类!A:E,5,0)</f>
        <v>0604</v>
      </c>
      <c r="D1489" s="183" t="str">
        <f>VLOOKUP(F1489,数据集标准分类!A:D,4,0)</f>
        <v>护理记录</v>
      </c>
      <c r="E1489" s="183" t="str">
        <f>VLOOKUP(F1489,数据集标准分类!A:C,3,0)</f>
        <v>060403</v>
      </c>
      <c r="F1489" s="170" t="s">
        <v>3434</v>
      </c>
      <c r="G1489" s="183" t="str">
        <f>VLOOKUP(F1489,数据集标准分类!A:B,2,0)</f>
        <v>general_nursing_record</v>
      </c>
      <c r="H1489" s="294">
        <f>VLOOKUP(F1489,数据集标准分类!A:H,8,0)</f>
        <v>105</v>
      </c>
      <c r="I1489" s="170" t="s">
        <v>3508</v>
      </c>
      <c r="J1489" s="170" t="s">
        <v>3509</v>
      </c>
      <c r="K1489" s="170" t="s">
        <v>3510</v>
      </c>
      <c r="L1489" s="170" t="s">
        <v>3511</v>
      </c>
      <c r="M1489" s="170" t="s">
        <v>3512</v>
      </c>
      <c r="N1489" s="294">
        <v>28</v>
      </c>
      <c r="O1489" s="170"/>
    </row>
    <row r="1490" ht="15.75" customHeight="1" spans="1:15">
      <c r="A1490" s="183" t="str">
        <f>VLOOKUP(F1490,数据集标准分类!A:G,7,0)</f>
        <v>06</v>
      </c>
      <c r="B1490" s="183" t="str">
        <f>VLOOKUP(F1490,数据集标准分类!A:F,6,0)</f>
        <v>护理病历</v>
      </c>
      <c r="C1490" s="183" t="str">
        <f>VLOOKUP(F1490,数据集标准分类!A:E,5,0)</f>
        <v>0604</v>
      </c>
      <c r="D1490" s="183" t="str">
        <f>VLOOKUP(F1490,数据集标准分类!A:D,4,0)</f>
        <v>护理记录</v>
      </c>
      <c r="E1490" s="183" t="str">
        <f>VLOOKUP(F1490,数据集标准分类!A:C,3,0)</f>
        <v>060403</v>
      </c>
      <c r="F1490" s="170" t="s">
        <v>3434</v>
      </c>
      <c r="G1490" s="183" t="str">
        <f>VLOOKUP(F1490,数据集标准分类!A:B,2,0)</f>
        <v>general_nursing_record</v>
      </c>
      <c r="H1490" s="294">
        <f>VLOOKUP(F1490,数据集标准分类!A:H,8,0)</f>
        <v>105</v>
      </c>
      <c r="I1490" s="170" t="s">
        <v>3513</v>
      </c>
      <c r="J1490" s="170" t="s">
        <v>3514</v>
      </c>
      <c r="K1490" s="170" t="s">
        <v>3515</v>
      </c>
      <c r="L1490" s="170" t="s">
        <v>3516</v>
      </c>
      <c r="M1490" s="170" t="s">
        <v>3517</v>
      </c>
      <c r="N1490" s="294">
        <v>29</v>
      </c>
      <c r="O1490" s="170"/>
    </row>
    <row r="1491" ht="15.75" customHeight="1" spans="1:15">
      <c r="A1491" s="183" t="str">
        <f>VLOOKUP(F1491,数据集标准分类!A:G,7,0)</f>
        <v>06</v>
      </c>
      <c r="B1491" s="183" t="str">
        <f>VLOOKUP(F1491,数据集标准分类!A:F,6,0)</f>
        <v>护理病历</v>
      </c>
      <c r="C1491" s="183" t="str">
        <f>VLOOKUP(F1491,数据集标准分类!A:E,5,0)</f>
        <v>0604</v>
      </c>
      <c r="D1491" s="183" t="str">
        <f>VLOOKUP(F1491,数据集标准分类!A:D,4,0)</f>
        <v>护理记录</v>
      </c>
      <c r="E1491" s="183" t="str">
        <f>VLOOKUP(F1491,数据集标准分类!A:C,3,0)</f>
        <v>060403</v>
      </c>
      <c r="F1491" s="170" t="s">
        <v>3434</v>
      </c>
      <c r="G1491" s="183" t="str">
        <f>VLOOKUP(F1491,数据集标准分类!A:B,2,0)</f>
        <v>general_nursing_record</v>
      </c>
      <c r="H1491" s="294">
        <f>VLOOKUP(F1491,数据集标准分类!A:H,8,0)</f>
        <v>105</v>
      </c>
      <c r="I1491" s="170" t="s">
        <v>3518</v>
      </c>
      <c r="J1491" s="170" t="s">
        <v>3519</v>
      </c>
      <c r="K1491" s="170" t="s">
        <v>3520</v>
      </c>
      <c r="L1491" s="170" t="s">
        <v>3521</v>
      </c>
      <c r="M1491" s="170" t="s">
        <v>3522</v>
      </c>
      <c r="N1491" s="294">
        <v>30</v>
      </c>
      <c r="O1491" s="170"/>
    </row>
    <row r="1492" ht="15.75" customHeight="1" spans="1:15">
      <c r="A1492" s="183" t="str">
        <f>VLOOKUP(F1492,数据集标准分类!A:G,7,0)</f>
        <v>06</v>
      </c>
      <c r="B1492" s="183" t="str">
        <f>VLOOKUP(F1492,数据集标准分类!A:F,6,0)</f>
        <v>护理病历</v>
      </c>
      <c r="C1492" s="183" t="str">
        <f>VLOOKUP(F1492,数据集标准分类!A:E,5,0)</f>
        <v>0604</v>
      </c>
      <c r="D1492" s="183" t="str">
        <f>VLOOKUP(F1492,数据集标准分类!A:D,4,0)</f>
        <v>护理记录</v>
      </c>
      <c r="E1492" s="183" t="str">
        <f>VLOOKUP(F1492,数据集标准分类!A:C,3,0)</f>
        <v>060403</v>
      </c>
      <c r="F1492" s="170" t="s">
        <v>3434</v>
      </c>
      <c r="G1492" s="183" t="str">
        <f>VLOOKUP(F1492,数据集标准分类!A:B,2,0)</f>
        <v>general_nursing_record</v>
      </c>
      <c r="H1492" s="294">
        <f>VLOOKUP(F1492,数据集标准分类!A:H,8,0)</f>
        <v>105</v>
      </c>
      <c r="I1492" s="170" t="s">
        <v>3523</v>
      </c>
      <c r="J1492" s="170" t="s">
        <v>3524</v>
      </c>
      <c r="K1492" s="170" t="s">
        <v>3525</v>
      </c>
      <c r="L1492" s="170" t="s">
        <v>3526</v>
      </c>
      <c r="M1492" s="170" t="s">
        <v>3527</v>
      </c>
      <c r="N1492" s="294">
        <v>31</v>
      </c>
      <c r="O1492" s="170"/>
    </row>
    <row r="1493" ht="15.75" customHeight="1" spans="1:15">
      <c r="A1493" s="183" t="str">
        <f>VLOOKUP(F1493,数据集标准分类!A:G,7,0)</f>
        <v>06</v>
      </c>
      <c r="B1493" s="183" t="str">
        <f>VLOOKUP(F1493,数据集标准分类!A:F,6,0)</f>
        <v>护理病历</v>
      </c>
      <c r="C1493" s="183" t="str">
        <f>VLOOKUP(F1493,数据集标准分类!A:E,5,0)</f>
        <v>0604</v>
      </c>
      <c r="D1493" s="183" t="str">
        <f>VLOOKUP(F1493,数据集标准分类!A:D,4,0)</f>
        <v>护理记录</v>
      </c>
      <c r="E1493" s="183" t="str">
        <f>VLOOKUP(F1493,数据集标准分类!A:C,3,0)</f>
        <v>060403</v>
      </c>
      <c r="F1493" s="170" t="s">
        <v>3434</v>
      </c>
      <c r="G1493" s="183" t="str">
        <f>VLOOKUP(F1493,数据集标准分类!A:B,2,0)</f>
        <v>general_nursing_record</v>
      </c>
      <c r="H1493" s="294">
        <f>VLOOKUP(F1493,数据集标准分类!A:H,8,0)</f>
        <v>105</v>
      </c>
      <c r="I1493" s="170" t="s">
        <v>3528</v>
      </c>
      <c r="J1493" s="170" t="s">
        <v>3529</v>
      </c>
      <c r="K1493" s="170" t="s">
        <v>3530</v>
      </c>
      <c r="L1493" s="170" t="s">
        <v>3531</v>
      </c>
      <c r="M1493" s="170" t="s">
        <v>3532</v>
      </c>
      <c r="N1493" s="294">
        <v>32</v>
      </c>
      <c r="O1493" s="170"/>
    </row>
    <row r="1494" ht="15.75" customHeight="1" spans="1:15">
      <c r="A1494" s="183" t="str">
        <f>VLOOKUP(F1494,数据集标准分类!A:G,7,0)</f>
        <v>06</v>
      </c>
      <c r="B1494" s="183" t="str">
        <f>VLOOKUP(F1494,数据集标准分类!A:F,6,0)</f>
        <v>护理病历</v>
      </c>
      <c r="C1494" s="183" t="str">
        <f>VLOOKUP(F1494,数据集标准分类!A:E,5,0)</f>
        <v>0604</v>
      </c>
      <c r="D1494" s="183" t="str">
        <f>VLOOKUP(F1494,数据集标准分类!A:D,4,0)</f>
        <v>护理记录</v>
      </c>
      <c r="E1494" s="183" t="str">
        <f>VLOOKUP(F1494,数据集标准分类!A:C,3,0)</f>
        <v>060403</v>
      </c>
      <c r="F1494" s="170" t="s">
        <v>3434</v>
      </c>
      <c r="G1494" s="183" t="str">
        <f>VLOOKUP(F1494,数据集标准分类!A:B,2,0)</f>
        <v>general_nursing_record</v>
      </c>
      <c r="H1494" s="294">
        <f>VLOOKUP(F1494,数据集标准分类!A:H,8,0)</f>
        <v>105</v>
      </c>
      <c r="I1494" s="170" t="s">
        <v>3533</v>
      </c>
      <c r="J1494" s="170" t="s">
        <v>3534</v>
      </c>
      <c r="K1494" s="170" t="s">
        <v>3535</v>
      </c>
      <c r="L1494" s="170" t="s">
        <v>3536</v>
      </c>
      <c r="M1494" s="170" t="s">
        <v>3537</v>
      </c>
      <c r="N1494" s="294">
        <v>33</v>
      </c>
      <c r="O1494" s="170"/>
    </row>
    <row r="1495" ht="15.75" customHeight="1" spans="1:15">
      <c r="A1495" s="183" t="str">
        <f>VLOOKUP(F1495,数据集标准分类!A:G,7,0)</f>
        <v>06</v>
      </c>
      <c r="B1495" s="183" t="str">
        <f>VLOOKUP(F1495,数据集标准分类!A:F,6,0)</f>
        <v>护理病历</v>
      </c>
      <c r="C1495" s="183" t="str">
        <f>VLOOKUP(F1495,数据集标准分类!A:E,5,0)</f>
        <v>0604</v>
      </c>
      <c r="D1495" s="183" t="str">
        <f>VLOOKUP(F1495,数据集标准分类!A:D,4,0)</f>
        <v>护理记录</v>
      </c>
      <c r="E1495" s="183" t="str">
        <f>VLOOKUP(F1495,数据集标准分类!A:C,3,0)</f>
        <v>060404</v>
      </c>
      <c r="F1495" s="170" t="s">
        <v>3538</v>
      </c>
      <c r="G1495" s="183" t="str">
        <f>VLOOKUP(F1495,数据集标准分类!A:B,2,0)</f>
        <v>intake_output_record</v>
      </c>
      <c r="H1495" s="294">
        <f>VLOOKUP(F1495,数据集标准分类!A:H,8,0)</f>
        <v>106</v>
      </c>
      <c r="I1495" s="170" t="s">
        <v>711</v>
      </c>
      <c r="J1495" s="170" t="s">
        <v>712</v>
      </c>
      <c r="K1495" s="170" t="s">
        <v>712</v>
      </c>
      <c r="L1495" s="170" t="s">
        <v>713</v>
      </c>
      <c r="M1495" s="170" t="s">
        <v>714</v>
      </c>
      <c r="N1495" s="294">
        <v>1</v>
      </c>
      <c r="O1495" s="170"/>
    </row>
    <row r="1496" ht="15.75" customHeight="1" spans="1:15">
      <c r="A1496" s="183" t="str">
        <f>VLOOKUP(F1496,数据集标准分类!A:G,7,0)</f>
        <v>06</v>
      </c>
      <c r="B1496" s="183" t="str">
        <f>VLOOKUP(F1496,数据集标准分类!A:F,6,0)</f>
        <v>护理病历</v>
      </c>
      <c r="C1496" s="183" t="str">
        <f>VLOOKUP(F1496,数据集标准分类!A:E,5,0)</f>
        <v>0604</v>
      </c>
      <c r="D1496" s="183" t="str">
        <f>VLOOKUP(F1496,数据集标准分类!A:D,4,0)</f>
        <v>护理记录</v>
      </c>
      <c r="E1496" s="183" t="str">
        <f>VLOOKUP(F1496,数据集标准分类!A:C,3,0)</f>
        <v>060404</v>
      </c>
      <c r="F1496" s="170" t="s">
        <v>3538</v>
      </c>
      <c r="G1496" s="183" t="str">
        <f>VLOOKUP(F1496,数据集标准分类!A:B,2,0)</f>
        <v>intake_output_record</v>
      </c>
      <c r="H1496" s="294">
        <f>VLOOKUP(F1496,数据集标准分类!A:H,8,0)</f>
        <v>106</v>
      </c>
      <c r="I1496" s="170" t="s">
        <v>172</v>
      </c>
      <c r="J1496" s="170" t="s">
        <v>173</v>
      </c>
      <c r="K1496" s="170" t="s">
        <v>174</v>
      </c>
      <c r="L1496" s="170" t="s">
        <v>175</v>
      </c>
      <c r="M1496" s="170" t="s">
        <v>1245</v>
      </c>
      <c r="N1496" s="294">
        <v>2</v>
      </c>
      <c r="O1496" s="170"/>
    </row>
    <row r="1497" ht="15.75" customHeight="1" spans="1:15">
      <c r="A1497" s="183" t="str">
        <f>VLOOKUP(F1497,数据集标准分类!A:G,7,0)</f>
        <v>06</v>
      </c>
      <c r="B1497" s="183" t="str">
        <f>VLOOKUP(F1497,数据集标准分类!A:F,6,0)</f>
        <v>护理病历</v>
      </c>
      <c r="C1497" s="183" t="str">
        <f>VLOOKUP(F1497,数据集标准分类!A:E,5,0)</f>
        <v>0604</v>
      </c>
      <c r="D1497" s="183" t="str">
        <f>VLOOKUP(F1497,数据集标准分类!A:D,4,0)</f>
        <v>护理记录</v>
      </c>
      <c r="E1497" s="183" t="str">
        <f>VLOOKUP(F1497,数据集标准分类!A:C,3,0)</f>
        <v>060404</v>
      </c>
      <c r="F1497" s="170" t="s">
        <v>3538</v>
      </c>
      <c r="G1497" s="183" t="str">
        <f>VLOOKUP(F1497,数据集标准分类!A:B,2,0)</f>
        <v>intake_output_record</v>
      </c>
      <c r="H1497" s="294">
        <f>VLOOKUP(F1497,数据集标准分类!A:H,8,0)</f>
        <v>106</v>
      </c>
      <c r="I1497" s="170" t="s">
        <v>3436</v>
      </c>
      <c r="J1497" s="170" t="s">
        <v>3437</v>
      </c>
      <c r="K1497" s="170" t="s">
        <v>3438</v>
      </c>
      <c r="L1497" s="170" t="s">
        <v>3439</v>
      </c>
      <c r="M1497" s="170" t="s">
        <v>3440</v>
      </c>
      <c r="N1497" s="294">
        <v>3</v>
      </c>
      <c r="O1497" s="170"/>
    </row>
    <row r="1498" ht="15.75" customHeight="1" spans="1:15">
      <c r="A1498" s="183" t="str">
        <f>VLOOKUP(F1498,数据集标准分类!A:G,7,0)</f>
        <v>06</v>
      </c>
      <c r="B1498" s="183" t="str">
        <f>VLOOKUP(F1498,数据集标准分类!A:F,6,0)</f>
        <v>护理病历</v>
      </c>
      <c r="C1498" s="183" t="str">
        <f>VLOOKUP(F1498,数据集标准分类!A:E,5,0)</f>
        <v>0604</v>
      </c>
      <c r="D1498" s="183" t="str">
        <f>VLOOKUP(F1498,数据集标准分类!A:D,4,0)</f>
        <v>护理记录</v>
      </c>
      <c r="E1498" s="183" t="str">
        <f>VLOOKUP(F1498,数据集标准分类!A:C,3,0)</f>
        <v>060404</v>
      </c>
      <c r="F1498" s="170" t="s">
        <v>3538</v>
      </c>
      <c r="G1498" s="183" t="str">
        <f>VLOOKUP(F1498,数据集标准分类!A:B,2,0)</f>
        <v>intake_output_record</v>
      </c>
      <c r="H1498" s="294">
        <f>VLOOKUP(F1498,数据集标准分类!A:H,8,0)</f>
        <v>106</v>
      </c>
      <c r="I1498" s="170" t="s">
        <v>3441</v>
      </c>
      <c r="J1498" s="170" t="s">
        <v>3442</v>
      </c>
      <c r="K1498" s="170" t="s">
        <v>3443</v>
      </c>
      <c r="L1498" s="170" t="s">
        <v>3444</v>
      </c>
      <c r="M1498" s="170" t="s">
        <v>3445</v>
      </c>
      <c r="N1498" s="294">
        <v>4</v>
      </c>
      <c r="O1498" s="170"/>
    </row>
    <row r="1499" ht="15.75" customHeight="1" spans="1:15">
      <c r="A1499" s="183" t="str">
        <f>VLOOKUP(F1499,数据集标准分类!A:G,7,0)</f>
        <v>06</v>
      </c>
      <c r="B1499" s="183" t="str">
        <f>VLOOKUP(F1499,数据集标准分类!A:F,6,0)</f>
        <v>护理病历</v>
      </c>
      <c r="C1499" s="183" t="str">
        <f>VLOOKUP(F1499,数据集标准分类!A:E,5,0)</f>
        <v>0604</v>
      </c>
      <c r="D1499" s="183" t="str">
        <f>VLOOKUP(F1499,数据集标准分类!A:D,4,0)</f>
        <v>护理记录</v>
      </c>
      <c r="E1499" s="183" t="str">
        <f>VLOOKUP(F1499,数据集标准分类!A:C,3,0)</f>
        <v>060404</v>
      </c>
      <c r="F1499" s="170" t="s">
        <v>3538</v>
      </c>
      <c r="G1499" s="183" t="str">
        <f>VLOOKUP(F1499,数据集标准分类!A:B,2,0)</f>
        <v>intake_output_record</v>
      </c>
      <c r="H1499" s="294">
        <f>VLOOKUP(F1499,数据集标准分类!A:H,8,0)</f>
        <v>106</v>
      </c>
      <c r="I1499" s="170" t="s">
        <v>3229</v>
      </c>
      <c r="J1499" s="170" t="s">
        <v>3230</v>
      </c>
      <c r="K1499" s="170" t="s">
        <v>3231</v>
      </c>
      <c r="L1499" s="170" t="s">
        <v>3232</v>
      </c>
      <c r="M1499" s="170" t="s">
        <v>3233</v>
      </c>
      <c r="N1499" s="294">
        <v>5</v>
      </c>
      <c r="O1499" s="170"/>
    </row>
    <row r="1500" ht="15.75" customHeight="1" spans="1:15">
      <c r="A1500" s="183" t="str">
        <f>VLOOKUP(F1500,数据集标准分类!A:G,7,0)</f>
        <v>06</v>
      </c>
      <c r="B1500" s="183" t="str">
        <f>VLOOKUP(F1500,数据集标准分类!A:F,6,0)</f>
        <v>护理病历</v>
      </c>
      <c r="C1500" s="183" t="str">
        <f>VLOOKUP(F1500,数据集标准分类!A:E,5,0)</f>
        <v>0604</v>
      </c>
      <c r="D1500" s="183" t="str">
        <f>VLOOKUP(F1500,数据集标准分类!A:D,4,0)</f>
        <v>护理记录</v>
      </c>
      <c r="E1500" s="183" t="str">
        <f>VLOOKUP(F1500,数据集标准分类!A:C,3,0)</f>
        <v>060404</v>
      </c>
      <c r="F1500" s="170" t="s">
        <v>3538</v>
      </c>
      <c r="G1500" s="183" t="str">
        <f>VLOOKUP(F1500,数据集标准分类!A:B,2,0)</f>
        <v>intake_output_record</v>
      </c>
      <c r="H1500" s="294">
        <f>VLOOKUP(F1500,数据集标准分类!A:H,8,0)</f>
        <v>106</v>
      </c>
      <c r="I1500" s="170" t="s">
        <v>784</v>
      </c>
      <c r="J1500" s="170" t="s">
        <v>785</v>
      </c>
      <c r="K1500" s="170" t="s">
        <v>786</v>
      </c>
      <c r="L1500" s="170" t="s">
        <v>787</v>
      </c>
      <c r="M1500" s="170" t="s">
        <v>3234</v>
      </c>
      <c r="N1500" s="294">
        <v>6</v>
      </c>
      <c r="O1500" s="170"/>
    </row>
    <row r="1501" ht="15.75" customHeight="1" spans="1:15">
      <c r="A1501" s="183" t="str">
        <f>VLOOKUP(F1501,数据集标准分类!A:G,7,0)</f>
        <v>06</v>
      </c>
      <c r="B1501" s="183" t="str">
        <f>VLOOKUP(F1501,数据集标准分类!A:F,6,0)</f>
        <v>护理病历</v>
      </c>
      <c r="C1501" s="183" t="str">
        <f>VLOOKUP(F1501,数据集标准分类!A:E,5,0)</f>
        <v>0604</v>
      </c>
      <c r="D1501" s="183" t="str">
        <f>VLOOKUP(F1501,数据集标准分类!A:D,4,0)</f>
        <v>护理记录</v>
      </c>
      <c r="E1501" s="183" t="str">
        <f>VLOOKUP(F1501,数据集标准分类!A:C,3,0)</f>
        <v>060404</v>
      </c>
      <c r="F1501" s="170" t="s">
        <v>3538</v>
      </c>
      <c r="G1501" s="183" t="str">
        <f>VLOOKUP(F1501,数据集标准分类!A:B,2,0)</f>
        <v>intake_output_record</v>
      </c>
      <c r="H1501" s="294">
        <f>VLOOKUP(F1501,数据集标准分类!A:H,8,0)</f>
        <v>106</v>
      </c>
      <c r="I1501" s="170" t="s">
        <v>3493</v>
      </c>
      <c r="J1501" s="170" t="s">
        <v>3494</v>
      </c>
      <c r="K1501" s="170" t="s">
        <v>3495</v>
      </c>
      <c r="L1501" s="170" t="s">
        <v>3496</v>
      </c>
      <c r="M1501" s="170" t="s">
        <v>3502</v>
      </c>
      <c r="N1501" s="294">
        <v>7</v>
      </c>
      <c r="O1501" s="170"/>
    </row>
    <row r="1502" ht="15.75" customHeight="1" spans="1:15">
      <c r="A1502" s="183" t="str">
        <f>VLOOKUP(F1502,数据集标准分类!A:G,7,0)</f>
        <v>06</v>
      </c>
      <c r="B1502" s="183" t="str">
        <f>VLOOKUP(F1502,数据集标准分类!A:F,6,0)</f>
        <v>护理病历</v>
      </c>
      <c r="C1502" s="183" t="str">
        <f>VLOOKUP(F1502,数据集标准分类!A:E,5,0)</f>
        <v>0604</v>
      </c>
      <c r="D1502" s="183" t="str">
        <f>VLOOKUP(F1502,数据集标准分类!A:D,4,0)</f>
        <v>护理记录</v>
      </c>
      <c r="E1502" s="183" t="str">
        <f>VLOOKUP(F1502,数据集标准分类!A:C,3,0)</f>
        <v>060404</v>
      </c>
      <c r="F1502" s="170" t="s">
        <v>3538</v>
      </c>
      <c r="G1502" s="183" t="str">
        <f>VLOOKUP(F1502,数据集标准分类!A:B,2,0)</f>
        <v>intake_output_record</v>
      </c>
      <c r="H1502" s="294">
        <f>VLOOKUP(F1502,数据集标准分类!A:H,8,0)</f>
        <v>106</v>
      </c>
      <c r="I1502" s="170" t="s">
        <v>3498</v>
      </c>
      <c r="J1502" s="170" t="s">
        <v>3499</v>
      </c>
      <c r="K1502" s="170" t="s">
        <v>3500</v>
      </c>
      <c r="L1502" s="170" t="s">
        <v>3501</v>
      </c>
      <c r="M1502" s="170" t="s">
        <v>3497</v>
      </c>
      <c r="N1502" s="294">
        <v>8</v>
      </c>
      <c r="O1502" s="170"/>
    </row>
    <row r="1503" ht="15.75" customHeight="1" spans="1:15">
      <c r="A1503" s="183" t="str">
        <f>VLOOKUP(F1503,数据集标准分类!A:G,7,0)</f>
        <v>06</v>
      </c>
      <c r="B1503" s="183" t="str">
        <f>VLOOKUP(F1503,数据集标准分类!A:F,6,0)</f>
        <v>护理病历</v>
      </c>
      <c r="C1503" s="183" t="str">
        <f>VLOOKUP(F1503,数据集标准分类!A:E,5,0)</f>
        <v>0604</v>
      </c>
      <c r="D1503" s="183" t="str">
        <f>VLOOKUP(F1503,数据集标准分类!A:D,4,0)</f>
        <v>护理记录</v>
      </c>
      <c r="E1503" s="183" t="str">
        <f>VLOOKUP(F1503,数据集标准分类!A:C,3,0)</f>
        <v>060404</v>
      </c>
      <c r="F1503" s="170" t="s">
        <v>3538</v>
      </c>
      <c r="G1503" s="183" t="str">
        <f>VLOOKUP(F1503,数据集标准分类!A:B,2,0)</f>
        <v>intake_output_record</v>
      </c>
      <c r="H1503" s="294">
        <f>VLOOKUP(F1503,数据集标准分类!A:H,8,0)</f>
        <v>106</v>
      </c>
      <c r="I1503" s="170" t="s">
        <v>3503</v>
      </c>
      <c r="J1503" s="170" t="s">
        <v>3504</v>
      </c>
      <c r="K1503" s="170" t="s">
        <v>3505</v>
      </c>
      <c r="L1503" s="170" t="s">
        <v>3506</v>
      </c>
      <c r="M1503" s="170" t="s">
        <v>3507</v>
      </c>
      <c r="N1503" s="294">
        <v>9</v>
      </c>
      <c r="O1503" s="170"/>
    </row>
    <row r="1504" ht="15.75" customHeight="1" spans="1:15">
      <c r="A1504" s="183" t="str">
        <f>VLOOKUP(F1504,数据集标准分类!A:G,7,0)</f>
        <v>06</v>
      </c>
      <c r="B1504" s="183" t="str">
        <f>VLOOKUP(F1504,数据集标准分类!A:F,6,0)</f>
        <v>护理病历</v>
      </c>
      <c r="C1504" s="183" t="str">
        <f>VLOOKUP(F1504,数据集标准分类!A:E,5,0)</f>
        <v>0604</v>
      </c>
      <c r="D1504" s="183" t="str">
        <f>VLOOKUP(F1504,数据集标准分类!A:D,4,0)</f>
        <v>护理记录</v>
      </c>
      <c r="E1504" s="183" t="str">
        <f>VLOOKUP(F1504,数据集标准分类!A:C,3,0)</f>
        <v>060404</v>
      </c>
      <c r="F1504" s="170" t="s">
        <v>3538</v>
      </c>
      <c r="G1504" s="183" t="str">
        <f>VLOOKUP(F1504,数据集标准分类!A:B,2,0)</f>
        <v>intake_output_record</v>
      </c>
      <c r="H1504" s="294">
        <f>VLOOKUP(F1504,数据集标准分类!A:H,8,0)</f>
        <v>106</v>
      </c>
      <c r="I1504" s="170" t="s">
        <v>201</v>
      </c>
      <c r="J1504" s="170" t="s">
        <v>202</v>
      </c>
      <c r="K1504" s="170" t="s">
        <v>203</v>
      </c>
      <c r="L1504" s="170" t="s">
        <v>204</v>
      </c>
      <c r="M1504" s="170" t="s">
        <v>2075</v>
      </c>
      <c r="N1504" s="294">
        <v>10</v>
      </c>
      <c r="O1504" s="170"/>
    </row>
    <row r="1505" ht="15.75" customHeight="1" spans="1:15">
      <c r="A1505" s="183" t="str">
        <f>VLOOKUP(F1505,数据集标准分类!A:G,7,0)</f>
        <v>06</v>
      </c>
      <c r="B1505" s="183" t="str">
        <f>VLOOKUP(F1505,数据集标准分类!A:F,6,0)</f>
        <v>护理病历</v>
      </c>
      <c r="C1505" s="183" t="str">
        <f>VLOOKUP(F1505,数据集标准分类!A:E,5,0)</f>
        <v>0604</v>
      </c>
      <c r="D1505" s="183" t="str">
        <f>VLOOKUP(F1505,数据集标准分类!A:D,4,0)</f>
        <v>护理记录</v>
      </c>
      <c r="E1505" s="183" t="str">
        <f>VLOOKUP(F1505,数据集标准分类!A:C,3,0)</f>
        <v>060404</v>
      </c>
      <c r="F1505" s="170" t="s">
        <v>3538</v>
      </c>
      <c r="G1505" s="183" t="str">
        <f>VLOOKUP(F1505,数据集标准分类!A:B,2,0)</f>
        <v>intake_output_record</v>
      </c>
      <c r="H1505" s="294">
        <f>VLOOKUP(F1505,数据集标准分类!A:H,8,0)</f>
        <v>106</v>
      </c>
      <c r="I1505" s="170" t="s">
        <v>211</v>
      </c>
      <c r="J1505" s="170" t="s">
        <v>212</v>
      </c>
      <c r="K1505" s="170" t="s">
        <v>213</v>
      </c>
      <c r="L1505" s="170" t="s">
        <v>214</v>
      </c>
      <c r="M1505" s="170" t="s">
        <v>215</v>
      </c>
      <c r="N1505" s="294">
        <v>11</v>
      </c>
      <c r="O1505" s="170"/>
    </row>
    <row r="1506" ht="15.75" customHeight="1" spans="1:15">
      <c r="A1506" s="183" t="str">
        <f>VLOOKUP(F1506,数据集标准分类!A:G,7,0)</f>
        <v>06</v>
      </c>
      <c r="B1506" s="183" t="str">
        <f>VLOOKUP(F1506,数据集标准分类!A:F,6,0)</f>
        <v>护理病历</v>
      </c>
      <c r="C1506" s="183" t="str">
        <f>VLOOKUP(F1506,数据集标准分类!A:E,5,0)</f>
        <v>0604</v>
      </c>
      <c r="D1506" s="183" t="str">
        <f>VLOOKUP(F1506,数据集标准分类!A:D,4,0)</f>
        <v>护理记录</v>
      </c>
      <c r="E1506" s="183" t="str">
        <f>VLOOKUP(F1506,数据集标准分类!A:C,3,0)</f>
        <v>060404</v>
      </c>
      <c r="F1506" s="170" t="s">
        <v>3538</v>
      </c>
      <c r="G1506" s="183" t="str">
        <f>VLOOKUP(F1506,数据集标准分类!A:B,2,0)</f>
        <v>intake_output_record</v>
      </c>
      <c r="H1506" s="294">
        <f>VLOOKUP(F1506,数据集标准分类!A:H,8,0)</f>
        <v>106</v>
      </c>
      <c r="I1506" s="170" t="s">
        <v>2076</v>
      </c>
      <c r="J1506" s="170" t="s">
        <v>2077</v>
      </c>
      <c r="K1506" s="170" t="s">
        <v>2078</v>
      </c>
      <c r="L1506" s="170" t="s">
        <v>2079</v>
      </c>
      <c r="M1506" s="170" t="s">
        <v>2080</v>
      </c>
      <c r="N1506" s="294">
        <v>12</v>
      </c>
      <c r="O1506" s="170"/>
    </row>
    <row r="1507" ht="15.75" customHeight="1" spans="1:15">
      <c r="A1507" s="183" t="str">
        <f>VLOOKUP(F1507,数据集标准分类!A:G,7,0)</f>
        <v>06</v>
      </c>
      <c r="B1507" s="183" t="str">
        <f>VLOOKUP(F1507,数据集标准分类!A:F,6,0)</f>
        <v>护理病历</v>
      </c>
      <c r="C1507" s="183" t="str">
        <f>VLOOKUP(F1507,数据集标准分类!A:E,5,0)</f>
        <v>0604</v>
      </c>
      <c r="D1507" s="183" t="str">
        <f>VLOOKUP(F1507,数据集标准分类!A:D,4,0)</f>
        <v>护理记录</v>
      </c>
      <c r="E1507" s="183" t="str">
        <f>VLOOKUP(F1507,数据集标准分类!A:C,3,0)</f>
        <v>060404</v>
      </c>
      <c r="F1507" s="170" t="s">
        <v>3538</v>
      </c>
      <c r="G1507" s="183" t="str">
        <f>VLOOKUP(F1507,数据集标准分类!A:B,2,0)</f>
        <v>intake_output_record</v>
      </c>
      <c r="H1507" s="294">
        <f>VLOOKUP(F1507,数据集标准分类!A:H,8,0)</f>
        <v>106</v>
      </c>
      <c r="I1507" s="170" t="s">
        <v>2081</v>
      </c>
      <c r="J1507" s="170" t="s">
        <v>2082</v>
      </c>
      <c r="K1507" s="170" t="s">
        <v>2083</v>
      </c>
      <c r="L1507" s="170" t="s">
        <v>2084</v>
      </c>
      <c r="M1507" s="170" t="s">
        <v>2085</v>
      </c>
      <c r="N1507" s="294">
        <v>13</v>
      </c>
      <c r="O1507" s="170"/>
    </row>
    <row r="1508" ht="15.75" customHeight="1" spans="1:15">
      <c r="A1508" s="183" t="str">
        <f>VLOOKUP(F1508,数据集标准分类!A:G,7,0)</f>
        <v>06</v>
      </c>
      <c r="B1508" s="183" t="str">
        <f>VLOOKUP(F1508,数据集标准分类!A:F,6,0)</f>
        <v>护理病历</v>
      </c>
      <c r="C1508" s="183" t="str">
        <f>VLOOKUP(F1508,数据集标准分类!A:E,5,0)</f>
        <v>0604</v>
      </c>
      <c r="D1508" s="183" t="str">
        <f>VLOOKUP(F1508,数据集标准分类!A:D,4,0)</f>
        <v>护理记录</v>
      </c>
      <c r="E1508" s="183" t="str">
        <f>VLOOKUP(F1508,数据集标准分类!A:C,3,0)</f>
        <v>060404</v>
      </c>
      <c r="F1508" s="170" t="s">
        <v>3538</v>
      </c>
      <c r="G1508" s="183" t="str">
        <f>VLOOKUP(F1508,数据集标准分类!A:B,2,0)</f>
        <v>intake_output_record</v>
      </c>
      <c r="H1508" s="294">
        <f>VLOOKUP(F1508,数据集标准分类!A:H,8,0)</f>
        <v>106</v>
      </c>
      <c r="I1508" s="170" t="s">
        <v>2086</v>
      </c>
      <c r="J1508" s="170" t="s">
        <v>2087</v>
      </c>
      <c r="K1508" s="170" t="s">
        <v>2088</v>
      </c>
      <c r="L1508" s="170" t="s">
        <v>2089</v>
      </c>
      <c r="M1508" s="170" t="s">
        <v>2090</v>
      </c>
      <c r="N1508" s="294">
        <v>14</v>
      </c>
      <c r="O1508" s="170"/>
    </row>
    <row r="1509" ht="15.75" customHeight="1" spans="1:15">
      <c r="A1509" s="183" t="str">
        <f>VLOOKUP(F1509,数据集标准分类!A:G,7,0)</f>
        <v>06</v>
      </c>
      <c r="B1509" s="183" t="str">
        <f>VLOOKUP(F1509,数据集标准分类!A:F,6,0)</f>
        <v>护理病历</v>
      </c>
      <c r="C1509" s="183" t="str">
        <f>VLOOKUP(F1509,数据集标准分类!A:E,5,0)</f>
        <v>0604</v>
      </c>
      <c r="D1509" s="183" t="str">
        <f>VLOOKUP(F1509,数据集标准分类!A:D,4,0)</f>
        <v>护理记录</v>
      </c>
      <c r="E1509" s="183" t="str">
        <f>VLOOKUP(F1509,数据集标准分类!A:C,3,0)</f>
        <v>060404</v>
      </c>
      <c r="F1509" s="170" t="s">
        <v>3538</v>
      </c>
      <c r="G1509" s="183" t="str">
        <f>VLOOKUP(F1509,数据集标准分类!A:B,2,0)</f>
        <v>intake_output_record</v>
      </c>
      <c r="H1509" s="294">
        <f>VLOOKUP(F1509,数据集标准分类!A:H,8,0)</f>
        <v>106</v>
      </c>
      <c r="I1509" s="170" t="s">
        <v>2091</v>
      </c>
      <c r="J1509" s="170" t="s">
        <v>2092</v>
      </c>
      <c r="K1509" s="170" t="s">
        <v>2093</v>
      </c>
      <c r="L1509" s="170" t="s">
        <v>2094</v>
      </c>
      <c r="M1509" s="170" t="s">
        <v>2095</v>
      </c>
      <c r="N1509" s="294">
        <v>15</v>
      </c>
      <c r="O1509" s="170"/>
    </row>
    <row r="1510" ht="15.75" customHeight="1" spans="1:15">
      <c r="A1510" s="183" t="str">
        <f>VLOOKUP(F1510,数据集标准分类!A:G,7,0)</f>
        <v>06</v>
      </c>
      <c r="B1510" s="183" t="str">
        <f>VLOOKUP(F1510,数据集标准分类!A:F,6,0)</f>
        <v>护理病历</v>
      </c>
      <c r="C1510" s="183" t="str">
        <f>VLOOKUP(F1510,数据集标准分类!A:E,5,0)</f>
        <v>0604</v>
      </c>
      <c r="D1510" s="183" t="str">
        <f>VLOOKUP(F1510,数据集标准分类!A:D,4,0)</f>
        <v>护理记录</v>
      </c>
      <c r="E1510" s="183" t="str">
        <f>VLOOKUP(F1510,数据集标准分类!A:C,3,0)</f>
        <v>060404</v>
      </c>
      <c r="F1510" s="170" t="s">
        <v>3538</v>
      </c>
      <c r="G1510" s="183" t="str">
        <f>VLOOKUP(F1510,数据集标准分类!A:B,2,0)</f>
        <v>intake_output_record</v>
      </c>
      <c r="H1510" s="294">
        <f>VLOOKUP(F1510,数据集标准分类!A:H,8,0)</f>
        <v>106</v>
      </c>
      <c r="I1510" s="170" t="s">
        <v>2096</v>
      </c>
      <c r="J1510" s="170" t="s">
        <v>2097</v>
      </c>
      <c r="K1510" s="170" t="s">
        <v>2098</v>
      </c>
      <c r="L1510" s="170" t="s">
        <v>2099</v>
      </c>
      <c r="M1510" s="170" t="s">
        <v>2100</v>
      </c>
      <c r="N1510" s="294">
        <v>16</v>
      </c>
      <c r="O1510" s="170"/>
    </row>
    <row r="1511" ht="15.75" customHeight="1" spans="1:15">
      <c r="A1511" s="183" t="str">
        <f>VLOOKUP(F1511,数据集标准分类!A:G,7,0)</f>
        <v>06</v>
      </c>
      <c r="B1511" s="183" t="str">
        <f>VLOOKUP(F1511,数据集标准分类!A:F,6,0)</f>
        <v>护理病历</v>
      </c>
      <c r="C1511" s="183" t="str">
        <f>VLOOKUP(F1511,数据集标准分类!A:E,5,0)</f>
        <v>0604</v>
      </c>
      <c r="D1511" s="183" t="str">
        <f>VLOOKUP(F1511,数据集标准分类!A:D,4,0)</f>
        <v>护理记录</v>
      </c>
      <c r="E1511" s="183" t="str">
        <f>VLOOKUP(F1511,数据集标准分类!A:C,3,0)</f>
        <v>060404</v>
      </c>
      <c r="F1511" s="170" t="s">
        <v>3538</v>
      </c>
      <c r="G1511" s="183" t="str">
        <f>VLOOKUP(F1511,数据集标准分类!A:B,2,0)</f>
        <v>intake_output_record</v>
      </c>
      <c r="H1511" s="294">
        <f>VLOOKUP(F1511,数据集标准分类!A:H,8,0)</f>
        <v>106</v>
      </c>
      <c r="I1511" s="170" t="s">
        <v>197</v>
      </c>
      <c r="J1511" s="170" t="s">
        <v>198</v>
      </c>
      <c r="K1511" s="170" t="s">
        <v>2074</v>
      </c>
      <c r="L1511" s="170" t="s">
        <v>199</v>
      </c>
      <c r="M1511" s="170" t="s">
        <v>2019</v>
      </c>
      <c r="N1511" s="294">
        <v>17</v>
      </c>
      <c r="O1511" s="170"/>
    </row>
    <row r="1512" ht="15.75" customHeight="1" spans="1:15">
      <c r="A1512" s="183" t="str">
        <f>VLOOKUP(F1512,数据集标准分类!A:G,7,0)</f>
        <v>06</v>
      </c>
      <c r="B1512" s="183" t="str">
        <f>VLOOKUP(F1512,数据集标准分类!A:F,6,0)</f>
        <v>护理病历</v>
      </c>
      <c r="C1512" s="183" t="str">
        <f>VLOOKUP(F1512,数据集标准分类!A:E,5,0)</f>
        <v>0604</v>
      </c>
      <c r="D1512" s="183" t="str">
        <f>VLOOKUP(F1512,数据集标准分类!A:D,4,0)</f>
        <v>护理记录</v>
      </c>
      <c r="E1512" s="183" t="str">
        <f>VLOOKUP(F1512,数据集标准分类!A:C,3,0)</f>
        <v>060404</v>
      </c>
      <c r="F1512" s="170" t="s">
        <v>3538</v>
      </c>
      <c r="G1512" s="183" t="str">
        <f>VLOOKUP(F1512,数据集标准分类!A:B,2,0)</f>
        <v>intake_output_record</v>
      </c>
      <c r="H1512" s="294">
        <f>VLOOKUP(F1512,数据集标准分类!A:H,8,0)</f>
        <v>106</v>
      </c>
      <c r="I1512" s="170" t="s">
        <v>3539</v>
      </c>
      <c r="J1512" s="170" t="s">
        <v>3540</v>
      </c>
      <c r="K1512" s="170" t="s">
        <v>3541</v>
      </c>
      <c r="L1512" s="170" t="s">
        <v>3542</v>
      </c>
      <c r="M1512" s="170" t="s">
        <v>3543</v>
      </c>
      <c r="N1512" s="294">
        <v>18</v>
      </c>
      <c r="O1512" s="170"/>
    </row>
    <row r="1513" ht="15.75" customHeight="1" spans="1:15">
      <c r="A1513" s="183" t="str">
        <f>VLOOKUP(F1513,数据集标准分类!A:G,7,0)</f>
        <v>06</v>
      </c>
      <c r="B1513" s="183" t="str">
        <f>VLOOKUP(F1513,数据集标准分类!A:F,6,0)</f>
        <v>护理病历</v>
      </c>
      <c r="C1513" s="183" t="str">
        <f>VLOOKUP(F1513,数据集标准分类!A:E,5,0)</f>
        <v>0604</v>
      </c>
      <c r="D1513" s="183" t="str">
        <f>VLOOKUP(F1513,数据集标准分类!A:D,4,0)</f>
        <v>护理记录</v>
      </c>
      <c r="E1513" s="183" t="str">
        <f>VLOOKUP(F1513,数据集标准分类!A:C,3,0)</f>
        <v>060404</v>
      </c>
      <c r="F1513" s="170" t="s">
        <v>3538</v>
      </c>
      <c r="G1513" s="183" t="str">
        <f>VLOOKUP(F1513,数据集标准分类!A:B,2,0)</f>
        <v>intake_output_record</v>
      </c>
      <c r="H1513" s="294">
        <f>VLOOKUP(F1513,数据集标准分类!A:H,8,0)</f>
        <v>106</v>
      </c>
      <c r="I1513" s="170" t="s">
        <v>3544</v>
      </c>
      <c r="J1513" s="170" t="s">
        <v>3545</v>
      </c>
      <c r="K1513" s="170" t="s">
        <v>3546</v>
      </c>
      <c r="L1513" s="170" t="s">
        <v>3547</v>
      </c>
      <c r="M1513" s="170" t="s">
        <v>3548</v>
      </c>
      <c r="N1513" s="294">
        <v>19</v>
      </c>
      <c r="O1513" s="170"/>
    </row>
    <row r="1514" ht="15.75" customHeight="1" spans="1:15">
      <c r="A1514" s="183" t="str">
        <f>VLOOKUP(F1514,数据集标准分类!A:G,7,0)</f>
        <v>06</v>
      </c>
      <c r="B1514" s="183" t="str">
        <f>VLOOKUP(F1514,数据集标准分类!A:F,6,0)</f>
        <v>护理病历</v>
      </c>
      <c r="C1514" s="183" t="str">
        <f>VLOOKUP(F1514,数据集标准分类!A:E,5,0)</f>
        <v>0604</v>
      </c>
      <c r="D1514" s="183" t="str">
        <f>VLOOKUP(F1514,数据集标准分类!A:D,4,0)</f>
        <v>护理记录</v>
      </c>
      <c r="E1514" s="183" t="str">
        <f>VLOOKUP(F1514,数据集标准分类!A:C,3,0)</f>
        <v>060405</v>
      </c>
      <c r="F1514" s="170" t="s">
        <v>3549</v>
      </c>
      <c r="G1514" s="183" t="str">
        <f>VLOOKUP(F1514,数据集标准分类!A:B,2,0)</f>
        <v>operation_nursing_record</v>
      </c>
      <c r="H1514" s="294">
        <f>VLOOKUP(F1514,数据集标准分类!A:H,8,0)</f>
        <v>107</v>
      </c>
      <c r="I1514" s="170" t="s">
        <v>711</v>
      </c>
      <c r="J1514" s="170" t="s">
        <v>712</v>
      </c>
      <c r="K1514" s="170" t="s">
        <v>712</v>
      </c>
      <c r="L1514" s="170" t="s">
        <v>713</v>
      </c>
      <c r="M1514" s="170" t="s">
        <v>714</v>
      </c>
      <c r="N1514" s="294">
        <v>1</v>
      </c>
      <c r="O1514" s="170"/>
    </row>
    <row r="1515" ht="15.75" customHeight="1" spans="1:15">
      <c r="A1515" s="183" t="str">
        <f>VLOOKUP(F1515,数据集标准分类!A:G,7,0)</f>
        <v>06</v>
      </c>
      <c r="B1515" s="183" t="str">
        <f>VLOOKUP(F1515,数据集标准分类!A:F,6,0)</f>
        <v>护理病历</v>
      </c>
      <c r="C1515" s="183" t="str">
        <f>VLOOKUP(F1515,数据集标准分类!A:E,5,0)</f>
        <v>0604</v>
      </c>
      <c r="D1515" s="183" t="str">
        <f>VLOOKUP(F1515,数据集标准分类!A:D,4,0)</f>
        <v>护理记录</v>
      </c>
      <c r="E1515" s="183" t="str">
        <f>VLOOKUP(F1515,数据集标准分类!A:C,3,0)</f>
        <v>060405</v>
      </c>
      <c r="F1515" s="170" t="s">
        <v>3549</v>
      </c>
      <c r="G1515" s="183" t="str">
        <f>VLOOKUP(F1515,数据集标准分类!A:B,2,0)</f>
        <v>operation_nursing_record</v>
      </c>
      <c r="H1515" s="294">
        <f>VLOOKUP(F1515,数据集标准分类!A:H,8,0)</f>
        <v>107</v>
      </c>
      <c r="I1515" s="170" t="s">
        <v>77</v>
      </c>
      <c r="J1515" s="170" t="s">
        <v>78</v>
      </c>
      <c r="K1515" s="170" t="s">
        <v>79</v>
      </c>
      <c r="L1515" s="170" t="s">
        <v>80</v>
      </c>
      <c r="M1515" s="170" t="s">
        <v>310</v>
      </c>
      <c r="N1515" s="294">
        <v>2</v>
      </c>
      <c r="O1515" s="170"/>
    </row>
    <row r="1516" ht="15.75" customHeight="1" spans="1:15">
      <c r="A1516" s="183" t="str">
        <f>VLOOKUP(F1516,数据集标准分类!A:G,7,0)</f>
        <v>06</v>
      </c>
      <c r="B1516" s="183" t="str">
        <f>VLOOKUP(F1516,数据集标准分类!A:F,6,0)</f>
        <v>护理病历</v>
      </c>
      <c r="C1516" s="183" t="str">
        <f>VLOOKUP(F1516,数据集标准分类!A:E,5,0)</f>
        <v>0604</v>
      </c>
      <c r="D1516" s="183" t="str">
        <f>VLOOKUP(F1516,数据集标准分类!A:D,4,0)</f>
        <v>护理记录</v>
      </c>
      <c r="E1516" s="183" t="str">
        <f>VLOOKUP(F1516,数据集标准分类!A:C,3,0)</f>
        <v>060405</v>
      </c>
      <c r="F1516" s="170" t="s">
        <v>3549</v>
      </c>
      <c r="G1516" s="183" t="str">
        <f>VLOOKUP(F1516,数据集标准分类!A:B,2,0)</f>
        <v>operation_nursing_record</v>
      </c>
      <c r="H1516" s="294">
        <f>VLOOKUP(F1516,数据集标准分类!A:H,8,0)</f>
        <v>107</v>
      </c>
      <c r="I1516" s="170" t="s">
        <v>82</v>
      </c>
      <c r="J1516" s="170" t="s">
        <v>83</v>
      </c>
      <c r="K1516" s="170" t="s">
        <v>84</v>
      </c>
      <c r="L1516" s="170" t="s">
        <v>85</v>
      </c>
      <c r="M1516" s="170"/>
      <c r="N1516" s="294">
        <v>3</v>
      </c>
      <c r="O1516" s="170"/>
    </row>
    <row r="1517" ht="15.75" customHeight="1" spans="1:15">
      <c r="A1517" s="183" t="str">
        <f>VLOOKUP(F1517,数据集标准分类!A:G,7,0)</f>
        <v>06</v>
      </c>
      <c r="B1517" s="183" t="str">
        <f>VLOOKUP(F1517,数据集标准分类!A:F,6,0)</f>
        <v>护理病历</v>
      </c>
      <c r="C1517" s="183" t="str">
        <f>VLOOKUP(F1517,数据集标准分类!A:E,5,0)</f>
        <v>0604</v>
      </c>
      <c r="D1517" s="183" t="str">
        <f>VLOOKUP(F1517,数据集标准分类!A:D,4,0)</f>
        <v>护理记录</v>
      </c>
      <c r="E1517" s="183" t="str">
        <f>VLOOKUP(F1517,数据集标准分类!A:C,3,0)</f>
        <v>060405</v>
      </c>
      <c r="F1517" s="170" t="s">
        <v>3549</v>
      </c>
      <c r="G1517" s="183" t="str">
        <f>VLOOKUP(F1517,数据集标准分类!A:B,2,0)</f>
        <v>operation_nursing_record</v>
      </c>
      <c r="H1517" s="294">
        <f>VLOOKUP(F1517,数据集标准分类!A:H,8,0)</f>
        <v>107</v>
      </c>
      <c r="I1517" s="170" t="s">
        <v>172</v>
      </c>
      <c r="J1517" s="170" t="s">
        <v>173</v>
      </c>
      <c r="K1517" s="170" t="s">
        <v>174</v>
      </c>
      <c r="L1517" s="170" t="s">
        <v>175</v>
      </c>
      <c r="M1517" s="170"/>
      <c r="N1517" s="294">
        <v>4</v>
      </c>
      <c r="O1517" s="170"/>
    </row>
    <row r="1518" ht="15.75" customHeight="1" spans="1:15">
      <c r="A1518" s="183" t="str">
        <f>VLOOKUP(F1518,数据集标准分类!A:G,7,0)</f>
        <v>06</v>
      </c>
      <c r="B1518" s="183" t="str">
        <f>VLOOKUP(F1518,数据集标准分类!A:F,6,0)</f>
        <v>护理病历</v>
      </c>
      <c r="C1518" s="183" t="str">
        <f>VLOOKUP(F1518,数据集标准分类!A:E,5,0)</f>
        <v>0604</v>
      </c>
      <c r="D1518" s="183" t="str">
        <f>VLOOKUP(F1518,数据集标准分类!A:D,4,0)</f>
        <v>护理记录</v>
      </c>
      <c r="E1518" s="183" t="str">
        <f>VLOOKUP(F1518,数据集标准分类!A:C,3,0)</f>
        <v>060405</v>
      </c>
      <c r="F1518" s="170" t="s">
        <v>3549</v>
      </c>
      <c r="G1518" s="183" t="str">
        <f>VLOOKUP(F1518,数据集标准分类!A:B,2,0)</f>
        <v>operation_nursing_record</v>
      </c>
      <c r="H1518" s="294">
        <f>VLOOKUP(F1518,数据集标准分类!A:H,8,0)</f>
        <v>107</v>
      </c>
      <c r="I1518" s="170" t="s">
        <v>1583</v>
      </c>
      <c r="J1518" s="170" t="s">
        <v>1584</v>
      </c>
      <c r="K1518" s="170" t="s">
        <v>1585</v>
      </c>
      <c r="L1518" s="170" t="s">
        <v>1586</v>
      </c>
      <c r="M1518" s="170" t="s">
        <v>311</v>
      </c>
      <c r="N1518" s="294">
        <v>5</v>
      </c>
      <c r="O1518" s="170"/>
    </row>
    <row r="1519" ht="15.75" customHeight="1" spans="1:15">
      <c r="A1519" s="183" t="str">
        <f>VLOOKUP(F1519,数据集标准分类!A:G,7,0)</f>
        <v>06</v>
      </c>
      <c r="B1519" s="183" t="str">
        <f>VLOOKUP(F1519,数据集标准分类!A:F,6,0)</f>
        <v>护理病历</v>
      </c>
      <c r="C1519" s="183" t="str">
        <f>VLOOKUP(F1519,数据集标准分类!A:E,5,0)</f>
        <v>0604</v>
      </c>
      <c r="D1519" s="183" t="str">
        <f>VLOOKUP(F1519,数据集标准分类!A:D,4,0)</f>
        <v>护理记录</v>
      </c>
      <c r="E1519" s="183" t="str">
        <f>VLOOKUP(F1519,数据集标准分类!A:C,3,0)</f>
        <v>060405</v>
      </c>
      <c r="F1519" s="170" t="s">
        <v>3549</v>
      </c>
      <c r="G1519" s="183" t="str">
        <f>VLOOKUP(F1519,数据集标准分类!A:B,2,0)</f>
        <v>operation_nursing_record</v>
      </c>
      <c r="H1519" s="294">
        <f>VLOOKUP(F1519,数据集标准分类!A:H,8,0)</f>
        <v>107</v>
      </c>
      <c r="I1519" s="170" t="s">
        <v>192</v>
      </c>
      <c r="J1519" s="170" t="s">
        <v>193</v>
      </c>
      <c r="K1519" s="170" t="s">
        <v>194</v>
      </c>
      <c r="L1519" s="170" t="s">
        <v>195</v>
      </c>
      <c r="M1519" s="170" t="s">
        <v>1587</v>
      </c>
      <c r="N1519" s="294">
        <v>6</v>
      </c>
      <c r="O1519" s="170"/>
    </row>
    <row r="1520" ht="15.75" customHeight="1" spans="1:15">
      <c r="A1520" s="183" t="str">
        <f>VLOOKUP(F1520,数据集标准分类!A:G,7,0)</f>
        <v>06</v>
      </c>
      <c r="B1520" s="183" t="str">
        <f>VLOOKUP(F1520,数据集标准分类!A:F,6,0)</f>
        <v>护理病历</v>
      </c>
      <c r="C1520" s="183" t="str">
        <f>VLOOKUP(F1520,数据集标准分类!A:E,5,0)</f>
        <v>0604</v>
      </c>
      <c r="D1520" s="183" t="str">
        <f>VLOOKUP(F1520,数据集标准分类!A:D,4,0)</f>
        <v>护理记录</v>
      </c>
      <c r="E1520" s="183" t="str">
        <f>VLOOKUP(F1520,数据集标准分类!A:C,3,0)</f>
        <v>060405</v>
      </c>
      <c r="F1520" s="170" t="s">
        <v>3549</v>
      </c>
      <c r="G1520" s="183" t="str">
        <f>VLOOKUP(F1520,数据集标准分类!A:B,2,0)</f>
        <v>operation_nursing_record</v>
      </c>
      <c r="H1520" s="294">
        <f>VLOOKUP(F1520,数据集标准分类!A:H,8,0)</f>
        <v>107</v>
      </c>
      <c r="I1520" s="170" t="s">
        <v>245</v>
      </c>
      <c r="J1520" s="170" t="s">
        <v>246</v>
      </c>
      <c r="K1520" s="170" t="s">
        <v>247</v>
      </c>
      <c r="L1520" s="170" t="s">
        <v>248</v>
      </c>
      <c r="M1520" s="170" t="s">
        <v>3550</v>
      </c>
      <c r="N1520" s="294">
        <v>7</v>
      </c>
      <c r="O1520" s="170"/>
    </row>
    <row r="1521" ht="15.75" customHeight="1" spans="1:15">
      <c r="A1521" s="183" t="str">
        <f>VLOOKUP(F1521,数据集标准分类!A:G,7,0)</f>
        <v>06</v>
      </c>
      <c r="B1521" s="183" t="str">
        <f>VLOOKUP(F1521,数据集标准分类!A:F,6,0)</f>
        <v>护理病历</v>
      </c>
      <c r="C1521" s="183" t="str">
        <f>VLOOKUP(F1521,数据集标准分类!A:E,5,0)</f>
        <v>0604</v>
      </c>
      <c r="D1521" s="183" t="str">
        <f>VLOOKUP(F1521,数据集标准分类!A:D,4,0)</f>
        <v>护理记录</v>
      </c>
      <c r="E1521" s="183" t="str">
        <f>VLOOKUP(F1521,数据集标准分类!A:C,3,0)</f>
        <v>060405</v>
      </c>
      <c r="F1521" s="170" t="s">
        <v>3549</v>
      </c>
      <c r="G1521" s="183" t="str">
        <f>VLOOKUP(F1521,数据集标准分类!A:B,2,0)</f>
        <v>operation_nursing_record</v>
      </c>
      <c r="H1521" s="294">
        <f>VLOOKUP(F1521,数据集标准分类!A:H,8,0)</f>
        <v>107</v>
      </c>
      <c r="I1521" s="170" t="s">
        <v>1261</v>
      </c>
      <c r="J1521" s="170" t="s">
        <v>1262</v>
      </c>
      <c r="K1521" s="170" t="s">
        <v>1263</v>
      </c>
      <c r="L1521" s="170" t="s">
        <v>1264</v>
      </c>
      <c r="M1521" s="170" t="s">
        <v>1429</v>
      </c>
      <c r="N1521" s="294">
        <v>8</v>
      </c>
      <c r="O1521" s="170"/>
    </row>
    <row r="1522" ht="15.75" customHeight="1" spans="1:15">
      <c r="A1522" s="183" t="str">
        <f>VLOOKUP(F1522,数据集标准分类!A:G,7,0)</f>
        <v>06</v>
      </c>
      <c r="B1522" s="183" t="str">
        <f>VLOOKUP(F1522,数据集标准分类!A:F,6,0)</f>
        <v>护理病历</v>
      </c>
      <c r="C1522" s="183" t="str">
        <f>VLOOKUP(F1522,数据集标准分类!A:E,5,0)</f>
        <v>0604</v>
      </c>
      <c r="D1522" s="183" t="str">
        <f>VLOOKUP(F1522,数据集标准分类!A:D,4,0)</f>
        <v>护理记录</v>
      </c>
      <c r="E1522" s="183" t="str">
        <f>VLOOKUP(F1522,数据集标准分类!A:C,3,0)</f>
        <v>060405</v>
      </c>
      <c r="F1522" s="170" t="s">
        <v>3549</v>
      </c>
      <c r="G1522" s="183" t="str">
        <f>VLOOKUP(F1522,数据集标准分类!A:B,2,0)</f>
        <v>operation_nursing_record</v>
      </c>
      <c r="H1522" s="294">
        <f>VLOOKUP(F1522,数据集标准分类!A:H,8,0)</f>
        <v>107</v>
      </c>
      <c r="I1522" s="170" t="s">
        <v>3551</v>
      </c>
      <c r="J1522" s="170" t="s">
        <v>3552</v>
      </c>
      <c r="K1522" s="170" t="s">
        <v>3553</v>
      </c>
      <c r="L1522" s="170" t="s">
        <v>3554</v>
      </c>
      <c r="M1522" s="170" t="s">
        <v>1601</v>
      </c>
      <c r="N1522" s="294">
        <v>9</v>
      </c>
      <c r="O1522" s="170"/>
    </row>
    <row r="1523" ht="15.75" customHeight="1" spans="1:15">
      <c r="A1523" s="183" t="str">
        <f>VLOOKUP(F1523,数据集标准分类!A:G,7,0)</f>
        <v>06</v>
      </c>
      <c r="B1523" s="183" t="str">
        <f>VLOOKUP(F1523,数据集标准分类!A:F,6,0)</f>
        <v>护理病历</v>
      </c>
      <c r="C1523" s="183" t="str">
        <f>VLOOKUP(F1523,数据集标准分类!A:E,5,0)</f>
        <v>0604</v>
      </c>
      <c r="D1523" s="183" t="str">
        <f>VLOOKUP(F1523,数据集标准分类!A:D,4,0)</f>
        <v>护理记录</v>
      </c>
      <c r="E1523" s="183" t="str">
        <f>VLOOKUP(F1523,数据集标准分类!A:C,3,0)</f>
        <v>060405</v>
      </c>
      <c r="F1523" s="170" t="s">
        <v>3549</v>
      </c>
      <c r="G1523" s="183" t="str">
        <f>VLOOKUP(F1523,数据集标准分类!A:B,2,0)</f>
        <v>operation_nursing_record</v>
      </c>
      <c r="H1523" s="294">
        <f>VLOOKUP(F1523,数据集标准分类!A:H,8,0)</f>
        <v>107</v>
      </c>
      <c r="I1523" s="170" t="s">
        <v>1592</v>
      </c>
      <c r="J1523" s="170" t="s">
        <v>1593</v>
      </c>
      <c r="K1523" s="170" t="s">
        <v>1594</v>
      </c>
      <c r="L1523" s="170" t="s">
        <v>1595</v>
      </c>
      <c r="M1523" s="170" t="s">
        <v>1596</v>
      </c>
      <c r="N1523" s="294">
        <v>10</v>
      </c>
      <c r="O1523" s="170"/>
    </row>
    <row r="1524" ht="15.75" customHeight="1" spans="1:15">
      <c r="A1524" s="183" t="str">
        <f>VLOOKUP(F1524,数据集标准分类!A:G,7,0)</f>
        <v>06</v>
      </c>
      <c r="B1524" s="183" t="str">
        <f>VLOOKUP(F1524,数据集标准分类!A:F,6,0)</f>
        <v>护理病历</v>
      </c>
      <c r="C1524" s="183" t="str">
        <f>VLOOKUP(F1524,数据集标准分类!A:E,5,0)</f>
        <v>0604</v>
      </c>
      <c r="D1524" s="183" t="str">
        <f>VLOOKUP(F1524,数据集标准分类!A:D,4,0)</f>
        <v>护理记录</v>
      </c>
      <c r="E1524" s="183" t="str">
        <f>VLOOKUP(F1524,数据集标准分类!A:C,3,0)</f>
        <v>060405</v>
      </c>
      <c r="F1524" s="170" t="s">
        <v>3549</v>
      </c>
      <c r="G1524" s="183" t="str">
        <f>VLOOKUP(F1524,数据集标准分类!A:B,2,0)</f>
        <v>operation_nursing_record</v>
      </c>
      <c r="H1524" s="294">
        <f>VLOOKUP(F1524,数据集标准分类!A:H,8,0)</f>
        <v>107</v>
      </c>
      <c r="I1524" s="170" t="s">
        <v>503</v>
      </c>
      <c r="J1524" s="170" t="s">
        <v>504</v>
      </c>
      <c r="K1524" s="170" t="s">
        <v>505</v>
      </c>
      <c r="L1524" s="170" t="s">
        <v>506</v>
      </c>
      <c r="M1524" s="170" t="s">
        <v>1779</v>
      </c>
      <c r="N1524" s="294">
        <v>11</v>
      </c>
      <c r="O1524" s="170"/>
    </row>
    <row r="1525" ht="15.75" customHeight="1" spans="1:15">
      <c r="A1525" s="183" t="str">
        <f>VLOOKUP(F1525,数据集标准分类!A:G,7,0)</f>
        <v>06</v>
      </c>
      <c r="B1525" s="183" t="str">
        <f>VLOOKUP(F1525,数据集标准分类!A:F,6,0)</f>
        <v>护理病历</v>
      </c>
      <c r="C1525" s="183" t="str">
        <f>VLOOKUP(F1525,数据集标准分类!A:E,5,0)</f>
        <v>0604</v>
      </c>
      <c r="D1525" s="183" t="str">
        <f>VLOOKUP(F1525,数据集标准分类!A:D,4,0)</f>
        <v>护理记录</v>
      </c>
      <c r="E1525" s="183" t="str">
        <f>VLOOKUP(F1525,数据集标准分类!A:C,3,0)</f>
        <v>060405</v>
      </c>
      <c r="F1525" s="170" t="s">
        <v>3549</v>
      </c>
      <c r="G1525" s="183" t="str">
        <f>VLOOKUP(F1525,数据集标准分类!A:B,2,0)</f>
        <v>operation_nursing_record</v>
      </c>
      <c r="H1525" s="294">
        <f>VLOOKUP(F1525,数据集标准分类!A:H,8,0)</f>
        <v>107</v>
      </c>
      <c r="I1525" s="170" t="s">
        <v>508</v>
      </c>
      <c r="J1525" s="170" t="s">
        <v>509</v>
      </c>
      <c r="K1525" s="170" t="s">
        <v>510</v>
      </c>
      <c r="L1525" s="170" t="s">
        <v>511</v>
      </c>
      <c r="M1525" s="170" t="s">
        <v>116</v>
      </c>
      <c r="N1525" s="294">
        <v>12</v>
      </c>
      <c r="O1525" s="170"/>
    </row>
    <row r="1526" ht="15.75" customHeight="1" spans="1:15">
      <c r="A1526" s="183" t="str">
        <f>VLOOKUP(F1526,数据集标准分类!A:G,7,0)</f>
        <v>06</v>
      </c>
      <c r="B1526" s="183" t="str">
        <f>VLOOKUP(F1526,数据集标准分类!A:F,6,0)</f>
        <v>护理病历</v>
      </c>
      <c r="C1526" s="183" t="str">
        <f>VLOOKUP(F1526,数据集标准分类!A:E,5,0)</f>
        <v>0604</v>
      </c>
      <c r="D1526" s="183" t="str">
        <f>VLOOKUP(F1526,数据集标准分类!A:D,4,0)</f>
        <v>护理记录</v>
      </c>
      <c r="E1526" s="183" t="str">
        <f>VLOOKUP(F1526,数据集标准分类!A:C,3,0)</f>
        <v>060405</v>
      </c>
      <c r="F1526" s="170" t="s">
        <v>3549</v>
      </c>
      <c r="G1526" s="183" t="str">
        <f>VLOOKUP(F1526,数据集标准分类!A:B,2,0)</f>
        <v>operation_nursing_record</v>
      </c>
      <c r="H1526" s="294">
        <f>VLOOKUP(F1526,数据集标准分类!A:H,8,0)</f>
        <v>107</v>
      </c>
      <c r="I1526" s="170" t="s">
        <v>3555</v>
      </c>
      <c r="J1526" s="170" t="s">
        <v>3556</v>
      </c>
      <c r="K1526" s="170" t="s">
        <v>3557</v>
      </c>
      <c r="L1526" s="170" t="s">
        <v>3558</v>
      </c>
      <c r="M1526" s="170" t="s">
        <v>3559</v>
      </c>
      <c r="N1526" s="294">
        <v>13</v>
      </c>
      <c r="O1526" s="170"/>
    </row>
    <row r="1527" ht="15.75" customHeight="1" spans="1:15">
      <c r="A1527" s="183" t="str">
        <f>VLOOKUP(F1527,数据集标准分类!A:G,7,0)</f>
        <v>06</v>
      </c>
      <c r="B1527" s="183" t="str">
        <f>VLOOKUP(F1527,数据集标准分类!A:F,6,0)</f>
        <v>护理病历</v>
      </c>
      <c r="C1527" s="183" t="str">
        <f>VLOOKUP(F1527,数据集标准分类!A:E,5,0)</f>
        <v>0604</v>
      </c>
      <c r="D1527" s="183" t="str">
        <f>VLOOKUP(F1527,数据集标准分类!A:D,4,0)</f>
        <v>护理记录</v>
      </c>
      <c r="E1527" s="183" t="str">
        <f>VLOOKUP(F1527,数据集标准分类!A:C,3,0)</f>
        <v>060405</v>
      </c>
      <c r="F1527" s="170" t="s">
        <v>3549</v>
      </c>
      <c r="G1527" s="183" t="str">
        <f>VLOOKUP(F1527,数据集标准分类!A:B,2,0)</f>
        <v>operation_nursing_record</v>
      </c>
      <c r="H1527" s="294">
        <f>VLOOKUP(F1527,数据集标准分类!A:H,8,0)</f>
        <v>107</v>
      </c>
      <c r="I1527" s="170" t="s">
        <v>3436</v>
      </c>
      <c r="J1527" s="170" t="s">
        <v>3437</v>
      </c>
      <c r="K1527" s="170" t="s">
        <v>3438</v>
      </c>
      <c r="L1527" s="170" t="s">
        <v>3439</v>
      </c>
      <c r="M1527" s="170" t="s">
        <v>3440</v>
      </c>
      <c r="N1527" s="294">
        <v>14</v>
      </c>
      <c r="O1527" s="170"/>
    </row>
    <row r="1528" ht="15.75" customHeight="1" spans="1:15">
      <c r="A1528" s="183" t="str">
        <f>VLOOKUP(F1528,数据集标准分类!A:G,7,0)</f>
        <v>06</v>
      </c>
      <c r="B1528" s="183" t="str">
        <f>VLOOKUP(F1528,数据集标准分类!A:F,6,0)</f>
        <v>护理病历</v>
      </c>
      <c r="C1528" s="183" t="str">
        <f>VLOOKUP(F1528,数据集标准分类!A:E,5,0)</f>
        <v>0604</v>
      </c>
      <c r="D1528" s="183" t="str">
        <f>VLOOKUP(F1528,数据集标准分类!A:D,4,0)</f>
        <v>护理记录</v>
      </c>
      <c r="E1528" s="183" t="str">
        <f>VLOOKUP(F1528,数据集标准分类!A:C,3,0)</f>
        <v>060405</v>
      </c>
      <c r="F1528" s="170" t="s">
        <v>3549</v>
      </c>
      <c r="G1528" s="183" t="str">
        <f>VLOOKUP(F1528,数据集标准分类!A:B,2,0)</f>
        <v>operation_nursing_record</v>
      </c>
      <c r="H1528" s="294">
        <f>VLOOKUP(F1528,数据集标准分类!A:H,8,0)</f>
        <v>107</v>
      </c>
      <c r="I1528" s="170" t="s">
        <v>3441</v>
      </c>
      <c r="J1528" s="170" t="s">
        <v>3442</v>
      </c>
      <c r="K1528" s="170" t="s">
        <v>3443</v>
      </c>
      <c r="L1528" s="170" t="s">
        <v>3444</v>
      </c>
      <c r="M1528" s="170" t="s">
        <v>3445</v>
      </c>
      <c r="N1528" s="294">
        <v>15</v>
      </c>
      <c r="O1528" s="170"/>
    </row>
    <row r="1529" ht="15.75" customHeight="1" spans="1:15">
      <c r="A1529" s="183" t="str">
        <f>VLOOKUP(F1529,数据集标准分类!A:G,7,0)</f>
        <v>06</v>
      </c>
      <c r="B1529" s="183" t="str">
        <f>VLOOKUP(F1529,数据集标准分类!A:F,6,0)</f>
        <v>护理病历</v>
      </c>
      <c r="C1529" s="183" t="str">
        <f>VLOOKUP(F1529,数据集标准分类!A:E,5,0)</f>
        <v>0604</v>
      </c>
      <c r="D1529" s="183" t="str">
        <f>VLOOKUP(F1529,数据集标准分类!A:D,4,0)</f>
        <v>护理记录</v>
      </c>
      <c r="E1529" s="183" t="str">
        <f>VLOOKUP(F1529,数据集标准分类!A:C,3,0)</f>
        <v>060405</v>
      </c>
      <c r="F1529" s="170" t="s">
        <v>3549</v>
      </c>
      <c r="G1529" s="183" t="str">
        <f>VLOOKUP(F1529,数据集标准分类!A:B,2,0)</f>
        <v>operation_nursing_record</v>
      </c>
      <c r="H1529" s="294">
        <f>VLOOKUP(F1529,数据集标准分类!A:H,8,0)</f>
        <v>107</v>
      </c>
      <c r="I1529" s="170" t="s">
        <v>3229</v>
      </c>
      <c r="J1529" s="170" t="s">
        <v>3230</v>
      </c>
      <c r="K1529" s="170" t="s">
        <v>3231</v>
      </c>
      <c r="L1529" s="170" t="s">
        <v>3232</v>
      </c>
      <c r="M1529" s="170" t="s">
        <v>3233</v>
      </c>
      <c r="N1529" s="294">
        <v>16</v>
      </c>
      <c r="O1529" s="170"/>
    </row>
    <row r="1530" ht="15.75" customHeight="1" spans="1:15">
      <c r="A1530" s="183" t="str">
        <f>VLOOKUP(F1530,数据集标准分类!A:G,7,0)</f>
        <v>06</v>
      </c>
      <c r="B1530" s="183" t="str">
        <f>VLOOKUP(F1530,数据集标准分类!A:F,6,0)</f>
        <v>护理病历</v>
      </c>
      <c r="C1530" s="183" t="str">
        <f>VLOOKUP(F1530,数据集标准分类!A:E,5,0)</f>
        <v>0604</v>
      </c>
      <c r="D1530" s="183" t="str">
        <f>VLOOKUP(F1530,数据集标准分类!A:D,4,0)</f>
        <v>护理记录</v>
      </c>
      <c r="E1530" s="183" t="str">
        <f>VLOOKUP(F1530,数据集标准分类!A:C,3,0)</f>
        <v>060405</v>
      </c>
      <c r="F1530" s="170" t="s">
        <v>3549</v>
      </c>
      <c r="G1530" s="183" t="str">
        <f>VLOOKUP(F1530,数据集标准分类!A:B,2,0)</f>
        <v>operation_nursing_record</v>
      </c>
      <c r="H1530" s="294">
        <f>VLOOKUP(F1530,数据集标准分类!A:H,8,0)</f>
        <v>107</v>
      </c>
      <c r="I1530" s="170" t="s">
        <v>784</v>
      </c>
      <c r="J1530" s="170" t="s">
        <v>785</v>
      </c>
      <c r="K1530" s="170" t="s">
        <v>786</v>
      </c>
      <c r="L1530" s="170" t="s">
        <v>787</v>
      </c>
      <c r="M1530" s="170" t="s">
        <v>3234</v>
      </c>
      <c r="N1530" s="294">
        <v>17</v>
      </c>
      <c r="O1530" s="170"/>
    </row>
    <row r="1531" ht="15.75" customHeight="1" spans="1:15">
      <c r="A1531" s="183" t="str">
        <f>VLOOKUP(F1531,数据集标准分类!A:G,7,0)</f>
        <v>06</v>
      </c>
      <c r="B1531" s="183" t="str">
        <f>VLOOKUP(F1531,数据集标准分类!A:F,6,0)</f>
        <v>护理病历</v>
      </c>
      <c r="C1531" s="183" t="str">
        <f>VLOOKUP(F1531,数据集标准分类!A:E,5,0)</f>
        <v>0604</v>
      </c>
      <c r="D1531" s="183" t="str">
        <f>VLOOKUP(F1531,数据集标准分类!A:D,4,0)</f>
        <v>护理记录</v>
      </c>
      <c r="E1531" s="183" t="str">
        <f>VLOOKUP(F1531,数据集标准分类!A:C,3,0)</f>
        <v>060405</v>
      </c>
      <c r="F1531" s="170" t="s">
        <v>3549</v>
      </c>
      <c r="G1531" s="183" t="str">
        <f>VLOOKUP(F1531,数据集标准分类!A:B,2,0)</f>
        <v>operation_nursing_record</v>
      </c>
      <c r="H1531" s="294">
        <f>VLOOKUP(F1531,数据集标准分类!A:H,8,0)</f>
        <v>107</v>
      </c>
      <c r="I1531" s="170" t="s">
        <v>3493</v>
      </c>
      <c r="J1531" s="170" t="s">
        <v>3494</v>
      </c>
      <c r="K1531" s="170" t="s">
        <v>3495</v>
      </c>
      <c r="L1531" s="170" t="s">
        <v>3496</v>
      </c>
      <c r="M1531" s="170" t="s">
        <v>3502</v>
      </c>
      <c r="N1531" s="294">
        <v>18</v>
      </c>
      <c r="O1531" s="170"/>
    </row>
    <row r="1532" ht="15.75" customHeight="1" spans="1:15">
      <c r="A1532" s="183" t="str">
        <f>VLOOKUP(F1532,数据集标准分类!A:G,7,0)</f>
        <v>06</v>
      </c>
      <c r="B1532" s="183" t="str">
        <f>VLOOKUP(F1532,数据集标准分类!A:F,6,0)</f>
        <v>护理病历</v>
      </c>
      <c r="C1532" s="183" t="str">
        <f>VLOOKUP(F1532,数据集标准分类!A:E,5,0)</f>
        <v>0604</v>
      </c>
      <c r="D1532" s="183" t="str">
        <f>VLOOKUP(F1532,数据集标准分类!A:D,4,0)</f>
        <v>护理记录</v>
      </c>
      <c r="E1532" s="183" t="str">
        <f>VLOOKUP(F1532,数据集标准分类!A:C,3,0)</f>
        <v>060405</v>
      </c>
      <c r="F1532" s="170" t="s">
        <v>3549</v>
      </c>
      <c r="G1532" s="183" t="str">
        <f>VLOOKUP(F1532,数据集标准分类!A:B,2,0)</f>
        <v>operation_nursing_record</v>
      </c>
      <c r="H1532" s="294">
        <f>VLOOKUP(F1532,数据集标准分类!A:H,8,0)</f>
        <v>107</v>
      </c>
      <c r="I1532" s="170" t="s">
        <v>3498</v>
      </c>
      <c r="J1532" s="170" t="s">
        <v>3499</v>
      </c>
      <c r="K1532" s="170" t="s">
        <v>3500</v>
      </c>
      <c r="L1532" s="170" t="s">
        <v>3501</v>
      </c>
      <c r="M1532" s="170" t="s">
        <v>3497</v>
      </c>
      <c r="N1532" s="294">
        <v>19</v>
      </c>
      <c r="O1532" s="170"/>
    </row>
    <row r="1533" ht="15.75" customHeight="1" spans="1:15">
      <c r="A1533" s="183" t="str">
        <f>VLOOKUP(F1533,数据集标准分类!A:G,7,0)</f>
        <v>06</v>
      </c>
      <c r="B1533" s="183" t="str">
        <f>VLOOKUP(F1533,数据集标准分类!A:F,6,0)</f>
        <v>护理病历</v>
      </c>
      <c r="C1533" s="183" t="str">
        <f>VLOOKUP(F1533,数据集标准分类!A:E,5,0)</f>
        <v>0604</v>
      </c>
      <c r="D1533" s="183" t="str">
        <f>VLOOKUP(F1533,数据集标准分类!A:D,4,0)</f>
        <v>护理记录</v>
      </c>
      <c r="E1533" s="183" t="str">
        <f>VLOOKUP(F1533,数据集标准分类!A:C,3,0)</f>
        <v>060405</v>
      </c>
      <c r="F1533" s="170" t="s">
        <v>3549</v>
      </c>
      <c r="G1533" s="183" t="str">
        <f>VLOOKUP(F1533,数据集标准分类!A:B,2,0)</f>
        <v>operation_nursing_record</v>
      </c>
      <c r="H1533" s="294">
        <f>VLOOKUP(F1533,数据集标准分类!A:H,8,0)</f>
        <v>107</v>
      </c>
      <c r="I1533" s="170" t="s">
        <v>3503</v>
      </c>
      <c r="J1533" s="170" t="s">
        <v>3504</v>
      </c>
      <c r="K1533" s="170" t="s">
        <v>3505</v>
      </c>
      <c r="L1533" s="170" t="s">
        <v>3506</v>
      </c>
      <c r="M1533" s="170" t="s">
        <v>3507</v>
      </c>
      <c r="N1533" s="294">
        <v>20</v>
      </c>
      <c r="O1533" s="170"/>
    </row>
    <row r="1534" ht="15.75" customHeight="1" spans="1:15">
      <c r="A1534" s="183" t="str">
        <f>VLOOKUP(F1534,数据集标准分类!A:G,7,0)</f>
        <v>06</v>
      </c>
      <c r="B1534" s="183" t="str">
        <f>VLOOKUP(F1534,数据集标准分类!A:F,6,0)</f>
        <v>护理病历</v>
      </c>
      <c r="C1534" s="183" t="str">
        <f>VLOOKUP(F1534,数据集标准分类!A:E,5,0)</f>
        <v>0604</v>
      </c>
      <c r="D1534" s="183" t="str">
        <f>VLOOKUP(F1534,数据集标准分类!A:D,4,0)</f>
        <v>护理记录</v>
      </c>
      <c r="E1534" s="183" t="str">
        <f>VLOOKUP(F1534,数据集标准分类!A:C,3,0)</f>
        <v>060405</v>
      </c>
      <c r="F1534" s="170" t="s">
        <v>3549</v>
      </c>
      <c r="G1534" s="183" t="str">
        <f>VLOOKUP(F1534,数据集标准分类!A:B,2,0)</f>
        <v>operation_nursing_record</v>
      </c>
      <c r="H1534" s="294">
        <f>VLOOKUP(F1534,数据集标准分类!A:H,8,0)</f>
        <v>107</v>
      </c>
      <c r="I1534" s="170" t="s">
        <v>3560</v>
      </c>
      <c r="J1534" s="170" t="s">
        <v>3561</v>
      </c>
      <c r="K1534" s="170" t="s">
        <v>3562</v>
      </c>
      <c r="L1534" s="170" t="s">
        <v>3563</v>
      </c>
      <c r="M1534" s="170" t="s">
        <v>3564</v>
      </c>
      <c r="N1534" s="294">
        <v>21</v>
      </c>
      <c r="O1534" s="170"/>
    </row>
    <row r="1535" ht="15.75" customHeight="1" spans="1:15">
      <c r="A1535" s="183" t="str">
        <f>VLOOKUP(F1535,数据集标准分类!A:G,7,0)</f>
        <v>06</v>
      </c>
      <c r="B1535" s="183" t="str">
        <f>VLOOKUP(F1535,数据集标准分类!A:F,6,0)</f>
        <v>护理病历</v>
      </c>
      <c r="C1535" s="183" t="str">
        <f>VLOOKUP(F1535,数据集标准分类!A:E,5,0)</f>
        <v>0604</v>
      </c>
      <c r="D1535" s="183" t="str">
        <f>VLOOKUP(F1535,数据集标准分类!A:D,4,0)</f>
        <v>护理记录</v>
      </c>
      <c r="E1535" s="183" t="str">
        <f>VLOOKUP(F1535,数据集标准分类!A:C,3,0)</f>
        <v>060405</v>
      </c>
      <c r="F1535" s="170" t="s">
        <v>3549</v>
      </c>
      <c r="G1535" s="183" t="str">
        <f>VLOOKUP(F1535,数据集标准分类!A:B,2,0)</f>
        <v>operation_nursing_record</v>
      </c>
      <c r="H1535" s="294">
        <f>VLOOKUP(F1535,数据集标准分类!A:H,8,0)</f>
        <v>107</v>
      </c>
      <c r="I1535" s="170" t="s">
        <v>2069</v>
      </c>
      <c r="J1535" s="170" t="s">
        <v>2070</v>
      </c>
      <c r="K1535" s="170" t="s">
        <v>2071</v>
      </c>
      <c r="L1535" s="170" t="s">
        <v>2072</v>
      </c>
      <c r="M1535" s="170" t="s">
        <v>2073</v>
      </c>
      <c r="N1535" s="294">
        <v>22</v>
      </c>
      <c r="O1535" s="170"/>
    </row>
    <row r="1536" ht="15.75" customHeight="1" spans="1:15">
      <c r="A1536" s="183" t="str">
        <f>VLOOKUP(F1536,数据集标准分类!A:G,7,0)</f>
        <v>06</v>
      </c>
      <c r="B1536" s="183" t="str">
        <f>VLOOKUP(F1536,数据集标准分类!A:F,6,0)</f>
        <v>护理病历</v>
      </c>
      <c r="C1536" s="183" t="str">
        <f>VLOOKUP(F1536,数据集标准分类!A:E,5,0)</f>
        <v>0604</v>
      </c>
      <c r="D1536" s="183" t="str">
        <f>VLOOKUP(F1536,数据集标准分类!A:D,4,0)</f>
        <v>护理记录</v>
      </c>
      <c r="E1536" s="183" t="str">
        <f>VLOOKUP(F1536,数据集标准分类!A:C,3,0)</f>
        <v>060405</v>
      </c>
      <c r="F1536" s="170" t="s">
        <v>3549</v>
      </c>
      <c r="G1536" s="183" t="str">
        <f>VLOOKUP(F1536,数据集标准分类!A:B,2,0)</f>
        <v>operation_nursing_record</v>
      </c>
      <c r="H1536" s="294">
        <f>VLOOKUP(F1536,数据集标准分类!A:H,8,0)</f>
        <v>107</v>
      </c>
      <c r="I1536" s="170" t="s">
        <v>3565</v>
      </c>
      <c r="J1536" s="170" t="s">
        <v>3566</v>
      </c>
      <c r="K1536" s="170" t="s">
        <v>3567</v>
      </c>
      <c r="L1536" s="170" t="s">
        <v>3568</v>
      </c>
      <c r="M1536" s="170" t="s">
        <v>3569</v>
      </c>
      <c r="N1536" s="294">
        <v>23</v>
      </c>
      <c r="O1536" s="170"/>
    </row>
    <row r="1537" ht="15.75" customHeight="1" spans="1:15">
      <c r="A1537" s="183" t="str">
        <f>VLOOKUP(F1537,数据集标准分类!A:G,7,0)</f>
        <v>06</v>
      </c>
      <c r="B1537" s="183" t="str">
        <f>VLOOKUP(F1537,数据集标准分类!A:F,6,0)</f>
        <v>护理病历</v>
      </c>
      <c r="C1537" s="183" t="str">
        <f>VLOOKUP(F1537,数据集标准分类!A:E,5,0)</f>
        <v>0604</v>
      </c>
      <c r="D1537" s="183" t="str">
        <f>VLOOKUP(F1537,数据集标准分类!A:D,4,0)</f>
        <v>护理记录</v>
      </c>
      <c r="E1537" s="183" t="str">
        <f>VLOOKUP(F1537,数据集标准分类!A:C,3,0)</f>
        <v>060405</v>
      </c>
      <c r="F1537" s="170" t="s">
        <v>3549</v>
      </c>
      <c r="G1537" s="183" t="str">
        <f>VLOOKUP(F1537,数据集标准分类!A:B,2,0)</f>
        <v>operation_nursing_record</v>
      </c>
      <c r="H1537" s="294">
        <f>VLOOKUP(F1537,数据集标准分类!A:H,8,0)</f>
        <v>107</v>
      </c>
      <c r="I1537" s="170" t="s">
        <v>3570</v>
      </c>
      <c r="J1537" s="170" t="s">
        <v>3571</v>
      </c>
      <c r="K1537" s="170" t="s">
        <v>3572</v>
      </c>
      <c r="L1537" s="170" t="s">
        <v>3573</v>
      </c>
      <c r="M1537" s="170" t="s">
        <v>3574</v>
      </c>
      <c r="N1537" s="294">
        <v>24</v>
      </c>
      <c r="O1537" s="170"/>
    </row>
    <row r="1538" ht="15.75" customHeight="1" spans="1:15">
      <c r="A1538" s="183" t="str">
        <f>VLOOKUP(F1538,数据集标准分类!A:G,7,0)</f>
        <v>06</v>
      </c>
      <c r="B1538" s="183" t="str">
        <f>VLOOKUP(F1538,数据集标准分类!A:F,6,0)</f>
        <v>护理病历</v>
      </c>
      <c r="C1538" s="183" t="str">
        <f>VLOOKUP(F1538,数据集标准分类!A:E,5,0)</f>
        <v>0604</v>
      </c>
      <c r="D1538" s="183" t="str">
        <f>VLOOKUP(F1538,数据集标准分类!A:D,4,0)</f>
        <v>护理记录</v>
      </c>
      <c r="E1538" s="183" t="str">
        <f>VLOOKUP(F1538,数据集标准分类!A:C,3,0)</f>
        <v>060405</v>
      </c>
      <c r="F1538" s="170" t="s">
        <v>3549</v>
      </c>
      <c r="G1538" s="183" t="str">
        <f>VLOOKUP(F1538,数据集标准分类!A:B,2,0)</f>
        <v>operation_nursing_record</v>
      </c>
      <c r="H1538" s="294">
        <f>VLOOKUP(F1538,数据集标准分类!A:H,8,0)</f>
        <v>107</v>
      </c>
      <c r="I1538" s="170" t="s">
        <v>3575</v>
      </c>
      <c r="J1538" s="170" t="s">
        <v>3576</v>
      </c>
      <c r="K1538" s="170" t="s">
        <v>3577</v>
      </c>
      <c r="L1538" s="170" t="s">
        <v>3578</v>
      </c>
      <c r="M1538" s="170" t="s">
        <v>3579</v>
      </c>
      <c r="N1538" s="294">
        <v>25</v>
      </c>
      <c r="O1538" s="170"/>
    </row>
    <row r="1539" ht="15.75" customHeight="1" spans="1:15">
      <c r="A1539" s="183" t="str">
        <f>VLOOKUP(F1539,数据集标准分类!A:G,7,0)</f>
        <v>06</v>
      </c>
      <c r="B1539" s="183" t="str">
        <f>VLOOKUP(F1539,数据集标准分类!A:F,6,0)</f>
        <v>护理病历</v>
      </c>
      <c r="C1539" s="183" t="str">
        <f>VLOOKUP(F1539,数据集标准分类!A:E,5,0)</f>
        <v>0604</v>
      </c>
      <c r="D1539" s="183" t="str">
        <f>VLOOKUP(F1539,数据集标准分类!A:D,4,0)</f>
        <v>护理记录</v>
      </c>
      <c r="E1539" s="183" t="str">
        <f>VLOOKUP(F1539,数据集标准分类!A:C,3,0)</f>
        <v>060405</v>
      </c>
      <c r="F1539" s="170" t="s">
        <v>3549</v>
      </c>
      <c r="G1539" s="183" t="str">
        <f>VLOOKUP(F1539,数据集标准分类!A:B,2,0)</f>
        <v>operation_nursing_record</v>
      </c>
      <c r="H1539" s="294">
        <f>VLOOKUP(F1539,数据集标准分类!A:H,8,0)</f>
        <v>107</v>
      </c>
      <c r="I1539" s="170" t="s">
        <v>3580</v>
      </c>
      <c r="J1539" s="170" t="s">
        <v>3581</v>
      </c>
      <c r="K1539" s="170" t="s">
        <v>3582</v>
      </c>
      <c r="L1539" s="170" t="s">
        <v>3583</v>
      </c>
      <c r="M1539" s="170" t="s">
        <v>3584</v>
      </c>
      <c r="N1539" s="294">
        <v>26</v>
      </c>
      <c r="O1539" s="170"/>
    </row>
    <row r="1540" ht="15.75" customHeight="1" spans="1:15">
      <c r="A1540" s="183" t="str">
        <f>VLOOKUP(F1540,数据集标准分类!A:G,7,0)</f>
        <v>06</v>
      </c>
      <c r="B1540" s="183" t="str">
        <f>VLOOKUP(F1540,数据集标准分类!A:F,6,0)</f>
        <v>护理病历</v>
      </c>
      <c r="C1540" s="183" t="str">
        <f>VLOOKUP(F1540,数据集标准分类!A:E,5,0)</f>
        <v>0604</v>
      </c>
      <c r="D1540" s="183" t="str">
        <f>VLOOKUP(F1540,数据集标准分类!A:D,4,0)</f>
        <v>护理记录</v>
      </c>
      <c r="E1540" s="183" t="str">
        <f>VLOOKUP(F1540,数据集标准分类!A:C,3,0)</f>
        <v>060405</v>
      </c>
      <c r="F1540" s="170" t="s">
        <v>3549</v>
      </c>
      <c r="G1540" s="183" t="str">
        <f>VLOOKUP(F1540,数据集标准分类!A:B,2,0)</f>
        <v>operation_nursing_record</v>
      </c>
      <c r="H1540" s="294">
        <f>VLOOKUP(F1540,数据集标准分类!A:H,8,0)</f>
        <v>107</v>
      </c>
      <c r="I1540" s="170" t="s">
        <v>3585</v>
      </c>
      <c r="J1540" s="170" t="s">
        <v>3586</v>
      </c>
      <c r="K1540" s="170" t="s">
        <v>3587</v>
      </c>
      <c r="L1540" s="170" t="s">
        <v>3588</v>
      </c>
      <c r="M1540" s="170" t="s">
        <v>3589</v>
      </c>
      <c r="N1540" s="294">
        <v>27</v>
      </c>
      <c r="O1540" s="170"/>
    </row>
    <row r="1541" ht="15.75" customHeight="1" spans="1:15">
      <c r="A1541" s="183" t="str">
        <f>VLOOKUP(F1541,数据集标准分类!A:G,7,0)</f>
        <v>06</v>
      </c>
      <c r="B1541" s="183" t="str">
        <f>VLOOKUP(F1541,数据集标准分类!A:F,6,0)</f>
        <v>护理病历</v>
      </c>
      <c r="C1541" s="183" t="str">
        <f>VLOOKUP(F1541,数据集标准分类!A:E,5,0)</f>
        <v>0604</v>
      </c>
      <c r="D1541" s="183" t="str">
        <f>VLOOKUP(F1541,数据集标准分类!A:D,4,0)</f>
        <v>护理记录</v>
      </c>
      <c r="E1541" s="183" t="str">
        <f>VLOOKUP(F1541,数据集标准分类!A:C,3,0)</f>
        <v>060405</v>
      </c>
      <c r="F1541" s="170" t="s">
        <v>3549</v>
      </c>
      <c r="G1541" s="183" t="str">
        <f>VLOOKUP(F1541,数据集标准分类!A:B,2,0)</f>
        <v>operation_nursing_record</v>
      </c>
      <c r="H1541" s="294">
        <f>VLOOKUP(F1541,数据集标准分类!A:H,8,0)</f>
        <v>107</v>
      </c>
      <c r="I1541" s="170" t="s">
        <v>3590</v>
      </c>
      <c r="J1541" s="170" t="s">
        <v>3591</v>
      </c>
      <c r="K1541" s="170" t="s">
        <v>3592</v>
      </c>
      <c r="L1541" s="170" t="s">
        <v>3593</v>
      </c>
      <c r="M1541" s="170" t="s">
        <v>3594</v>
      </c>
      <c r="N1541" s="294">
        <v>28</v>
      </c>
      <c r="O1541" s="170"/>
    </row>
    <row r="1542" ht="15.75" customHeight="1" spans="1:15">
      <c r="A1542" s="183" t="str">
        <f>VLOOKUP(F1542,数据集标准分类!A:G,7,0)</f>
        <v>06</v>
      </c>
      <c r="B1542" s="183" t="str">
        <f>VLOOKUP(F1542,数据集标准分类!A:F,6,0)</f>
        <v>护理病历</v>
      </c>
      <c r="C1542" s="183" t="str">
        <f>VLOOKUP(F1542,数据集标准分类!A:E,5,0)</f>
        <v>0604</v>
      </c>
      <c r="D1542" s="183" t="str">
        <f>VLOOKUP(F1542,数据集标准分类!A:D,4,0)</f>
        <v>护理记录</v>
      </c>
      <c r="E1542" s="183" t="str">
        <f>VLOOKUP(F1542,数据集标准分类!A:C,3,0)</f>
        <v>060405</v>
      </c>
      <c r="F1542" s="170" t="s">
        <v>3549</v>
      </c>
      <c r="G1542" s="183" t="str">
        <f>VLOOKUP(F1542,数据集标准分类!A:B,2,0)</f>
        <v>operation_nursing_record</v>
      </c>
      <c r="H1542" s="294">
        <f>VLOOKUP(F1542,数据集标准分类!A:H,8,0)</f>
        <v>107</v>
      </c>
      <c r="I1542" s="170" t="s">
        <v>3595</v>
      </c>
      <c r="J1542" s="170" t="s">
        <v>3596</v>
      </c>
      <c r="K1542" s="170" t="s">
        <v>3597</v>
      </c>
      <c r="L1542" s="170" t="s">
        <v>3598</v>
      </c>
      <c r="M1542" s="170" t="s">
        <v>3599</v>
      </c>
      <c r="N1542" s="294">
        <v>29</v>
      </c>
      <c r="O1542" s="170"/>
    </row>
    <row r="1543" ht="15.75" customHeight="1" spans="1:15">
      <c r="A1543" s="183" t="str">
        <f>VLOOKUP(F1543,数据集标准分类!A:G,7,0)</f>
        <v>06</v>
      </c>
      <c r="B1543" s="183" t="str">
        <f>VLOOKUP(F1543,数据集标准分类!A:F,6,0)</f>
        <v>护理病历</v>
      </c>
      <c r="C1543" s="183" t="str">
        <f>VLOOKUP(F1543,数据集标准分类!A:E,5,0)</f>
        <v>0604</v>
      </c>
      <c r="D1543" s="183" t="str">
        <f>VLOOKUP(F1543,数据集标准分类!A:D,4,0)</f>
        <v>护理记录</v>
      </c>
      <c r="E1543" s="183" t="str">
        <f>VLOOKUP(F1543,数据集标准分类!A:C,3,0)</f>
        <v>060405</v>
      </c>
      <c r="F1543" s="170" t="s">
        <v>3549</v>
      </c>
      <c r="G1543" s="183" t="str">
        <f>VLOOKUP(F1543,数据集标准分类!A:B,2,0)</f>
        <v>operation_nursing_record</v>
      </c>
      <c r="H1543" s="294">
        <f>VLOOKUP(F1543,数据集标准分类!A:H,8,0)</f>
        <v>107</v>
      </c>
      <c r="I1543" s="170" t="s">
        <v>3600</v>
      </c>
      <c r="J1543" s="170" t="s">
        <v>3601</v>
      </c>
      <c r="K1543" s="170" t="s">
        <v>3602</v>
      </c>
      <c r="L1543" s="170" t="s">
        <v>3603</v>
      </c>
      <c r="M1543" s="170" t="s">
        <v>3604</v>
      </c>
      <c r="N1543" s="294">
        <v>30</v>
      </c>
      <c r="O1543" s="170"/>
    </row>
    <row r="1544" ht="15.75" customHeight="1" spans="1:15">
      <c r="A1544" s="183" t="str">
        <f>VLOOKUP(F1544,数据集标准分类!A:G,7,0)</f>
        <v>06</v>
      </c>
      <c r="B1544" s="183" t="str">
        <f>VLOOKUP(F1544,数据集标准分类!A:F,6,0)</f>
        <v>护理病历</v>
      </c>
      <c r="C1544" s="183" t="str">
        <f>VLOOKUP(F1544,数据集标准分类!A:E,5,0)</f>
        <v>0604</v>
      </c>
      <c r="D1544" s="183" t="str">
        <f>VLOOKUP(F1544,数据集标准分类!A:D,4,0)</f>
        <v>护理记录</v>
      </c>
      <c r="E1544" s="183" t="str">
        <f>VLOOKUP(F1544,数据集标准分类!A:C,3,0)</f>
        <v>060406</v>
      </c>
      <c r="F1544" s="170" t="s">
        <v>3605</v>
      </c>
      <c r="G1544" s="183" t="str">
        <f>VLOOKUP(F1544,数据集标准分类!A:B,2,0)</f>
        <v>cr_svr_nsg_rec</v>
      </c>
      <c r="H1544" s="294">
        <f>VLOOKUP(F1544,数据集标准分类!A:H,8,0)</f>
        <v>108</v>
      </c>
      <c r="I1544" s="170" t="s">
        <v>569</v>
      </c>
      <c r="J1544" s="170" t="s">
        <v>570</v>
      </c>
      <c r="K1544" s="170" t="s">
        <v>571</v>
      </c>
      <c r="L1544" s="170" t="s">
        <v>572</v>
      </c>
      <c r="M1544" s="170" t="s">
        <v>1225</v>
      </c>
      <c r="N1544" s="294">
        <v>1</v>
      </c>
      <c r="O1544" s="170"/>
    </row>
    <row r="1545" ht="15.75" customHeight="1" spans="1:15">
      <c r="A1545" s="183" t="str">
        <f>VLOOKUP(F1545,数据集标准分类!A:G,7,0)</f>
        <v>06</v>
      </c>
      <c r="B1545" s="183" t="str">
        <f>VLOOKUP(F1545,数据集标准分类!A:F,6,0)</f>
        <v>护理病历</v>
      </c>
      <c r="C1545" s="183" t="str">
        <f>VLOOKUP(F1545,数据集标准分类!A:E,5,0)</f>
        <v>0604</v>
      </c>
      <c r="D1545" s="183" t="str">
        <f>VLOOKUP(F1545,数据集标准分类!A:D,4,0)</f>
        <v>护理记录</v>
      </c>
      <c r="E1545" s="183" t="str">
        <f>VLOOKUP(F1545,数据集标准分类!A:C,3,0)</f>
        <v>060406</v>
      </c>
      <c r="F1545" s="170" t="s">
        <v>3605</v>
      </c>
      <c r="G1545" s="183" t="str">
        <f>VLOOKUP(F1545,数据集标准分类!A:B,2,0)</f>
        <v>cr_svr_nsg_rec</v>
      </c>
      <c r="H1545" s="294">
        <f>VLOOKUP(F1545,数据集标准分类!A:H,8,0)</f>
        <v>108</v>
      </c>
      <c r="I1545" s="170" t="s">
        <v>3436</v>
      </c>
      <c r="J1545" s="170" t="s">
        <v>3437</v>
      </c>
      <c r="K1545" s="170" t="s">
        <v>3438</v>
      </c>
      <c r="L1545" s="170" t="s">
        <v>3439</v>
      </c>
      <c r="M1545" s="170" t="s">
        <v>3440</v>
      </c>
      <c r="N1545" s="294">
        <v>2</v>
      </c>
      <c r="O1545" s="170"/>
    </row>
    <row r="1546" ht="15.75" customHeight="1" spans="1:15">
      <c r="A1546" s="183" t="str">
        <f>VLOOKUP(F1546,数据集标准分类!A:G,7,0)</f>
        <v>06</v>
      </c>
      <c r="B1546" s="183" t="str">
        <f>VLOOKUP(F1546,数据集标准分类!A:F,6,0)</f>
        <v>护理病历</v>
      </c>
      <c r="C1546" s="183" t="str">
        <f>VLOOKUP(F1546,数据集标准分类!A:E,5,0)</f>
        <v>0604</v>
      </c>
      <c r="D1546" s="183" t="str">
        <f>VLOOKUP(F1546,数据集标准分类!A:D,4,0)</f>
        <v>护理记录</v>
      </c>
      <c r="E1546" s="183" t="str">
        <f>VLOOKUP(F1546,数据集标准分类!A:C,3,0)</f>
        <v>060406</v>
      </c>
      <c r="F1546" s="170" t="s">
        <v>3605</v>
      </c>
      <c r="G1546" s="183" t="str">
        <f>VLOOKUP(F1546,数据集标准分类!A:B,2,0)</f>
        <v>cr_svr_nsg_rec</v>
      </c>
      <c r="H1546" s="294">
        <f>VLOOKUP(F1546,数据集标准分类!A:H,8,0)</f>
        <v>108</v>
      </c>
      <c r="I1546" s="170" t="s">
        <v>3441</v>
      </c>
      <c r="J1546" s="170" t="s">
        <v>3442</v>
      </c>
      <c r="K1546" s="170" t="s">
        <v>3443</v>
      </c>
      <c r="L1546" s="170" t="s">
        <v>3444</v>
      </c>
      <c r="M1546" s="170" t="s">
        <v>3445</v>
      </c>
      <c r="N1546" s="294">
        <v>3</v>
      </c>
      <c r="O1546" s="170"/>
    </row>
    <row r="1547" ht="15.75" customHeight="1" spans="1:15">
      <c r="A1547" s="183" t="str">
        <f>VLOOKUP(F1547,数据集标准分类!A:G,7,0)</f>
        <v>06</v>
      </c>
      <c r="B1547" s="183" t="str">
        <f>VLOOKUP(F1547,数据集标准分类!A:F,6,0)</f>
        <v>护理病历</v>
      </c>
      <c r="C1547" s="183" t="str">
        <f>VLOOKUP(F1547,数据集标准分类!A:E,5,0)</f>
        <v>0604</v>
      </c>
      <c r="D1547" s="183" t="str">
        <f>VLOOKUP(F1547,数据集标准分类!A:D,4,0)</f>
        <v>护理记录</v>
      </c>
      <c r="E1547" s="183" t="str">
        <f>VLOOKUP(F1547,数据集标准分类!A:C,3,0)</f>
        <v>060406</v>
      </c>
      <c r="F1547" s="170" t="s">
        <v>3605</v>
      </c>
      <c r="G1547" s="183" t="str">
        <f>VLOOKUP(F1547,数据集标准分类!A:B,2,0)</f>
        <v>cr_svr_nsg_rec</v>
      </c>
      <c r="H1547" s="294">
        <f>VLOOKUP(F1547,数据集标准分类!A:H,8,0)</f>
        <v>108</v>
      </c>
      <c r="I1547" s="170" t="s">
        <v>508</v>
      </c>
      <c r="J1547" s="170" t="s">
        <v>509</v>
      </c>
      <c r="K1547" s="170" t="s">
        <v>510</v>
      </c>
      <c r="L1547" s="170" t="s">
        <v>511</v>
      </c>
      <c r="M1547" s="170" t="s">
        <v>116</v>
      </c>
      <c r="N1547" s="294">
        <v>4</v>
      </c>
      <c r="O1547" s="170"/>
    </row>
    <row r="1548" ht="15.75" customHeight="1" spans="1:15">
      <c r="A1548" s="183" t="str">
        <f>VLOOKUP(F1548,数据集标准分类!A:G,7,0)</f>
        <v>06</v>
      </c>
      <c r="B1548" s="183" t="str">
        <f>VLOOKUP(F1548,数据集标准分类!A:F,6,0)</f>
        <v>护理病历</v>
      </c>
      <c r="C1548" s="183" t="str">
        <f>VLOOKUP(F1548,数据集标准分类!A:E,5,0)</f>
        <v>0604</v>
      </c>
      <c r="D1548" s="183" t="str">
        <f>VLOOKUP(F1548,数据集标准分类!A:D,4,0)</f>
        <v>护理记录</v>
      </c>
      <c r="E1548" s="183" t="str">
        <f>VLOOKUP(F1548,数据集标准分类!A:C,3,0)</f>
        <v>060406</v>
      </c>
      <c r="F1548" s="170" t="s">
        <v>3605</v>
      </c>
      <c r="G1548" s="183" t="str">
        <f>VLOOKUP(F1548,数据集标准分类!A:B,2,0)</f>
        <v>cr_svr_nsg_rec</v>
      </c>
      <c r="H1548" s="294">
        <f>VLOOKUP(F1548,数据集标准分类!A:H,8,0)</f>
        <v>108</v>
      </c>
      <c r="I1548" s="170" t="s">
        <v>172</v>
      </c>
      <c r="J1548" s="170" t="s">
        <v>173</v>
      </c>
      <c r="K1548" s="170" t="s">
        <v>174</v>
      </c>
      <c r="L1548" s="170" t="s">
        <v>175</v>
      </c>
      <c r="M1548" s="170" t="s">
        <v>1245</v>
      </c>
      <c r="N1548" s="294">
        <v>5</v>
      </c>
      <c r="O1548" s="170"/>
    </row>
    <row r="1549" ht="15.75" customHeight="1" spans="1:15">
      <c r="A1549" s="183" t="str">
        <f>VLOOKUP(F1549,数据集标准分类!A:G,7,0)</f>
        <v>06</v>
      </c>
      <c r="B1549" s="183" t="str">
        <f>VLOOKUP(F1549,数据集标准分类!A:F,6,0)</f>
        <v>护理病历</v>
      </c>
      <c r="C1549" s="183" t="str">
        <f>VLOOKUP(F1549,数据集标准分类!A:E,5,0)</f>
        <v>0604</v>
      </c>
      <c r="D1549" s="183" t="str">
        <f>VLOOKUP(F1549,数据集标准分类!A:D,4,0)</f>
        <v>护理记录</v>
      </c>
      <c r="E1549" s="183" t="str">
        <f>VLOOKUP(F1549,数据集标准分类!A:C,3,0)</f>
        <v>060406</v>
      </c>
      <c r="F1549" s="170" t="s">
        <v>3605</v>
      </c>
      <c r="G1549" s="183" t="str">
        <f>VLOOKUP(F1549,数据集标准分类!A:B,2,0)</f>
        <v>cr_svr_nsg_rec</v>
      </c>
      <c r="H1549" s="294">
        <f>VLOOKUP(F1549,数据集标准分类!A:H,8,0)</f>
        <v>108</v>
      </c>
      <c r="I1549" s="170" t="s">
        <v>711</v>
      </c>
      <c r="J1549" s="170" t="s">
        <v>712</v>
      </c>
      <c r="K1549" s="170" t="s">
        <v>712</v>
      </c>
      <c r="L1549" s="170" t="s">
        <v>713</v>
      </c>
      <c r="M1549" s="170" t="s">
        <v>714</v>
      </c>
      <c r="N1549" s="294">
        <v>6</v>
      </c>
      <c r="O1549" s="170"/>
    </row>
    <row r="1550" ht="15.75" customHeight="1" spans="1:15">
      <c r="A1550" s="183" t="str">
        <f>VLOOKUP(F1550,数据集标准分类!A:G,7,0)</f>
        <v>06</v>
      </c>
      <c r="B1550" s="183" t="str">
        <f>VLOOKUP(F1550,数据集标准分类!A:F,6,0)</f>
        <v>护理病历</v>
      </c>
      <c r="C1550" s="183" t="str">
        <f>VLOOKUP(F1550,数据集标准分类!A:E,5,0)</f>
        <v>0604</v>
      </c>
      <c r="D1550" s="183" t="str">
        <f>VLOOKUP(F1550,数据集标准分类!A:D,4,0)</f>
        <v>护理记录</v>
      </c>
      <c r="E1550" s="183" t="str">
        <f>VLOOKUP(F1550,数据集标准分类!A:C,3,0)</f>
        <v>060406</v>
      </c>
      <c r="F1550" s="170" t="s">
        <v>3605</v>
      </c>
      <c r="G1550" s="183" t="str">
        <f>VLOOKUP(F1550,数据集标准分类!A:B,2,0)</f>
        <v>cr_svr_nsg_rec</v>
      </c>
      <c r="H1550" s="294">
        <f>VLOOKUP(F1550,数据集标准分类!A:H,8,0)</f>
        <v>108</v>
      </c>
      <c r="I1550" s="170" t="s">
        <v>684</v>
      </c>
      <c r="J1550" s="170" t="s">
        <v>685</v>
      </c>
      <c r="K1550" s="170" t="s">
        <v>686</v>
      </c>
      <c r="L1550" s="170" t="s">
        <v>687</v>
      </c>
      <c r="M1550" s="170" t="s">
        <v>688</v>
      </c>
      <c r="N1550" s="294">
        <v>7</v>
      </c>
      <c r="O1550" s="170"/>
    </row>
    <row r="1551" ht="15.75" customHeight="1" spans="1:15">
      <c r="A1551" s="183" t="str">
        <f>VLOOKUP(F1551,数据集标准分类!A:G,7,0)</f>
        <v>06</v>
      </c>
      <c r="B1551" s="183" t="str">
        <f>VLOOKUP(F1551,数据集标准分类!A:F,6,0)</f>
        <v>护理病历</v>
      </c>
      <c r="C1551" s="183" t="str">
        <f>VLOOKUP(F1551,数据集标准分类!A:E,5,0)</f>
        <v>0604</v>
      </c>
      <c r="D1551" s="183" t="str">
        <f>VLOOKUP(F1551,数据集标准分类!A:D,4,0)</f>
        <v>护理记录</v>
      </c>
      <c r="E1551" s="183" t="str">
        <f>VLOOKUP(F1551,数据集标准分类!A:C,3,0)</f>
        <v>060406</v>
      </c>
      <c r="F1551" s="170" t="s">
        <v>3605</v>
      </c>
      <c r="G1551" s="183" t="str">
        <f>VLOOKUP(F1551,数据集标准分类!A:B,2,0)</f>
        <v>cr_svr_nsg_rec</v>
      </c>
      <c r="H1551" s="294">
        <f>VLOOKUP(F1551,数据集标准分类!A:H,8,0)</f>
        <v>108</v>
      </c>
      <c r="I1551" s="170" t="s">
        <v>1949</v>
      </c>
      <c r="J1551" s="170" t="s">
        <v>1950</v>
      </c>
      <c r="K1551" s="170" t="s">
        <v>1951</v>
      </c>
      <c r="L1551" s="170" t="s">
        <v>1952</v>
      </c>
      <c r="M1551" s="170" t="s">
        <v>2056</v>
      </c>
      <c r="N1551" s="294">
        <v>8</v>
      </c>
      <c r="O1551" s="170"/>
    </row>
    <row r="1552" ht="15.75" customHeight="1" spans="1:15">
      <c r="A1552" s="183" t="str">
        <f>VLOOKUP(F1552,数据集标准分类!A:G,7,0)</f>
        <v>06</v>
      </c>
      <c r="B1552" s="183" t="str">
        <f>VLOOKUP(F1552,数据集标准分类!A:F,6,0)</f>
        <v>护理病历</v>
      </c>
      <c r="C1552" s="183" t="str">
        <f>VLOOKUP(F1552,数据集标准分类!A:E,5,0)</f>
        <v>0604</v>
      </c>
      <c r="D1552" s="183" t="str">
        <f>VLOOKUP(F1552,数据集标准分类!A:D,4,0)</f>
        <v>护理记录</v>
      </c>
      <c r="E1552" s="183" t="str">
        <f>VLOOKUP(F1552,数据集标准分类!A:C,3,0)</f>
        <v>060406</v>
      </c>
      <c r="F1552" s="170" t="s">
        <v>3605</v>
      </c>
      <c r="G1552" s="183" t="str">
        <f>VLOOKUP(F1552,数据集标准分类!A:B,2,0)</f>
        <v>cr_svr_nsg_rec</v>
      </c>
      <c r="H1552" s="294">
        <f>VLOOKUP(F1552,数据集标准分类!A:H,8,0)</f>
        <v>108</v>
      </c>
      <c r="I1552" s="170" t="s">
        <v>694</v>
      </c>
      <c r="J1552" s="170" t="s">
        <v>695</v>
      </c>
      <c r="K1552" s="170" t="s">
        <v>696</v>
      </c>
      <c r="L1552" s="170" t="s">
        <v>697</v>
      </c>
      <c r="M1552" s="170" t="s">
        <v>2057</v>
      </c>
      <c r="N1552" s="294">
        <v>9</v>
      </c>
      <c r="O1552" s="170"/>
    </row>
    <row r="1553" ht="15.75" customHeight="1" spans="1:15">
      <c r="A1553" s="183" t="str">
        <f>VLOOKUP(F1553,数据集标准分类!A:G,7,0)</f>
        <v>06</v>
      </c>
      <c r="B1553" s="183" t="str">
        <f>VLOOKUP(F1553,数据集标准分类!A:F,6,0)</f>
        <v>护理病历</v>
      </c>
      <c r="C1553" s="183" t="str">
        <f>VLOOKUP(F1553,数据集标准分类!A:E,5,0)</f>
        <v>0604</v>
      </c>
      <c r="D1553" s="183" t="str">
        <f>VLOOKUP(F1553,数据集标准分类!A:D,4,0)</f>
        <v>护理记录</v>
      </c>
      <c r="E1553" s="183" t="str">
        <f>VLOOKUP(F1553,数据集标准分类!A:C,3,0)</f>
        <v>060406</v>
      </c>
      <c r="F1553" s="170" t="s">
        <v>3605</v>
      </c>
      <c r="G1553" s="183" t="str">
        <f>VLOOKUP(F1553,数据集标准分类!A:B,2,0)</f>
        <v>cr_svr_nsg_rec</v>
      </c>
      <c r="H1553" s="294">
        <f>VLOOKUP(F1553,数据集标准分类!A:H,8,0)</f>
        <v>108</v>
      </c>
      <c r="I1553" s="170" t="s">
        <v>699</v>
      </c>
      <c r="J1553" s="170" t="s">
        <v>700</v>
      </c>
      <c r="K1553" s="170" t="s">
        <v>700</v>
      </c>
      <c r="L1553" s="170" t="s">
        <v>701</v>
      </c>
      <c r="M1553" s="170" t="s">
        <v>702</v>
      </c>
      <c r="N1553" s="294">
        <v>10</v>
      </c>
      <c r="O1553" s="170"/>
    </row>
    <row r="1554" ht="15.75" customHeight="1" spans="1:15">
      <c r="A1554" s="183" t="str">
        <f>VLOOKUP(F1554,数据集标准分类!A:G,7,0)</f>
        <v>06</v>
      </c>
      <c r="B1554" s="183" t="str">
        <f>VLOOKUP(F1554,数据集标准分类!A:F,6,0)</f>
        <v>护理病历</v>
      </c>
      <c r="C1554" s="183" t="str">
        <f>VLOOKUP(F1554,数据集标准分类!A:E,5,0)</f>
        <v>0604</v>
      </c>
      <c r="D1554" s="183" t="str">
        <f>VLOOKUP(F1554,数据集标准分类!A:D,4,0)</f>
        <v>护理记录</v>
      </c>
      <c r="E1554" s="183" t="str">
        <f>VLOOKUP(F1554,数据集标准分类!A:C,3,0)</f>
        <v>060406</v>
      </c>
      <c r="F1554" s="170" t="s">
        <v>3605</v>
      </c>
      <c r="G1554" s="183" t="str">
        <f>VLOOKUP(F1554,数据集标准分类!A:B,2,0)</f>
        <v>cr_svr_nsg_rec</v>
      </c>
      <c r="H1554" s="294">
        <f>VLOOKUP(F1554,数据集标准分类!A:H,8,0)</f>
        <v>108</v>
      </c>
      <c r="I1554" s="170" t="s">
        <v>703</v>
      </c>
      <c r="J1554" s="170" t="s">
        <v>704</v>
      </c>
      <c r="K1554" s="170" t="s">
        <v>704</v>
      </c>
      <c r="L1554" s="170" t="s">
        <v>705</v>
      </c>
      <c r="M1554" s="170" t="s">
        <v>706</v>
      </c>
      <c r="N1554" s="294">
        <v>11</v>
      </c>
      <c r="O1554" s="170"/>
    </row>
    <row r="1555" ht="15.75" customHeight="1" spans="1:15">
      <c r="A1555" s="183" t="str">
        <f>VLOOKUP(F1555,数据集标准分类!A:G,7,0)</f>
        <v>06</v>
      </c>
      <c r="B1555" s="183" t="str">
        <f>VLOOKUP(F1555,数据集标准分类!A:F,6,0)</f>
        <v>护理病历</v>
      </c>
      <c r="C1555" s="183" t="str">
        <f>VLOOKUP(F1555,数据集标准分类!A:E,5,0)</f>
        <v>0604</v>
      </c>
      <c r="D1555" s="183" t="str">
        <f>VLOOKUP(F1555,数据集标准分类!A:D,4,0)</f>
        <v>护理记录</v>
      </c>
      <c r="E1555" s="183" t="str">
        <f>VLOOKUP(F1555,数据集标准分类!A:C,3,0)</f>
        <v>060406</v>
      </c>
      <c r="F1555" s="170" t="s">
        <v>3605</v>
      </c>
      <c r="G1555" s="183" t="str">
        <f>VLOOKUP(F1555,数据集标准分类!A:B,2,0)</f>
        <v>cr_svr_nsg_rec</v>
      </c>
      <c r="H1555" s="294">
        <f>VLOOKUP(F1555,数据集标准分类!A:H,8,0)</f>
        <v>108</v>
      </c>
      <c r="I1555" s="170" t="s">
        <v>3606</v>
      </c>
      <c r="J1555" s="170" t="s">
        <v>3607</v>
      </c>
      <c r="K1555" s="170" t="s">
        <v>3608</v>
      </c>
      <c r="L1555" s="170" t="s">
        <v>3609</v>
      </c>
      <c r="M1555" s="170" t="s">
        <v>3610</v>
      </c>
      <c r="N1555" s="294">
        <v>12</v>
      </c>
      <c r="O1555" s="170"/>
    </row>
    <row r="1556" ht="15.75" customHeight="1" spans="1:15">
      <c r="A1556" s="183" t="str">
        <f>VLOOKUP(F1556,数据集标准分类!A:G,7,0)</f>
        <v>06</v>
      </c>
      <c r="B1556" s="183" t="str">
        <f>VLOOKUP(F1556,数据集标准分类!A:F,6,0)</f>
        <v>护理病历</v>
      </c>
      <c r="C1556" s="183" t="str">
        <f>VLOOKUP(F1556,数据集标准分类!A:E,5,0)</f>
        <v>0604</v>
      </c>
      <c r="D1556" s="183" t="str">
        <f>VLOOKUP(F1556,数据集标准分类!A:D,4,0)</f>
        <v>护理记录</v>
      </c>
      <c r="E1556" s="183" t="str">
        <f>VLOOKUP(F1556,数据集标准分类!A:C,3,0)</f>
        <v>060406</v>
      </c>
      <c r="F1556" s="170" t="s">
        <v>3605</v>
      </c>
      <c r="G1556" s="183" t="str">
        <f>VLOOKUP(F1556,数据集标准分类!A:B,2,0)</f>
        <v>cr_svr_nsg_rec</v>
      </c>
      <c r="H1556" s="294">
        <f>VLOOKUP(F1556,数据集标准分类!A:H,8,0)</f>
        <v>108</v>
      </c>
      <c r="I1556" s="170" t="s">
        <v>3260</v>
      </c>
      <c r="J1556" s="170" t="s">
        <v>3261</v>
      </c>
      <c r="K1556" s="170" t="s">
        <v>3262</v>
      </c>
      <c r="L1556" s="170" t="s">
        <v>3263</v>
      </c>
      <c r="M1556" s="170" t="s">
        <v>3264</v>
      </c>
      <c r="N1556" s="294">
        <v>13</v>
      </c>
      <c r="O1556" s="170"/>
    </row>
    <row r="1557" ht="15.75" customHeight="1" spans="1:15">
      <c r="A1557" s="183" t="str">
        <f>VLOOKUP(F1557,数据集标准分类!A:G,7,0)</f>
        <v>06</v>
      </c>
      <c r="B1557" s="183" t="str">
        <f>VLOOKUP(F1557,数据集标准分类!A:F,6,0)</f>
        <v>护理病历</v>
      </c>
      <c r="C1557" s="183" t="str">
        <f>VLOOKUP(F1557,数据集标准分类!A:E,5,0)</f>
        <v>0604</v>
      </c>
      <c r="D1557" s="183" t="str">
        <f>VLOOKUP(F1557,数据集标准分类!A:D,4,0)</f>
        <v>护理记录</v>
      </c>
      <c r="E1557" s="183" t="str">
        <f>VLOOKUP(F1557,数据集标准分类!A:C,3,0)</f>
        <v>060406</v>
      </c>
      <c r="F1557" s="170" t="s">
        <v>3605</v>
      </c>
      <c r="G1557" s="183" t="str">
        <f>VLOOKUP(F1557,数据集标准分类!A:B,2,0)</f>
        <v>cr_svr_nsg_rec</v>
      </c>
      <c r="H1557" s="294">
        <f>VLOOKUP(F1557,数据集标准分类!A:H,8,0)</f>
        <v>108</v>
      </c>
      <c r="I1557" s="170" t="s">
        <v>3229</v>
      </c>
      <c r="J1557" s="170" t="s">
        <v>3230</v>
      </c>
      <c r="K1557" s="170" t="s">
        <v>3231</v>
      </c>
      <c r="L1557" s="170" t="s">
        <v>3232</v>
      </c>
      <c r="M1557" s="170" t="s">
        <v>3233</v>
      </c>
      <c r="N1557" s="294">
        <v>14</v>
      </c>
      <c r="O1557" s="170"/>
    </row>
    <row r="1558" ht="15.75" customHeight="1" spans="1:15">
      <c r="A1558" s="183" t="str">
        <f>VLOOKUP(F1558,数据集标准分类!A:G,7,0)</f>
        <v>06</v>
      </c>
      <c r="B1558" s="183" t="str">
        <f>VLOOKUP(F1558,数据集标准分类!A:F,6,0)</f>
        <v>护理病历</v>
      </c>
      <c r="C1558" s="183" t="str">
        <f>VLOOKUP(F1558,数据集标准分类!A:E,5,0)</f>
        <v>0604</v>
      </c>
      <c r="D1558" s="183" t="str">
        <f>VLOOKUP(F1558,数据集标准分类!A:D,4,0)</f>
        <v>护理记录</v>
      </c>
      <c r="E1558" s="183" t="str">
        <f>VLOOKUP(F1558,数据集标准分类!A:C,3,0)</f>
        <v>060406</v>
      </c>
      <c r="F1558" s="170" t="s">
        <v>3605</v>
      </c>
      <c r="G1558" s="183" t="str">
        <f>VLOOKUP(F1558,数据集标准分类!A:B,2,0)</f>
        <v>cr_svr_nsg_rec</v>
      </c>
      <c r="H1558" s="294">
        <f>VLOOKUP(F1558,数据集标准分类!A:H,8,0)</f>
        <v>108</v>
      </c>
      <c r="I1558" s="170" t="s">
        <v>784</v>
      </c>
      <c r="J1558" s="170" t="s">
        <v>785</v>
      </c>
      <c r="K1558" s="170" t="s">
        <v>786</v>
      </c>
      <c r="L1558" s="170" t="s">
        <v>787</v>
      </c>
      <c r="M1558" s="170" t="s">
        <v>3234</v>
      </c>
      <c r="N1558" s="294">
        <v>15</v>
      </c>
      <c r="O1558" s="170"/>
    </row>
    <row r="1559" ht="15.75" customHeight="1" spans="1:15">
      <c r="A1559" s="183" t="str">
        <f>VLOOKUP(F1559,数据集标准分类!A:G,7,0)</f>
        <v>06</v>
      </c>
      <c r="B1559" s="183" t="str">
        <f>VLOOKUP(F1559,数据集标准分类!A:F,6,0)</f>
        <v>护理病历</v>
      </c>
      <c r="C1559" s="183" t="str">
        <f>VLOOKUP(F1559,数据集标准分类!A:E,5,0)</f>
        <v>0604</v>
      </c>
      <c r="D1559" s="183" t="str">
        <f>VLOOKUP(F1559,数据集标准分类!A:D,4,0)</f>
        <v>护理记录</v>
      </c>
      <c r="E1559" s="183" t="str">
        <f>VLOOKUP(F1559,数据集标准分类!A:C,3,0)</f>
        <v>060406</v>
      </c>
      <c r="F1559" s="170" t="s">
        <v>3605</v>
      </c>
      <c r="G1559" s="183" t="str">
        <f>VLOOKUP(F1559,数据集标准分类!A:B,2,0)</f>
        <v>cr_svr_nsg_rec</v>
      </c>
      <c r="H1559" s="294">
        <f>VLOOKUP(F1559,数据集标准分类!A:H,8,0)</f>
        <v>108</v>
      </c>
      <c r="I1559" s="170" t="s">
        <v>3493</v>
      </c>
      <c r="J1559" s="170" t="s">
        <v>3494</v>
      </c>
      <c r="K1559" s="170" t="s">
        <v>3495</v>
      </c>
      <c r="L1559" s="170" t="s">
        <v>3496</v>
      </c>
      <c r="M1559" s="170" t="s">
        <v>3497</v>
      </c>
      <c r="N1559" s="294">
        <v>16</v>
      </c>
      <c r="O1559" s="170"/>
    </row>
    <row r="1560" ht="15.75" customHeight="1" spans="1:15">
      <c r="A1560" s="183" t="str">
        <f>VLOOKUP(F1560,数据集标准分类!A:G,7,0)</f>
        <v>06</v>
      </c>
      <c r="B1560" s="183" t="str">
        <f>VLOOKUP(F1560,数据集标准分类!A:F,6,0)</f>
        <v>护理病历</v>
      </c>
      <c r="C1560" s="183" t="str">
        <f>VLOOKUP(F1560,数据集标准分类!A:E,5,0)</f>
        <v>0604</v>
      </c>
      <c r="D1560" s="183" t="str">
        <f>VLOOKUP(F1560,数据集标准分类!A:D,4,0)</f>
        <v>护理记录</v>
      </c>
      <c r="E1560" s="183" t="str">
        <f>VLOOKUP(F1560,数据集标准分类!A:C,3,0)</f>
        <v>060406</v>
      </c>
      <c r="F1560" s="170" t="s">
        <v>3605</v>
      </c>
      <c r="G1560" s="183" t="str">
        <f>VLOOKUP(F1560,数据集标准分类!A:B,2,0)</f>
        <v>cr_svr_nsg_rec</v>
      </c>
      <c r="H1560" s="294">
        <f>VLOOKUP(F1560,数据集标准分类!A:H,8,0)</f>
        <v>108</v>
      </c>
      <c r="I1560" s="170" t="s">
        <v>3498</v>
      </c>
      <c r="J1560" s="170" t="s">
        <v>3499</v>
      </c>
      <c r="K1560" s="170" t="s">
        <v>3500</v>
      </c>
      <c r="L1560" s="170" t="s">
        <v>3501</v>
      </c>
      <c r="M1560" s="170" t="s">
        <v>3502</v>
      </c>
      <c r="N1560" s="294">
        <v>17</v>
      </c>
      <c r="O1560" s="170"/>
    </row>
    <row r="1561" ht="15.75" customHeight="1" spans="1:15">
      <c r="A1561" s="183" t="str">
        <f>VLOOKUP(F1561,数据集标准分类!A:G,7,0)</f>
        <v>06</v>
      </c>
      <c r="B1561" s="183" t="str">
        <f>VLOOKUP(F1561,数据集标准分类!A:F,6,0)</f>
        <v>护理病历</v>
      </c>
      <c r="C1561" s="183" t="str">
        <f>VLOOKUP(F1561,数据集标准分类!A:E,5,0)</f>
        <v>0604</v>
      </c>
      <c r="D1561" s="183" t="str">
        <f>VLOOKUP(F1561,数据集标准分类!A:D,4,0)</f>
        <v>护理记录</v>
      </c>
      <c r="E1561" s="183" t="str">
        <f>VLOOKUP(F1561,数据集标准分类!A:C,3,0)</f>
        <v>060406</v>
      </c>
      <c r="F1561" s="170" t="s">
        <v>3605</v>
      </c>
      <c r="G1561" s="183" t="str">
        <f>VLOOKUP(F1561,数据集标准分类!A:B,2,0)</f>
        <v>cr_svr_nsg_rec</v>
      </c>
      <c r="H1561" s="294">
        <f>VLOOKUP(F1561,数据集标准分类!A:H,8,0)</f>
        <v>108</v>
      </c>
      <c r="I1561" s="170" t="s">
        <v>3503</v>
      </c>
      <c r="J1561" s="170" t="s">
        <v>3504</v>
      </c>
      <c r="K1561" s="170" t="s">
        <v>3505</v>
      </c>
      <c r="L1561" s="170" t="s">
        <v>3506</v>
      </c>
      <c r="M1561" s="170" t="s">
        <v>3507</v>
      </c>
      <c r="N1561" s="294">
        <v>18</v>
      </c>
      <c r="O1561" s="170"/>
    </row>
    <row r="1562" ht="15.75" customHeight="1" spans="1:15">
      <c r="A1562" s="183" t="str">
        <f>VLOOKUP(F1562,数据集标准分类!A:G,7,0)</f>
        <v>06</v>
      </c>
      <c r="B1562" s="183" t="str">
        <f>VLOOKUP(F1562,数据集标准分类!A:F,6,0)</f>
        <v>护理病历</v>
      </c>
      <c r="C1562" s="183" t="str">
        <f>VLOOKUP(F1562,数据集标准分类!A:E,5,0)</f>
        <v>0604</v>
      </c>
      <c r="D1562" s="183" t="str">
        <f>VLOOKUP(F1562,数据集标准分类!A:D,4,0)</f>
        <v>护理记录</v>
      </c>
      <c r="E1562" s="183" t="str">
        <f>VLOOKUP(F1562,数据集标准分类!A:C,3,0)</f>
        <v>060406</v>
      </c>
      <c r="F1562" s="170" t="s">
        <v>3605</v>
      </c>
      <c r="G1562" s="183" t="str">
        <f>VLOOKUP(F1562,数据集标准分类!A:B,2,0)</f>
        <v>cr_svr_nsg_rec</v>
      </c>
      <c r="H1562" s="294">
        <f>VLOOKUP(F1562,数据集标准分类!A:H,8,0)</f>
        <v>108</v>
      </c>
      <c r="I1562" s="170" t="s">
        <v>3611</v>
      </c>
      <c r="J1562" s="170" t="s">
        <v>3612</v>
      </c>
      <c r="K1562" s="170" t="s">
        <v>3613</v>
      </c>
      <c r="L1562" s="170" t="s">
        <v>3614</v>
      </c>
      <c r="M1562" s="170" t="s">
        <v>3615</v>
      </c>
      <c r="N1562" s="294">
        <v>19</v>
      </c>
      <c r="O1562" s="170"/>
    </row>
    <row r="1563" ht="15.75" customHeight="1" spans="1:15">
      <c r="A1563" s="183" t="str">
        <f>VLOOKUP(F1563,数据集标准分类!A:G,7,0)</f>
        <v>06</v>
      </c>
      <c r="B1563" s="183" t="str">
        <f>VLOOKUP(F1563,数据集标准分类!A:F,6,0)</f>
        <v>护理病历</v>
      </c>
      <c r="C1563" s="183" t="str">
        <f>VLOOKUP(F1563,数据集标准分类!A:E,5,0)</f>
        <v>0605</v>
      </c>
      <c r="D1563" s="183" t="str">
        <f>VLOOKUP(F1563,数据集标准分类!A:D,4,0)</f>
        <v>护理计划</v>
      </c>
      <c r="E1563" s="183" t="str">
        <f>VLOOKUP(F1563,数据集标准分类!A:C,3,0)</f>
        <v>060501</v>
      </c>
      <c r="F1563" s="170" t="s">
        <v>3616</v>
      </c>
      <c r="G1563" s="183" t="str">
        <f>VLOOKUP(F1563,数据集标准分类!A:B,2,0)</f>
        <v>nursing_plan</v>
      </c>
      <c r="H1563" s="294">
        <f>VLOOKUP(F1563,数据集标准分类!A:H,8,0)</f>
        <v>109</v>
      </c>
      <c r="I1563" s="170" t="s">
        <v>2242</v>
      </c>
      <c r="J1563" s="170" t="s">
        <v>2243</v>
      </c>
      <c r="K1563" s="170" t="s">
        <v>2244</v>
      </c>
      <c r="L1563" s="170" t="s">
        <v>2836</v>
      </c>
      <c r="M1563" s="170"/>
      <c r="N1563" s="294">
        <v>1</v>
      </c>
      <c r="O1563" s="170"/>
    </row>
    <row r="1564" ht="15.75" customHeight="1" spans="1:15">
      <c r="A1564" s="183" t="str">
        <f>VLOOKUP(F1564,数据集标准分类!A:G,7,0)</f>
        <v>06</v>
      </c>
      <c r="B1564" s="183" t="str">
        <f>VLOOKUP(F1564,数据集标准分类!A:F,6,0)</f>
        <v>护理病历</v>
      </c>
      <c r="C1564" s="183" t="str">
        <f>VLOOKUP(F1564,数据集标准分类!A:E,5,0)</f>
        <v>0605</v>
      </c>
      <c r="D1564" s="183" t="str">
        <f>VLOOKUP(F1564,数据集标准分类!A:D,4,0)</f>
        <v>护理计划</v>
      </c>
      <c r="E1564" s="183" t="str">
        <f>VLOOKUP(F1564,数据集标准分类!A:C,3,0)</f>
        <v>060501</v>
      </c>
      <c r="F1564" s="170" t="s">
        <v>3616</v>
      </c>
      <c r="G1564" s="183" t="str">
        <f>VLOOKUP(F1564,数据集标准分类!A:B,2,0)</f>
        <v>nursing_plan</v>
      </c>
      <c r="H1564" s="294">
        <f>VLOOKUP(F1564,数据集标准分类!A:H,8,0)</f>
        <v>109</v>
      </c>
      <c r="I1564" s="170" t="s">
        <v>3617</v>
      </c>
      <c r="J1564" s="170" t="s">
        <v>3618</v>
      </c>
      <c r="K1564" s="170" t="s">
        <v>3619</v>
      </c>
      <c r="L1564" s="170" t="s">
        <v>3620</v>
      </c>
      <c r="M1564" s="170"/>
      <c r="N1564" s="294">
        <v>2</v>
      </c>
      <c r="O1564" s="170"/>
    </row>
    <row r="1565" ht="15.75" customHeight="1" spans="1:15">
      <c r="A1565" s="183" t="str">
        <f>VLOOKUP(F1565,数据集标准分类!A:G,7,0)</f>
        <v>06</v>
      </c>
      <c r="B1565" s="183" t="str">
        <f>VLOOKUP(F1565,数据集标准分类!A:F,6,0)</f>
        <v>护理病历</v>
      </c>
      <c r="C1565" s="183" t="str">
        <f>VLOOKUP(F1565,数据集标准分类!A:E,5,0)</f>
        <v>0605</v>
      </c>
      <c r="D1565" s="183" t="str">
        <f>VLOOKUP(F1565,数据集标准分类!A:D,4,0)</f>
        <v>护理计划</v>
      </c>
      <c r="E1565" s="183" t="str">
        <f>VLOOKUP(F1565,数据集标准分类!A:C,3,0)</f>
        <v>060501</v>
      </c>
      <c r="F1565" s="170" t="s">
        <v>3616</v>
      </c>
      <c r="G1565" s="183" t="str">
        <f>VLOOKUP(F1565,数据集标准分类!A:B,2,0)</f>
        <v>nursing_plan</v>
      </c>
      <c r="H1565" s="294">
        <f>VLOOKUP(F1565,数据集标准分类!A:H,8,0)</f>
        <v>109</v>
      </c>
      <c r="I1565" s="170" t="s">
        <v>1774</v>
      </c>
      <c r="J1565" s="170" t="s">
        <v>1775</v>
      </c>
      <c r="K1565" s="170" t="s">
        <v>1776</v>
      </c>
      <c r="L1565" s="170" t="s">
        <v>1777</v>
      </c>
      <c r="M1565" s="170"/>
      <c r="N1565" s="294">
        <v>3</v>
      </c>
      <c r="O1565" s="170"/>
    </row>
    <row r="1566" ht="15.75" customHeight="1" spans="1:15">
      <c r="A1566" s="183" t="str">
        <f>VLOOKUP(F1566,数据集标准分类!A:G,7,0)</f>
        <v>06</v>
      </c>
      <c r="B1566" s="183" t="str">
        <f>VLOOKUP(F1566,数据集标准分类!A:F,6,0)</f>
        <v>护理病历</v>
      </c>
      <c r="C1566" s="183" t="str">
        <f>VLOOKUP(F1566,数据集标准分类!A:E,5,0)</f>
        <v>0605</v>
      </c>
      <c r="D1566" s="183" t="str">
        <f>VLOOKUP(F1566,数据集标准分类!A:D,4,0)</f>
        <v>护理计划</v>
      </c>
      <c r="E1566" s="183" t="str">
        <f>VLOOKUP(F1566,数据集标准分类!A:C,3,0)</f>
        <v>060501</v>
      </c>
      <c r="F1566" s="170" t="s">
        <v>3616</v>
      </c>
      <c r="G1566" s="183" t="str">
        <f>VLOOKUP(F1566,数据集标准分类!A:B,2,0)</f>
        <v>nursing_plan</v>
      </c>
      <c r="H1566" s="294">
        <f>VLOOKUP(F1566,数据集标准分类!A:H,8,0)</f>
        <v>109</v>
      </c>
      <c r="I1566" s="170" t="s">
        <v>3621</v>
      </c>
      <c r="J1566" s="170" t="s">
        <v>3622</v>
      </c>
      <c r="K1566" s="170" t="s">
        <v>3623</v>
      </c>
      <c r="L1566" s="170" t="s">
        <v>3624</v>
      </c>
      <c r="M1566" s="170"/>
      <c r="N1566" s="294">
        <v>4</v>
      </c>
      <c r="O1566" s="170"/>
    </row>
    <row r="1567" ht="15.75" customHeight="1" spans="1:15">
      <c r="A1567" s="183" t="str">
        <f>VLOOKUP(F1567,数据集标准分类!A:G,7,0)</f>
        <v>06</v>
      </c>
      <c r="B1567" s="183" t="str">
        <f>VLOOKUP(F1567,数据集标准分类!A:F,6,0)</f>
        <v>护理病历</v>
      </c>
      <c r="C1567" s="183" t="str">
        <f>VLOOKUP(F1567,数据集标准分类!A:E,5,0)</f>
        <v>0605</v>
      </c>
      <c r="D1567" s="183" t="str">
        <f>VLOOKUP(F1567,数据集标准分类!A:D,4,0)</f>
        <v>护理计划</v>
      </c>
      <c r="E1567" s="183" t="str">
        <f>VLOOKUP(F1567,数据集标准分类!A:C,3,0)</f>
        <v>060501</v>
      </c>
      <c r="F1567" s="170" t="s">
        <v>3616</v>
      </c>
      <c r="G1567" s="183" t="str">
        <f>VLOOKUP(F1567,数据集标准分类!A:B,2,0)</f>
        <v>nursing_plan</v>
      </c>
      <c r="H1567" s="294">
        <f>VLOOKUP(F1567,数据集标准分类!A:H,8,0)</f>
        <v>109</v>
      </c>
      <c r="I1567" s="170" t="s">
        <v>3625</v>
      </c>
      <c r="J1567" s="170" t="s">
        <v>3626</v>
      </c>
      <c r="K1567" s="170" t="s">
        <v>3627</v>
      </c>
      <c r="L1567" s="170" t="s">
        <v>3628</v>
      </c>
      <c r="M1567" s="170"/>
      <c r="N1567" s="294">
        <v>5</v>
      </c>
      <c r="O1567" s="170"/>
    </row>
    <row r="1568" ht="15.75" customHeight="1" spans="1:15">
      <c r="A1568" s="183" t="str">
        <f>VLOOKUP(F1568,数据集标准分类!A:G,7,0)</f>
        <v>06</v>
      </c>
      <c r="B1568" s="183" t="str">
        <f>VLOOKUP(F1568,数据集标准分类!A:F,6,0)</f>
        <v>护理病历</v>
      </c>
      <c r="C1568" s="183" t="str">
        <f>VLOOKUP(F1568,数据集标准分类!A:E,5,0)</f>
        <v>0605</v>
      </c>
      <c r="D1568" s="183" t="str">
        <f>VLOOKUP(F1568,数据集标准分类!A:D,4,0)</f>
        <v>护理计划</v>
      </c>
      <c r="E1568" s="183" t="str">
        <f>VLOOKUP(F1568,数据集标准分类!A:C,3,0)</f>
        <v>060501</v>
      </c>
      <c r="F1568" s="170" t="s">
        <v>3616</v>
      </c>
      <c r="G1568" s="183" t="str">
        <f>VLOOKUP(F1568,数据集标准分类!A:B,2,0)</f>
        <v>nursing_plan</v>
      </c>
      <c r="H1568" s="294">
        <f>VLOOKUP(F1568,数据集标准分类!A:H,8,0)</f>
        <v>109</v>
      </c>
      <c r="I1568" s="170" t="s">
        <v>3629</v>
      </c>
      <c r="J1568" s="170" t="s">
        <v>3630</v>
      </c>
      <c r="K1568" s="170" t="s">
        <v>3630</v>
      </c>
      <c r="L1568" s="170" t="s">
        <v>3631</v>
      </c>
      <c r="M1568" s="170"/>
      <c r="N1568" s="294">
        <v>6</v>
      </c>
      <c r="O1568" s="170"/>
    </row>
    <row r="1569" ht="15.75" customHeight="1" spans="1:15">
      <c r="A1569" s="183" t="str">
        <f>VLOOKUP(F1569,数据集标准分类!A:G,7,0)</f>
        <v>06</v>
      </c>
      <c r="B1569" s="183" t="str">
        <f>VLOOKUP(F1569,数据集标准分类!A:F,6,0)</f>
        <v>护理病历</v>
      </c>
      <c r="C1569" s="183" t="str">
        <f>VLOOKUP(F1569,数据集标准分类!A:E,5,0)</f>
        <v>0605</v>
      </c>
      <c r="D1569" s="183" t="str">
        <f>VLOOKUP(F1569,数据集标准分类!A:D,4,0)</f>
        <v>护理计划</v>
      </c>
      <c r="E1569" s="183" t="str">
        <f>VLOOKUP(F1569,数据集标准分类!A:C,3,0)</f>
        <v>060501</v>
      </c>
      <c r="F1569" s="170" t="s">
        <v>3616</v>
      </c>
      <c r="G1569" s="183" t="str">
        <f>VLOOKUP(F1569,数据集标准分类!A:B,2,0)</f>
        <v>nursing_plan</v>
      </c>
      <c r="H1569" s="294">
        <f>VLOOKUP(F1569,数据集标准分类!A:H,8,0)</f>
        <v>109</v>
      </c>
      <c r="I1569" s="170" t="s">
        <v>3632</v>
      </c>
      <c r="J1569" s="170" t="s">
        <v>3633</v>
      </c>
      <c r="K1569" s="170" t="s">
        <v>3634</v>
      </c>
      <c r="L1569" s="170" t="s">
        <v>3635</v>
      </c>
      <c r="M1569" s="170"/>
      <c r="N1569" s="294">
        <v>7</v>
      </c>
      <c r="O1569" s="170"/>
    </row>
    <row r="1570" ht="15.75" customHeight="1" spans="1:15">
      <c r="A1570" s="183" t="str">
        <f>VLOOKUP(F1570,数据集标准分类!A:G,7,0)</f>
        <v>06</v>
      </c>
      <c r="B1570" s="183" t="str">
        <f>VLOOKUP(F1570,数据集标准分类!A:F,6,0)</f>
        <v>护理病历</v>
      </c>
      <c r="C1570" s="183" t="str">
        <f>VLOOKUP(F1570,数据集标准分类!A:E,5,0)</f>
        <v>0605</v>
      </c>
      <c r="D1570" s="183" t="str">
        <f>VLOOKUP(F1570,数据集标准分类!A:D,4,0)</f>
        <v>护理计划</v>
      </c>
      <c r="E1570" s="183" t="str">
        <f>VLOOKUP(F1570,数据集标准分类!A:C,3,0)</f>
        <v>060501</v>
      </c>
      <c r="F1570" s="170" t="s">
        <v>3616</v>
      </c>
      <c r="G1570" s="183" t="str">
        <f>VLOOKUP(F1570,数据集标准分类!A:B,2,0)</f>
        <v>nursing_plan</v>
      </c>
      <c r="H1570" s="294">
        <f>VLOOKUP(F1570,数据集标准分类!A:H,8,0)</f>
        <v>109</v>
      </c>
      <c r="I1570" s="170" t="s">
        <v>3636</v>
      </c>
      <c r="J1570" s="170" t="s">
        <v>3637</v>
      </c>
      <c r="K1570" s="170" t="s">
        <v>3638</v>
      </c>
      <c r="L1570" s="170" t="s">
        <v>3639</v>
      </c>
      <c r="M1570" s="170"/>
      <c r="N1570" s="294">
        <v>8</v>
      </c>
      <c r="O1570" s="170"/>
    </row>
    <row r="1571" ht="15.75" customHeight="1" spans="1:15">
      <c r="A1571" s="183" t="str">
        <f>VLOOKUP(F1571,数据集标准分类!A:G,7,0)</f>
        <v>06</v>
      </c>
      <c r="B1571" s="183" t="str">
        <f>VLOOKUP(F1571,数据集标准分类!A:F,6,0)</f>
        <v>护理病历</v>
      </c>
      <c r="C1571" s="183" t="str">
        <f>VLOOKUP(F1571,数据集标准分类!A:E,5,0)</f>
        <v>0605</v>
      </c>
      <c r="D1571" s="183" t="str">
        <f>VLOOKUP(F1571,数据集标准分类!A:D,4,0)</f>
        <v>护理计划</v>
      </c>
      <c r="E1571" s="183" t="str">
        <f>VLOOKUP(F1571,数据集标准分类!A:C,3,0)</f>
        <v>060502</v>
      </c>
      <c r="F1571" s="170" t="s">
        <v>3640</v>
      </c>
      <c r="G1571" s="183" t="str">
        <f>VLOOKUP(F1571,数据集标准分类!A:B,2,0)</f>
        <v>nursing_instruction</v>
      </c>
      <c r="H1571" s="294">
        <f>VLOOKUP(F1571,数据集标准分类!A:H,8,0)</f>
        <v>110</v>
      </c>
      <c r="I1571" s="170" t="s">
        <v>3641</v>
      </c>
      <c r="J1571" s="170" t="s">
        <v>3642</v>
      </c>
      <c r="K1571" s="170" t="s">
        <v>3643</v>
      </c>
      <c r="L1571" s="170" t="s">
        <v>3644</v>
      </c>
      <c r="M1571" s="170"/>
      <c r="N1571" s="294">
        <v>1</v>
      </c>
      <c r="O1571" s="170"/>
    </row>
    <row r="1572" ht="15.75" customHeight="1" spans="1:15">
      <c r="A1572" s="183" t="str">
        <f>VLOOKUP(F1572,数据集标准分类!A:G,7,0)</f>
        <v>06</v>
      </c>
      <c r="B1572" s="183" t="str">
        <f>VLOOKUP(F1572,数据集标准分类!A:F,6,0)</f>
        <v>护理病历</v>
      </c>
      <c r="C1572" s="183" t="str">
        <f>VLOOKUP(F1572,数据集标准分类!A:E,5,0)</f>
        <v>0605</v>
      </c>
      <c r="D1572" s="183" t="str">
        <f>VLOOKUP(F1572,数据集标准分类!A:D,4,0)</f>
        <v>护理计划</v>
      </c>
      <c r="E1572" s="183" t="str">
        <f>VLOOKUP(F1572,数据集标准分类!A:C,3,0)</f>
        <v>060502</v>
      </c>
      <c r="F1572" s="170" t="s">
        <v>3640</v>
      </c>
      <c r="G1572" s="183" t="str">
        <f>VLOOKUP(F1572,数据集标准分类!A:B,2,0)</f>
        <v>nursing_instruction</v>
      </c>
      <c r="H1572" s="294">
        <f>VLOOKUP(F1572,数据集标准分类!A:H,8,0)</f>
        <v>110</v>
      </c>
      <c r="I1572" s="170" t="s">
        <v>3617</v>
      </c>
      <c r="J1572" s="170" t="s">
        <v>3618</v>
      </c>
      <c r="K1572" s="170" t="s">
        <v>3619</v>
      </c>
      <c r="L1572" s="170" t="s">
        <v>3620</v>
      </c>
      <c r="M1572" s="170"/>
      <c r="N1572" s="294">
        <v>2</v>
      </c>
      <c r="O1572" s="170"/>
    </row>
    <row r="1573" ht="15.75" customHeight="1" spans="1:15">
      <c r="A1573" s="183" t="str">
        <f>VLOOKUP(F1573,数据集标准分类!A:G,7,0)</f>
        <v>06</v>
      </c>
      <c r="B1573" s="183" t="str">
        <f>VLOOKUP(F1573,数据集标准分类!A:F,6,0)</f>
        <v>护理病历</v>
      </c>
      <c r="C1573" s="183" t="str">
        <f>VLOOKUP(F1573,数据集标准分类!A:E,5,0)</f>
        <v>0605</v>
      </c>
      <c r="D1573" s="183" t="str">
        <f>VLOOKUP(F1573,数据集标准分类!A:D,4,0)</f>
        <v>护理计划</v>
      </c>
      <c r="E1573" s="183" t="str">
        <f>VLOOKUP(F1573,数据集标准分类!A:C,3,0)</f>
        <v>060502</v>
      </c>
      <c r="F1573" s="170" t="s">
        <v>3640</v>
      </c>
      <c r="G1573" s="183" t="str">
        <f>VLOOKUP(F1573,数据集标准分类!A:B,2,0)</f>
        <v>nursing_instruction</v>
      </c>
      <c r="H1573" s="294">
        <f>VLOOKUP(F1573,数据集标准分类!A:H,8,0)</f>
        <v>110</v>
      </c>
      <c r="I1573" s="170" t="s">
        <v>1774</v>
      </c>
      <c r="J1573" s="170" t="s">
        <v>1775</v>
      </c>
      <c r="K1573" s="170" t="s">
        <v>1776</v>
      </c>
      <c r="L1573" s="170" t="s">
        <v>1777</v>
      </c>
      <c r="M1573" s="170"/>
      <c r="N1573" s="294">
        <v>3</v>
      </c>
      <c r="O1573" s="170"/>
    </row>
    <row r="1574" ht="15.75" customHeight="1" spans="1:15">
      <c r="A1574" s="183" t="str">
        <f>VLOOKUP(F1574,数据集标准分类!A:G,7,0)</f>
        <v>06</v>
      </c>
      <c r="B1574" s="183" t="str">
        <f>VLOOKUP(F1574,数据集标准分类!A:F,6,0)</f>
        <v>护理病历</v>
      </c>
      <c r="C1574" s="183" t="str">
        <f>VLOOKUP(F1574,数据集标准分类!A:E,5,0)</f>
        <v>0605</v>
      </c>
      <c r="D1574" s="183" t="str">
        <f>VLOOKUP(F1574,数据集标准分类!A:D,4,0)</f>
        <v>护理计划</v>
      </c>
      <c r="E1574" s="183" t="str">
        <f>VLOOKUP(F1574,数据集标准分类!A:C,3,0)</f>
        <v>060502</v>
      </c>
      <c r="F1574" s="170" t="s">
        <v>3640</v>
      </c>
      <c r="G1574" s="183" t="str">
        <f>VLOOKUP(F1574,数据集标准分类!A:B,2,0)</f>
        <v>nursing_instruction</v>
      </c>
      <c r="H1574" s="294">
        <f>VLOOKUP(F1574,数据集标准分类!A:H,8,0)</f>
        <v>110</v>
      </c>
      <c r="I1574" s="170" t="s">
        <v>3645</v>
      </c>
      <c r="J1574" s="170" t="s">
        <v>3646</v>
      </c>
      <c r="K1574" s="170" t="s">
        <v>3647</v>
      </c>
      <c r="L1574" s="170" t="s">
        <v>3648</v>
      </c>
      <c r="M1574" s="170"/>
      <c r="N1574" s="294">
        <v>4</v>
      </c>
      <c r="O1574" s="170"/>
    </row>
    <row r="1575" ht="15.75" customHeight="1" spans="1:15">
      <c r="A1575" s="183" t="str">
        <f>VLOOKUP(F1575,数据集标准分类!A:G,7,0)</f>
        <v>06</v>
      </c>
      <c r="B1575" s="183" t="str">
        <f>VLOOKUP(F1575,数据集标准分类!A:F,6,0)</f>
        <v>护理病历</v>
      </c>
      <c r="C1575" s="183" t="str">
        <f>VLOOKUP(F1575,数据集标准分类!A:E,5,0)</f>
        <v>0605</v>
      </c>
      <c r="D1575" s="183" t="str">
        <f>VLOOKUP(F1575,数据集标准分类!A:D,4,0)</f>
        <v>护理计划</v>
      </c>
      <c r="E1575" s="183" t="str">
        <f>VLOOKUP(F1575,数据集标准分类!A:C,3,0)</f>
        <v>060502</v>
      </c>
      <c r="F1575" s="170" t="s">
        <v>3640</v>
      </c>
      <c r="G1575" s="183" t="str">
        <f>VLOOKUP(F1575,数据集标准分类!A:B,2,0)</f>
        <v>nursing_instruction</v>
      </c>
      <c r="H1575" s="294">
        <f>VLOOKUP(F1575,数据集标准分类!A:H,8,0)</f>
        <v>110</v>
      </c>
      <c r="I1575" s="170" t="s">
        <v>3649</v>
      </c>
      <c r="J1575" s="170" t="s">
        <v>3650</v>
      </c>
      <c r="K1575" s="170" t="s">
        <v>3651</v>
      </c>
      <c r="L1575" s="170" t="s">
        <v>3652</v>
      </c>
      <c r="M1575" s="170"/>
      <c r="N1575" s="294">
        <v>5</v>
      </c>
      <c r="O1575" s="170"/>
    </row>
    <row r="1576" ht="15.75" customHeight="1" spans="1:15">
      <c r="A1576" s="183" t="str">
        <f>VLOOKUP(F1576,数据集标准分类!A:G,7,0)</f>
        <v>06</v>
      </c>
      <c r="B1576" s="183" t="str">
        <f>VLOOKUP(F1576,数据集标准分类!A:F,6,0)</f>
        <v>护理病历</v>
      </c>
      <c r="C1576" s="183" t="str">
        <f>VLOOKUP(F1576,数据集标准分类!A:E,5,0)</f>
        <v>0605</v>
      </c>
      <c r="D1576" s="183" t="str">
        <f>VLOOKUP(F1576,数据集标准分类!A:D,4,0)</f>
        <v>护理计划</v>
      </c>
      <c r="E1576" s="183" t="str">
        <f>VLOOKUP(F1576,数据集标准分类!A:C,3,0)</f>
        <v>060502</v>
      </c>
      <c r="F1576" s="170" t="s">
        <v>3640</v>
      </c>
      <c r="G1576" s="183" t="str">
        <f>VLOOKUP(F1576,数据集标准分类!A:B,2,0)</f>
        <v>nursing_instruction</v>
      </c>
      <c r="H1576" s="294">
        <f>VLOOKUP(F1576,数据集标准分类!A:H,8,0)</f>
        <v>110</v>
      </c>
      <c r="I1576" s="304" t="s">
        <v>3632</v>
      </c>
      <c r="J1576" s="304" t="s">
        <v>3633</v>
      </c>
      <c r="K1576" s="304" t="s">
        <v>3634</v>
      </c>
      <c r="L1576" s="304" t="s">
        <v>3635</v>
      </c>
      <c r="M1576" s="170"/>
      <c r="N1576" s="294">
        <v>6</v>
      </c>
      <c r="O1576" s="170"/>
    </row>
    <row r="1577" ht="15.75" customHeight="1" spans="1:15">
      <c r="A1577" s="183" t="str">
        <f>VLOOKUP(F1577,数据集标准分类!A:G,7,0)</f>
        <v>06</v>
      </c>
      <c r="B1577" s="183" t="str">
        <f>VLOOKUP(F1577,数据集标准分类!A:F,6,0)</f>
        <v>护理病历</v>
      </c>
      <c r="C1577" s="183" t="str">
        <f>VLOOKUP(F1577,数据集标准分类!A:E,5,0)</f>
        <v>0605</v>
      </c>
      <c r="D1577" s="183" t="str">
        <f>VLOOKUP(F1577,数据集标准分类!A:D,4,0)</f>
        <v>护理计划</v>
      </c>
      <c r="E1577" s="183" t="str">
        <f>VLOOKUP(F1577,数据集标准分类!A:C,3,0)</f>
        <v>060503</v>
      </c>
      <c r="F1577" s="170" t="s">
        <v>3653</v>
      </c>
      <c r="G1577" s="183" t="str">
        <f>VLOOKUP(F1577,数据集标准分类!A:B,2,0)</f>
        <v>nursing_plan_record</v>
      </c>
      <c r="H1577" s="294">
        <f>VLOOKUP(F1577,数据集标准分类!A:H,8,0)</f>
        <v>111</v>
      </c>
      <c r="I1577" s="170" t="s">
        <v>172</v>
      </c>
      <c r="J1577" s="170" t="s">
        <v>173</v>
      </c>
      <c r="K1577" s="170" t="s">
        <v>174</v>
      </c>
      <c r="L1577" s="170" t="s">
        <v>175</v>
      </c>
      <c r="M1577" s="170" t="s">
        <v>1245</v>
      </c>
      <c r="N1577" s="294">
        <v>1</v>
      </c>
      <c r="O1577" s="170"/>
    </row>
    <row r="1578" ht="15.75" customHeight="1" spans="1:15">
      <c r="A1578" s="183" t="str">
        <f>VLOOKUP(F1578,数据集标准分类!A:G,7,0)</f>
        <v>06</v>
      </c>
      <c r="B1578" s="183" t="str">
        <f>VLOOKUP(F1578,数据集标准分类!A:F,6,0)</f>
        <v>护理病历</v>
      </c>
      <c r="C1578" s="183" t="str">
        <f>VLOOKUP(F1578,数据集标准分类!A:E,5,0)</f>
        <v>0605</v>
      </c>
      <c r="D1578" s="183" t="str">
        <f>VLOOKUP(F1578,数据集标准分类!A:D,4,0)</f>
        <v>护理计划</v>
      </c>
      <c r="E1578" s="183" t="str">
        <f>VLOOKUP(F1578,数据集标准分类!A:C,3,0)</f>
        <v>060503</v>
      </c>
      <c r="F1578" s="170" t="s">
        <v>3653</v>
      </c>
      <c r="G1578" s="183" t="str">
        <f>VLOOKUP(F1578,数据集标准分类!A:B,2,0)</f>
        <v>nursing_plan_record</v>
      </c>
      <c r="H1578" s="294">
        <f>VLOOKUP(F1578,数据集标准分类!A:H,8,0)</f>
        <v>111</v>
      </c>
      <c r="I1578" s="170" t="s">
        <v>3436</v>
      </c>
      <c r="J1578" s="170" t="s">
        <v>3437</v>
      </c>
      <c r="K1578" s="170" t="s">
        <v>3438</v>
      </c>
      <c r="L1578" s="170" t="s">
        <v>3439</v>
      </c>
      <c r="M1578" s="170" t="s">
        <v>3440</v>
      </c>
      <c r="N1578" s="294">
        <v>2</v>
      </c>
      <c r="O1578" s="170"/>
    </row>
    <row r="1579" ht="15.75" customHeight="1" spans="1:15">
      <c r="A1579" s="183" t="str">
        <f>VLOOKUP(F1579,数据集标准分类!A:G,7,0)</f>
        <v>06</v>
      </c>
      <c r="B1579" s="183" t="str">
        <f>VLOOKUP(F1579,数据集标准分类!A:F,6,0)</f>
        <v>护理病历</v>
      </c>
      <c r="C1579" s="183" t="str">
        <f>VLOOKUP(F1579,数据集标准分类!A:E,5,0)</f>
        <v>0605</v>
      </c>
      <c r="D1579" s="183" t="str">
        <f>VLOOKUP(F1579,数据集标准分类!A:D,4,0)</f>
        <v>护理计划</v>
      </c>
      <c r="E1579" s="183" t="str">
        <f>VLOOKUP(F1579,数据集标准分类!A:C,3,0)</f>
        <v>060503</v>
      </c>
      <c r="F1579" s="170" t="s">
        <v>3653</v>
      </c>
      <c r="G1579" s="183" t="str">
        <f>VLOOKUP(F1579,数据集标准分类!A:B,2,0)</f>
        <v>nursing_plan_record</v>
      </c>
      <c r="H1579" s="294">
        <f>VLOOKUP(F1579,数据集标准分类!A:H,8,0)</f>
        <v>111</v>
      </c>
      <c r="I1579" s="170" t="s">
        <v>3441</v>
      </c>
      <c r="J1579" s="170" t="s">
        <v>3442</v>
      </c>
      <c r="K1579" s="170" t="s">
        <v>3443</v>
      </c>
      <c r="L1579" s="170" t="s">
        <v>3444</v>
      </c>
      <c r="M1579" s="170" t="s">
        <v>3445</v>
      </c>
      <c r="N1579" s="294">
        <v>3</v>
      </c>
      <c r="O1579" s="170"/>
    </row>
    <row r="1580" ht="15.75" customHeight="1" spans="1:15">
      <c r="A1580" s="183" t="str">
        <f>VLOOKUP(F1580,数据集标准分类!A:G,7,0)</f>
        <v>06</v>
      </c>
      <c r="B1580" s="183" t="str">
        <f>VLOOKUP(F1580,数据集标准分类!A:F,6,0)</f>
        <v>护理病历</v>
      </c>
      <c r="C1580" s="183" t="str">
        <f>VLOOKUP(F1580,数据集标准分类!A:E,5,0)</f>
        <v>0605</v>
      </c>
      <c r="D1580" s="183" t="str">
        <f>VLOOKUP(F1580,数据集标准分类!A:D,4,0)</f>
        <v>护理计划</v>
      </c>
      <c r="E1580" s="183" t="str">
        <f>VLOOKUP(F1580,数据集标准分类!A:C,3,0)</f>
        <v>060503</v>
      </c>
      <c r="F1580" s="170" t="s">
        <v>3653</v>
      </c>
      <c r="G1580" s="183" t="str">
        <f>VLOOKUP(F1580,数据集标准分类!A:B,2,0)</f>
        <v>nursing_plan_record</v>
      </c>
      <c r="H1580" s="294">
        <f>VLOOKUP(F1580,数据集标准分类!A:H,8,0)</f>
        <v>111</v>
      </c>
      <c r="I1580" s="170" t="s">
        <v>3654</v>
      </c>
      <c r="J1580" s="170" t="s">
        <v>3655</v>
      </c>
      <c r="K1580" s="170" t="s">
        <v>3656</v>
      </c>
      <c r="L1580" s="170" t="s">
        <v>3657</v>
      </c>
      <c r="M1580" s="170" t="s">
        <v>3658</v>
      </c>
      <c r="N1580" s="294">
        <v>4</v>
      </c>
      <c r="O1580" s="170"/>
    </row>
    <row r="1581" ht="15.75" customHeight="1" spans="1:15">
      <c r="A1581" s="183" t="str">
        <f>VLOOKUP(F1581,数据集标准分类!A:G,7,0)</f>
        <v>06</v>
      </c>
      <c r="B1581" s="183" t="str">
        <f>VLOOKUP(F1581,数据集标准分类!A:F,6,0)</f>
        <v>护理病历</v>
      </c>
      <c r="C1581" s="183" t="str">
        <f>VLOOKUP(F1581,数据集标准分类!A:E,5,0)</f>
        <v>0605</v>
      </c>
      <c r="D1581" s="183" t="str">
        <f>VLOOKUP(F1581,数据集标准分类!A:D,4,0)</f>
        <v>护理计划</v>
      </c>
      <c r="E1581" s="183" t="str">
        <f>VLOOKUP(F1581,数据集标准分类!A:C,3,0)</f>
        <v>060503</v>
      </c>
      <c r="F1581" s="170" t="s">
        <v>3653</v>
      </c>
      <c r="G1581" s="183" t="str">
        <f>VLOOKUP(F1581,数据集标准分类!A:B,2,0)</f>
        <v>nursing_plan_record</v>
      </c>
      <c r="H1581" s="294">
        <f>VLOOKUP(F1581,数据集标准分类!A:H,8,0)</f>
        <v>111</v>
      </c>
      <c r="I1581" s="170" t="s">
        <v>3498</v>
      </c>
      <c r="J1581" s="170" t="s">
        <v>3499</v>
      </c>
      <c r="K1581" s="170" t="s">
        <v>3500</v>
      </c>
      <c r="L1581" s="170" t="s">
        <v>3501</v>
      </c>
      <c r="M1581" s="170" t="s">
        <v>3502</v>
      </c>
      <c r="N1581" s="294">
        <v>5</v>
      </c>
      <c r="O1581" s="170"/>
    </row>
    <row r="1582" ht="15.75" customHeight="1" spans="1:15">
      <c r="A1582" s="183" t="str">
        <f>VLOOKUP(F1582,数据集标准分类!A:G,7,0)</f>
        <v>06</v>
      </c>
      <c r="B1582" s="183" t="str">
        <f>VLOOKUP(F1582,数据集标准分类!A:F,6,0)</f>
        <v>护理病历</v>
      </c>
      <c r="C1582" s="183" t="str">
        <f>VLOOKUP(F1582,数据集标准分类!A:E,5,0)</f>
        <v>0605</v>
      </c>
      <c r="D1582" s="183" t="str">
        <f>VLOOKUP(F1582,数据集标准分类!A:D,4,0)</f>
        <v>护理计划</v>
      </c>
      <c r="E1582" s="183" t="str">
        <f>VLOOKUP(F1582,数据集标准分类!A:C,3,0)</f>
        <v>060503</v>
      </c>
      <c r="F1582" s="170" t="s">
        <v>3653</v>
      </c>
      <c r="G1582" s="183" t="str">
        <f>VLOOKUP(F1582,数据集标准分类!A:B,2,0)</f>
        <v>nursing_plan_record</v>
      </c>
      <c r="H1582" s="294">
        <f>VLOOKUP(F1582,数据集标准分类!A:H,8,0)</f>
        <v>111</v>
      </c>
      <c r="I1582" s="170" t="s">
        <v>3493</v>
      </c>
      <c r="J1582" s="170" t="s">
        <v>3494</v>
      </c>
      <c r="K1582" s="170" t="s">
        <v>3495</v>
      </c>
      <c r="L1582" s="170" t="s">
        <v>3496</v>
      </c>
      <c r="M1582" s="170" t="s">
        <v>3497</v>
      </c>
      <c r="N1582" s="294">
        <v>6</v>
      </c>
      <c r="O1582" s="170"/>
    </row>
    <row r="1583" ht="15.75" customHeight="1" spans="1:15">
      <c r="A1583" s="183" t="str">
        <f>VLOOKUP(F1583,数据集标准分类!A:G,7,0)</f>
        <v>06</v>
      </c>
      <c r="B1583" s="183" t="str">
        <f>VLOOKUP(F1583,数据集标准分类!A:F,6,0)</f>
        <v>护理病历</v>
      </c>
      <c r="C1583" s="183" t="str">
        <f>VLOOKUP(F1583,数据集标准分类!A:E,5,0)</f>
        <v>0605</v>
      </c>
      <c r="D1583" s="183" t="str">
        <f>VLOOKUP(F1583,数据集标准分类!A:D,4,0)</f>
        <v>护理计划</v>
      </c>
      <c r="E1583" s="183" t="str">
        <f>VLOOKUP(F1583,数据集标准分类!A:C,3,0)</f>
        <v>060503</v>
      </c>
      <c r="F1583" s="170" t="s">
        <v>3653</v>
      </c>
      <c r="G1583" s="183" t="str">
        <f>VLOOKUP(F1583,数据集标准分类!A:B,2,0)</f>
        <v>nursing_plan_record</v>
      </c>
      <c r="H1583" s="294">
        <f>VLOOKUP(F1583,数据集标准分类!A:H,8,0)</f>
        <v>111</v>
      </c>
      <c r="I1583" s="170" t="s">
        <v>3503</v>
      </c>
      <c r="J1583" s="170" t="s">
        <v>3504</v>
      </c>
      <c r="K1583" s="170" t="s">
        <v>3505</v>
      </c>
      <c r="L1583" s="170" t="s">
        <v>3506</v>
      </c>
      <c r="M1583" s="170" t="s">
        <v>3507</v>
      </c>
      <c r="N1583" s="294">
        <v>7</v>
      </c>
      <c r="O1583" s="170"/>
    </row>
    <row r="1584" ht="15.75" customHeight="1" spans="1:15">
      <c r="A1584" s="183" t="str">
        <f>VLOOKUP(F1584,数据集标准分类!A:G,7,0)</f>
        <v>06</v>
      </c>
      <c r="B1584" s="183" t="str">
        <f>VLOOKUP(F1584,数据集标准分类!A:F,6,0)</f>
        <v>护理病历</v>
      </c>
      <c r="C1584" s="183" t="str">
        <f>VLOOKUP(F1584,数据集标准分类!A:E,5,0)</f>
        <v>0605</v>
      </c>
      <c r="D1584" s="183" t="str">
        <f>VLOOKUP(F1584,数据集标准分类!A:D,4,0)</f>
        <v>护理计划</v>
      </c>
      <c r="E1584" s="183" t="str">
        <f>VLOOKUP(F1584,数据集标准分类!A:C,3,0)</f>
        <v>060503</v>
      </c>
      <c r="F1584" s="170" t="s">
        <v>3653</v>
      </c>
      <c r="G1584" s="183" t="str">
        <f>VLOOKUP(F1584,数据集标准分类!A:B,2,0)</f>
        <v>nursing_plan_record</v>
      </c>
      <c r="H1584" s="294">
        <f>VLOOKUP(F1584,数据集标准分类!A:H,8,0)</f>
        <v>111</v>
      </c>
      <c r="I1584" s="170" t="s">
        <v>3457</v>
      </c>
      <c r="J1584" s="170" t="s">
        <v>3458</v>
      </c>
      <c r="K1584" s="170" t="s">
        <v>3459</v>
      </c>
      <c r="L1584" s="170" t="s">
        <v>3460</v>
      </c>
      <c r="M1584" s="170" t="s">
        <v>3461</v>
      </c>
      <c r="N1584" s="294">
        <v>8</v>
      </c>
      <c r="O1584" s="170"/>
    </row>
    <row r="1585" ht="15.75" customHeight="1" spans="1:15">
      <c r="A1585" s="183" t="str">
        <f>VLOOKUP(F1585,数据集标准分类!A:G,7,0)</f>
        <v>06</v>
      </c>
      <c r="B1585" s="183" t="str">
        <f>VLOOKUP(F1585,数据集标准分类!A:F,6,0)</f>
        <v>护理病历</v>
      </c>
      <c r="C1585" s="183" t="str">
        <f>VLOOKUP(F1585,数据集标准分类!A:E,5,0)</f>
        <v>0605</v>
      </c>
      <c r="D1585" s="183" t="str">
        <f>VLOOKUP(F1585,数据集标准分类!A:D,4,0)</f>
        <v>护理计划</v>
      </c>
      <c r="E1585" s="183" t="str">
        <f>VLOOKUP(F1585,数据集标准分类!A:C,3,0)</f>
        <v>060503</v>
      </c>
      <c r="F1585" s="170" t="s">
        <v>3653</v>
      </c>
      <c r="G1585" s="183" t="str">
        <f>VLOOKUP(F1585,数据集标准分类!A:B,2,0)</f>
        <v>nursing_plan_record</v>
      </c>
      <c r="H1585" s="294">
        <f>VLOOKUP(F1585,数据集标准分类!A:H,8,0)</f>
        <v>111</v>
      </c>
      <c r="I1585" s="170" t="s">
        <v>3467</v>
      </c>
      <c r="J1585" s="170" t="s">
        <v>3468</v>
      </c>
      <c r="K1585" s="170" t="s">
        <v>3469</v>
      </c>
      <c r="L1585" s="170" t="s">
        <v>3470</v>
      </c>
      <c r="M1585" s="170" t="s">
        <v>3471</v>
      </c>
      <c r="N1585" s="294">
        <v>9</v>
      </c>
      <c r="O1585" s="170"/>
    </row>
    <row r="1586" ht="15.75" customHeight="1" spans="1:15">
      <c r="A1586" s="183" t="str">
        <f>VLOOKUP(F1586,数据集标准分类!A:G,7,0)</f>
        <v>06</v>
      </c>
      <c r="B1586" s="183" t="str">
        <f>VLOOKUP(F1586,数据集标准分类!A:F,6,0)</f>
        <v>护理病历</v>
      </c>
      <c r="C1586" s="183" t="str">
        <f>VLOOKUP(F1586,数据集标准分类!A:E,5,0)</f>
        <v>0605</v>
      </c>
      <c r="D1586" s="183" t="str">
        <f>VLOOKUP(F1586,数据集标准分类!A:D,4,0)</f>
        <v>护理计划</v>
      </c>
      <c r="E1586" s="183" t="str">
        <f>VLOOKUP(F1586,数据集标准分类!A:C,3,0)</f>
        <v>060503</v>
      </c>
      <c r="F1586" s="170" t="s">
        <v>3653</v>
      </c>
      <c r="G1586" s="183" t="str">
        <f>VLOOKUP(F1586,数据集标准分类!A:B,2,0)</f>
        <v>nursing_plan_record</v>
      </c>
      <c r="H1586" s="294">
        <f>VLOOKUP(F1586,数据集标准分类!A:H,8,0)</f>
        <v>111</v>
      </c>
      <c r="I1586" s="170" t="s">
        <v>3472</v>
      </c>
      <c r="J1586" s="170" t="s">
        <v>3473</v>
      </c>
      <c r="K1586" s="170" t="s">
        <v>3474</v>
      </c>
      <c r="L1586" s="170" t="s">
        <v>3475</v>
      </c>
      <c r="M1586" s="170" t="s">
        <v>3476</v>
      </c>
      <c r="N1586" s="294">
        <v>10</v>
      </c>
      <c r="O1586" s="170"/>
    </row>
    <row r="1587" ht="15.75" customHeight="1" spans="1:15">
      <c r="A1587" s="183" t="str">
        <f>VLOOKUP(F1587,数据集标准分类!A:G,7,0)</f>
        <v>06</v>
      </c>
      <c r="B1587" s="183" t="str">
        <f>VLOOKUP(F1587,数据集标准分类!A:F,6,0)</f>
        <v>护理病历</v>
      </c>
      <c r="C1587" s="183" t="str">
        <f>VLOOKUP(F1587,数据集标准分类!A:E,5,0)</f>
        <v>0605</v>
      </c>
      <c r="D1587" s="183" t="str">
        <f>VLOOKUP(F1587,数据集标准分类!A:D,4,0)</f>
        <v>护理计划</v>
      </c>
      <c r="E1587" s="183" t="str">
        <f>VLOOKUP(F1587,数据集标准分类!A:C,3,0)</f>
        <v>060503</v>
      </c>
      <c r="F1587" s="170" t="s">
        <v>3653</v>
      </c>
      <c r="G1587" s="183" t="str">
        <f>VLOOKUP(F1587,数据集标准分类!A:B,2,0)</f>
        <v>nursing_plan_record</v>
      </c>
      <c r="H1587" s="294">
        <f>VLOOKUP(F1587,数据集标准分类!A:H,8,0)</f>
        <v>111</v>
      </c>
      <c r="I1587" s="170" t="s">
        <v>3462</v>
      </c>
      <c r="J1587" s="170" t="s">
        <v>3463</v>
      </c>
      <c r="K1587" s="170" t="s">
        <v>3464</v>
      </c>
      <c r="L1587" s="170" t="s">
        <v>3465</v>
      </c>
      <c r="M1587" s="170" t="s">
        <v>3466</v>
      </c>
      <c r="N1587" s="294">
        <v>11</v>
      </c>
      <c r="O1587" s="170"/>
    </row>
    <row r="1588" ht="15.75" customHeight="1" spans="1:15">
      <c r="A1588" s="183" t="str">
        <f>VLOOKUP(F1588,数据集标准分类!A:G,7,0)</f>
        <v>06</v>
      </c>
      <c r="B1588" s="183" t="str">
        <f>VLOOKUP(F1588,数据集标准分类!A:F,6,0)</f>
        <v>护理病历</v>
      </c>
      <c r="C1588" s="183" t="str">
        <f>VLOOKUP(F1588,数据集标准分类!A:E,5,0)</f>
        <v>0605</v>
      </c>
      <c r="D1588" s="183" t="str">
        <f>VLOOKUP(F1588,数据集标准分类!A:D,4,0)</f>
        <v>护理计划</v>
      </c>
      <c r="E1588" s="183" t="str">
        <f>VLOOKUP(F1588,数据集标准分类!A:C,3,0)</f>
        <v>060503</v>
      </c>
      <c r="F1588" s="170" t="s">
        <v>3653</v>
      </c>
      <c r="G1588" s="183" t="str">
        <f>VLOOKUP(F1588,数据集标准分类!A:B,2,0)</f>
        <v>nursing_plan_record</v>
      </c>
      <c r="H1588" s="294">
        <f>VLOOKUP(F1588,数据集标准分类!A:H,8,0)</f>
        <v>111</v>
      </c>
      <c r="I1588" s="170" t="s">
        <v>3487</v>
      </c>
      <c r="J1588" s="170" t="s">
        <v>3488</v>
      </c>
      <c r="K1588" s="170" t="s">
        <v>3489</v>
      </c>
      <c r="L1588" s="170" t="s">
        <v>3490</v>
      </c>
      <c r="M1588" s="170" t="s">
        <v>3491</v>
      </c>
      <c r="N1588" s="294">
        <v>12</v>
      </c>
      <c r="O1588" s="170"/>
    </row>
    <row r="1589" ht="15.75" customHeight="1" spans="1:15">
      <c r="A1589" s="183" t="str">
        <f>VLOOKUP(F1589,数据集标准分类!A:G,7,0)</f>
        <v>06</v>
      </c>
      <c r="B1589" s="183" t="str">
        <f>VLOOKUP(F1589,数据集标准分类!A:F,6,0)</f>
        <v>护理病历</v>
      </c>
      <c r="C1589" s="183" t="str">
        <f>VLOOKUP(F1589,数据集标准分类!A:E,5,0)</f>
        <v>0605</v>
      </c>
      <c r="D1589" s="183" t="str">
        <f>VLOOKUP(F1589,数据集标准分类!A:D,4,0)</f>
        <v>护理计划</v>
      </c>
      <c r="E1589" s="183" t="str">
        <f>VLOOKUP(F1589,数据集标准分类!A:C,3,0)</f>
        <v>060503</v>
      </c>
      <c r="F1589" s="170" t="s">
        <v>3653</v>
      </c>
      <c r="G1589" s="183" t="str">
        <f>VLOOKUP(F1589,数据集标准分类!A:B,2,0)</f>
        <v>nursing_plan_record</v>
      </c>
      <c r="H1589" s="294">
        <f>VLOOKUP(F1589,数据集标准分类!A:H,8,0)</f>
        <v>111</v>
      </c>
      <c r="I1589" s="170" t="s">
        <v>3391</v>
      </c>
      <c r="J1589" s="170" t="s">
        <v>3392</v>
      </c>
      <c r="K1589" s="170" t="s">
        <v>3393</v>
      </c>
      <c r="L1589" s="170" t="s">
        <v>3394</v>
      </c>
      <c r="M1589" s="170" t="s">
        <v>3395</v>
      </c>
      <c r="N1589" s="294">
        <v>13</v>
      </c>
      <c r="O1589" s="170"/>
    </row>
    <row r="1590" ht="15.75" customHeight="1" spans="1:15">
      <c r="A1590" s="183" t="str">
        <f>VLOOKUP(F1590,数据集标准分类!A:G,7,0)</f>
        <v>06</v>
      </c>
      <c r="B1590" s="183" t="str">
        <f>VLOOKUP(F1590,数据集标准分类!A:F,6,0)</f>
        <v>护理病历</v>
      </c>
      <c r="C1590" s="183" t="str">
        <f>VLOOKUP(F1590,数据集标准分类!A:E,5,0)</f>
        <v>0606</v>
      </c>
      <c r="D1590" s="183" t="str">
        <f>VLOOKUP(F1590,数据集标准分类!A:D,4,0)</f>
        <v>护理交班</v>
      </c>
      <c r="E1590" s="183" t="str">
        <f>VLOOKUP(F1590,数据集标准分类!A:C,3,0)</f>
        <v>060601</v>
      </c>
      <c r="F1590" s="304" t="s">
        <v>3659</v>
      </c>
      <c r="G1590" s="183" t="str">
        <f>VLOOKUP(F1590,数据集标准分类!A:B,2,0)</f>
        <v>inp_bedside_handover</v>
      </c>
      <c r="H1590" s="294">
        <f>VLOOKUP(F1590,数据集标准分类!A:H,8,0)</f>
        <v>112</v>
      </c>
      <c r="I1590" s="304" t="s">
        <v>2895</v>
      </c>
      <c r="J1590" s="304" t="s">
        <v>2896</v>
      </c>
      <c r="K1590" s="304" t="s">
        <v>2897</v>
      </c>
      <c r="L1590" s="304" t="s">
        <v>2898</v>
      </c>
      <c r="M1590" s="301"/>
      <c r="N1590" s="183" t="s">
        <v>3351</v>
      </c>
      <c r="O1590" s="170"/>
    </row>
    <row r="1591" ht="15.75" customHeight="1" spans="1:15">
      <c r="A1591" s="183" t="str">
        <f>VLOOKUP(F1591,数据集标准分类!A:G,7,0)</f>
        <v>06</v>
      </c>
      <c r="B1591" s="183" t="str">
        <f>VLOOKUP(F1591,数据集标准分类!A:F,6,0)</f>
        <v>护理病历</v>
      </c>
      <c r="C1591" s="183" t="str">
        <f>VLOOKUP(F1591,数据集标准分类!A:E,5,0)</f>
        <v>0606</v>
      </c>
      <c r="D1591" s="183" t="str">
        <f>VLOOKUP(F1591,数据集标准分类!A:D,4,0)</f>
        <v>护理交班</v>
      </c>
      <c r="E1591" s="183" t="str">
        <f>VLOOKUP(F1591,数据集标准分类!A:C,3,0)</f>
        <v>060601</v>
      </c>
      <c r="F1591" s="304" t="s">
        <v>3659</v>
      </c>
      <c r="G1591" s="183" t="str">
        <f>VLOOKUP(F1591,数据集标准分类!A:B,2,0)</f>
        <v>inp_bedside_handover</v>
      </c>
      <c r="H1591" s="294">
        <f>VLOOKUP(F1591,数据集标准分类!A:H,8,0)</f>
        <v>112</v>
      </c>
      <c r="I1591" s="304" t="s">
        <v>3660</v>
      </c>
      <c r="J1591" s="304" t="s">
        <v>3661</v>
      </c>
      <c r="K1591" s="304" t="s">
        <v>3662</v>
      </c>
      <c r="L1591" s="304" t="s">
        <v>3663</v>
      </c>
      <c r="M1591" s="301"/>
      <c r="N1591" s="183" t="s">
        <v>3352</v>
      </c>
      <c r="O1591" s="170"/>
    </row>
    <row r="1592" ht="15.75" customHeight="1" spans="1:15">
      <c r="A1592" s="183" t="str">
        <f>VLOOKUP(F1592,数据集标准分类!A:G,7,0)</f>
        <v>06</v>
      </c>
      <c r="B1592" s="183" t="str">
        <f>VLOOKUP(F1592,数据集标准分类!A:F,6,0)</f>
        <v>护理病历</v>
      </c>
      <c r="C1592" s="183" t="str">
        <f>VLOOKUP(F1592,数据集标准分类!A:E,5,0)</f>
        <v>0606</v>
      </c>
      <c r="D1592" s="183" t="str">
        <f>VLOOKUP(F1592,数据集标准分类!A:D,4,0)</f>
        <v>护理交班</v>
      </c>
      <c r="E1592" s="183" t="str">
        <f>VLOOKUP(F1592,数据集标准分类!A:C,3,0)</f>
        <v>060601</v>
      </c>
      <c r="F1592" s="304" t="s">
        <v>3659</v>
      </c>
      <c r="G1592" s="183" t="str">
        <f>VLOOKUP(F1592,数据集标准分类!A:B,2,0)</f>
        <v>inp_bedside_handover</v>
      </c>
      <c r="H1592" s="294">
        <f>VLOOKUP(F1592,数据集标准分类!A:H,8,0)</f>
        <v>112</v>
      </c>
      <c r="I1592" s="304" t="s">
        <v>3664</v>
      </c>
      <c r="J1592" s="304" t="s">
        <v>3665</v>
      </c>
      <c r="K1592" s="304" t="s">
        <v>3666</v>
      </c>
      <c r="L1592" s="304" t="s">
        <v>3667</v>
      </c>
      <c r="M1592" s="301"/>
      <c r="N1592" s="183" t="s">
        <v>3353</v>
      </c>
      <c r="O1592" s="170"/>
    </row>
    <row r="1593" ht="15.75" customHeight="1" spans="1:15">
      <c r="A1593" s="183" t="str">
        <f>VLOOKUP(F1593,数据集标准分类!A:G,7,0)</f>
        <v>06</v>
      </c>
      <c r="B1593" s="183" t="str">
        <f>VLOOKUP(F1593,数据集标准分类!A:F,6,0)</f>
        <v>护理病历</v>
      </c>
      <c r="C1593" s="183" t="str">
        <f>VLOOKUP(F1593,数据集标准分类!A:E,5,0)</f>
        <v>0606</v>
      </c>
      <c r="D1593" s="183" t="str">
        <f>VLOOKUP(F1593,数据集标准分类!A:D,4,0)</f>
        <v>护理交班</v>
      </c>
      <c r="E1593" s="183" t="str">
        <f>VLOOKUP(F1593,数据集标准分类!A:C,3,0)</f>
        <v>060601</v>
      </c>
      <c r="F1593" s="304" t="s">
        <v>3659</v>
      </c>
      <c r="G1593" s="183" t="str">
        <f>VLOOKUP(F1593,数据集标准分类!A:B,2,0)</f>
        <v>inp_bedside_handover</v>
      </c>
      <c r="H1593" s="294">
        <f>VLOOKUP(F1593,数据集标准分类!A:H,8,0)</f>
        <v>112</v>
      </c>
      <c r="I1593" s="304" t="s">
        <v>3668</v>
      </c>
      <c r="J1593" s="304" t="s">
        <v>3669</v>
      </c>
      <c r="K1593" s="304" t="s">
        <v>3670</v>
      </c>
      <c r="L1593" s="304" t="s">
        <v>3671</v>
      </c>
      <c r="M1593" s="301"/>
      <c r="N1593" s="183" t="s">
        <v>3365</v>
      </c>
      <c r="O1593" s="170"/>
    </row>
    <row r="1594" ht="15.75" customHeight="1" spans="1:15">
      <c r="A1594" s="183" t="str">
        <f>VLOOKUP(F1594,数据集标准分类!A:G,7,0)</f>
        <v>06</v>
      </c>
      <c r="B1594" s="183" t="str">
        <f>VLOOKUP(F1594,数据集标准分类!A:F,6,0)</f>
        <v>护理病历</v>
      </c>
      <c r="C1594" s="183" t="str">
        <f>VLOOKUP(F1594,数据集标准分类!A:E,5,0)</f>
        <v>0606</v>
      </c>
      <c r="D1594" s="183" t="str">
        <f>VLOOKUP(F1594,数据集标准分类!A:D,4,0)</f>
        <v>护理交班</v>
      </c>
      <c r="E1594" s="183" t="str">
        <f>VLOOKUP(F1594,数据集标准分类!A:C,3,0)</f>
        <v>060601</v>
      </c>
      <c r="F1594" s="304" t="s">
        <v>3659</v>
      </c>
      <c r="G1594" s="183" t="str">
        <f>VLOOKUP(F1594,数据集标准分类!A:B,2,0)</f>
        <v>inp_bedside_handover</v>
      </c>
      <c r="H1594" s="294">
        <f>VLOOKUP(F1594,数据集标准分类!A:H,8,0)</f>
        <v>112</v>
      </c>
      <c r="I1594" s="304" t="s">
        <v>3672</v>
      </c>
      <c r="J1594" s="304" t="s">
        <v>3673</v>
      </c>
      <c r="K1594" s="304" t="s">
        <v>3674</v>
      </c>
      <c r="L1594" s="304" t="s">
        <v>3675</v>
      </c>
      <c r="M1594" s="301"/>
      <c r="N1594" s="183" t="s">
        <v>3370</v>
      </c>
      <c r="O1594" s="170"/>
    </row>
    <row r="1595" ht="15.75" customHeight="1" spans="1:15">
      <c r="A1595" s="183" t="str">
        <f>VLOOKUP(F1595,数据集标准分类!A:G,7,0)</f>
        <v>06</v>
      </c>
      <c r="B1595" s="183" t="str">
        <f>VLOOKUP(F1595,数据集标准分类!A:F,6,0)</f>
        <v>护理病历</v>
      </c>
      <c r="C1595" s="183" t="str">
        <f>VLOOKUP(F1595,数据集标准分类!A:E,5,0)</f>
        <v>0606</v>
      </c>
      <c r="D1595" s="183" t="str">
        <f>VLOOKUP(F1595,数据集标准分类!A:D,4,0)</f>
        <v>护理交班</v>
      </c>
      <c r="E1595" s="183" t="str">
        <f>VLOOKUP(F1595,数据集标准分类!A:C,3,0)</f>
        <v>060601</v>
      </c>
      <c r="F1595" s="304" t="s">
        <v>3659</v>
      </c>
      <c r="G1595" s="183" t="str">
        <f>VLOOKUP(F1595,数据集标准分类!A:B,2,0)</f>
        <v>inp_bedside_handover</v>
      </c>
      <c r="H1595" s="294">
        <f>VLOOKUP(F1595,数据集标准分类!A:H,8,0)</f>
        <v>112</v>
      </c>
      <c r="I1595" s="304" t="s">
        <v>3431</v>
      </c>
      <c r="J1595" s="304" t="s">
        <v>3205</v>
      </c>
      <c r="K1595" s="304" t="s">
        <v>3205</v>
      </c>
      <c r="L1595" s="304" t="s">
        <v>3206</v>
      </c>
      <c r="M1595" s="301"/>
      <c r="N1595" s="183" t="s">
        <v>3371</v>
      </c>
      <c r="O1595" s="170"/>
    </row>
    <row r="1596" ht="15.75" customHeight="1" spans="1:15">
      <c r="A1596" s="183" t="str">
        <f>VLOOKUP(F1596,数据集标准分类!A:G,7,0)</f>
        <v>06</v>
      </c>
      <c r="B1596" s="183" t="str">
        <f>VLOOKUP(F1596,数据集标准分类!A:F,6,0)</f>
        <v>护理病历</v>
      </c>
      <c r="C1596" s="183" t="str">
        <f>VLOOKUP(F1596,数据集标准分类!A:E,5,0)</f>
        <v>0607</v>
      </c>
      <c r="D1596" s="183" t="str">
        <f>VLOOKUP(F1596,数据集标准分类!A:D,4,0)</f>
        <v>医嘱执行</v>
      </c>
      <c r="E1596" s="183" t="str">
        <f>VLOOKUP(F1596,数据集标准分类!A:C,3,0)</f>
        <v>060701</v>
      </c>
      <c r="F1596" s="304" t="s">
        <v>3676</v>
      </c>
      <c r="G1596" s="183" t="str">
        <f>VLOOKUP(F1596,数据集标准分类!A:B,2,0)</f>
        <v>pda_execution_record</v>
      </c>
      <c r="H1596" s="294">
        <f>VLOOKUP(F1596,数据集标准分类!A:H,8,0)</f>
        <v>113</v>
      </c>
      <c r="I1596" s="304" t="s">
        <v>3677</v>
      </c>
      <c r="J1596" s="304" t="s">
        <v>3678</v>
      </c>
      <c r="K1596" s="304" t="s">
        <v>3679</v>
      </c>
      <c r="L1596" s="304" t="s">
        <v>3680</v>
      </c>
      <c r="M1596" s="301"/>
      <c r="N1596" s="183" t="s">
        <v>3351</v>
      </c>
      <c r="O1596" s="170"/>
    </row>
    <row r="1597" ht="15.75" customHeight="1" spans="1:15">
      <c r="A1597" s="183" t="str">
        <f>VLOOKUP(F1597,数据集标准分类!A:G,7,0)</f>
        <v>06</v>
      </c>
      <c r="B1597" s="183" t="str">
        <f>VLOOKUP(F1597,数据集标准分类!A:F,6,0)</f>
        <v>护理病历</v>
      </c>
      <c r="C1597" s="183" t="str">
        <f>VLOOKUP(F1597,数据集标准分类!A:E,5,0)</f>
        <v>0607</v>
      </c>
      <c r="D1597" s="183" t="str">
        <f>VLOOKUP(F1597,数据集标准分类!A:D,4,0)</f>
        <v>医嘱执行</v>
      </c>
      <c r="E1597" s="183" t="str">
        <f>VLOOKUP(F1597,数据集标准分类!A:C,3,0)</f>
        <v>060701</v>
      </c>
      <c r="F1597" s="304" t="s">
        <v>3676</v>
      </c>
      <c r="G1597" s="183" t="str">
        <f>VLOOKUP(F1597,数据集标准分类!A:B,2,0)</f>
        <v>pda_execution_record</v>
      </c>
      <c r="H1597" s="294">
        <f>VLOOKUP(F1597,数据集标准分类!A:H,8,0)</f>
        <v>113</v>
      </c>
      <c r="I1597" s="304" t="s">
        <v>3681</v>
      </c>
      <c r="J1597" s="304" t="s">
        <v>3682</v>
      </c>
      <c r="K1597" s="304" t="s">
        <v>3683</v>
      </c>
      <c r="L1597" s="304" t="s">
        <v>3684</v>
      </c>
      <c r="M1597" s="301"/>
      <c r="N1597" s="183" t="s">
        <v>3352</v>
      </c>
      <c r="O1597" s="170"/>
    </row>
    <row r="1598" ht="15.75" customHeight="1" spans="1:15">
      <c r="A1598" s="183" t="str">
        <f>VLOOKUP(F1598,数据集标准分类!A:G,7,0)</f>
        <v>06</v>
      </c>
      <c r="B1598" s="183" t="str">
        <f>VLOOKUP(F1598,数据集标准分类!A:F,6,0)</f>
        <v>护理病历</v>
      </c>
      <c r="C1598" s="183" t="str">
        <f>VLOOKUP(F1598,数据集标准分类!A:E,5,0)</f>
        <v>0607</v>
      </c>
      <c r="D1598" s="183" t="str">
        <f>VLOOKUP(F1598,数据集标准分类!A:D,4,0)</f>
        <v>医嘱执行</v>
      </c>
      <c r="E1598" s="183" t="str">
        <f>VLOOKUP(F1598,数据集标准分类!A:C,3,0)</f>
        <v>060701</v>
      </c>
      <c r="F1598" s="304" t="s">
        <v>3676</v>
      </c>
      <c r="G1598" s="183" t="str">
        <f>VLOOKUP(F1598,数据集标准分类!A:B,2,0)</f>
        <v>pda_execution_record</v>
      </c>
      <c r="H1598" s="294">
        <f>VLOOKUP(F1598,数据集标准分类!A:H,8,0)</f>
        <v>113</v>
      </c>
      <c r="I1598" s="304" t="s">
        <v>2784</v>
      </c>
      <c r="J1598" s="304" t="s">
        <v>2785</v>
      </c>
      <c r="K1598" s="304" t="s">
        <v>2786</v>
      </c>
      <c r="L1598" s="304" t="s">
        <v>3685</v>
      </c>
      <c r="M1598" s="301"/>
      <c r="N1598" s="183" t="s">
        <v>3353</v>
      </c>
      <c r="O1598" s="170"/>
    </row>
    <row r="1599" ht="15.75" customHeight="1" spans="1:15">
      <c r="A1599" s="183" t="str">
        <f>VLOOKUP(F1599,数据集标准分类!A:G,7,0)</f>
        <v>06</v>
      </c>
      <c r="B1599" s="183" t="str">
        <f>VLOOKUP(F1599,数据集标准分类!A:F,6,0)</f>
        <v>护理病历</v>
      </c>
      <c r="C1599" s="183" t="str">
        <f>VLOOKUP(F1599,数据集标准分类!A:E,5,0)</f>
        <v>0607</v>
      </c>
      <c r="D1599" s="183" t="str">
        <f>VLOOKUP(F1599,数据集标准分类!A:D,4,0)</f>
        <v>医嘱执行</v>
      </c>
      <c r="E1599" s="183" t="str">
        <f>VLOOKUP(F1599,数据集标准分类!A:C,3,0)</f>
        <v>060701</v>
      </c>
      <c r="F1599" s="304" t="s">
        <v>3676</v>
      </c>
      <c r="G1599" s="183" t="str">
        <f>VLOOKUP(F1599,数据集标准分类!A:B,2,0)</f>
        <v>pda_execution_record</v>
      </c>
      <c r="H1599" s="294">
        <f>VLOOKUP(F1599,数据集标准分类!A:H,8,0)</f>
        <v>113</v>
      </c>
      <c r="I1599" s="304" t="s">
        <v>197</v>
      </c>
      <c r="J1599" s="304" t="s">
        <v>198</v>
      </c>
      <c r="K1599" s="304" t="s">
        <v>2074</v>
      </c>
      <c r="L1599" s="304" t="s">
        <v>199</v>
      </c>
      <c r="M1599" s="301"/>
      <c r="N1599" s="183" t="s">
        <v>3365</v>
      </c>
      <c r="O1599" s="170"/>
    </row>
    <row r="1600" ht="15.75" customHeight="1" spans="1:15">
      <c r="A1600" s="183" t="str">
        <f>VLOOKUP(F1600,数据集标准分类!A:G,7,0)</f>
        <v>06</v>
      </c>
      <c r="B1600" s="183" t="str">
        <f>VLOOKUP(F1600,数据集标准分类!A:F,6,0)</f>
        <v>护理病历</v>
      </c>
      <c r="C1600" s="183" t="str">
        <f>VLOOKUP(F1600,数据集标准分类!A:E,5,0)</f>
        <v>0607</v>
      </c>
      <c r="D1600" s="183" t="str">
        <f>VLOOKUP(F1600,数据集标准分类!A:D,4,0)</f>
        <v>医嘱执行</v>
      </c>
      <c r="E1600" s="183" t="str">
        <f>VLOOKUP(F1600,数据集标准分类!A:C,3,0)</f>
        <v>060701</v>
      </c>
      <c r="F1600" s="304" t="s">
        <v>3676</v>
      </c>
      <c r="G1600" s="183" t="str">
        <f>VLOOKUP(F1600,数据集标准分类!A:B,2,0)</f>
        <v>pda_execution_record</v>
      </c>
      <c r="H1600" s="294">
        <f>VLOOKUP(F1600,数据集标准分类!A:H,8,0)</f>
        <v>113</v>
      </c>
      <c r="I1600" s="304" t="s">
        <v>3686</v>
      </c>
      <c r="J1600" s="304" t="s">
        <v>3687</v>
      </c>
      <c r="K1600" s="304" t="s">
        <v>3688</v>
      </c>
      <c r="L1600" s="304" t="s">
        <v>3689</v>
      </c>
      <c r="M1600" s="301"/>
      <c r="N1600" s="183" t="s">
        <v>3370</v>
      </c>
      <c r="O1600" s="170"/>
    </row>
    <row r="1601" ht="15.75" customHeight="1" spans="1:15">
      <c r="A1601" s="183" t="str">
        <f>VLOOKUP(F1601,数据集标准分类!A:G,7,0)</f>
        <v>06</v>
      </c>
      <c r="B1601" s="183" t="str">
        <f>VLOOKUP(F1601,数据集标准分类!A:F,6,0)</f>
        <v>护理病历</v>
      </c>
      <c r="C1601" s="183" t="str">
        <f>VLOOKUP(F1601,数据集标准分类!A:E,5,0)</f>
        <v>0607</v>
      </c>
      <c r="D1601" s="183" t="str">
        <f>VLOOKUP(F1601,数据集标准分类!A:D,4,0)</f>
        <v>医嘱执行</v>
      </c>
      <c r="E1601" s="183" t="str">
        <f>VLOOKUP(F1601,数据集标准分类!A:C,3,0)</f>
        <v>060701</v>
      </c>
      <c r="F1601" s="304" t="s">
        <v>3676</v>
      </c>
      <c r="G1601" s="183" t="str">
        <f>VLOOKUP(F1601,数据集标准分类!A:B,2,0)</f>
        <v>pda_execution_record</v>
      </c>
      <c r="H1601" s="294">
        <f>VLOOKUP(F1601,数据集标准分类!A:H,8,0)</f>
        <v>113</v>
      </c>
      <c r="I1601" s="304" t="s">
        <v>3690</v>
      </c>
      <c r="J1601" s="304" t="s">
        <v>3691</v>
      </c>
      <c r="K1601" s="304" t="s">
        <v>3692</v>
      </c>
      <c r="L1601" s="304" t="s">
        <v>3693</v>
      </c>
      <c r="M1601" s="301"/>
      <c r="N1601" s="183" t="s">
        <v>3371</v>
      </c>
      <c r="O1601" s="170"/>
    </row>
    <row r="1602" ht="15.75" customHeight="1" spans="1:15">
      <c r="A1602" s="183" t="str">
        <f>VLOOKUP(F1602,数据集标准分类!A:G,7,0)</f>
        <v>06</v>
      </c>
      <c r="B1602" s="183" t="str">
        <f>VLOOKUP(F1602,数据集标准分类!A:F,6,0)</f>
        <v>护理病历</v>
      </c>
      <c r="C1602" s="183" t="str">
        <f>VLOOKUP(F1602,数据集标准分类!A:E,5,0)</f>
        <v>0608</v>
      </c>
      <c r="D1602" s="183" t="str">
        <f>VLOOKUP(F1602,数据集标准分类!A:D,4,0)</f>
        <v>重症模块</v>
      </c>
      <c r="E1602" s="183" t="str">
        <f>VLOOKUP(F1602,数据集标准分类!A:C,3,0)</f>
        <v>060801</v>
      </c>
      <c r="F1602" s="170" t="s">
        <v>3694</v>
      </c>
      <c r="G1602" s="183" t="str">
        <f>VLOOKUP(F1602,数据集标准分类!A:B,2,0)</f>
        <v>real_time_monitoring</v>
      </c>
      <c r="H1602" s="294">
        <f>VLOOKUP(F1602,数据集标准分类!A:H,8,0)</f>
        <v>114</v>
      </c>
      <c r="I1602" s="304" t="s">
        <v>3641</v>
      </c>
      <c r="J1602" s="304" t="s">
        <v>3642</v>
      </c>
      <c r="K1602" s="304" t="s">
        <v>3643</v>
      </c>
      <c r="L1602" s="304" t="s">
        <v>3644</v>
      </c>
      <c r="M1602" s="170"/>
      <c r="N1602" s="294">
        <v>1</v>
      </c>
      <c r="O1602" s="170"/>
    </row>
    <row r="1603" ht="15.75" customHeight="1" spans="1:15">
      <c r="A1603" s="183" t="str">
        <f>VLOOKUP(F1603,数据集标准分类!A:G,7,0)</f>
        <v>06</v>
      </c>
      <c r="B1603" s="183" t="str">
        <f>VLOOKUP(F1603,数据集标准分类!A:F,6,0)</f>
        <v>护理病历</v>
      </c>
      <c r="C1603" s="183" t="str">
        <f>VLOOKUP(F1603,数据集标准分类!A:E,5,0)</f>
        <v>0608</v>
      </c>
      <c r="D1603" s="183" t="str">
        <f>VLOOKUP(F1603,数据集标准分类!A:D,4,0)</f>
        <v>重症模块</v>
      </c>
      <c r="E1603" s="183" t="str">
        <f>VLOOKUP(F1603,数据集标准分类!A:C,3,0)</f>
        <v>060801</v>
      </c>
      <c r="F1603" s="170" t="s">
        <v>3694</v>
      </c>
      <c r="G1603" s="183" t="str">
        <f>VLOOKUP(F1603,数据集标准分类!A:B,2,0)</f>
        <v>real_time_monitoring</v>
      </c>
      <c r="H1603" s="294">
        <f>VLOOKUP(F1603,数据集标准分类!A:H,8,0)</f>
        <v>114</v>
      </c>
      <c r="I1603" s="304" t="s">
        <v>3617</v>
      </c>
      <c r="J1603" s="304" t="s">
        <v>3618</v>
      </c>
      <c r="K1603" s="304" t="s">
        <v>3619</v>
      </c>
      <c r="L1603" s="304" t="s">
        <v>3620</v>
      </c>
      <c r="M1603" s="170"/>
      <c r="N1603" s="294">
        <v>2</v>
      </c>
      <c r="O1603" s="170"/>
    </row>
    <row r="1604" ht="15.75" customHeight="1" spans="1:15">
      <c r="A1604" s="183" t="str">
        <f>VLOOKUP(F1604,数据集标准分类!A:G,7,0)</f>
        <v>06</v>
      </c>
      <c r="B1604" s="183" t="str">
        <f>VLOOKUP(F1604,数据集标准分类!A:F,6,0)</f>
        <v>护理病历</v>
      </c>
      <c r="C1604" s="183" t="str">
        <f>VLOOKUP(F1604,数据集标准分类!A:E,5,0)</f>
        <v>0608</v>
      </c>
      <c r="D1604" s="183" t="str">
        <f>VLOOKUP(F1604,数据集标准分类!A:D,4,0)</f>
        <v>重症模块</v>
      </c>
      <c r="E1604" s="183" t="str">
        <f>VLOOKUP(F1604,数据集标准分类!A:C,3,0)</f>
        <v>060801</v>
      </c>
      <c r="F1604" s="170" t="s">
        <v>3694</v>
      </c>
      <c r="G1604" s="183" t="str">
        <f>VLOOKUP(F1604,数据集标准分类!A:B,2,0)</f>
        <v>real_time_monitoring</v>
      </c>
      <c r="H1604" s="294">
        <f>VLOOKUP(F1604,数据集标准分类!A:H,8,0)</f>
        <v>114</v>
      </c>
      <c r="I1604" s="304" t="s">
        <v>3695</v>
      </c>
      <c r="J1604" s="304" t="s">
        <v>3696</v>
      </c>
      <c r="K1604" s="304" t="s">
        <v>3697</v>
      </c>
      <c r="L1604" s="304" t="s">
        <v>3698</v>
      </c>
      <c r="M1604" s="170"/>
      <c r="N1604" s="294">
        <v>3</v>
      </c>
      <c r="O1604" s="170"/>
    </row>
    <row r="1605" ht="15.75" customHeight="1" spans="1:15">
      <c r="A1605" s="183" t="str">
        <f>VLOOKUP(F1605,数据集标准分类!A:G,7,0)</f>
        <v>06</v>
      </c>
      <c r="B1605" s="183" t="str">
        <f>VLOOKUP(F1605,数据集标准分类!A:F,6,0)</f>
        <v>护理病历</v>
      </c>
      <c r="C1605" s="183" t="str">
        <f>VLOOKUP(F1605,数据集标准分类!A:E,5,0)</f>
        <v>0608</v>
      </c>
      <c r="D1605" s="183" t="str">
        <f>VLOOKUP(F1605,数据集标准分类!A:D,4,0)</f>
        <v>重症模块</v>
      </c>
      <c r="E1605" s="183" t="str">
        <f>VLOOKUP(F1605,数据集标准分类!A:C,3,0)</f>
        <v>060801</v>
      </c>
      <c r="F1605" s="170" t="s">
        <v>3694</v>
      </c>
      <c r="G1605" s="183" t="str">
        <f>VLOOKUP(F1605,数据集标准分类!A:B,2,0)</f>
        <v>real_time_monitoring</v>
      </c>
      <c r="H1605" s="294">
        <f>VLOOKUP(F1605,数据集标准分类!A:H,8,0)</f>
        <v>114</v>
      </c>
      <c r="I1605" s="304" t="s">
        <v>2035</v>
      </c>
      <c r="J1605" s="304" t="s">
        <v>2036</v>
      </c>
      <c r="K1605" s="304" t="s">
        <v>2037</v>
      </c>
      <c r="L1605" s="304" t="s">
        <v>2038</v>
      </c>
      <c r="M1605" s="170"/>
      <c r="N1605" s="294">
        <v>4</v>
      </c>
      <c r="O1605" s="170"/>
    </row>
    <row r="1606" ht="15.75" customHeight="1" spans="1:15">
      <c r="A1606" s="183" t="str">
        <f>VLOOKUP(F1606,数据集标准分类!A:G,7,0)</f>
        <v>06</v>
      </c>
      <c r="B1606" s="183" t="str">
        <f>VLOOKUP(F1606,数据集标准分类!A:F,6,0)</f>
        <v>护理病历</v>
      </c>
      <c r="C1606" s="183" t="str">
        <f>VLOOKUP(F1606,数据集标准分类!A:E,5,0)</f>
        <v>0608</v>
      </c>
      <c r="D1606" s="183" t="str">
        <f>VLOOKUP(F1606,数据集标准分类!A:D,4,0)</f>
        <v>重症模块</v>
      </c>
      <c r="E1606" s="183" t="str">
        <f>VLOOKUP(F1606,数据集标准分类!A:C,3,0)</f>
        <v>060802</v>
      </c>
      <c r="F1606" s="170" t="s">
        <v>3699</v>
      </c>
      <c r="G1606" s="183" t="str">
        <f>VLOOKUP(F1606,数据集标准分类!A:B,2,0)</f>
        <v>inp_vasoactivedrug</v>
      </c>
      <c r="H1606" s="294">
        <f>VLOOKUP(F1606,数据集标准分类!A:H,8,0)</f>
        <v>115</v>
      </c>
      <c r="I1606" s="304" t="s">
        <v>3700</v>
      </c>
      <c r="J1606" s="304" t="s">
        <v>3701</v>
      </c>
      <c r="K1606" s="304" t="s">
        <v>3702</v>
      </c>
      <c r="L1606" s="304" t="s">
        <v>3703</v>
      </c>
      <c r="M1606" s="170"/>
      <c r="N1606" s="294">
        <v>1</v>
      </c>
      <c r="O1606" s="170"/>
    </row>
    <row r="1607" ht="15.75" customHeight="1" spans="1:15">
      <c r="A1607" s="183" t="str">
        <f>VLOOKUP(F1607,数据集标准分类!A:G,7,0)</f>
        <v>06</v>
      </c>
      <c r="B1607" s="183" t="str">
        <f>VLOOKUP(F1607,数据集标准分类!A:F,6,0)</f>
        <v>护理病历</v>
      </c>
      <c r="C1607" s="183" t="str">
        <f>VLOOKUP(F1607,数据集标准分类!A:E,5,0)</f>
        <v>0608</v>
      </c>
      <c r="D1607" s="183" t="str">
        <f>VLOOKUP(F1607,数据集标准分类!A:D,4,0)</f>
        <v>重症模块</v>
      </c>
      <c r="E1607" s="183" t="str">
        <f>VLOOKUP(F1607,数据集标准分类!A:C,3,0)</f>
        <v>060802</v>
      </c>
      <c r="F1607" s="170" t="s">
        <v>3699</v>
      </c>
      <c r="G1607" s="183" t="str">
        <f>VLOOKUP(F1607,数据集标准分类!A:B,2,0)</f>
        <v>inp_vasoactivedrug</v>
      </c>
      <c r="H1607" s="294">
        <f>VLOOKUP(F1607,数据集标准分类!A:H,8,0)</f>
        <v>115</v>
      </c>
      <c r="I1607" s="170" t="s">
        <v>3704</v>
      </c>
      <c r="J1607" s="170" t="s">
        <v>3705</v>
      </c>
      <c r="K1607" s="170" t="s">
        <v>3706</v>
      </c>
      <c r="L1607" s="170" t="s">
        <v>3707</v>
      </c>
      <c r="M1607" s="170"/>
      <c r="N1607" s="294">
        <v>2</v>
      </c>
      <c r="O1607" s="170"/>
    </row>
    <row r="1608" ht="15.75" customHeight="1" spans="1:15">
      <c r="A1608" s="183" t="str">
        <f>VLOOKUP(F1608,数据集标准分类!A:G,7,0)</f>
        <v>06</v>
      </c>
      <c r="B1608" s="183" t="str">
        <f>VLOOKUP(F1608,数据集标准分类!A:F,6,0)</f>
        <v>护理病历</v>
      </c>
      <c r="C1608" s="183" t="str">
        <f>VLOOKUP(F1608,数据集标准分类!A:E,5,0)</f>
        <v>0608</v>
      </c>
      <c r="D1608" s="183" t="str">
        <f>VLOOKUP(F1608,数据集标准分类!A:D,4,0)</f>
        <v>重症模块</v>
      </c>
      <c r="E1608" s="183" t="str">
        <f>VLOOKUP(F1608,数据集标准分类!A:C,3,0)</f>
        <v>060802</v>
      </c>
      <c r="F1608" s="170" t="s">
        <v>3699</v>
      </c>
      <c r="G1608" s="183" t="str">
        <f>VLOOKUP(F1608,数据集标准分类!A:B,2,0)</f>
        <v>inp_vasoactivedrug</v>
      </c>
      <c r="H1608" s="294">
        <f>VLOOKUP(F1608,数据集标准分类!A:H,8,0)</f>
        <v>115</v>
      </c>
      <c r="I1608" s="170" t="s">
        <v>3617</v>
      </c>
      <c r="J1608" s="170" t="s">
        <v>3618</v>
      </c>
      <c r="K1608" s="170" t="s">
        <v>3619</v>
      </c>
      <c r="L1608" s="170" t="s">
        <v>3620</v>
      </c>
      <c r="M1608" s="170"/>
      <c r="N1608" s="294">
        <v>3</v>
      </c>
      <c r="O1608" s="170"/>
    </row>
    <row r="1609" ht="15.75" customHeight="1" spans="1:15">
      <c r="A1609" s="183" t="str">
        <f>VLOOKUP(F1609,数据集标准分类!A:G,7,0)</f>
        <v>06</v>
      </c>
      <c r="B1609" s="183" t="str">
        <f>VLOOKUP(F1609,数据集标准分类!A:F,6,0)</f>
        <v>护理病历</v>
      </c>
      <c r="C1609" s="183" t="str">
        <f>VLOOKUP(F1609,数据集标准分类!A:E,5,0)</f>
        <v>0608</v>
      </c>
      <c r="D1609" s="183" t="str">
        <f>VLOOKUP(F1609,数据集标准分类!A:D,4,0)</f>
        <v>重症模块</v>
      </c>
      <c r="E1609" s="183" t="str">
        <f>VLOOKUP(F1609,数据集标准分类!A:C,3,0)</f>
        <v>060802</v>
      </c>
      <c r="F1609" s="170" t="s">
        <v>3699</v>
      </c>
      <c r="G1609" s="183" t="str">
        <f>VLOOKUP(F1609,数据集标准分类!A:B,2,0)</f>
        <v>inp_vasoactivedrug</v>
      </c>
      <c r="H1609" s="294">
        <f>VLOOKUP(F1609,数据集标准分类!A:H,8,0)</f>
        <v>115</v>
      </c>
      <c r="I1609" s="170" t="s">
        <v>1774</v>
      </c>
      <c r="J1609" s="170" t="s">
        <v>1775</v>
      </c>
      <c r="K1609" s="170" t="s">
        <v>1776</v>
      </c>
      <c r="L1609" s="170" t="s">
        <v>1777</v>
      </c>
      <c r="M1609" s="170"/>
      <c r="N1609" s="294">
        <v>4</v>
      </c>
      <c r="O1609" s="170"/>
    </row>
    <row r="1610" ht="15.75" customHeight="1" spans="1:15">
      <c r="A1610" s="183" t="str">
        <f>VLOOKUP(F1610,数据集标准分类!A:G,7,0)</f>
        <v>06</v>
      </c>
      <c r="B1610" s="183" t="str">
        <f>VLOOKUP(F1610,数据集标准分类!A:F,6,0)</f>
        <v>护理病历</v>
      </c>
      <c r="C1610" s="183" t="str">
        <f>VLOOKUP(F1610,数据集标准分类!A:E,5,0)</f>
        <v>0608</v>
      </c>
      <c r="D1610" s="183" t="str">
        <f>VLOOKUP(F1610,数据集标准分类!A:D,4,0)</f>
        <v>重症模块</v>
      </c>
      <c r="E1610" s="183" t="str">
        <f>VLOOKUP(F1610,数据集标准分类!A:C,3,0)</f>
        <v>060802</v>
      </c>
      <c r="F1610" s="170" t="s">
        <v>3699</v>
      </c>
      <c r="G1610" s="183" t="str">
        <f>VLOOKUP(F1610,数据集标准分类!A:B,2,0)</f>
        <v>inp_vasoactivedrug</v>
      </c>
      <c r="H1610" s="294">
        <f>VLOOKUP(F1610,数据集标准分类!A:H,8,0)</f>
        <v>115</v>
      </c>
      <c r="I1610" s="170" t="s">
        <v>3708</v>
      </c>
      <c r="J1610" s="170" t="s">
        <v>3709</v>
      </c>
      <c r="K1610" s="170" t="s">
        <v>3710</v>
      </c>
      <c r="L1610" s="170" t="s">
        <v>3711</v>
      </c>
      <c r="M1610" s="170"/>
      <c r="N1610" s="294">
        <v>5</v>
      </c>
      <c r="O1610" s="170"/>
    </row>
    <row r="1611" ht="15.75" customHeight="1" spans="1:15">
      <c r="A1611" s="183" t="str">
        <f>VLOOKUP(F1611,数据集标准分类!A:G,7,0)</f>
        <v>06</v>
      </c>
      <c r="B1611" s="183" t="str">
        <f>VLOOKUP(F1611,数据集标准分类!A:F,6,0)</f>
        <v>护理病历</v>
      </c>
      <c r="C1611" s="183" t="str">
        <f>VLOOKUP(F1611,数据集标准分类!A:E,5,0)</f>
        <v>0608</v>
      </c>
      <c r="D1611" s="183" t="str">
        <f>VLOOKUP(F1611,数据集标准分类!A:D,4,0)</f>
        <v>重症模块</v>
      </c>
      <c r="E1611" s="183" t="str">
        <f>VLOOKUP(F1611,数据集标准分类!A:C,3,0)</f>
        <v>060802</v>
      </c>
      <c r="F1611" s="170" t="s">
        <v>3699</v>
      </c>
      <c r="G1611" s="183" t="str">
        <f>VLOOKUP(F1611,数据集标准分类!A:B,2,0)</f>
        <v>inp_vasoactivedrug</v>
      </c>
      <c r="H1611" s="294">
        <f>VLOOKUP(F1611,数据集标准分类!A:H,8,0)</f>
        <v>115</v>
      </c>
      <c r="I1611" s="170" t="s">
        <v>3712</v>
      </c>
      <c r="J1611" s="170" t="s">
        <v>3713</v>
      </c>
      <c r="K1611" s="170" t="s">
        <v>3714</v>
      </c>
      <c r="L1611" s="170" t="s">
        <v>3715</v>
      </c>
      <c r="M1611" s="170"/>
      <c r="N1611" s="294">
        <v>6</v>
      </c>
      <c r="O1611" s="170"/>
    </row>
    <row r="1612" ht="15.75" customHeight="1" spans="1:15">
      <c r="A1612" s="183" t="str">
        <f>VLOOKUP(F1612,数据集标准分类!A:G,7,0)</f>
        <v>06</v>
      </c>
      <c r="B1612" s="183" t="str">
        <f>VLOOKUP(F1612,数据集标准分类!A:F,6,0)</f>
        <v>护理病历</v>
      </c>
      <c r="C1612" s="183" t="str">
        <f>VLOOKUP(F1612,数据集标准分类!A:E,5,0)</f>
        <v>0608</v>
      </c>
      <c r="D1612" s="183" t="str">
        <f>VLOOKUP(F1612,数据集标准分类!A:D,4,0)</f>
        <v>重症模块</v>
      </c>
      <c r="E1612" s="183" t="str">
        <f>VLOOKUP(F1612,数据集标准分类!A:C,3,0)</f>
        <v>060802</v>
      </c>
      <c r="F1612" s="170" t="s">
        <v>3699</v>
      </c>
      <c r="G1612" s="183" t="str">
        <f>VLOOKUP(F1612,数据集标准分类!A:B,2,0)</f>
        <v>inp_vasoactivedrug</v>
      </c>
      <c r="H1612" s="294">
        <f>VLOOKUP(F1612,数据集标准分类!A:H,8,0)</f>
        <v>115</v>
      </c>
      <c r="I1612" s="170" t="s">
        <v>3716</v>
      </c>
      <c r="J1612" s="170" t="s">
        <v>3717</v>
      </c>
      <c r="K1612" s="170" t="s">
        <v>3718</v>
      </c>
      <c r="L1612" s="170" t="s">
        <v>3719</v>
      </c>
      <c r="M1612" s="170"/>
      <c r="N1612" s="294">
        <v>7</v>
      </c>
      <c r="O1612" s="170"/>
    </row>
    <row r="1613" ht="15.75" customHeight="1" spans="1:15">
      <c r="A1613" s="183" t="str">
        <f>VLOOKUP(F1613,数据集标准分类!A:G,7,0)</f>
        <v>06</v>
      </c>
      <c r="B1613" s="183" t="str">
        <f>VLOOKUP(F1613,数据集标准分类!A:F,6,0)</f>
        <v>护理病历</v>
      </c>
      <c r="C1613" s="183" t="str">
        <f>VLOOKUP(F1613,数据集标准分类!A:E,5,0)</f>
        <v>0608</v>
      </c>
      <c r="D1613" s="183" t="str">
        <f>VLOOKUP(F1613,数据集标准分类!A:D,4,0)</f>
        <v>重症模块</v>
      </c>
      <c r="E1613" s="183" t="str">
        <f>VLOOKUP(F1613,数据集标准分类!A:C,3,0)</f>
        <v>060802</v>
      </c>
      <c r="F1613" s="170" t="s">
        <v>3699</v>
      </c>
      <c r="G1613" s="183" t="str">
        <f>VLOOKUP(F1613,数据集标准分类!A:B,2,0)</f>
        <v>inp_vasoactivedrug</v>
      </c>
      <c r="H1613" s="294">
        <f>VLOOKUP(F1613,数据集标准分类!A:H,8,0)</f>
        <v>115</v>
      </c>
      <c r="I1613" s="170" t="s">
        <v>3720</v>
      </c>
      <c r="J1613" s="170" t="s">
        <v>3721</v>
      </c>
      <c r="K1613" s="170" t="s">
        <v>3722</v>
      </c>
      <c r="L1613" s="170" t="s">
        <v>3723</v>
      </c>
      <c r="M1613" s="170"/>
      <c r="N1613" s="294">
        <v>8</v>
      </c>
      <c r="O1613" s="170"/>
    </row>
    <row r="1614" ht="15.75" customHeight="1" spans="1:15">
      <c r="A1614" s="183" t="str">
        <f>VLOOKUP(F1614,数据集标准分类!A:G,7,0)</f>
        <v>06</v>
      </c>
      <c r="B1614" s="183" t="str">
        <f>VLOOKUP(F1614,数据集标准分类!A:F,6,0)</f>
        <v>护理病历</v>
      </c>
      <c r="C1614" s="183" t="str">
        <f>VLOOKUP(F1614,数据集标准分类!A:E,5,0)</f>
        <v>0608</v>
      </c>
      <c r="D1614" s="183" t="str">
        <f>VLOOKUP(F1614,数据集标准分类!A:D,4,0)</f>
        <v>重症模块</v>
      </c>
      <c r="E1614" s="183" t="str">
        <f>VLOOKUP(F1614,数据集标准分类!A:C,3,0)</f>
        <v>060802</v>
      </c>
      <c r="F1614" s="170" t="s">
        <v>3699</v>
      </c>
      <c r="G1614" s="183" t="str">
        <f>VLOOKUP(F1614,数据集标准分类!A:B,2,0)</f>
        <v>inp_vasoactivedrug</v>
      </c>
      <c r="H1614" s="294">
        <f>VLOOKUP(F1614,数据集标准分类!A:H,8,0)</f>
        <v>115</v>
      </c>
      <c r="I1614" s="170" t="s">
        <v>3724</v>
      </c>
      <c r="J1614" s="170" t="s">
        <v>3725</v>
      </c>
      <c r="K1614" s="170" t="s">
        <v>3726</v>
      </c>
      <c r="L1614" s="170" t="s">
        <v>3727</v>
      </c>
      <c r="M1614" s="170"/>
      <c r="N1614" s="294">
        <v>9</v>
      </c>
      <c r="O1614" s="170"/>
    </row>
    <row r="1615" ht="15.75" customHeight="1" spans="1:15">
      <c r="A1615" s="183" t="str">
        <f>VLOOKUP(F1615,数据集标准分类!A:G,7,0)</f>
        <v>06</v>
      </c>
      <c r="B1615" s="183" t="str">
        <f>VLOOKUP(F1615,数据集标准分类!A:F,6,0)</f>
        <v>护理病历</v>
      </c>
      <c r="C1615" s="183" t="str">
        <f>VLOOKUP(F1615,数据集标准分类!A:E,5,0)</f>
        <v>0608</v>
      </c>
      <c r="D1615" s="183" t="str">
        <f>VLOOKUP(F1615,数据集标准分类!A:D,4,0)</f>
        <v>重症模块</v>
      </c>
      <c r="E1615" s="183" t="str">
        <f>VLOOKUP(F1615,数据集标准分类!A:C,3,0)</f>
        <v>060803</v>
      </c>
      <c r="F1615" s="170" t="s">
        <v>3728</v>
      </c>
      <c r="G1615" s="183" t="str">
        <f>VLOOKUP(F1615,数据集标准分类!A:B,2,0)</f>
        <v>inp_weishentsb_wc</v>
      </c>
      <c r="H1615" s="294">
        <f>VLOOKUP(F1615,数据集标准分类!A:H,8,0)</f>
        <v>116</v>
      </c>
      <c r="I1615" s="170" t="s">
        <v>3617</v>
      </c>
      <c r="J1615" s="170" t="s">
        <v>3618</v>
      </c>
      <c r="K1615" s="170" t="s">
        <v>3619</v>
      </c>
      <c r="L1615" s="170" t="s">
        <v>3620</v>
      </c>
      <c r="M1615" s="170"/>
      <c r="N1615" s="294">
        <v>1</v>
      </c>
      <c r="O1615" s="170"/>
    </row>
    <row r="1616" ht="15.75" customHeight="1" spans="1:15">
      <c r="A1616" s="183" t="str">
        <f>VLOOKUP(F1616,数据集标准分类!A:G,7,0)</f>
        <v>06</v>
      </c>
      <c r="B1616" s="183" t="str">
        <f>VLOOKUP(F1616,数据集标准分类!A:F,6,0)</f>
        <v>护理病历</v>
      </c>
      <c r="C1616" s="183" t="str">
        <f>VLOOKUP(F1616,数据集标准分类!A:E,5,0)</f>
        <v>0608</v>
      </c>
      <c r="D1616" s="183" t="str">
        <f>VLOOKUP(F1616,数据集标准分类!A:D,4,0)</f>
        <v>重症模块</v>
      </c>
      <c r="E1616" s="183" t="str">
        <f>VLOOKUP(F1616,数据集标准分类!A:C,3,0)</f>
        <v>060803</v>
      </c>
      <c r="F1616" s="170" t="s">
        <v>3728</v>
      </c>
      <c r="G1616" s="183" t="str">
        <f>VLOOKUP(F1616,数据集标准分类!A:B,2,0)</f>
        <v>inp_weishentsb_wc</v>
      </c>
      <c r="H1616" s="294">
        <f>VLOOKUP(F1616,数据集标准分类!A:H,8,0)</f>
        <v>116</v>
      </c>
      <c r="I1616" s="170" t="s">
        <v>3729</v>
      </c>
      <c r="J1616" s="170" t="s">
        <v>3730</v>
      </c>
      <c r="K1616" s="170" t="s">
        <v>3731</v>
      </c>
      <c r="L1616" s="170" t="s">
        <v>3732</v>
      </c>
      <c r="M1616" s="170"/>
      <c r="N1616" s="294">
        <v>2</v>
      </c>
      <c r="O1616" s="170"/>
    </row>
    <row r="1617" ht="15.75" customHeight="1" spans="1:15">
      <c r="A1617" s="183" t="str">
        <f>VLOOKUP(F1617,数据集标准分类!A:G,7,0)</f>
        <v>06</v>
      </c>
      <c r="B1617" s="183" t="str">
        <f>VLOOKUP(F1617,数据集标准分类!A:F,6,0)</f>
        <v>护理病历</v>
      </c>
      <c r="C1617" s="183" t="str">
        <f>VLOOKUP(F1617,数据集标准分类!A:E,5,0)</f>
        <v>0608</v>
      </c>
      <c r="D1617" s="183" t="str">
        <f>VLOOKUP(F1617,数据集标准分类!A:D,4,0)</f>
        <v>重症模块</v>
      </c>
      <c r="E1617" s="183" t="str">
        <f>VLOOKUP(F1617,数据集标准分类!A:C,3,0)</f>
        <v>060803</v>
      </c>
      <c r="F1617" s="170" t="s">
        <v>3728</v>
      </c>
      <c r="G1617" s="183" t="str">
        <f>VLOOKUP(F1617,数据集标准分类!A:B,2,0)</f>
        <v>inp_weishentsb_wc</v>
      </c>
      <c r="H1617" s="294">
        <f>VLOOKUP(F1617,数据集标准分类!A:H,8,0)</f>
        <v>116</v>
      </c>
      <c r="I1617" s="170" t="s">
        <v>3733</v>
      </c>
      <c r="J1617" s="170" t="s">
        <v>3734</v>
      </c>
      <c r="K1617" s="170" t="s">
        <v>3735</v>
      </c>
      <c r="L1617" s="170" t="s">
        <v>3736</v>
      </c>
      <c r="M1617" s="170"/>
      <c r="N1617" s="294">
        <v>3</v>
      </c>
      <c r="O1617" s="170"/>
    </row>
    <row r="1618" ht="15.75" customHeight="1" spans="1:15">
      <c r="A1618" s="183" t="str">
        <f>VLOOKUP(F1618,数据集标准分类!A:G,7,0)</f>
        <v>06</v>
      </c>
      <c r="B1618" s="183" t="str">
        <f>VLOOKUP(F1618,数据集标准分类!A:F,6,0)</f>
        <v>护理病历</v>
      </c>
      <c r="C1618" s="183" t="str">
        <f>VLOOKUP(F1618,数据集标准分类!A:E,5,0)</f>
        <v>0608</v>
      </c>
      <c r="D1618" s="183" t="str">
        <f>VLOOKUP(F1618,数据集标准分类!A:D,4,0)</f>
        <v>重症模块</v>
      </c>
      <c r="E1618" s="183" t="str">
        <f>VLOOKUP(F1618,数据集标准分类!A:C,3,0)</f>
        <v>060803</v>
      </c>
      <c r="F1618" s="170" t="s">
        <v>3728</v>
      </c>
      <c r="G1618" s="183" t="str">
        <f>VLOOKUP(F1618,数据集标准分类!A:B,2,0)</f>
        <v>inp_weishentsb_wc</v>
      </c>
      <c r="H1618" s="294">
        <f>VLOOKUP(F1618,数据集标准分类!A:H,8,0)</f>
        <v>116</v>
      </c>
      <c r="I1618" s="170" t="s">
        <v>3737</v>
      </c>
      <c r="J1618" s="170" t="s">
        <v>3738</v>
      </c>
      <c r="K1618" s="170" t="s">
        <v>3739</v>
      </c>
      <c r="L1618" s="170" t="s">
        <v>3740</v>
      </c>
      <c r="M1618" s="170"/>
      <c r="N1618" s="294">
        <v>4</v>
      </c>
      <c r="O1618" s="170"/>
    </row>
    <row r="1619" ht="15.75" customHeight="1" spans="1:15">
      <c r="A1619" s="183" t="str">
        <f>VLOOKUP(F1619,数据集标准分类!A:G,7,0)</f>
        <v>06</v>
      </c>
      <c r="B1619" s="183" t="str">
        <f>VLOOKUP(F1619,数据集标准分类!A:F,6,0)</f>
        <v>护理病历</v>
      </c>
      <c r="C1619" s="183" t="str">
        <f>VLOOKUP(F1619,数据集标准分类!A:E,5,0)</f>
        <v>0608</v>
      </c>
      <c r="D1619" s="183" t="str">
        <f>VLOOKUP(F1619,数据集标准分类!A:D,4,0)</f>
        <v>重症模块</v>
      </c>
      <c r="E1619" s="183" t="str">
        <f>VLOOKUP(F1619,数据集标准分类!A:C,3,0)</f>
        <v>060803</v>
      </c>
      <c r="F1619" s="170" t="s">
        <v>3728</v>
      </c>
      <c r="G1619" s="183" t="str">
        <f>VLOOKUP(F1619,数据集标准分类!A:B,2,0)</f>
        <v>inp_weishentsb_wc</v>
      </c>
      <c r="H1619" s="294">
        <f>VLOOKUP(F1619,数据集标准分类!A:H,8,0)</f>
        <v>116</v>
      </c>
      <c r="I1619" s="170" t="s">
        <v>3741</v>
      </c>
      <c r="J1619" s="170" t="s">
        <v>3742</v>
      </c>
      <c r="K1619" s="170" t="s">
        <v>3743</v>
      </c>
      <c r="L1619" s="170" t="s">
        <v>3744</v>
      </c>
      <c r="M1619" s="170"/>
      <c r="N1619" s="294">
        <v>5</v>
      </c>
      <c r="O1619" s="170"/>
    </row>
    <row r="1620" ht="15.75" customHeight="1" spans="1:15">
      <c r="A1620" s="183" t="str">
        <f>VLOOKUP(F1620,数据集标准分类!A:G,7,0)</f>
        <v>06</v>
      </c>
      <c r="B1620" s="183" t="str">
        <f>VLOOKUP(F1620,数据集标准分类!A:F,6,0)</f>
        <v>护理病历</v>
      </c>
      <c r="C1620" s="183" t="str">
        <f>VLOOKUP(F1620,数据集标准分类!A:E,5,0)</f>
        <v>0608</v>
      </c>
      <c r="D1620" s="183" t="str">
        <f>VLOOKUP(F1620,数据集标准分类!A:D,4,0)</f>
        <v>重症模块</v>
      </c>
      <c r="E1620" s="183" t="str">
        <f>VLOOKUP(F1620,数据集标准分类!A:C,3,0)</f>
        <v>060803</v>
      </c>
      <c r="F1620" s="170" t="s">
        <v>3728</v>
      </c>
      <c r="G1620" s="183" t="str">
        <f>VLOOKUP(F1620,数据集标准分类!A:B,2,0)</f>
        <v>inp_weishentsb_wc</v>
      </c>
      <c r="H1620" s="294">
        <f>VLOOKUP(F1620,数据集标准分类!A:H,8,0)</f>
        <v>116</v>
      </c>
      <c r="I1620" s="170" t="s">
        <v>3745</v>
      </c>
      <c r="J1620" s="170" t="s">
        <v>3746</v>
      </c>
      <c r="K1620" s="170" t="s">
        <v>3747</v>
      </c>
      <c r="L1620" s="170" t="s">
        <v>3748</v>
      </c>
      <c r="M1620" s="170"/>
      <c r="N1620" s="294">
        <v>6</v>
      </c>
      <c r="O1620" s="170"/>
    </row>
    <row r="1621" ht="15.75" customHeight="1" spans="1:15">
      <c r="A1621" s="183" t="str">
        <f>VLOOKUP(F1621,数据集标准分类!A:G,7,0)</f>
        <v>06</v>
      </c>
      <c r="B1621" s="183" t="str">
        <f>VLOOKUP(F1621,数据集标准分类!A:F,6,0)</f>
        <v>护理病历</v>
      </c>
      <c r="C1621" s="183" t="str">
        <f>VLOOKUP(F1621,数据集标准分类!A:E,5,0)</f>
        <v>0608</v>
      </c>
      <c r="D1621" s="183" t="str">
        <f>VLOOKUP(F1621,数据集标准分类!A:D,4,0)</f>
        <v>重症模块</v>
      </c>
      <c r="E1621" s="183" t="str">
        <f>VLOOKUP(F1621,数据集标准分类!A:C,3,0)</f>
        <v>060803</v>
      </c>
      <c r="F1621" s="170" t="s">
        <v>3728</v>
      </c>
      <c r="G1621" s="183" t="str">
        <f>VLOOKUP(F1621,数据集标准分类!A:B,2,0)</f>
        <v>inp_weishentsb_wc</v>
      </c>
      <c r="H1621" s="294">
        <f>VLOOKUP(F1621,数据集标准分类!A:H,8,0)</f>
        <v>116</v>
      </c>
      <c r="I1621" s="170" t="s">
        <v>3749</v>
      </c>
      <c r="J1621" s="170" t="s">
        <v>3750</v>
      </c>
      <c r="K1621" s="170" t="s">
        <v>3751</v>
      </c>
      <c r="L1621" s="170" t="s">
        <v>3752</v>
      </c>
      <c r="M1621" s="170"/>
      <c r="N1621" s="294">
        <v>7</v>
      </c>
      <c r="O1621" s="170"/>
    </row>
    <row r="1622" ht="15.75" customHeight="1" spans="1:15">
      <c r="A1622" s="183" t="str">
        <f>VLOOKUP(F1622,数据集标准分类!A:G,7,0)</f>
        <v>06</v>
      </c>
      <c r="B1622" s="183" t="str">
        <f>VLOOKUP(F1622,数据集标准分类!A:F,6,0)</f>
        <v>护理病历</v>
      </c>
      <c r="C1622" s="183" t="str">
        <f>VLOOKUP(F1622,数据集标准分类!A:E,5,0)</f>
        <v>0608</v>
      </c>
      <c r="D1622" s="183" t="str">
        <f>VLOOKUP(F1622,数据集标准分类!A:D,4,0)</f>
        <v>重症模块</v>
      </c>
      <c r="E1622" s="183" t="str">
        <f>VLOOKUP(F1622,数据集标准分类!A:C,3,0)</f>
        <v>060803</v>
      </c>
      <c r="F1622" s="170" t="s">
        <v>3728</v>
      </c>
      <c r="G1622" s="183" t="str">
        <f>VLOOKUP(F1622,数据集标准分类!A:B,2,0)</f>
        <v>inp_weishentsb_wc</v>
      </c>
      <c r="H1622" s="294">
        <f>VLOOKUP(F1622,数据集标准分类!A:H,8,0)</f>
        <v>116</v>
      </c>
      <c r="I1622" s="170" t="s">
        <v>3753</v>
      </c>
      <c r="J1622" s="170" t="s">
        <v>3754</v>
      </c>
      <c r="K1622" s="170" t="s">
        <v>3755</v>
      </c>
      <c r="L1622" s="170" t="s">
        <v>3756</v>
      </c>
      <c r="M1622" s="170"/>
      <c r="N1622" s="294">
        <v>8</v>
      </c>
      <c r="O1622" s="170"/>
    </row>
    <row r="1623" ht="15.75" customHeight="1" spans="1:15">
      <c r="A1623" s="183" t="str">
        <f>VLOOKUP(F1623,数据集标准分类!A:G,7,0)</f>
        <v>06</v>
      </c>
      <c r="B1623" s="183" t="str">
        <f>VLOOKUP(F1623,数据集标准分类!A:F,6,0)</f>
        <v>护理病历</v>
      </c>
      <c r="C1623" s="183" t="str">
        <f>VLOOKUP(F1623,数据集标准分类!A:E,5,0)</f>
        <v>0608</v>
      </c>
      <c r="D1623" s="183" t="str">
        <f>VLOOKUP(F1623,数据集标准分类!A:D,4,0)</f>
        <v>重症模块</v>
      </c>
      <c r="E1623" s="183" t="str">
        <f>VLOOKUP(F1623,数据集标准分类!A:C,3,0)</f>
        <v>060803</v>
      </c>
      <c r="F1623" s="170" t="s">
        <v>3728</v>
      </c>
      <c r="G1623" s="183" t="str">
        <f>VLOOKUP(F1623,数据集标准分类!A:B,2,0)</f>
        <v>inp_weishentsb_wc</v>
      </c>
      <c r="H1623" s="294">
        <f>VLOOKUP(F1623,数据集标准分类!A:H,8,0)</f>
        <v>116</v>
      </c>
      <c r="I1623" s="170" t="s">
        <v>3757</v>
      </c>
      <c r="J1623" s="170" t="s">
        <v>3758</v>
      </c>
      <c r="K1623" s="170" t="s">
        <v>3759</v>
      </c>
      <c r="L1623" s="170" t="s">
        <v>3760</v>
      </c>
      <c r="M1623" s="170"/>
      <c r="N1623" s="294">
        <v>9</v>
      </c>
      <c r="O1623" s="170"/>
    </row>
    <row r="1624" ht="15.75" customHeight="1" spans="1:15">
      <c r="A1624" s="183" t="str">
        <f>VLOOKUP(F1624,数据集标准分类!A:G,7,0)</f>
        <v>06</v>
      </c>
      <c r="B1624" s="183" t="str">
        <f>VLOOKUP(F1624,数据集标准分类!A:F,6,0)</f>
        <v>护理病历</v>
      </c>
      <c r="C1624" s="183" t="str">
        <f>VLOOKUP(F1624,数据集标准分类!A:E,5,0)</f>
        <v>0608</v>
      </c>
      <c r="D1624" s="183" t="str">
        <f>VLOOKUP(F1624,数据集标准分类!A:D,4,0)</f>
        <v>重症模块</v>
      </c>
      <c r="E1624" s="183" t="str">
        <f>VLOOKUP(F1624,数据集标准分类!A:C,3,0)</f>
        <v>060803</v>
      </c>
      <c r="F1624" s="170" t="s">
        <v>3728</v>
      </c>
      <c r="G1624" s="183" t="str">
        <f>VLOOKUP(F1624,数据集标准分类!A:B,2,0)</f>
        <v>inp_weishentsb_wc</v>
      </c>
      <c r="H1624" s="294">
        <f>VLOOKUP(F1624,数据集标准分类!A:H,8,0)</f>
        <v>116</v>
      </c>
      <c r="I1624" s="170" t="s">
        <v>3761</v>
      </c>
      <c r="J1624" s="170" t="s">
        <v>3762</v>
      </c>
      <c r="K1624" s="170" t="s">
        <v>3763</v>
      </c>
      <c r="L1624" s="170" t="s">
        <v>3764</v>
      </c>
      <c r="M1624" s="170"/>
      <c r="N1624" s="294">
        <v>10</v>
      </c>
      <c r="O1624" s="170"/>
    </row>
    <row r="1625" ht="15.75" customHeight="1" spans="1:15">
      <c r="A1625" s="183" t="str">
        <f>VLOOKUP(F1625,数据集标准分类!A:G,7,0)</f>
        <v>06</v>
      </c>
      <c r="B1625" s="183" t="str">
        <f>VLOOKUP(F1625,数据集标准分类!A:F,6,0)</f>
        <v>护理病历</v>
      </c>
      <c r="C1625" s="183" t="str">
        <f>VLOOKUP(F1625,数据集标准分类!A:E,5,0)</f>
        <v>0608</v>
      </c>
      <c r="D1625" s="183" t="str">
        <f>VLOOKUP(F1625,数据集标准分类!A:D,4,0)</f>
        <v>重症模块</v>
      </c>
      <c r="E1625" s="183" t="str">
        <f>VLOOKUP(F1625,数据集标准分类!A:C,3,0)</f>
        <v>060803</v>
      </c>
      <c r="F1625" s="170" t="s">
        <v>3728</v>
      </c>
      <c r="G1625" s="183" t="str">
        <f>VLOOKUP(F1625,数据集标准分类!A:B,2,0)</f>
        <v>inp_weishentsb_wc</v>
      </c>
      <c r="H1625" s="294">
        <f>VLOOKUP(F1625,数据集标准分类!A:H,8,0)</f>
        <v>116</v>
      </c>
      <c r="I1625" s="170" t="s">
        <v>3765</v>
      </c>
      <c r="J1625" s="170" t="s">
        <v>3766</v>
      </c>
      <c r="K1625" s="170" t="s">
        <v>3767</v>
      </c>
      <c r="L1625" s="170" t="s">
        <v>3768</v>
      </c>
      <c r="M1625" s="170"/>
      <c r="N1625" s="294">
        <v>11</v>
      </c>
      <c r="O1625" s="170"/>
    </row>
    <row r="1626" ht="15.75" customHeight="1" spans="1:15">
      <c r="A1626" s="183" t="str">
        <f>VLOOKUP(F1626,数据集标准分类!A:G,7,0)</f>
        <v>06</v>
      </c>
      <c r="B1626" s="183" t="str">
        <f>VLOOKUP(F1626,数据集标准分类!A:F,6,0)</f>
        <v>护理病历</v>
      </c>
      <c r="C1626" s="183" t="str">
        <f>VLOOKUP(F1626,数据集标准分类!A:E,5,0)</f>
        <v>0608</v>
      </c>
      <c r="D1626" s="183" t="str">
        <f>VLOOKUP(F1626,数据集标准分类!A:D,4,0)</f>
        <v>重症模块</v>
      </c>
      <c r="E1626" s="183" t="str">
        <f>VLOOKUP(F1626,数据集标准分类!A:C,3,0)</f>
        <v>060803</v>
      </c>
      <c r="F1626" s="170" t="s">
        <v>3728</v>
      </c>
      <c r="G1626" s="183" t="str">
        <f>VLOOKUP(F1626,数据集标准分类!A:B,2,0)</f>
        <v>inp_weishentsb_wc</v>
      </c>
      <c r="H1626" s="294">
        <f>VLOOKUP(F1626,数据集标准分类!A:H,8,0)</f>
        <v>116</v>
      </c>
      <c r="I1626" s="170" t="s">
        <v>3769</v>
      </c>
      <c r="J1626" s="170" t="s">
        <v>3770</v>
      </c>
      <c r="K1626" s="170" t="s">
        <v>3771</v>
      </c>
      <c r="L1626" s="170" t="s">
        <v>3772</v>
      </c>
      <c r="M1626" s="170"/>
      <c r="N1626" s="294">
        <v>12</v>
      </c>
      <c r="O1626" s="170"/>
    </row>
    <row r="1627" ht="15.75" customHeight="1" spans="1:15">
      <c r="A1627" s="183" t="str">
        <f>VLOOKUP(F1627,数据集标准分类!A:G,7,0)</f>
        <v>06</v>
      </c>
      <c r="B1627" s="183" t="str">
        <f>VLOOKUP(F1627,数据集标准分类!A:F,6,0)</f>
        <v>护理病历</v>
      </c>
      <c r="C1627" s="183" t="str">
        <f>VLOOKUP(F1627,数据集标准分类!A:E,5,0)</f>
        <v>0609</v>
      </c>
      <c r="D1627" s="183" t="str">
        <f>VLOOKUP(F1627,数据集标准分类!A:D,4,0)</f>
        <v>心力衰竭</v>
      </c>
      <c r="E1627" s="183" t="str">
        <f>VLOOKUP(F1627,数据集标准分类!A:C,3,0)</f>
        <v>060901</v>
      </c>
      <c r="F1627" s="304" t="s">
        <v>3773</v>
      </c>
      <c r="G1627" s="183" t="str">
        <f>VLOOKUP(F1627,数据集标准分类!A:B,2,0)</f>
        <v>hfc_discharge_checklist</v>
      </c>
      <c r="H1627" s="294">
        <f>VLOOKUP(F1627,数据集标准分类!A:H,8,0)</f>
        <v>117</v>
      </c>
      <c r="I1627" s="297" t="s">
        <v>3192</v>
      </c>
      <c r="J1627" s="297" t="s">
        <v>3193</v>
      </c>
      <c r="K1627" s="297" t="s">
        <v>3194</v>
      </c>
      <c r="L1627" s="297" t="s">
        <v>3195</v>
      </c>
      <c r="M1627" s="297"/>
      <c r="N1627" s="294">
        <v>1</v>
      </c>
      <c r="O1627" s="303"/>
    </row>
    <row r="1628" ht="15.75" customHeight="1" spans="1:15">
      <c r="A1628" s="183" t="str">
        <f>VLOOKUP(F1628,数据集标准分类!A:G,7,0)</f>
        <v>06</v>
      </c>
      <c r="B1628" s="183" t="str">
        <f>VLOOKUP(F1628,数据集标准分类!A:F,6,0)</f>
        <v>护理病历</v>
      </c>
      <c r="C1628" s="183" t="str">
        <f>VLOOKUP(F1628,数据集标准分类!A:E,5,0)</f>
        <v>0609</v>
      </c>
      <c r="D1628" s="183" t="str">
        <f>VLOOKUP(F1628,数据集标准分类!A:D,4,0)</f>
        <v>心力衰竭</v>
      </c>
      <c r="E1628" s="183" t="str">
        <f>VLOOKUP(F1628,数据集标准分类!A:C,3,0)</f>
        <v>060901</v>
      </c>
      <c r="F1628" s="304" t="s">
        <v>3773</v>
      </c>
      <c r="G1628" s="183" t="str">
        <f>VLOOKUP(F1628,数据集标准分类!A:B,2,0)</f>
        <v>hfc_discharge_checklist</v>
      </c>
      <c r="H1628" s="294">
        <f>VLOOKUP(F1628,数据集标准分类!A:H,8,0)</f>
        <v>117</v>
      </c>
      <c r="I1628" s="297" t="s">
        <v>3361</v>
      </c>
      <c r="J1628" s="297" t="s">
        <v>3362</v>
      </c>
      <c r="K1628" s="297" t="s">
        <v>3363</v>
      </c>
      <c r="L1628" s="297" t="s">
        <v>3364</v>
      </c>
      <c r="M1628" s="297"/>
      <c r="N1628" s="294">
        <v>2</v>
      </c>
      <c r="O1628" s="303"/>
    </row>
    <row r="1629" ht="15.75" customHeight="1" spans="1:15">
      <c r="A1629" s="183" t="str">
        <f>VLOOKUP(F1629,数据集标准分类!A:G,7,0)</f>
        <v>06</v>
      </c>
      <c r="B1629" s="183" t="str">
        <f>VLOOKUP(F1629,数据集标准分类!A:F,6,0)</f>
        <v>护理病历</v>
      </c>
      <c r="C1629" s="183" t="str">
        <f>VLOOKUP(F1629,数据集标准分类!A:E,5,0)</f>
        <v>0609</v>
      </c>
      <c r="D1629" s="183" t="str">
        <f>VLOOKUP(F1629,数据集标准分类!A:D,4,0)</f>
        <v>心力衰竭</v>
      </c>
      <c r="E1629" s="183" t="str">
        <f>VLOOKUP(F1629,数据集标准分类!A:C,3,0)</f>
        <v>060901</v>
      </c>
      <c r="F1629" s="304" t="s">
        <v>3773</v>
      </c>
      <c r="G1629" s="183" t="str">
        <f>VLOOKUP(F1629,数据集标准分类!A:B,2,0)</f>
        <v>hfc_discharge_checklist</v>
      </c>
      <c r="H1629" s="294">
        <f>VLOOKUP(F1629,数据集标准分类!A:H,8,0)</f>
        <v>117</v>
      </c>
      <c r="I1629" s="297" t="s">
        <v>1496</v>
      </c>
      <c r="J1629" s="297" t="s">
        <v>1497</v>
      </c>
      <c r="K1629" s="297" t="s">
        <v>1498</v>
      </c>
      <c r="L1629" s="297" t="s">
        <v>1499</v>
      </c>
      <c r="M1629" s="297"/>
      <c r="N1629" s="294">
        <v>3</v>
      </c>
      <c r="O1629" s="303"/>
    </row>
    <row r="1630" ht="15.75" customHeight="1" spans="1:15">
      <c r="A1630" s="183" t="str">
        <f>VLOOKUP(F1630,数据集标准分类!A:G,7,0)</f>
        <v>06</v>
      </c>
      <c r="B1630" s="183" t="str">
        <f>VLOOKUP(F1630,数据集标准分类!A:F,6,0)</f>
        <v>护理病历</v>
      </c>
      <c r="C1630" s="183" t="str">
        <f>VLOOKUP(F1630,数据集标准分类!A:E,5,0)</f>
        <v>0609</v>
      </c>
      <c r="D1630" s="183" t="str">
        <f>VLOOKUP(F1630,数据集标准分类!A:D,4,0)</f>
        <v>心力衰竭</v>
      </c>
      <c r="E1630" s="183" t="str">
        <f>VLOOKUP(F1630,数据集标准分类!A:C,3,0)</f>
        <v>060901</v>
      </c>
      <c r="F1630" s="304" t="s">
        <v>3773</v>
      </c>
      <c r="G1630" s="183" t="str">
        <f>VLOOKUP(F1630,数据集标准分类!A:B,2,0)</f>
        <v>hfc_discharge_checklist</v>
      </c>
      <c r="H1630" s="294">
        <f>VLOOKUP(F1630,数据集标准分类!A:H,8,0)</f>
        <v>117</v>
      </c>
      <c r="I1630" s="297" t="s">
        <v>3199</v>
      </c>
      <c r="J1630" s="297" t="s">
        <v>3200</v>
      </c>
      <c r="K1630" s="297" t="s">
        <v>3201</v>
      </c>
      <c r="L1630" s="297" t="s">
        <v>3202</v>
      </c>
      <c r="M1630" s="297"/>
      <c r="N1630" s="294">
        <v>4</v>
      </c>
      <c r="O1630" s="303"/>
    </row>
    <row r="1631" ht="15.75" customHeight="1" spans="1:15">
      <c r="A1631" s="183" t="str">
        <f>VLOOKUP(F1631,数据集标准分类!A:G,7,0)</f>
        <v>06</v>
      </c>
      <c r="B1631" s="183" t="str">
        <f>VLOOKUP(F1631,数据集标准分类!A:F,6,0)</f>
        <v>护理病历</v>
      </c>
      <c r="C1631" s="183" t="str">
        <f>VLOOKUP(F1631,数据集标准分类!A:E,5,0)</f>
        <v>0609</v>
      </c>
      <c r="D1631" s="183" t="str">
        <f>VLOOKUP(F1631,数据集标准分类!A:D,4,0)</f>
        <v>心力衰竭</v>
      </c>
      <c r="E1631" s="183" t="str">
        <f>VLOOKUP(F1631,数据集标准分类!A:C,3,0)</f>
        <v>060901</v>
      </c>
      <c r="F1631" s="304" t="s">
        <v>3773</v>
      </c>
      <c r="G1631" s="183" t="str">
        <f>VLOOKUP(F1631,数据集标准分类!A:B,2,0)</f>
        <v>hfc_discharge_checklist</v>
      </c>
      <c r="H1631" s="294">
        <f>VLOOKUP(F1631,数据集标准分类!A:H,8,0)</f>
        <v>117</v>
      </c>
      <c r="I1631" s="297" t="s">
        <v>3366</v>
      </c>
      <c r="J1631" s="297" t="s">
        <v>3367</v>
      </c>
      <c r="K1631" s="297" t="s">
        <v>3368</v>
      </c>
      <c r="L1631" s="297" t="s">
        <v>3369</v>
      </c>
      <c r="M1631" s="297"/>
      <c r="N1631" s="294">
        <v>5</v>
      </c>
      <c r="O1631" s="303"/>
    </row>
    <row r="1632" ht="15.75" customHeight="1" spans="1:15">
      <c r="A1632" s="183" t="str">
        <f>VLOOKUP(F1632,数据集标准分类!A:G,7,0)</f>
        <v>06</v>
      </c>
      <c r="B1632" s="183" t="str">
        <f>VLOOKUP(F1632,数据集标准分类!A:F,6,0)</f>
        <v>护理病历</v>
      </c>
      <c r="C1632" s="183" t="str">
        <f>VLOOKUP(F1632,数据集标准分类!A:E,5,0)</f>
        <v>0609</v>
      </c>
      <c r="D1632" s="183" t="str">
        <f>VLOOKUP(F1632,数据集标准分类!A:D,4,0)</f>
        <v>心力衰竭</v>
      </c>
      <c r="E1632" s="183" t="str">
        <f>VLOOKUP(F1632,数据集标准分类!A:C,3,0)</f>
        <v>060901</v>
      </c>
      <c r="F1632" s="304" t="s">
        <v>3773</v>
      </c>
      <c r="G1632" s="183" t="str">
        <f>VLOOKUP(F1632,数据集标准分类!A:B,2,0)</f>
        <v>hfc_discharge_checklist</v>
      </c>
      <c r="H1632" s="294">
        <f>VLOOKUP(F1632,数据集标准分类!A:H,8,0)</f>
        <v>117</v>
      </c>
      <c r="I1632" s="297" t="s">
        <v>3336</v>
      </c>
      <c r="J1632" s="297" t="s">
        <v>3337</v>
      </c>
      <c r="K1632" s="297" t="s">
        <v>3338</v>
      </c>
      <c r="L1632" s="297" t="s">
        <v>3339</v>
      </c>
      <c r="M1632" s="297"/>
      <c r="N1632" s="294">
        <v>6</v>
      </c>
      <c r="O1632" s="303"/>
    </row>
    <row r="1633" ht="15.75" customHeight="1" spans="1:15">
      <c r="A1633" s="183" t="str">
        <f>VLOOKUP(F1633,数据集标准分类!A:G,7,0)</f>
        <v>06</v>
      </c>
      <c r="B1633" s="183" t="str">
        <f>VLOOKUP(F1633,数据集标准分类!A:F,6,0)</f>
        <v>护理病历</v>
      </c>
      <c r="C1633" s="183" t="str">
        <f>VLOOKUP(F1633,数据集标准分类!A:E,5,0)</f>
        <v>0609</v>
      </c>
      <c r="D1633" s="183" t="str">
        <f>VLOOKUP(F1633,数据集标准分类!A:D,4,0)</f>
        <v>心力衰竭</v>
      </c>
      <c r="E1633" s="183" t="str">
        <f>VLOOKUP(F1633,数据集标准分类!A:C,3,0)</f>
        <v>060902</v>
      </c>
      <c r="F1633" s="304" t="s">
        <v>3774</v>
      </c>
      <c r="G1633" s="183" t="str">
        <f>VLOOKUP(F1633,数据集标准分类!A:B,2,0)</f>
        <v>hfp_sm_checklist_verification</v>
      </c>
      <c r="H1633" s="294">
        <f>VLOOKUP(F1633,数据集标准分类!A:H,8,0)</f>
        <v>118</v>
      </c>
      <c r="I1633" s="297" t="s">
        <v>3192</v>
      </c>
      <c r="J1633" s="297" t="s">
        <v>3193</v>
      </c>
      <c r="K1633" s="297" t="s">
        <v>3194</v>
      </c>
      <c r="L1633" s="297" t="s">
        <v>3195</v>
      </c>
      <c r="M1633" s="297"/>
      <c r="N1633" s="294">
        <v>1</v>
      </c>
      <c r="O1633" s="303"/>
    </row>
    <row r="1634" ht="15.75" customHeight="1" spans="1:15">
      <c r="A1634" s="183" t="str">
        <f>VLOOKUP(F1634,数据集标准分类!A:G,7,0)</f>
        <v>06</v>
      </c>
      <c r="B1634" s="183" t="str">
        <f>VLOOKUP(F1634,数据集标准分类!A:F,6,0)</f>
        <v>护理病历</v>
      </c>
      <c r="C1634" s="183" t="str">
        <f>VLOOKUP(F1634,数据集标准分类!A:E,5,0)</f>
        <v>0609</v>
      </c>
      <c r="D1634" s="183" t="str">
        <f>VLOOKUP(F1634,数据集标准分类!A:D,4,0)</f>
        <v>心力衰竭</v>
      </c>
      <c r="E1634" s="183" t="s">
        <v>3775</v>
      </c>
      <c r="F1634" s="297" t="s">
        <v>3774</v>
      </c>
      <c r="G1634" s="183" t="str">
        <f>VLOOKUP(F1634,数据集标准分类!A:B,2,0)</f>
        <v>hfp_sm_checklist_verification</v>
      </c>
      <c r="H1634" s="294">
        <f>VLOOKUP(F1634,数据集标准分类!A:H,8,0)</f>
        <v>118</v>
      </c>
      <c r="I1634" s="297" t="s">
        <v>3361</v>
      </c>
      <c r="J1634" s="297" t="s">
        <v>3362</v>
      </c>
      <c r="K1634" s="297" t="s">
        <v>3363</v>
      </c>
      <c r="L1634" s="297" t="s">
        <v>3364</v>
      </c>
      <c r="M1634" s="297"/>
      <c r="N1634" s="296">
        <v>2</v>
      </c>
      <c r="O1634" s="297"/>
    </row>
    <row r="1635" ht="15.75" customHeight="1" spans="1:15">
      <c r="A1635" s="183" t="str">
        <f>VLOOKUP(F1635,数据集标准分类!A:G,7,0)</f>
        <v>06</v>
      </c>
      <c r="B1635" s="183" t="str">
        <f>VLOOKUP(F1635,数据集标准分类!A:F,6,0)</f>
        <v>护理病历</v>
      </c>
      <c r="C1635" s="183" t="str">
        <f>VLOOKUP(F1635,数据集标准分类!A:E,5,0)</f>
        <v>0609</v>
      </c>
      <c r="D1635" s="183" t="str">
        <f>VLOOKUP(F1635,数据集标准分类!A:D,4,0)</f>
        <v>心力衰竭</v>
      </c>
      <c r="E1635" s="183" t="str">
        <f>VLOOKUP(F1635,数据集标准分类!A:C,3,0)</f>
        <v>060902</v>
      </c>
      <c r="F1635" s="297" t="s">
        <v>3774</v>
      </c>
      <c r="G1635" s="183" t="str">
        <f>VLOOKUP(F1635,数据集标准分类!A:B,2,0)</f>
        <v>hfp_sm_checklist_verification</v>
      </c>
      <c r="H1635" s="294">
        <f>VLOOKUP(F1635,数据集标准分类!A:H,8,0)</f>
        <v>118</v>
      </c>
      <c r="I1635" s="297" t="s">
        <v>1496</v>
      </c>
      <c r="J1635" s="297" t="s">
        <v>1497</v>
      </c>
      <c r="K1635" s="297" t="s">
        <v>1498</v>
      </c>
      <c r="L1635" s="297" t="s">
        <v>1499</v>
      </c>
      <c r="M1635" s="297"/>
      <c r="N1635" s="296">
        <v>3</v>
      </c>
      <c r="O1635" s="297"/>
    </row>
    <row r="1636" ht="15.75" customHeight="1" spans="1:15">
      <c r="A1636" s="183" t="str">
        <f>VLOOKUP(F1636,数据集标准分类!A:G,7,0)</f>
        <v>06</v>
      </c>
      <c r="B1636" s="183" t="str">
        <f>VLOOKUP(F1636,数据集标准分类!A:F,6,0)</f>
        <v>护理病历</v>
      </c>
      <c r="C1636" s="183" t="str">
        <f>VLOOKUP(F1636,数据集标准分类!A:E,5,0)</f>
        <v>0609</v>
      </c>
      <c r="D1636" s="183" t="str">
        <f>VLOOKUP(F1636,数据集标准分类!A:D,4,0)</f>
        <v>心力衰竭</v>
      </c>
      <c r="E1636" s="183" t="str">
        <f>VLOOKUP(F1636,数据集标准分类!A:C,3,0)</f>
        <v>060902</v>
      </c>
      <c r="F1636" s="297" t="s">
        <v>3774</v>
      </c>
      <c r="G1636" s="183" t="str">
        <f>VLOOKUP(F1636,数据集标准分类!A:B,2,0)</f>
        <v>hfp_sm_checklist_verification</v>
      </c>
      <c r="H1636" s="294">
        <f>VLOOKUP(F1636,数据集标准分类!A:H,8,0)</f>
        <v>118</v>
      </c>
      <c r="I1636" s="297" t="s">
        <v>3199</v>
      </c>
      <c r="J1636" s="297" t="s">
        <v>3200</v>
      </c>
      <c r="K1636" s="297" t="s">
        <v>3201</v>
      </c>
      <c r="L1636" s="297" t="s">
        <v>3202</v>
      </c>
      <c r="M1636" s="297"/>
      <c r="N1636" s="296">
        <v>4</v>
      </c>
      <c r="O1636" s="297"/>
    </row>
    <row r="1637" ht="15.75" customHeight="1" spans="1:15">
      <c r="A1637" s="183" t="str">
        <f>VLOOKUP(F1637,数据集标准分类!A:G,7,0)</f>
        <v>06</v>
      </c>
      <c r="B1637" s="183" t="str">
        <f>VLOOKUP(F1637,数据集标准分类!A:F,6,0)</f>
        <v>护理病历</v>
      </c>
      <c r="C1637" s="183" t="str">
        <f>VLOOKUP(F1637,数据集标准分类!A:E,5,0)</f>
        <v>0609</v>
      </c>
      <c r="D1637" s="183" t="str">
        <f>VLOOKUP(F1637,数据集标准分类!A:D,4,0)</f>
        <v>心力衰竭</v>
      </c>
      <c r="E1637" s="183" t="str">
        <f>VLOOKUP(F1637,数据集标准分类!A:C,3,0)</f>
        <v>060902</v>
      </c>
      <c r="F1637" s="297" t="s">
        <v>3774</v>
      </c>
      <c r="G1637" s="183" t="str">
        <f>VLOOKUP(F1637,数据集标准分类!A:B,2,0)</f>
        <v>hfp_sm_checklist_verification</v>
      </c>
      <c r="H1637" s="294">
        <f>VLOOKUP(F1637,数据集标准分类!A:H,8,0)</f>
        <v>118</v>
      </c>
      <c r="I1637" s="297" t="s">
        <v>3366</v>
      </c>
      <c r="J1637" s="297" t="s">
        <v>3367</v>
      </c>
      <c r="K1637" s="297" t="s">
        <v>3368</v>
      </c>
      <c r="L1637" s="297" t="s">
        <v>3369</v>
      </c>
      <c r="M1637" s="297"/>
      <c r="N1637" s="296">
        <v>5</v>
      </c>
      <c r="O1637" s="297"/>
    </row>
    <row r="1638" ht="15.75" customHeight="1" spans="1:15">
      <c r="A1638" s="183" t="str">
        <f>VLOOKUP(F1638,数据集标准分类!A:G,7,0)</f>
        <v>06</v>
      </c>
      <c r="B1638" s="183" t="str">
        <f>VLOOKUP(F1638,数据集标准分类!A:F,6,0)</f>
        <v>护理病历</v>
      </c>
      <c r="C1638" s="183" t="str">
        <f>VLOOKUP(F1638,数据集标准分类!A:E,5,0)</f>
        <v>0609</v>
      </c>
      <c r="D1638" s="183" t="str">
        <f>VLOOKUP(F1638,数据集标准分类!A:D,4,0)</f>
        <v>心力衰竭</v>
      </c>
      <c r="E1638" s="183" t="str">
        <f>VLOOKUP(F1638,数据集标准分类!A:C,3,0)</f>
        <v>060902</v>
      </c>
      <c r="F1638" s="297" t="s">
        <v>3774</v>
      </c>
      <c r="G1638" s="183" t="str">
        <f>VLOOKUP(F1638,数据集标准分类!A:B,2,0)</f>
        <v>hfp_sm_checklist_verification</v>
      </c>
      <c r="H1638" s="294">
        <f>VLOOKUP(F1638,数据集标准分类!A:H,8,0)</f>
        <v>118</v>
      </c>
      <c r="I1638" s="297" t="s">
        <v>3336</v>
      </c>
      <c r="J1638" s="297" t="s">
        <v>3337</v>
      </c>
      <c r="K1638" s="297" t="s">
        <v>3338</v>
      </c>
      <c r="L1638" s="297" t="s">
        <v>3339</v>
      </c>
      <c r="M1638" s="297"/>
      <c r="N1638" s="296">
        <v>6</v>
      </c>
      <c r="O1638" s="297"/>
    </row>
    <row r="1639" ht="15.75" customHeight="1" spans="1:15">
      <c r="A1639" s="183" t="str">
        <f>VLOOKUP(F1639,数据集标准分类!A:G,7,0)</f>
        <v>06</v>
      </c>
      <c r="B1639" s="183" t="str">
        <f>VLOOKUP(F1639,数据集标准分类!A:F,6,0)</f>
        <v>护理病历</v>
      </c>
      <c r="C1639" s="183" t="str">
        <f>VLOOKUP(F1639,数据集标准分类!A:E,5,0)</f>
        <v>0610</v>
      </c>
      <c r="D1639" s="183" t="str">
        <f>VLOOKUP(F1639,数据集标准分类!A:D,4,0)</f>
        <v>手术记录</v>
      </c>
      <c r="E1639" s="183" t="str">
        <f>VLOOKUP(F1639,数据集标准分类!A:C,3,0)</f>
        <v>061001</v>
      </c>
      <c r="F1639" s="297" t="s">
        <v>3776</v>
      </c>
      <c r="G1639" s="183" t="str">
        <f>VLOOKUP(F1639,数据集标准分类!A:B,2,0)</f>
        <v>op_record_sheet</v>
      </c>
      <c r="H1639" s="294">
        <f>VLOOKUP(F1639,数据集标准分类!A:H,8,0)</f>
        <v>119</v>
      </c>
      <c r="I1639" s="297" t="s">
        <v>1592</v>
      </c>
      <c r="J1639" s="297" t="s">
        <v>1593</v>
      </c>
      <c r="K1639" s="297" t="s">
        <v>1594</v>
      </c>
      <c r="L1639" s="297" t="s">
        <v>1595</v>
      </c>
      <c r="M1639" s="297"/>
      <c r="N1639" s="296">
        <v>1</v>
      </c>
      <c r="O1639" s="297"/>
    </row>
    <row r="1640" ht="15.75" customHeight="1" spans="1:15">
      <c r="A1640" s="183" t="str">
        <f>VLOOKUP(F1640,数据集标准分类!A:G,7,0)</f>
        <v>06</v>
      </c>
      <c r="B1640" s="183" t="str">
        <f>VLOOKUP(F1640,数据集标准分类!A:F,6,0)</f>
        <v>护理病历</v>
      </c>
      <c r="C1640" s="183" t="str">
        <f>VLOOKUP(F1640,数据集标准分类!A:E,5,0)</f>
        <v>0610</v>
      </c>
      <c r="D1640" s="183" t="str">
        <f>VLOOKUP(F1640,数据集标准分类!A:D,4,0)</f>
        <v>手术记录</v>
      </c>
      <c r="E1640" s="183" t="str">
        <f>VLOOKUP(F1640,数据集标准分类!A:C,3,0)</f>
        <v>061001</v>
      </c>
      <c r="F1640" s="297" t="s">
        <v>3776</v>
      </c>
      <c r="G1640" s="183" t="str">
        <f>VLOOKUP(F1640,数据集标准分类!A:B,2,0)</f>
        <v>op_record_sheet</v>
      </c>
      <c r="H1640" s="294">
        <f>VLOOKUP(F1640,数据集标准分类!A:H,8,0)</f>
        <v>119</v>
      </c>
      <c r="I1640" s="297" t="s">
        <v>3551</v>
      </c>
      <c r="J1640" s="297" t="s">
        <v>3552</v>
      </c>
      <c r="K1640" s="297" t="s">
        <v>3553</v>
      </c>
      <c r="L1640" s="297" t="s">
        <v>3554</v>
      </c>
      <c r="M1640" s="297"/>
      <c r="N1640" s="296">
        <v>2</v>
      </c>
      <c r="O1640" s="297"/>
    </row>
    <row r="1641" ht="15.75" customHeight="1" spans="1:15">
      <c r="A1641" s="183" t="str">
        <f>VLOOKUP(F1641,数据集标准分类!A:G,7,0)</f>
        <v>06</v>
      </c>
      <c r="B1641" s="183" t="str">
        <f>VLOOKUP(F1641,数据集标准分类!A:F,6,0)</f>
        <v>护理病历</v>
      </c>
      <c r="C1641" s="183" t="str">
        <f>VLOOKUP(F1641,数据集标准分类!A:E,5,0)</f>
        <v>0610</v>
      </c>
      <c r="D1641" s="183" t="str">
        <f>VLOOKUP(F1641,数据集标准分类!A:D,4,0)</f>
        <v>手术记录</v>
      </c>
      <c r="E1641" s="183" t="str">
        <f>VLOOKUP(F1641,数据集标准分类!A:C,3,0)</f>
        <v>061001</v>
      </c>
      <c r="F1641" s="297" t="s">
        <v>3776</v>
      </c>
      <c r="G1641" s="183" t="str">
        <f>VLOOKUP(F1641,数据集标准分类!A:B,2,0)</f>
        <v>op_record_sheet</v>
      </c>
      <c r="H1641" s="294">
        <f>VLOOKUP(F1641,数据集标准分类!A:H,8,0)</f>
        <v>119</v>
      </c>
      <c r="I1641" s="297" t="s">
        <v>3777</v>
      </c>
      <c r="J1641" s="297" t="s">
        <v>3778</v>
      </c>
      <c r="K1641" s="297" t="s">
        <v>3779</v>
      </c>
      <c r="L1641" s="297" t="s">
        <v>3780</v>
      </c>
      <c r="M1641" s="297"/>
      <c r="N1641" s="296">
        <v>3</v>
      </c>
      <c r="O1641" s="297"/>
    </row>
    <row r="1642" ht="15.75" customHeight="1" spans="1:15">
      <c r="A1642" s="183" t="str">
        <f>VLOOKUP(F1642,数据集标准分类!A:G,7,0)</f>
        <v>06</v>
      </c>
      <c r="B1642" s="183" t="str">
        <f>VLOOKUP(F1642,数据集标准分类!A:F,6,0)</f>
        <v>护理病历</v>
      </c>
      <c r="C1642" s="183" t="str">
        <f>VLOOKUP(F1642,数据集标准分类!A:E,5,0)</f>
        <v>0610</v>
      </c>
      <c r="D1642" s="183" t="str">
        <f>VLOOKUP(F1642,数据集标准分类!A:D,4,0)</f>
        <v>手术记录</v>
      </c>
      <c r="E1642" s="183" t="str">
        <f>VLOOKUP(F1642,数据集标准分类!A:C,3,0)</f>
        <v>061001</v>
      </c>
      <c r="F1642" s="297" t="s">
        <v>3776</v>
      </c>
      <c r="G1642" s="183" t="str">
        <f>VLOOKUP(F1642,数据集标准分类!A:B,2,0)</f>
        <v>op_record_sheet</v>
      </c>
      <c r="H1642" s="294">
        <f>VLOOKUP(F1642,数据集标准分类!A:H,8,0)</f>
        <v>119</v>
      </c>
      <c r="I1642" s="297" t="s">
        <v>3781</v>
      </c>
      <c r="J1642" s="297" t="s">
        <v>3782</v>
      </c>
      <c r="K1642" s="297" t="s">
        <v>3783</v>
      </c>
      <c r="L1642" s="297" t="s">
        <v>3784</v>
      </c>
      <c r="M1642" s="297"/>
      <c r="N1642" s="296">
        <v>4</v>
      </c>
      <c r="O1642" s="297"/>
    </row>
    <row r="1643" ht="15.75" customHeight="1" spans="1:15">
      <c r="A1643" s="183" t="str">
        <f>VLOOKUP(F1643,数据集标准分类!A:G,7,0)</f>
        <v>06</v>
      </c>
      <c r="B1643" s="183" t="str">
        <f>VLOOKUP(F1643,数据集标准分类!A:F,6,0)</f>
        <v>护理病历</v>
      </c>
      <c r="C1643" s="183" t="str">
        <f>VLOOKUP(F1643,数据集标准分类!A:E,5,0)</f>
        <v>0610</v>
      </c>
      <c r="D1643" s="183" t="str">
        <f>VLOOKUP(F1643,数据集标准分类!A:D,4,0)</f>
        <v>手术记录</v>
      </c>
      <c r="E1643" s="183" t="str">
        <f>VLOOKUP(F1643,数据集标准分类!A:C,3,0)</f>
        <v>061001</v>
      </c>
      <c r="F1643" s="297" t="s">
        <v>3776</v>
      </c>
      <c r="G1643" s="183" t="str">
        <f>VLOOKUP(F1643,数据集标准分类!A:B,2,0)</f>
        <v>op_record_sheet</v>
      </c>
      <c r="H1643" s="294">
        <f>VLOOKUP(F1643,数据集标准分类!A:H,8,0)</f>
        <v>119</v>
      </c>
      <c r="I1643" s="297" t="s">
        <v>3785</v>
      </c>
      <c r="J1643" s="297" t="s">
        <v>3786</v>
      </c>
      <c r="K1643" s="297" t="s">
        <v>3787</v>
      </c>
      <c r="L1643" s="297" t="s">
        <v>3788</v>
      </c>
      <c r="M1643" s="297"/>
      <c r="N1643" s="296">
        <v>5</v>
      </c>
      <c r="O1643" s="297"/>
    </row>
    <row r="1644" ht="15.75" customHeight="1" spans="1:15">
      <c r="A1644" s="183" t="str">
        <f>VLOOKUP(F1644,数据集标准分类!A:G,7,0)</f>
        <v>06</v>
      </c>
      <c r="B1644" s="183" t="str">
        <f>VLOOKUP(F1644,数据集标准分类!A:F,6,0)</f>
        <v>护理病历</v>
      </c>
      <c r="C1644" s="183" t="str">
        <f>VLOOKUP(F1644,数据集标准分类!A:E,5,0)</f>
        <v>0610</v>
      </c>
      <c r="D1644" s="183" t="str">
        <f>VLOOKUP(F1644,数据集标准分类!A:D,4,0)</f>
        <v>手术记录</v>
      </c>
      <c r="E1644" s="183" t="str">
        <f>VLOOKUP(F1644,数据集标准分类!A:C,3,0)</f>
        <v>061001</v>
      </c>
      <c r="F1644" s="297" t="s">
        <v>3776</v>
      </c>
      <c r="G1644" s="183" t="str">
        <f>VLOOKUP(F1644,数据集标准分类!A:B,2,0)</f>
        <v>op_record_sheet</v>
      </c>
      <c r="H1644" s="294">
        <f>VLOOKUP(F1644,数据集标准分类!A:H,8,0)</f>
        <v>119</v>
      </c>
      <c r="I1644" s="297" t="s">
        <v>3789</v>
      </c>
      <c r="J1644" s="297" t="s">
        <v>3790</v>
      </c>
      <c r="K1644" s="297" t="s">
        <v>3791</v>
      </c>
      <c r="L1644" s="297" t="s">
        <v>3792</v>
      </c>
      <c r="M1644" s="297"/>
      <c r="N1644" s="296">
        <v>6</v>
      </c>
      <c r="O1644" s="297"/>
    </row>
    <row r="1645" ht="15.75" customHeight="1" spans="1:15">
      <c r="A1645" s="183" t="str">
        <f>VLOOKUP(F1645,数据集标准分类!A:G,7,0)</f>
        <v>06</v>
      </c>
      <c r="B1645" s="183" t="str">
        <f>VLOOKUP(F1645,数据集标准分类!A:F,6,0)</f>
        <v>护理病历</v>
      </c>
      <c r="C1645" s="183" t="str">
        <f>VLOOKUP(F1645,数据集标准分类!A:E,5,0)</f>
        <v>0610</v>
      </c>
      <c r="D1645" s="183" t="str">
        <f>VLOOKUP(F1645,数据集标准分类!A:D,4,0)</f>
        <v>手术记录</v>
      </c>
      <c r="E1645" s="183" t="str">
        <f>VLOOKUP(F1645,数据集标准分类!A:C,3,0)</f>
        <v>061001</v>
      </c>
      <c r="F1645" s="297" t="s">
        <v>3776</v>
      </c>
      <c r="G1645" s="183" t="str">
        <f>VLOOKUP(F1645,数据集标准分类!A:B,2,0)</f>
        <v>op_record_sheet</v>
      </c>
      <c r="H1645" s="294">
        <f>VLOOKUP(F1645,数据集标准分类!A:H,8,0)</f>
        <v>119</v>
      </c>
      <c r="I1645" s="297" t="s">
        <v>3793</v>
      </c>
      <c r="J1645" s="297" t="s">
        <v>3794</v>
      </c>
      <c r="K1645" s="297" t="s">
        <v>3795</v>
      </c>
      <c r="L1645" s="297" t="s">
        <v>3796</v>
      </c>
      <c r="M1645" s="297"/>
      <c r="N1645" s="296">
        <v>7</v>
      </c>
      <c r="O1645" s="297"/>
    </row>
    <row r="1646" ht="15.75" customHeight="1" spans="1:15">
      <c r="A1646" s="183" t="str">
        <f>VLOOKUP(F1646,数据集标准分类!A:G,7,0)</f>
        <v>06</v>
      </c>
      <c r="B1646" s="183" t="str">
        <f>VLOOKUP(F1646,数据集标准分类!A:F,6,0)</f>
        <v>护理病历</v>
      </c>
      <c r="C1646" s="183" t="str">
        <f>VLOOKUP(F1646,数据集标准分类!A:E,5,0)</f>
        <v>0610</v>
      </c>
      <c r="D1646" s="183" t="str">
        <f>VLOOKUP(F1646,数据集标准分类!A:D,4,0)</f>
        <v>手术记录</v>
      </c>
      <c r="E1646" s="183" t="str">
        <f>VLOOKUP(F1646,数据集标准分类!A:C,3,0)</f>
        <v>061001</v>
      </c>
      <c r="F1646" s="297" t="s">
        <v>3776</v>
      </c>
      <c r="G1646" s="183" t="str">
        <f>VLOOKUP(F1646,数据集标准分类!A:B,2,0)</f>
        <v>op_record_sheet</v>
      </c>
      <c r="H1646" s="294">
        <f>VLOOKUP(F1646,数据集标准分类!A:H,8,0)</f>
        <v>119</v>
      </c>
      <c r="I1646" s="297" t="s">
        <v>3797</v>
      </c>
      <c r="J1646" s="297" t="s">
        <v>3798</v>
      </c>
      <c r="K1646" s="297" t="s">
        <v>3799</v>
      </c>
      <c r="L1646" s="297" t="s">
        <v>3800</v>
      </c>
      <c r="M1646" s="297"/>
      <c r="N1646" s="296">
        <v>8</v>
      </c>
      <c r="O1646" s="297"/>
    </row>
    <row r="1647" ht="15.75" customHeight="1" spans="1:15">
      <c r="A1647" s="183" t="str">
        <f>VLOOKUP(F1647,数据集标准分类!A:G,7,0)</f>
        <v>06</v>
      </c>
      <c r="B1647" s="183" t="str">
        <f>VLOOKUP(F1647,数据集标准分类!A:F,6,0)</f>
        <v>护理病历</v>
      </c>
      <c r="C1647" s="183" t="str">
        <f>VLOOKUP(F1647,数据集标准分类!A:E,5,0)</f>
        <v>0610</v>
      </c>
      <c r="D1647" s="183" t="str">
        <f>VLOOKUP(F1647,数据集标准分类!A:D,4,0)</f>
        <v>手术记录</v>
      </c>
      <c r="E1647" s="183" t="str">
        <f>VLOOKUP(F1647,数据集标准分类!A:C,3,0)</f>
        <v>061001</v>
      </c>
      <c r="F1647" s="297" t="s">
        <v>3776</v>
      </c>
      <c r="G1647" s="183" t="str">
        <f>VLOOKUP(F1647,数据集标准分类!A:B,2,0)</f>
        <v>op_record_sheet</v>
      </c>
      <c r="H1647" s="294">
        <f>VLOOKUP(F1647,数据集标准分类!A:H,8,0)</f>
        <v>119</v>
      </c>
      <c r="I1647" s="297" t="s">
        <v>3801</v>
      </c>
      <c r="J1647" s="297" t="s">
        <v>3802</v>
      </c>
      <c r="K1647" s="297" t="s">
        <v>3803</v>
      </c>
      <c r="L1647" s="297" t="s">
        <v>3804</v>
      </c>
      <c r="M1647" s="297"/>
      <c r="N1647" s="296">
        <v>9</v>
      </c>
      <c r="O1647" s="297"/>
    </row>
    <row r="1648" ht="15.75" customHeight="1" spans="1:15">
      <c r="A1648" s="183" t="str">
        <f>VLOOKUP(F1648,数据集标准分类!A:G,7,0)</f>
        <v>06</v>
      </c>
      <c r="B1648" s="183" t="str">
        <f>VLOOKUP(F1648,数据集标准分类!A:F,6,0)</f>
        <v>护理病历</v>
      </c>
      <c r="C1648" s="183" t="str">
        <f>VLOOKUP(F1648,数据集标准分类!A:E,5,0)</f>
        <v>0610</v>
      </c>
      <c r="D1648" s="183" t="str">
        <f>VLOOKUP(F1648,数据集标准分类!A:D,4,0)</f>
        <v>手术记录</v>
      </c>
      <c r="E1648" s="183" t="str">
        <f>VLOOKUP(F1648,数据集标准分类!A:C,3,0)</f>
        <v>061001</v>
      </c>
      <c r="F1648" s="297" t="s">
        <v>3776</v>
      </c>
      <c r="G1648" s="183" t="str">
        <f>VLOOKUP(F1648,数据集标准分类!A:B,2,0)</f>
        <v>op_record_sheet</v>
      </c>
      <c r="H1648" s="294">
        <f>VLOOKUP(F1648,数据集标准分类!A:H,8,0)</f>
        <v>119</v>
      </c>
      <c r="I1648" s="297" t="s">
        <v>401</v>
      </c>
      <c r="J1648" s="297" t="s">
        <v>402</v>
      </c>
      <c r="K1648" s="297" t="s">
        <v>403</v>
      </c>
      <c r="L1648" s="297" t="s">
        <v>3805</v>
      </c>
      <c r="M1648" s="297"/>
      <c r="N1648" s="296">
        <v>10</v>
      </c>
      <c r="O1648" s="297"/>
    </row>
    <row r="1649" ht="15.75" customHeight="1" spans="1:15">
      <c r="A1649" s="183" t="str">
        <f>VLOOKUP(F1649,数据集标准分类!A:G,7,0)</f>
        <v>06</v>
      </c>
      <c r="B1649" s="183" t="str">
        <f>VLOOKUP(F1649,数据集标准分类!A:F,6,0)</f>
        <v>护理病历</v>
      </c>
      <c r="C1649" s="183" t="str">
        <f>VLOOKUP(F1649,数据集标准分类!A:E,5,0)</f>
        <v>0610</v>
      </c>
      <c r="D1649" s="183" t="str">
        <f>VLOOKUP(F1649,数据集标准分类!A:D,4,0)</f>
        <v>手术记录</v>
      </c>
      <c r="E1649" s="183" t="str">
        <f>VLOOKUP(F1649,数据集标准分类!A:C,3,0)</f>
        <v>061001</v>
      </c>
      <c r="F1649" s="297" t="s">
        <v>3776</v>
      </c>
      <c r="G1649" s="183" t="str">
        <f>VLOOKUP(F1649,数据集标准分类!A:B,2,0)</f>
        <v>op_record_sheet</v>
      </c>
      <c r="H1649" s="294">
        <f>VLOOKUP(F1649,数据集标准分类!A:H,8,0)</f>
        <v>119</v>
      </c>
      <c r="I1649" s="297" t="s">
        <v>406</v>
      </c>
      <c r="J1649" s="297" t="s">
        <v>407</v>
      </c>
      <c r="K1649" s="297" t="s">
        <v>408</v>
      </c>
      <c r="L1649" s="297" t="s">
        <v>3806</v>
      </c>
      <c r="M1649" s="297"/>
      <c r="N1649" s="296">
        <v>11</v>
      </c>
      <c r="O1649" s="297"/>
    </row>
    <row r="1650" ht="15.75" customHeight="1" spans="1:15">
      <c r="A1650" s="183" t="str">
        <f>VLOOKUP(F1650,数据集标准分类!A:G,7,0)</f>
        <v>06</v>
      </c>
      <c r="B1650" s="183" t="str">
        <f>VLOOKUP(F1650,数据集标准分类!A:F,6,0)</f>
        <v>护理病历</v>
      </c>
      <c r="C1650" s="183" t="str">
        <f>VLOOKUP(F1650,数据集标准分类!A:E,5,0)</f>
        <v>0610</v>
      </c>
      <c r="D1650" s="183" t="str">
        <f>VLOOKUP(F1650,数据集标准分类!A:D,4,0)</f>
        <v>手术记录</v>
      </c>
      <c r="E1650" s="183" t="str">
        <f>VLOOKUP(F1650,数据集标准分类!A:C,3,0)</f>
        <v>061001</v>
      </c>
      <c r="F1650" s="297" t="s">
        <v>3776</v>
      </c>
      <c r="G1650" s="183" t="str">
        <f>VLOOKUP(F1650,数据集标准分类!A:B,2,0)</f>
        <v>op_record_sheet</v>
      </c>
      <c r="H1650" s="294">
        <f>VLOOKUP(F1650,数据集标准分类!A:H,8,0)</f>
        <v>119</v>
      </c>
      <c r="I1650" s="297" t="s">
        <v>2305</v>
      </c>
      <c r="J1650" s="297" t="s">
        <v>2306</v>
      </c>
      <c r="K1650" s="297" t="s">
        <v>2307</v>
      </c>
      <c r="L1650" s="297" t="s">
        <v>3807</v>
      </c>
      <c r="M1650" s="297"/>
      <c r="N1650" s="296">
        <v>12</v>
      </c>
      <c r="O1650" s="297"/>
    </row>
    <row r="1651" ht="15.75" customHeight="1" spans="1:15">
      <c r="A1651" s="183" t="str">
        <f>VLOOKUP(F1651,数据集标准分类!A:G,7,0)</f>
        <v>06</v>
      </c>
      <c r="B1651" s="183" t="str">
        <f>VLOOKUP(F1651,数据集标准分类!A:F,6,0)</f>
        <v>护理病历</v>
      </c>
      <c r="C1651" s="183" t="str">
        <f>VLOOKUP(F1651,数据集标准分类!A:E,5,0)</f>
        <v>0610</v>
      </c>
      <c r="D1651" s="183" t="str">
        <f>VLOOKUP(F1651,数据集标准分类!A:D,4,0)</f>
        <v>手术记录</v>
      </c>
      <c r="E1651" s="183" t="str">
        <f>VLOOKUP(F1651,数据集标准分类!A:C,3,0)</f>
        <v>061001</v>
      </c>
      <c r="F1651" s="297" t="s">
        <v>3776</v>
      </c>
      <c r="G1651" s="183" t="str">
        <f>VLOOKUP(F1651,数据集标准分类!A:B,2,0)</f>
        <v>op_record_sheet</v>
      </c>
      <c r="H1651" s="294">
        <f>VLOOKUP(F1651,数据集标准分类!A:H,8,0)</f>
        <v>119</v>
      </c>
      <c r="I1651" s="297" t="s">
        <v>426</v>
      </c>
      <c r="J1651" s="297" t="s">
        <v>427</v>
      </c>
      <c r="K1651" s="297" t="s">
        <v>428</v>
      </c>
      <c r="L1651" s="297" t="s">
        <v>3808</v>
      </c>
      <c r="M1651" s="297"/>
      <c r="N1651" s="296">
        <v>13</v>
      </c>
      <c r="O1651" s="297"/>
    </row>
    <row r="1652" ht="15.75" customHeight="1" spans="1:15">
      <c r="A1652" s="183" t="str">
        <f>VLOOKUP(F1652,数据集标准分类!A:G,7,0)</f>
        <v>06</v>
      </c>
      <c r="B1652" s="183" t="str">
        <f>VLOOKUP(F1652,数据集标准分类!A:F,6,0)</f>
        <v>护理病历</v>
      </c>
      <c r="C1652" s="183" t="str">
        <f>VLOOKUP(F1652,数据集标准分类!A:E,5,0)</f>
        <v>0610</v>
      </c>
      <c r="D1652" s="183" t="str">
        <f>VLOOKUP(F1652,数据集标准分类!A:D,4,0)</f>
        <v>手术记录</v>
      </c>
      <c r="E1652" s="183" t="str">
        <f>VLOOKUP(F1652,数据集标准分类!A:C,3,0)</f>
        <v>061001</v>
      </c>
      <c r="F1652" s="297" t="s">
        <v>3776</v>
      </c>
      <c r="G1652" s="183" t="str">
        <f>VLOOKUP(F1652,数据集标准分类!A:B,2,0)</f>
        <v>op_record_sheet</v>
      </c>
      <c r="H1652" s="294">
        <f>VLOOKUP(F1652,数据集标准分类!A:H,8,0)</f>
        <v>119</v>
      </c>
      <c r="I1652" s="297" t="s">
        <v>2295</v>
      </c>
      <c r="J1652" s="297" t="s">
        <v>2296</v>
      </c>
      <c r="K1652" s="297" t="s">
        <v>2297</v>
      </c>
      <c r="L1652" s="297" t="s">
        <v>3809</v>
      </c>
      <c r="M1652" s="297"/>
      <c r="N1652" s="296">
        <v>14</v>
      </c>
      <c r="O1652" s="297"/>
    </row>
    <row r="1653" ht="15.75" customHeight="1" spans="1:15">
      <c r="A1653" s="183" t="str">
        <f>VLOOKUP(F1653,数据集标准分类!A:G,7,0)</f>
        <v>06</v>
      </c>
      <c r="B1653" s="183" t="str">
        <f>VLOOKUP(F1653,数据集标准分类!A:F,6,0)</f>
        <v>护理病历</v>
      </c>
      <c r="C1653" s="183" t="str">
        <f>VLOOKUP(F1653,数据集标准分类!A:E,5,0)</f>
        <v>0610</v>
      </c>
      <c r="D1653" s="183" t="str">
        <f>VLOOKUP(F1653,数据集标准分类!A:D,4,0)</f>
        <v>手术记录</v>
      </c>
      <c r="E1653" s="183" t="str">
        <f>VLOOKUP(F1653,数据集标准分类!A:C,3,0)</f>
        <v>061001</v>
      </c>
      <c r="F1653" s="297" t="s">
        <v>3776</v>
      </c>
      <c r="G1653" s="183" t="str">
        <f>VLOOKUP(F1653,数据集标准分类!A:B,2,0)</f>
        <v>op_record_sheet</v>
      </c>
      <c r="H1653" s="294">
        <f>VLOOKUP(F1653,数据集标准分类!A:H,8,0)</f>
        <v>119</v>
      </c>
      <c r="I1653" s="297" t="s">
        <v>3810</v>
      </c>
      <c r="J1653" s="297" t="s">
        <v>3811</v>
      </c>
      <c r="K1653" s="297" t="s">
        <v>3812</v>
      </c>
      <c r="L1653" s="297" t="s">
        <v>3813</v>
      </c>
      <c r="M1653" s="297"/>
      <c r="N1653" s="296">
        <v>15</v>
      </c>
      <c r="O1653" s="297"/>
    </row>
    <row r="1654" ht="15.75" customHeight="1" spans="1:15">
      <c r="A1654" s="183" t="str">
        <f>VLOOKUP(F1654,数据集标准分类!A:G,7,0)</f>
        <v>06</v>
      </c>
      <c r="B1654" s="183" t="str">
        <f>VLOOKUP(F1654,数据集标准分类!A:F,6,0)</f>
        <v>护理病历</v>
      </c>
      <c r="C1654" s="183" t="str">
        <f>VLOOKUP(F1654,数据集标准分类!A:E,5,0)</f>
        <v>0611</v>
      </c>
      <c r="D1654" s="183" t="str">
        <f>VLOOKUP(F1654,数据集标准分类!A:D,4,0)</f>
        <v>其他护理文书</v>
      </c>
      <c r="E1654" s="183" t="str">
        <f>VLOOKUP(F1654,数据集标准分类!A:C,3,0)</f>
        <v>061101</v>
      </c>
      <c r="F1654" s="170" t="s">
        <v>3814</v>
      </c>
      <c r="G1654" s="183" t="str">
        <f>VLOOKUP(F1654,数据集标准分类!A:B,2,0)</f>
        <v>predelivery_record</v>
      </c>
      <c r="H1654" s="294">
        <f>VLOOKUP(F1654,数据集标准分类!A:H,8,0)</f>
        <v>120</v>
      </c>
      <c r="I1654" s="170" t="s">
        <v>1791</v>
      </c>
      <c r="J1654" s="170" t="s">
        <v>1792</v>
      </c>
      <c r="K1654" s="170" t="s">
        <v>1793</v>
      </c>
      <c r="L1654" s="170" t="s">
        <v>1794</v>
      </c>
      <c r="M1654" s="170" t="s">
        <v>1795</v>
      </c>
      <c r="N1654" s="294">
        <v>1</v>
      </c>
      <c r="O1654" s="170"/>
    </row>
    <row r="1655" ht="15.75" customHeight="1" spans="1:15">
      <c r="A1655" s="183" t="str">
        <f>VLOOKUP(F1655,数据集标准分类!A:G,7,0)</f>
        <v>06</v>
      </c>
      <c r="B1655" s="183" t="str">
        <f>VLOOKUP(F1655,数据集标准分类!A:F,6,0)</f>
        <v>护理病历</v>
      </c>
      <c r="C1655" s="183" t="str">
        <f>VLOOKUP(F1655,数据集标准分类!A:E,5,0)</f>
        <v>0611</v>
      </c>
      <c r="D1655" s="183" t="str">
        <f>VLOOKUP(F1655,数据集标准分类!A:D,4,0)</f>
        <v>其他护理文书</v>
      </c>
      <c r="E1655" s="183" t="str">
        <f>VLOOKUP(F1655,数据集标准分类!A:C,3,0)</f>
        <v>061101</v>
      </c>
      <c r="F1655" s="170" t="s">
        <v>3814</v>
      </c>
      <c r="G1655" s="183" t="str">
        <f>VLOOKUP(F1655,数据集标准分类!A:B,2,0)</f>
        <v>predelivery_record</v>
      </c>
      <c r="H1655" s="294">
        <f>VLOOKUP(F1655,数据集标准分类!A:H,8,0)</f>
        <v>120</v>
      </c>
      <c r="I1655" s="170" t="s">
        <v>3815</v>
      </c>
      <c r="J1655" s="170" t="s">
        <v>3816</v>
      </c>
      <c r="K1655" s="170" t="s">
        <v>3817</v>
      </c>
      <c r="L1655" s="170" t="s">
        <v>3818</v>
      </c>
      <c r="M1655" s="170" t="s">
        <v>3819</v>
      </c>
      <c r="N1655" s="294">
        <v>2</v>
      </c>
      <c r="O1655" s="170"/>
    </row>
    <row r="1656" ht="15.75" customHeight="1" spans="1:15">
      <c r="A1656" s="183" t="str">
        <f>VLOOKUP(F1656,数据集标准分类!A:G,7,0)</f>
        <v>06</v>
      </c>
      <c r="B1656" s="183" t="str">
        <f>VLOOKUP(F1656,数据集标准分类!A:F,6,0)</f>
        <v>护理病历</v>
      </c>
      <c r="C1656" s="183" t="str">
        <f>VLOOKUP(F1656,数据集标准分类!A:E,5,0)</f>
        <v>0611</v>
      </c>
      <c r="D1656" s="183" t="str">
        <f>VLOOKUP(F1656,数据集标准分类!A:D,4,0)</f>
        <v>其他护理文书</v>
      </c>
      <c r="E1656" s="183" t="str">
        <f>VLOOKUP(F1656,数据集标准分类!A:C,3,0)</f>
        <v>061101</v>
      </c>
      <c r="F1656" s="170" t="s">
        <v>3814</v>
      </c>
      <c r="G1656" s="183" t="str">
        <f>VLOOKUP(F1656,数据集标准分类!A:B,2,0)</f>
        <v>predelivery_record</v>
      </c>
      <c r="H1656" s="294">
        <f>VLOOKUP(F1656,数据集标准分类!A:H,8,0)</f>
        <v>120</v>
      </c>
      <c r="I1656" s="170" t="s">
        <v>3820</v>
      </c>
      <c r="J1656" s="170" t="s">
        <v>3821</v>
      </c>
      <c r="K1656" s="170" t="s">
        <v>3822</v>
      </c>
      <c r="L1656" s="170" t="s">
        <v>3823</v>
      </c>
      <c r="M1656" s="170" t="s">
        <v>3824</v>
      </c>
      <c r="N1656" s="294">
        <v>3</v>
      </c>
      <c r="O1656" s="170"/>
    </row>
    <row r="1657" ht="15.75" customHeight="1" spans="1:15">
      <c r="A1657" s="183" t="str">
        <f>VLOOKUP(F1657,数据集标准分类!A:G,7,0)</f>
        <v>06</v>
      </c>
      <c r="B1657" s="183" t="str">
        <f>VLOOKUP(F1657,数据集标准分类!A:F,6,0)</f>
        <v>护理病历</v>
      </c>
      <c r="C1657" s="183" t="str">
        <f>VLOOKUP(F1657,数据集标准分类!A:E,5,0)</f>
        <v>0611</v>
      </c>
      <c r="D1657" s="183" t="str">
        <f>VLOOKUP(F1657,数据集标准分类!A:D,4,0)</f>
        <v>其他护理文书</v>
      </c>
      <c r="E1657" s="183" t="str">
        <f>VLOOKUP(F1657,数据集标准分类!A:C,3,0)</f>
        <v>061101</v>
      </c>
      <c r="F1657" s="170" t="s">
        <v>3814</v>
      </c>
      <c r="G1657" s="183" t="str">
        <f>VLOOKUP(F1657,数据集标准分类!A:B,2,0)</f>
        <v>predelivery_record</v>
      </c>
      <c r="H1657" s="294">
        <f>VLOOKUP(F1657,数据集标准分类!A:H,8,0)</f>
        <v>120</v>
      </c>
      <c r="I1657" s="170" t="s">
        <v>3825</v>
      </c>
      <c r="J1657" s="170" t="s">
        <v>3826</v>
      </c>
      <c r="K1657" s="170" t="s">
        <v>3827</v>
      </c>
      <c r="L1657" s="170" t="s">
        <v>3828</v>
      </c>
      <c r="M1657" s="170" t="s">
        <v>3829</v>
      </c>
      <c r="N1657" s="294">
        <v>4</v>
      </c>
      <c r="O1657" s="170"/>
    </row>
    <row r="1658" ht="15.75" customHeight="1" spans="1:15">
      <c r="A1658" s="183" t="str">
        <f>VLOOKUP(F1658,数据集标准分类!A:G,7,0)</f>
        <v>06</v>
      </c>
      <c r="B1658" s="183" t="str">
        <f>VLOOKUP(F1658,数据集标准分类!A:F,6,0)</f>
        <v>护理病历</v>
      </c>
      <c r="C1658" s="183" t="str">
        <f>VLOOKUP(F1658,数据集标准分类!A:E,5,0)</f>
        <v>0611</v>
      </c>
      <c r="D1658" s="183" t="str">
        <f>VLOOKUP(F1658,数据集标准分类!A:D,4,0)</f>
        <v>其他护理文书</v>
      </c>
      <c r="E1658" s="183" t="str">
        <f>VLOOKUP(F1658,数据集标准分类!A:C,3,0)</f>
        <v>061101</v>
      </c>
      <c r="F1658" s="170" t="s">
        <v>3814</v>
      </c>
      <c r="G1658" s="183" t="str">
        <f>VLOOKUP(F1658,数据集标准分类!A:B,2,0)</f>
        <v>predelivery_record</v>
      </c>
      <c r="H1658" s="294">
        <f>VLOOKUP(F1658,数据集标准分类!A:H,8,0)</f>
        <v>120</v>
      </c>
      <c r="I1658" s="170" t="s">
        <v>3830</v>
      </c>
      <c r="J1658" s="170" t="s">
        <v>3831</v>
      </c>
      <c r="K1658" s="170" t="s">
        <v>3832</v>
      </c>
      <c r="L1658" s="170" t="s">
        <v>3833</v>
      </c>
      <c r="M1658" s="170" t="s">
        <v>3834</v>
      </c>
      <c r="N1658" s="294">
        <v>5</v>
      </c>
      <c r="O1658" s="170"/>
    </row>
    <row r="1659" ht="15.75" customHeight="1" spans="1:15">
      <c r="A1659" s="183" t="str">
        <f>VLOOKUP(F1659,数据集标准分类!A:G,7,0)</f>
        <v>06</v>
      </c>
      <c r="B1659" s="183" t="str">
        <f>VLOOKUP(F1659,数据集标准分类!A:F,6,0)</f>
        <v>护理病历</v>
      </c>
      <c r="C1659" s="183" t="str">
        <f>VLOOKUP(F1659,数据集标准分类!A:E,5,0)</f>
        <v>0611</v>
      </c>
      <c r="D1659" s="183" t="str">
        <f>VLOOKUP(F1659,数据集标准分类!A:D,4,0)</f>
        <v>其他护理文书</v>
      </c>
      <c r="E1659" s="183" t="str">
        <f>VLOOKUP(F1659,数据集标准分类!A:C,3,0)</f>
        <v>061101</v>
      </c>
      <c r="F1659" s="170" t="s">
        <v>3814</v>
      </c>
      <c r="G1659" s="183" t="str">
        <f>VLOOKUP(F1659,数据集标准分类!A:B,2,0)</f>
        <v>predelivery_record</v>
      </c>
      <c r="H1659" s="294">
        <f>VLOOKUP(F1659,数据集标准分类!A:H,8,0)</f>
        <v>120</v>
      </c>
      <c r="I1659" s="170" t="s">
        <v>3835</v>
      </c>
      <c r="J1659" s="170" t="s">
        <v>3836</v>
      </c>
      <c r="K1659" s="170" t="s">
        <v>3836</v>
      </c>
      <c r="L1659" s="170" t="s">
        <v>3837</v>
      </c>
      <c r="M1659" s="170" t="s">
        <v>3838</v>
      </c>
      <c r="N1659" s="294">
        <v>6</v>
      </c>
      <c r="O1659" s="170"/>
    </row>
    <row r="1660" ht="15.75" customHeight="1" spans="1:15">
      <c r="A1660" s="183" t="str">
        <f>VLOOKUP(F1660,数据集标准分类!A:G,7,0)</f>
        <v>06</v>
      </c>
      <c r="B1660" s="183" t="str">
        <f>VLOOKUP(F1660,数据集标准分类!A:F,6,0)</f>
        <v>护理病历</v>
      </c>
      <c r="C1660" s="183" t="str">
        <f>VLOOKUP(F1660,数据集标准分类!A:E,5,0)</f>
        <v>0611</v>
      </c>
      <c r="D1660" s="183" t="str">
        <f>VLOOKUP(F1660,数据集标准分类!A:D,4,0)</f>
        <v>其他护理文书</v>
      </c>
      <c r="E1660" s="183" t="str">
        <f>VLOOKUP(F1660,数据集标准分类!A:C,3,0)</f>
        <v>061101</v>
      </c>
      <c r="F1660" s="170" t="s">
        <v>3814</v>
      </c>
      <c r="G1660" s="183" t="str">
        <f>VLOOKUP(F1660,数据集标准分类!A:B,2,0)</f>
        <v>predelivery_record</v>
      </c>
      <c r="H1660" s="294">
        <f>VLOOKUP(F1660,数据集标准分类!A:H,8,0)</f>
        <v>120</v>
      </c>
      <c r="I1660" s="170" t="s">
        <v>3839</v>
      </c>
      <c r="J1660" s="170" t="s">
        <v>3840</v>
      </c>
      <c r="K1660" s="170" t="s">
        <v>3841</v>
      </c>
      <c r="L1660" s="170" t="s">
        <v>3842</v>
      </c>
      <c r="M1660" s="170" t="s">
        <v>3843</v>
      </c>
      <c r="N1660" s="294">
        <v>7</v>
      </c>
      <c r="O1660" s="170"/>
    </row>
    <row r="1661" ht="15.75" customHeight="1" spans="1:15">
      <c r="A1661" s="183" t="str">
        <f>VLOOKUP(F1661,数据集标准分类!A:G,7,0)</f>
        <v>06</v>
      </c>
      <c r="B1661" s="183" t="str">
        <f>VLOOKUP(F1661,数据集标准分类!A:F,6,0)</f>
        <v>护理病历</v>
      </c>
      <c r="C1661" s="183" t="str">
        <f>VLOOKUP(F1661,数据集标准分类!A:E,5,0)</f>
        <v>0611</v>
      </c>
      <c r="D1661" s="183" t="str">
        <f>VLOOKUP(F1661,数据集标准分类!A:D,4,0)</f>
        <v>其他护理文书</v>
      </c>
      <c r="E1661" s="183" t="str">
        <f>VLOOKUP(F1661,数据集标准分类!A:C,3,0)</f>
        <v>061101</v>
      </c>
      <c r="F1661" s="170" t="s">
        <v>3814</v>
      </c>
      <c r="G1661" s="183" t="str">
        <f>VLOOKUP(F1661,数据集标准分类!A:B,2,0)</f>
        <v>predelivery_record</v>
      </c>
      <c r="H1661" s="294">
        <f>VLOOKUP(F1661,数据集标准分类!A:H,8,0)</f>
        <v>120</v>
      </c>
      <c r="I1661" s="170" t="s">
        <v>3844</v>
      </c>
      <c r="J1661" s="170" t="s">
        <v>3845</v>
      </c>
      <c r="K1661" s="170" t="s">
        <v>3846</v>
      </c>
      <c r="L1661" s="170" t="s">
        <v>3847</v>
      </c>
      <c r="M1661" s="170" t="s">
        <v>3848</v>
      </c>
      <c r="N1661" s="294">
        <v>8</v>
      </c>
      <c r="O1661" s="170"/>
    </row>
    <row r="1662" ht="15.75" customHeight="1" spans="1:15">
      <c r="A1662" s="183" t="str">
        <f>VLOOKUP(F1662,数据集标准分类!A:G,7,0)</f>
        <v>06</v>
      </c>
      <c r="B1662" s="183" t="str">
        <f>VLOOKUP(F1662,数据集标准分类!A:F,6,0)</f>
        <v>护理病历</v>
      </c>
      <c r="C1662" s="183" t="str">
        <f>VLOOKUP(F1662,数据集标准分类!A:E,5,0)</f>
        <v>0611</v>
      </c>
      <c r="D1662" s="183" t="str">
        <f>VLOOKUP(F1662,数据集标准分类!A:D,4,0)</f>
        <v>其他护理文书</v>
      </c>
      <c r="E1662" s="183" t="str">
        <f>VLOOKUP(F1662,数据集标准分类!A:C,3,0)</f>
        <v>061101</v>
      </c>
      <c r="F1662" s="170" t="s">
        <v>3814</v>
      </c>
      <c r="G1662" s="183" t="str">
        <f>VLOOKUP(F1662,数据集标准分类!A:B,2,0)</f>
        <v>predelivery_record</v>
      </c>
      <c r="H1662" s="294">
        <f>VLOOKUP(F1662,数据集标准分类!A:H,8,0)</f>
        <v>120</v>
      </c>
      <c r="I1662" s="170" t="s">
        <v>711</v>
      </c>
      <c r="J1662" s="170" t="s">
        <v>712</v>
      </c>
      <c r="K1662" s="170" t="s">
        <v>712</v>
      </c>
      <c r="L1662" s="170" t="s">
        <v>713</v>
      </c>
      <c r="M1662" s="170" t="s">
        <v>3849</v>
      </c>
      <c r="N1662" s="294">
        <v>9</v>
      </c>
      <c r="O1662" s="170"/>
    </row>
    <row r="1663" ht="15.75" customHeight="1" spans="1:15">
      <c r="A1663" s="183" t="str">
        <f>VLOOKUP(F1663,数据集标准分类!A:G,7,0)</f>
        <v>06</v>
      </c>
      <c r="B1663" s="183" t="str">
        <f>VLOOKUP(F1663,数据集标准分类!A:F,6,0)</f>
        <v>护理病历</v>
      </c>
      <c r="C1663" s="183" t="str">
        <f>VLOOKUP(F1663,数据集标准分类!A:E,5,0)</f>
        <v>0611</v>
      </c>
      <c r="D1663" s="183" t="str">
        <f>VLOOKUP(F1663,数据集标准分类!A:D,4,0)</f>
        <v>其他护理文书</v>
      </c>
      <c r="E1663" s="183" t="str">
        <f>VLOOKUP(F1663,数据集标准分类!A:C,3,0)</f>
        <v>061101</v>
      </c>
      <c r="F1663" s="170" t="s">
        <v>3814</v>
      </c>
      <c r="G1663" s="183" t="str">
        <f>VLOOKUP(F1663,数据集标准分类!A:B,2,0)</f>
        <v>predelivery_record</v>
      </c>
      <c r="H1663" s="294">
        <f>VLOOKUP(F1663,数据集标准分类!A:H,8,0)</f>
        <v>120</v>
      </c>
      <c r="I1663" s="170" t="s">
        <v>707</v>
      </c>
      <c r="J1663" s="170" t="s">
        <v>708</v>
      </c>
      <c r="K1663" s="170" t="s">
        <v>708</v>
      </c>
      <c r="L1663" s="170" t="s">
        <v>709</v>
      </c>
      <c r="M1663" s="170" t="s">
        <v>3850</v>
      </c>
      <c r="N1663" s="294">
        <v>10</v>
      </c>
      <c r="O1663" s="170"/>
    </row>
    <row r="1664" ht="15.75" customHeight="1" spans="1:15">
      <c r="A1664" s="183" t="str">
        <f>VLOOKUP(F1664,数据集标准分类!A:G,7,0)</f>
        <v>06</v>
      </c>
      <c r="B1664" s="183" t="str">
        <f>VLOOKUP(F1664,数据集标准分类!A:F,6,0)</f>
        <v>护理病历</v>
      </c>
      <c r="C1664" s="183" t="str">
        <f>VLOOKUP(F1664,数据集标准分类!A:E,5,0)</f>
        <v>0611</v>
      </c>
      <c r="D1664" s="183" t="str">
        <f>VLOOKUP(F1664,数据集标准分类!A:D,4,0)</f>
        <v>其他护理文书</v>
      </c>
      <c r="E1664" s="183" t="str">
        <f>VLOOKUP(F1664,数据集标准分类!A:C,3,0)</f>
        <v>061101</v>
      </c>
      <c r="F1664" s="170" t="s">
        <v>3814</v>
      </c>
      <c r="G1664" s="183" t="str">
        <f>VLOOKUP(F1664,数据集标准分类!A:B,2,0)</f>
        <v>predelivery_record</v>
      </c>
      <c r="H1664" s="294">
        <f>VLOOKUP(F1664,数据集标准分类!A:H,8,0)</f>
        <v>120</v>
      </c>
      <c r="I1664" s="170" t="s">
        <v>3851</v>
      </c>
      <c r="J1664" s="170" t="s">
        <v>3852</v>
      </c>
      <c r="K1664" s="170" t="s">
        <v>3853</v>
      </c>
      <c r="L1664" s="170" t="s">
        <v>3854</v>
      </c>
      <c r="M1664" s="170" t="s">
        <v>3855</v>
      </c>
      <c r="N1664" s="294">
        <v>11</v>
      </c>
      <c r="O1664" s="170"/>
    </row>
    <row r="1665" ht="15.75" customHeight="1" spans="1:15">
      <c r="A1665" s="183" t="str">
        <f>VLOOKUP(F1665,数据集标准分类!A:G,7,0)</f>
        <v>06</v>
      </c>
      <c r="B1665" s="183" t="str">
        <f>VLOOKUP(F1665,数据集标准分类!A:F,6,0)</f>
        <v>护理病历</v>
      </c>
      <c r="C1665" s="183" t="str">
        <f>VLOOKUP(F1665,数据集标准分类!A:E,5,0)</f>
        <v>0611</v>
      </c>
      <c r="D1665" s="183" t="str">
        <f>VLOOKUP(F1665,数据集标准分类!A:D,4,0)</f>
        <v>其他护理文书</v>
      </c>
      <c r="E1665" s="183" t="str">
        <f>VLOOKUP(F1665,数据集标准分类!A:C,3,0)</f>
        <v>061101</v>
      </c>
      <c r="F1665" s="170" t="s">
        <v>3814</v>
      </c>
      <c r="G1665" s="183" t="str">
        <f>VLOOKUP(F1665,数据集标准分类!A:B,2,0)</f>
        <v>predelivery_record</v>
      </c>
      <c r="H1665" s="294">
        <f>VLOOKUP(F1665,数据集标准分类!A:H,8,0)</f>
        <v>120</v>
      </c>
      <c r="I1665" s="170" t="s">
        <v>2123</v>
      </c>
      <c r="J1665" s="170" t="s">
        <v>2124</v>
      </c>
      <c r="K1665" s="170" t="s">
        <v>2125</v>
      </c>
      <c r="L1665" s="170" t="s">
        <v>2126</v>
      </c>
      <c r="M1665" s="170" t="s">
        <v>3856</v>
      </c>
      <c r="N1665" s="294">
        <v>12</v>
      </c>
      <c r="O1665" s="170"/>
    </row>
    <row r="1666" ht="15.75" customHeight="1" spans="1:15">
      <c r="A1666" s="183" t="str">
        <f>VLOOKUP(F1666,数据集标准分类!A:G,7,0)</f>
        <v>06</v>
      </c>
      <c r="B1666" s="183" t="str">
        <f>VLOOKUP(F1666,数据集标准分类!A:F,6,0)</f>
        <v>护理病历</v>
      </c>
      <c r="C1666" s="183" t="str">
        <f>VLOOKUP(F1666,数据集标准分类!A:E,5,0)</f>
        <v>0611</v>
      </c>
      <c r="D1666" s="183" t="str">
        <f>VLOOKUP(F1666,数据集标准分类!A:D,4,0)</f>
        <v>其他护理文书</v>
      </c>
      <c r="E1666" s="183" t="str">
        <f>VLOOKUP(F1666,数据集标准分类!A:C,3,0)</f>
        <v>061101</v>
      </c>
      <c r="F1666" s="170" t="s">
        <v>3814</v>
      </c>
      <c r="G1666" s="183" t="str">
        <f>VLOOKUP(F1666,数据集标准分类!A:B,2,0)</f>
        <v>predelivery_record</v>
      </c>
      <c r="H1666" s="294">
        <f>VLOOKUP(F1666,数据集标准分类!A:H,8,0)</f>
        <v>120</v>
      </c>
      <c r="I1666" s="170" t="s">
        <v>918</v>
      </c>
      <c r="J1666" s="170" t="s">
        <v>919</v>
      </c>
      <c r="K1666" s="170" t="s">
        <v>920</v>
      </c>
      <c r="L1666" s="170" t="s">
        <v>921</v>
      </c>
      <c r="M1666" s="170" t="s">
        <v>922</v>
      </c>
      <c r="N1666" s="294">
        <v>13</v>
      </c>
      <c r="O1666" s="170"/>
    </row>
    <row r="1667" ht="15.75" customHeight="1" spans="1:15">
      <c r="A1667" s="183" t="str">
        <f>VLOOKUP(F1667,数据集标准分类!A:G,7,0)</f>
        <v>06</v>
      </c>
      <c r="B1667" s="183" t="str">
        <f>VLOOKUP(F1667,数据集标准分类!A:F,6,0)</f>
        <v>护理病历</v>
      </c>
      <c r="C1667" s="183" t="str">
        <f>VLOOKUP(F1667,数据集标准分类!A:E,5,0)</f>
        <v>0611</v>
      </c>
      <c r="D1667" s="183" t="str">
        <f>VLOOKUP(F1667,数据集标准分类!A:D,4,0)</f>
        <v>其他护理文书</v>
      </c>
      <c r="E1667" s="183" t="str">
        <f>VLOOKUP(F1667,数据集标准分类!A:C,3,0)</f>
        <v>061101</v>
      </c>
      <c r="F1667" s="170" t="s">
        <v>3814</v>
      </c>
      <c r="G1667" s="183" t="str">
        <f>VLOOKUP(F1667,数据集标准分类!A:B,2,0)</f>
        <v>predelivery_record</v>
      </c>
      <c r="H1667" s="294">
        <f>VLOOKUP(F1667,数据集标准分类!A:H,8,0)</f>
        <v>120</v>
      </c>
      <c r="I1667" s="170" t="s">
        <v>97</v>
      </c>
      <c r="J1667" s="170" t="s">
        <v>98</v>
      </c>
      <c r="K1667" s="170" t="s">
        <v>99</v>
      </c>
      <c r="L1667" s="170" t="s">
        <v>100</v>
      </c>
      <c r="M1667" s="170" t="s">
        <v>106</v>
      </c>
      <c r="N1667" s="294">
        <v>14</v>
      </c>
      <c r="O1667" s="170"/>
    </row>
    <row r="1668" ht="15.75" customHeight="1" spans="1:15">
      <c r="A1668" s="183" t="str">
        <f>VLOOKUP(F1668,数据集标准分类!A:G,7,0)</f>
        <v>06</v>
      </c>
      <c r="B1668" s="183" t="str">
        <f>VLOOKUP(F1668,数据集标准分类!A:F,6,0)</f>
        <v>护理病历</v>
      </c>
      <c r="C1668" s="183" t="str">
        <f>VLOOKUP(F1668,数据集标准分类!A:E,5,0)</f>
        <v>0611</v>
      </c>
      <c r="D1668" s="183" t="str">
        <f>VLOOKUP(F1668,数据集标准分类!A:D,4,0)</f>
        <v>其他护理文书</v>
      </c>
      <c r="E1668" s="183" t="str">
        <f>VLOOKUP(F1668,数据集标准分类!A:C,3,0)</f>
        <v>061101</v>
      </c>
      <c r="F1668" s="170" t="s">
        <v>3814</v>
      </c>
      <c r="G1668" s="183" t="str">
        <f>VLOOKUP(F1668,数据集标准分类!A:B,2,0)</f>
        <v>predelivery_record</v>
      </c>
      <c r="H1668" s="294">
        <f>VLOOKUP(F1668,数据集标准分类!A:H,8,0)</f>
        <v>120</v>
      </c>
      <c r="I1668" s="170" t="s">
        <v>102</v>
      </c>
      <c r="J1668" s="170" t="s">
        <v>103</v>
      </c>
      <c r="K1668" s="170" t="s">
        <v>104</v>
      </c>
      <c r="L1668" s="170" t="s">
        <v>105</v>
      </c>
      <c r="M1668" s="170" t="s">
        <v>3857</v>
      </c>
      <c r="N1668" s="294">
        <v>15</v>
      </c>
      <c r="O1668" s="170"/>
    </row>
    <row r="1669" ht="15.75" customHeight="1" spans="1:15">
      <c r="A1669" s="183" t="str">
        <f>VLOOKUP(F1669,数据集标准分类!A:G,7,0)</f>
        <v>06</v>
      </c>
      <c r="B1669" s="183" t="str">
        <f>VLOOKUP(F1669,数据集标准分类!A:F,6,0)</f>
        <v>护理病历</v>
      </c>
      <c r="C1669" s="183" t="str">
        <f>VLOOKUP(F1669,数据集标准分类!A:E,5,0)</f>
        <v>0611</v>
      </c>
      <c r="D1669" s="183" t="str">
        <f>VLOOKUP(F1669,数据集标准分类!A:D,4,0)</f>
        <v>其他护理文书</v>
      </c>
      <c r="E1669" s="183" t="str">
        <f>VLOOKUP(F1669,数据集标准分类!A:C,3,0)</f>
        <v>061101</v>
      </c>
      <c r="F1669" s="170" t="s">
        <v>3814</v>
      </c>
      <c r="G1669" s="183" t="str">
        <f>VLOOKUP(F1669,数据集标准分类!A:B,2,0)</f>
        <v>predelivery_record</v>
      </c>
      <c r="H1669" s="294">
        <f>VLOOKUP(F1669,数据集标准分类!A:H,8,0)</f>
        <v>120</v>
      </c>
      <c r="I1669" s="170" t="s">
        <v>699</v>
      </c>
      <c r="J1669" s="170" t="s">
        <v>700</v>
      </c>
      <c r="K1669" s="170" t="s">
        <v>700</v>
      </c>
      <c r="L1669" s="170" t="s">
        <v>701</v>
      </c>
      <c r="M1669" s="170" t="s">
        <v>702</v>
      </c>
      <c r="N1669" s="294">
        <v>16</v>
      </c>
      <c r="O1669" s="170"/>
    </row>
    <row r="1670" ht="15.75" customHeight="1" spans="1:15">
      <c r="A1670" s="183" t="str">
        <f>VLOOKUP(F1670,数据集标准分类!A:G,7,0)</f>
        <v>06</v>
      </c>
      <c r="B1670" s="183" t="str">
        <f>VLOOKUP(F1670,数据集标准分类!A:F,6,0)</f>
        <v>护理病历</v>
      </c>
      <c r="C1670" s="183" t="str">
        <f>VLOOKUP(F1670,数据集标准分类!A:E,5,0)</f>
        <v>0611</v>
      </c>
      <c r="D1670" s="183" t="str">
        <f>VLOOKUP(F1670,数据集标准分类!A:D,4,0)</f>
        <v>其他护理文书</v>
      </c>
      <c r="E1670" s="183" t="str">
        <f>VLOOKUP(F1670,数据集标准分类!A:C,3,0)</f>
        <v>061101</v>
      </c>
      <c r="F1670" s="170" t="s">
        <v>3814</v>
      </c>
      <c r="G1670" s="183" t="str">
        <f>VLOOKUP(F1670,数据集标准分类!A:B,2,0)</f>
        <v>predelivery_record</v>
      </c>
      <c r="H1670" s="294">
        <f>VLOOKUP(F1670,数据集标准分类!A:H,8,0)</f>
        <v>120</v>
      </c>
      <c r="I1670" s="170" t="s">
        <v>703</v>
      </c>
      <c r="J1670" s="170" t="s">
        <v>704</v>
      </c>
      <c r="K1670" s="170" t="s">
        <v>704</v>
      </c>
      <c r="L1670" s="170" t="s">
        <v>705</v>
      </c>
      <c r="M1670" s="170" t="s">
        <v>706</v>
      </c>
      <c r="N1670" s="294">
        <v>17</v>
      </c>
      <c r="O1670" s="170"/>
    </row>
    <row r="1671" ht="15.75" customHeight="1" spans="1:15">
      <c r="A1671" s="183" t="str">
        <f>VLOOKUP(F1671,数据集标准分类!A:G,7,0)</f>
        <v>06</v>
      </c>
      <c r="B1671" s="183" t="str">
        <f>VLOOKUP(F1671,数据集标准分类!A:F,6,0)</f>
        <v>护理病历</v>
      </c>
      <c r="C1671" s="183" t="str">
        <f>VLOOKUP(F1671,数据集标准分类!A:E,5,0)</f>
        <v>0611</v>
      </c>
      <c r="D1671" s="183" t="str">
        <f>VLOOKUP(F1671,数据集标准分类!A:D,4,0)</f>
        <v>其他护理文书</v>
      </c>
      <c r="E1671" s="183" t="str">
        <f>VLOOKUP(F1671,数据集标准分类!A:C,3,0)</f>
        <v>061101</v>
      </c>
      <c r="F1671" s="170" t="s">
        <v>3814</v>
      </c>
      <c r="G1671" s="183" t="str">
        <f>VLOOKUP(F1671,数据集标准分类!A:B,2,0)</f>
        <v>predelivery_record</v>
      </c>
      <c r="H1671" s="294">
        <f>VLOOKUP(F1671,数据集标准分类!A:H,8,0)</f>
        <v>120</v>
      </c>
      <c r="I1671" s="170" t="s">
        <v>684</v>
      </c>
      <c r="J1671" s="170" t="s">
        <v>685</v>
      </c>
      <c r="K1671" s="170" t="s">
        <v>686</v>
      </c>
      <c r="L1671" s="170" t="s">
        <v>687</v>
      </c>
      <c r="M1671" s="170" t="s">
        <v>688</v>
      </c>
      <c r="N1671" s="294">
        <v>18</v>
      </c>
      <c r="O1671" s="170"/>
    </row>
    <row r="1672" ht="15.75" customHeight="1" spans="1:15">
      <c r="A1672" s="183" t="str">
        <f>VLOOKUP(F1672,数据集标准分类!A:G,7,0)</f>
        <v>06</v>
      </c>
      <c r="B1672" s="183" t="str">
        <f>VLOOKUP(F1672,数据集标准分类!A:F,6,0)</f>
        <v>护理病历</v>
      </c>
      <c r="C1672" s="183" t="str">
        <f>VLOOKUP(F1672,数据集标准分类!A:E,5,0)</f>
        <v>0611</v>
      </c>
      <c r="D1672" s="183" t="str">
        <f>VLOOKUP(F1672,数据集标准分类!A:D,4,0)</f>
        <v>其他护理文书</v>
      </c>
      <c r="E1672" s="183" t="str">
        <f>VLOOKUP(F1672,数据集标准分类!A:C,3,0)</f>
        <v>061101</v>
      </c>
      <c r="F1672" s="170" t="s">
        <v>3814</v>
      </c>
      <c r="G1672" s="183" t="str">
        <f>VLOOKUP(F1672,数据集标准分类!A:B,2,0)</f>
        <v>predelivery_record</v>
      </c>
      <c r="H1672" s="294">
        <f>VLOOKUP(F1672,数据集标准分类!A:H,8,0)</f>
        <v>120</v>
      </c>
      <c r="I1672" s="170" t="s">
        <v>689</v>
      </c>
      <c r="J1672" s="170" t="s">
        <v>690</v>
      </c>
      <c r="K1672" s="170" t="s">
        <v>691</v>
      </c>
      <c r="L1672" s="170" t="s">
        <v>692</v>
      </c>
      <c r="M1672" s="170" t="s">
        <v>693</v>
      </c>
      <c r="N1672" s="294">
        <v>19</v>
      </c>
      <c r="O1672" s="170"/>
    </row>
    <row r="1673" ht="15.75" customHeight="1" spans="1:15">
      <c r="A1673" s="183" t="str">
        <f>VLOOKUP(F1673,数据集标准分类!A:G,7,0)</f>
        <v>06</v>
      </c>
      <c r="B1673" s="183" t="str">
        <f>VLOOKUP(F1673,数据集标准分类!A:F,6,0)</f>
        <v>护理病历</v>
      </c>
      <c r="C1673" s="183" t="str">
        <f>VLOOKUP(F1673,数据集标准分类!A:E,5,0)</f>
        <v>0611</v>
      </c>
      <c r="D1673" s="183" t="str">
        <f>VLOOKUP(F1673,数据集标准分类!A:D,4,0)</f>
        <v>其他护理文书</v>
      </c>
      <c r="E1673" s="183" t="str">
        <f>VLOOKUP(F1673,数据集标准分类!A:C,3,0)</f>
        <v>061101</v>
      </c>
      <c r="F1673" s="170" t="s">
        <v>3814</v>
      </c>
      <c r="G1673" s="183" t="str">
        <f>VLOOKUP(F1673,数据集标准分类!A:B,2,0)</f>
        <v>predelivery_record</v>
      </c>
      <c r="H1673" s="294">
        <f>VLOOKUP(F1673,数据集标准分类!A:H,8,0)</f>
        <v>120</v>
      </c>
      <c r="I1673" s="170" t="s">
        <v>694</v>
      </c>
      <c r="J1673" s="170" t="s">
        <v>695</v>
      </c>
      <c r="K1673" s="170" t="s">
        <v>696</v>
      </c>
      <c r="L1673" s="170" t="s">
        <v>697</v>
      </c>
      <c r="M1673" s="170" t="s">
        <v>2057</v>
      </c>
      <c r="N1673" s="294">
        <v>20</v>
      </c>
      <c r="O1673" s="170"/>
    </row>
    <row r="1674" ht="15.75" customHeight="1" spans="1:15">
      <c r="A1674" s="183" t="str">
        <f>VLOOKUP(F1674,数据集标准分类!A:G,7,0)</f>
        <v>06</v>
      </c>
      <c r="B1674" s="183" t="str">
        <f>VLOOKUP(F1674,数据集标准分类!A:F,6,0)</f>
        <v>护理病历</v>
      </c>
      <c r="C1674" s="183" t="str">
        <f>VLOOKUP(F1674,数据集标准分类!A:E,5,0)</f>
        <v>0611</v>
      </c>
      <c r="D1674" s="183" t="str">
        <f>VLOOKUP(F1674,数据集标准分类!A:D,4,0)</f>
        <v>其他护理文书</v>
      </c>
      <c r="E1674" s="183" t="str">
        <f>VLOOKUP(F1674,数据集标准分类!A:C,3,0)</f>
        <v>061101</v>
      </c>
      <c r="F1674" s="170" t="s">
        <v>3814</v>
      </c>
      <c r="G1674" s="183" t="str">
        <f>VLOOKUP(F1674,数据集标准分类!A:B,2,0)</f>
        <v>predelivery_record</v>
      </c>
      <c r="H1674" s="294">
        <f>VLOOKUP(F1674,数据集标准分类!A:H,8,0)</f>
        <v>120</v>
      </c>
      <c r="I1674" s="170" t="s">
        <v>1964</v>
      </c>
      <c r="J1674" s="170" t="s">
        <v>1965</v>
      </c>
      <c r="K1674" s="170" t="s">
        <v>1966</v>
      </c>
      <c r="L1674" s="170" t="s">
        <v>1967</v>
      </c>
      <c r="M1674" s="170" t="s">
        <v>3858</v>
      </c>
      <c r="N1674" s="294">
        <v>21</v>
      </c>
      <c r="O1674" s="170"/>
    </row>
    <row r="1675" ht="15.75" customHeight="1" spans="1:15">
      <c r="A1675" s="183" t="str">
        <f>VLOOKUP(F1675,数据集标准分类!A:G,7,0)</f>
        <v>06</v>
      </c>
      <c r="B1675" s="183" t="str">
        <f>VLOOKUP(F1675,数据集标准分类!A:F,6,0)</f>
        <v>护理病历</v>
      </c>
      <c r="C1675" s="183" t="str">
        <f>VLOOKUP(F1675,数据集标准分类!A:E,5,0)</f>
        <v>0611</v>
      </c>
      <c r="D1675" s="183" t="str">
        <f>VLOOKUP(F1675,数据集标准分类!A:D,4,0)</f>
        <v>其他护理文书</v>
      </c>
      <c r="E1675" s="183" t="str">
        <f>VLOOKUP(F1675,数据集标准分类!A:C,3,0)</f>
        <v>061101</v>
      </c>
      <c r="F1675" s="170" t="s">
        <v>3814</v>
      </c>
      <c r="G1675" s="183" t="str">
        <f>VLOOKUP(F1675,数据集标准分类!A:B,2,0)</f>
        <v>predelivery_record</v>
      </c>
      <c r="H1675" s="294">
        <f>VLOOKUP(F1675,数据集标准分类!A:H,8,0)</f>
        <v>120</v>
      </c>
      <c r="I1675" s="170" t="s">
        <v>3225</v>
      </c>
      <c r="J1675" s="170" t="s">
        <v>3226</v>
      </c>
      <c r="K1675" s="170" t="s">
        <v>3226</v>
      </c>
      <c r="L1675" s="170" t="s">
        <v>3227</v>
      </c>
      <c r="M1675" s="170" t="s">
        <v>3228</v>
      </c>
      <c r="N1675" s="294">
        <v>22</v>
      </c>
      <c r="O1675" s="170"/>
    </row>
    <row r="1676" ht="15.75" customHeight="1" spans="1:15">
      <c r="A1676" s="183" t="str">
        <f>VLOOKUP(F1676,数据集标准分类!A:G,7,0)</f>
        <v>06</v>
      </c>
      <c r="B1676" s="183" t="str">
        <f>VLOOKUP(F1676,数据集标准分类!A:F,6,0)</f>
        <v>护理病历</v>
      </c>
      <c r="C1676" s="183" t="str">
        <f>VLOOKUP(F1676,数据集标准分类!A:E,5,0)</f>
        <v>0611</v>
      </c>
      <c r="D1676" s="183" t="str">
        <f>VLOOKUP(F1676,数据集标准分类!A:D,4,0)</f>
        <v>其他护理文书</v>
      </c>
      <c r="E1676" s="183" t="str">
        <f>VLOOKUP(F1676,数据集标准分类!A:C,3,0)</f>
        <v>061101</v>
      </c>
      <c r="F1676" s="170" t="s">
        <v>3814</v>
      </c>
      <c r="G1676" s="183" t="str">
        <f>VLOOKUP(F1676,数据集标准分类!A:B,2,0)</f>
        <v>predelivery_record</v>
      </c>
      <c r="H1676" s="294">
        <f>VLOOKUP(F1676,数据集标准分类!A:H,8,0)</f>
        <v>120</v>
      </c>
      <c r="I1676" s="170" t="s">
        <v>1828</v>
      </c>
      <c r="J1676" s="170" t="s">
        <v>1829</v>
      </c>
      <c r="K1676" s="170" t="s">
        <v>1830</v>
      </c>
      <c r="L1676" s="170" t="s">
        <v>1831</v>
      </c>
      <c r="M1676" s="170" t="s">
        <v>1832</v>
      </c>
      <c r="N1676" s="294">
        <v>23</v>
      </c>
      <c r="O1676" s="170"/>
    </row>
    <row r="1677" ht="15.75" customHeight="1" spans="1:15">
      <c r="A1677" s="183" t="str">
        <f>VLOOKUP(F1677,数据集标准分类!A:G,7,0)</f>
        <v>06</v>
      </c>
      <c r="B1677" s="183" t="str">
        <f>VLOOKUP(F1677,数据集标准分类!A:F,6,0)</f>
        <v>护理病历</v>
      </c>
      <c r="C1677" s="183" t="str">
        <f>VLOOKUP(F1677,数据集标准分类!A:E,5,0)</f>
        <v>0611</v>
      </c>
      <c r="D1677" s="183" t="str">
        <f>VLOOKUP(F1677,数据集标准分类!A:D,4,0)</f>
        <v>其他护理文书</v>
      </c>
      <c r="E1677" s="183" t="str">
        <f>VLOOKUP(F1677,数据集标准分类!A:C,3,0)</f>
        <v>061101</v>
      </c>
      <c r="F1677" s="170" t="s">
        <v>3814</v>
      </c>
      <c r="G1677" s="183" t="str">
        <f>VLOOKUP(F1677,数据集标准分类!A:B,2,0)</f>
        <v>predelivery_record</v>
      </c>
      <c r="H1677" s="294">
        <f>VLOOKUP(F1677,数据集标准分类!A:H,8,0)</f>
        <v>120</v>
      </c>
      <c r="I1677" s="170" t="s">
        <v>3859</v>
      </c>
      <c r="J1677" s="170" t="s">
        <v>3860</v>
      </c>
      <c r="K1677" s="170" t="s">
        <v>3861</v>
      </c>
      <c r="L1677" s="170" t="s">
        <v>3862</v>
      </c>
      <c r="M1677" s="170" t="s">
        <v>3863</v>
      </c>
      <c r="N1677" s="294">
        <v>24</v>
      </c>
      <c r="O1677" s="170"/>
    </row>
    <row r="1678" ht="15.75" customHeight="1" spans="1:15">
      <c r="A1678" s="183" t="str">
        <f>VLOOKUP(F1678,数据集标准分类!A:G,7,0)</f>
        <v>06</v>
      </c>
      <c r="B1678" s="183" t="str">
        <f>VLOOKUP(F1678,数据集标准分类!A:F,6,0)</f>
        <v>护理病历</v>
      </c>
      <c r="C1678" s="183" t="str">
        <f>VLOOKUP(F1678,数据集标准分类!A:E,5,0)</f>
        <v>0611</v>
      </c>
      <c r="D1678" s="183" t="str">
        <f>VLOOKUP(F1678,数据集标准分类!A:D,4,0)</f>
        <v>其他护理文书</v>
      </c>
      <c r="E1678" s="183" t="str">
        <f>VLOOKUP(F1678,数据集标准分类!A:C,3,0)</f>
        <v>061101</v>
      </c>
      <c r="F1678" s="170" t="s">
        <v>3814</v>
      </c>
      <c r="G1678" s="183" t="str">
        <f>VLOOKUP(F1678,数据集标准分类!A:B,2,0)</f>
        <v>predelivery_record</v>
      </c>
      <c r="H1678" s="294">
        <f>VLOOKUP(F1678,数据集标准分类!A:H,8,0)</f>
        <v>120</v>
      </c>
      <c r="I1678" s="170" t="s">
        <v>3864</v>
      </c>
      <c r="J1678" s="170" t="s">
        <v>3865</v>
      </c>
      <c r="K1678" s="170" t="s">
        <v>3866</v>
      </c>
      <c r="L1678" s="170" t="s">
        <v>3867</v>
      </c>
      <c r="M1678" s="170" t="s">
        <v>3868</v>
      </c>
      <c r="N1678" s="294">
        <v>25</v>
      </c>
      <c r="O1678" s="170"/>
    </row>
    <row r="1679" ht="15.75" customHeight="1" spans="1:15">
      <c r="A1679" s="183" t="str">
        <f>VLOOKUP(F1679,数据集标准分类!A:G,7,0)</f>
        <v>06</v>
      </c>
      <c r="B1679" s="183" t="str">
        <f>VLOOKUP(F1679,数据集标准分类!A:F,6,0)</f>
        <v>护理病历</v>
      </c>
      <c r="C1679" s="183" t="str">
        <f>VLOOKUP(F1679,数据集标准分类!A:E,5,0)</f>
        <v>0611</v>
      </c>
      <c r="D1679" s="183" t="str">
        <f>VLOOKUP(F1679,数据集标准分类!A:D,4,0)</f>
        <v>其他护理文书</v>
      </c>
      <c r="E1679" s="183" t="str">
        <f>VLOOKUP(F1679,数据集标准分类!A:C,3,0)</f>
        <v>061101</v>
      </c>
      <c r="F1679" s="170" t="s">
        <v>3814</v>
      </c>
      <c r="G1679" s="183" t="str">
        <f>VLOOKUP(F1679,数据集标准分类!A:B,2,0)</f>
        <v>predelivery_record</v>
      </c>
      <c r="H1679" s="294">
        <f>VLOOKUP(F1679,数据集标准分类!A:H,8,0)</f>
        <v>120</v>
      </c>
      <c r="I1679" s="170" t="s">
        <v>3869</v>
      </c>
      <c r="J1679" s="170" t="s">
        <v>3870</v>
      </c>
      <c r="K1679" s="170" t="s">
        <v>3871</v>
      </c>
      <c r="L1679" s="170" t="s">
        <v>3872</v>
      </c>
      <c r="M1679" s="170" t="s">
        <v>3873</v>
      </c>
      <c r="N1679" s="294">
        <v>26</v>
      </c>
      <c r="O1679" s="170"/>
    </row>
    <row r="1680" ht="15.75" customHeight="1" spans="1:15">
      <c r="A1680" s="183" t="str">
        <f>VLOOKUP(F1680,数据集标准分类!A:G,7,0)</f>
        <v>06</v>
      </c>
      <c r="B1680" s="183" t="str">
        <f>VLOOKUP(F1680,数据集标准分类!A:F,6,0)</f>
        <v>护理病历</v>
      </c>
      <c r="C1680" s="183" t="str">
        <f>VLOOKUP(F1680,数据集标准分类!A:E,5,0)</f>
        <v>0611</v>
      </c>
      <c r="D1680" s="183" t="str">
        <f>VLOOKUP(F1680,数据集标准分类!A:D,4,0)</f>
        <v>其他护理文书</v>
      </c>
      <c r="E1680" s="183" t="str">
        <f>VLOOKUP(F1680,数据集标准分类!A:C,3,0)</f>
        <v>061101</v>
      </c>
      <c r="F1680" s="170" t="s">
        <v>3814</v>
      </c>
      <c r="G1680" s="183" t="str">
        <f>VLOOKUP(F1680,数据集标准分类!A:B,2,0)</f>
        <v>predelivery_record</v>
      </c>
      <c r="H1680" s="294">
        <f>VLOOKUP(F1680,数据集标准分类!A:H,8,0)</f>
        <v>120</v>
      </c>
      <c r="I1680" s="170" t="s">
        <v>3874</v>
      </c>
      <c r="J1680" s="170" t="s">
        <v>3875</v>
      </c>
      <c r="K1680" s="170" t="s">
        <v>3876</v>
      </c>
      <c r="L1680" s="170" t="s">
        <v>3877</v>
      </c>
      <c r="M1680" s="170" t="s">
        <v>3878</v>
      </c>
      <c r="N1680" s="294">
        <v>27</v>
      </c>
      <c r="O1680" s="170"/>
    </row>
    <row r="1681" ht="15.75" customHeight="1" spans="1:15">
      <c r="A1681" s="183" t="str">
        <f>VLOOKUP(F1681,数据集标准分类!A:G,7,0)</f>
        <v>06</v>
      </c>
      <c r="B1681" s="183" t="str">
        <f>VLOOKUP(F1681,数据集标准分类!A:F,6,0)</f>
        <v>护理病历</v>
      </c>
      <c r="C1681" s="183" t="str">
        <f>VLOOKUP(F1681,数据集标准分类!A:E,5,0)</f>
        <v>0611</v>
      </c>
      <c r="D1681" s="183" t="str">
        <f>VLOOKUP(F1681,数据集标准分类!A:D,4,0)</f>
        <v>其他护理文书</v>
      </c>
      <c r="E1681" s="183" t="str">
        <f>VLOOKUP(F1681,数据集标准分类!A:C,3,0)</f>
        <v>061101</v>
      </c>
      <c r="F1681" s="170" t="s">
        <v>3814</v>
      </c>
      <c r="G1681" s="183" t="str">
        <f>VLOOKUP(F1681,数据集标准分类!A:B,2,0)</f>
        <v>predelivery_record</v>
      </c>
      <c r="H1681" s="294">
        <f>VLOOKUP(F1681,数据集标准分类!A:H,8,0)</f>
        <v>120</v>
      </c>
      <c r="I1681" s="170" t="s">
        <v>3879</v>
      </c>
      <c r="J1681" s="170" t="s">
        <v>3880</v>
      </c>
      <c r="K1681" s="170" t="s">
        <v>3881</v>
      </c>
      <c r="L1681" s="170" t="s">
        <v>3882</v>
      </c>
      <c r="M1681" s="170" t="s">
        <v>3883</v>
      </c>
      <c r="N1681" s="294">
        <v>28</v>
      </c>
      <c r="O1681" s="170"/>
    </row>
    <row r="1682" ht="15.75" customHeight="1" spans="1:15">
      <c r="A1682" s="183" t="str">
        <f>VLOOKUP(F1682,数据集标准分类!A:G,7,0)</f>
        <v>06</v>
      </c>
      <c r="B1682" s="183" t="str">
        <f>VLOOKUP(F1682,数据集标准分类!A:F,6,0)</f>
        <v>护理病历</v>
      </c>
      <c r="C1682" s="183" t="str">
        <f>VLOOKUP(F1682,数据集标准分类!A:E,5,0)</f>
        <v>0611</v>
      </c>
      <c r="D1682" s="183" t="str">
        <f>VLOOKUP(F1682,数据集标准分类!A:D,4,0)</f>
        <v>其他护理文书</v>
      </c>
      <c r="E1682" s="183" t="str">
        <f>VLOOKUP(F1682,数据集标准分类!A:C,3,0)</f>
        <v>061101</v>
      </c>
      <c r="F1682" s="170" t="s">
        <v>3814</v>
      </c>
      <c r="G1682" s="183" t="str">
        <f>VLOOKUP(F1682,数据集标准分类!A:B,2,0)</f>
        <v>predelivery_record</v>
      </c>
      <c r="H1682" s="294">
        <f>VLOOKUP(F1682,数据集标准分类!A:H,8,0)</f>
        <v>120</v>
      </c>
      <c r="I1682" s="170" t="s">
        <v>1959</v>
      </c>
      <c r="J1682" s="170" t="s">
        <v>1960</v>
      </c>
      <c r="K1682" s="170" t="s">
        <v>1961</v>
      </c>
      <c r="L1682" s="170" t="s">
        <v>1962</v>
      </c>
      <c r="M1682" s="170" t="s">
        <v>3884</v>
      </c>
      <c r="N1682" s="294">
        <v>29</v>
      </c>
      <c r="O1682" s="170"/>
    </row>
    <row r="1683" ht="15.75" customHeight="1" spans="1:15">
      <c r="A1683" s="183" t="str">
        <f>VLOOKUP(F1683,数据集标准分类!A:G,7,0)</f>
        <v>06</v>
      </c>
      <c r="B1683" s="183" t="str">
        <f>VLOOKUP(F1683,数据集标准分类!A:F,6,0)</f>
        <v>护理病历</v>
      </c>
      <c r="C1683" s="183" t="str">
        <f>VLOOKUP(F1683,数据集标准分类!A:E,5,0)</f>
        <v>0611</v>
      </c>
      <c r="D1683" s="183" t="str">
        <f>VLOOKUP(F1683,数据集标准分类!A:D,4,0)</f>
        <v>其他护理文书</v>
      </c>
      <c r="E1683" s="183" t="str">
        <f>VLOOKUP(F1683,数据集标准分类!A:C,3,0)</f>
        <v>061101</v>
      </c>
      <c r="F1683" s="170" t="s">
        <v>3814</v>
      </c>
      <c r="G1683" s="183" t="str">
        <f>VLOOKUP(F1683,数据集标准分类!A:B,2,0)</f>
        <v>predelivery_record</v>
      </c>
      <c r="H1683" s="294">
        <f>VLOOKUP(F1683,数据集标准分类!A:H,8,0)</f>
        <v>120</v>
      </c>
      <c r="I1683" s="170" t="s">
        <v>3885</v>
      </c>
      <c r="J1683" s="170" t="s">
        <v>3886</v>
      </c>
      <c r="K1683" s="170" t="s">
        <v>3887</v>
      </c>
      <c r="L1683" s="170" t="s">
        <v>3888</v>
      </c>
      <c r="M1683" s="170" t="s">
        <v>3889</v>
      </c>
      <c r="N1683" s="294">
        <v>30</v>
      </c>
      <c r="O1683" s="170"/>
    </row>
    <row r="1684" ht="15.75" customHeight="1" spans="1:15">
      <c r="A1684" s="183" t="str">
        <f>VLOOKUP(F1684,数据集标准分类!A:G,7,0)</f>
        <v>06</v>
      </c>
      <c r="B1684" s="183" t="str">
        <f>VLOOKUP(F1684,数据集标准分类!A:F,6,0)</f>
        <v>护理病历</v>
      </c>
      <c r="C1684" s="183" t="str">
        <f>VLOOKUP(F1684,数据集标准分类!A:E,5,0)</f>
        <v>0611</v>
      </c>
      <c r="D1684" s="183" t="str">
        <f>VLOOKUP(F1684,数据集标准分类!A:D,4,0)</f>
        <v>其他护理文书</v>
      </c>
      <c r="E1684" s="183" t="str">
        <f>VLOOKUP(F1684,数据集标准分类!A:C,3,0)</f>
        <v>061101</v>
      </c>
      <c r="F1684" s="170" t="s">
        <v>3814</v>
      </c>
      <c r="G1684" s="183" t="str">
        <f>VLOOKUP(F1684,数据集标准分类!A:B,2,0)</f>
        <v>predelivery_record</v>
      </c>
      <c r="H1684" s="294">
        <f>VLOOKUP(F1684,数据集标准分类!A:H,8,0)</f>
        <v>120</v>
      </c>
      <c r="I1684" s="170" t="s">
        <v>3890</v>
      </c>
      <c r="J1684" s="170" t="s">
        <v>3891</v>
      </c>
      <c r="K1684" s="170" t="s">
        <v>3892</v>
      </c>
      <c r="L1684" s="170" t="s">
        <v>3893</v>
      </c>
      <c r="M1684" s="170" t="s">
        <v>3894</v>
      </c>
      <c r="N1684" s="294">
        <v>31</v>
      </c>
      <c r="O1684" s="170"/>
    </row>
    <row r="1685" ht="15.75" customHeight="1" spans="1:15">
      <c r="A1685" s="183" t="str">
        <f>VLOOKUP(F1685,数据集标准分类!A:G,7,0)</f>
        <v>06</v>
      </c>
      <c r="B1685" s="183" t="str">
        <f>VLOOKUP(F1685,数据集标准分类!A:F,6,0)</f>
        <v>护理病历</v>
      </c>
      <c r="C1685" s="183" t="str">
        <f>VLOOKUP(F1685,数据集标准分类!A:E,5,0)</f>
        <v>0611</v>
      </c>
      <c r="D1685" s="183" t="str">
        <f>VLOOKUP(F1685,数据集标准分类!A:D,4,0)</f>
        <v>其他护理文书</v>
      </c>
      <c r="E1685" s="183" t="str">
        <f>VLOOKUP(F1685,数据集标准分类!A:C,3,0)</f>
        <v>061101</v>
      </c>
      <c r="F1685" s="170" t="s">
        <v>3814</v>
      </c>
      <c r="G1685" s="183" t="str">
        <f>VLOOKUP(F1685,数据集标准分类!A:B,2,0)</f>
        <v>predelivery_record</v>
      </c>
      <c r="H1685" s="294">
        <f>VLOOKUP(F1685,数据集标准分类!A:H,8,0)</f>
        <v>120</v>
      </c>
      <c r="I1685" s="170" t="s">
        <v>3895</v>
      </c>
      <c r="J1685" s="170" t="s">
        <v>3896</v>
      </c>
      <c r="K1685" s="170" t="s">
        <v>3897</v>
      </c>
      <c r="L1685" s="170" t="s">
        <v>3898</v>
      </c>
      <c r="M1685" s="170" t="s">
        <v>3899</v>
      </c>
      <c r="N1685" s="294">
        <v>32</v>
      </c>
      <c r="O1685" s="170"/>
    </row>
    <row r="1686" ht="15.75" customHeight="1" spans="1:15">
      <c r="A1686" s="183" t="str">
        <f>VLOOKUP(F1686,数据集标准分类!A:G,7,0)</f>
        <v>06</v>
      </c>
      <c r="B1686" s="183" t="str">
        <f>VLOOKUP(F1686,数据集标准分类!A:F,6,0)</f>
        <v>护理病历</v>
      </c>
      <c r="C1686" s="183" t="str">
        <f>VLOOKUP(F1686,数据集标准分类!A:E,5,0)</f>
        <v>0611</v>
      </c>
      <c r="D1686" s="183" t="str">
        <f>VLOOKUP(F1686,数据集标准分类!A:D,4,0)</f>
        <v>其他护理文书</v>
      </c>
      <c r="E1686" s="183" t="str">
        <f>VLOOKUP(F1686,数据集标准分类!A:C,3,0)</f>
        <v>061101</v>
      </c>
      <c r="F1686" s="170" t="s">
        <v>3814</v>
      </c>
      <c r="G1686" s="183" t="str">
        <f>VLOOKUP(F1686,数据集标准分类!A:B,2,0)</f>
        <v>predelivery_record</v>
      </c>
      <c r="H1686" s="294">
        <f>VLOOKUP(F1686,数据集标准分类!A:H,8,0)</f>
        <v>120</v>
      </c>
      <c r="I1686" s="170" t="s">
        <v>3900</v>
      </c>
      <c r="J1686" s="170" t="s">
        <v>3901</v>
      </c>
      <c r="K1686" s="170" t="s">
        <v>3902</v>
      </c>
      <c r="L1686" s="170" t="s">
        <v>3903</v>
      </c>
      <c r="M1686" s="170" t="s">
        <v>3904</v>
      </c>
      <c r="N1686" s="294">
        <v>33</v>
      </c>
      <c r="O1686" s="170"/>
    </row>
    <row r="1687" ht="15.75" customHeight="1" spans="1:15">
      <c r="A1687" s="183" t="str">
        <f>VLOOKUP(F1687,数据集标准分类!A:G,7,0)</f>
        <v>06</v>
      </c>
      <c r="B1687" s="183" t="str">
        <f>VLOOKUP(F1687,数据集标准分类!A:F,6,0)</f>
        <v>护理病历</v>
      </c>
      <c r="C1687" s="183" t="str">
        <f>VLOOKUP(F1687,数据集标准分类!A:E,5,0)</f>
        <v>0611</v>
      </c>
      <c r="D1687" s="183" t="str">
        <f>VLOOKUP(F1687,数据集标准分类!A:D,4,0)</f>
        <v>其他护理文书</v>
      </c>
      <c r="E1687" s="183" t="str">
        <f>VLOOKUP(F1687,数据集标准分类!A:C,3,0)</f>
        <v>061101</v>
      </c>
      <c r="F1687" s="170" t="s">
        <v>3814</v>
      </c>
      <c r="G1687" s="183" t="str">
        <f>VLOOKUP(F1687,数据集标准分类!A:B,2,0)</f>
        <v>predelivery_record</v>
      </c>
      <c r="H1687" s="294">
        <f>VLOOKUP(F1687,数据集标准分类!A:H,8,0)</f>
        <v>120</v>
      </c>
      <c r="I1687" s="170" t="s">
        <v>3905</v>
      </c>
      <c r="J1687" s="170" t="s">
        <v>3906</v>
      </c>
      <c r="K1687" s="170" t="s">
        <v>3907</v>
      </c>
      <c r="L1687" s="170" t="s">
        <v>3908</v>
      </c>
      <c r="M1687" s="170" t="s">
        <v>3909</v>
      </c>
      <c r="N1687" s="294">
        <v>34</v>
      </c>
      <c r="O1687" s="170"/>
    </row>
    <row r="1688" ht="15.75" customHeight="1" spans="1:15">
      <c r="A1688" s="183" t="str">
        <f>VLOOKUP(F1688,数据集标准分类!A:G,7,0)</f>
        <v>06</v>
      </c>
      <c r="B1688" s="183" t="str">
        <f>VLOOKUP(F1688,数据集标准分类!A:F,6,0)</f>
        <v>护理病历</v>
      </c>
      <c r="C1688" s="183" t="str">
        <f>VLOOKUP(F1688,数据集标准分类!A:E,5,0)</f>
        <v>0611</v>
      </c>
      <c r="D1688" s="183" t="str">
        <f>VLOOKUP(F1688,数据集标准分类!A:D,4,0)</f>
        <v>其他护理文书</v>
      </c>
      <c r="E1688" s="183" t="str">
        <f>VLOOKUP(F1688,数据集标准分类!A:C,3,0)</f>
        <v>061101</v>
      </c>
      <c r="F1688" s="170" t="s">
        <v>3814</v>
      </c>
      <c r="G1688" s="183" t="str">
        <f>VLOOKUP(F1688,数据集标准分类!A:B,2,0)</f>
        <v>predelivery_record</v>
      </c>
      <c r="H1688" s="294">
        <f>VLOOKUP(F1688,数据集标准分类!A:H,8,0)</f>
        <v>120</v>
      </c>
      <c r="I1688" s="170" t="s">
        <v>3910</v>
      </c>
      <c r="J1688" s="170" t="s">
        <v>3911</v>
      </c>
      <c r="K1688" s="170" t="s">
        <v>3912</v>
      </c>
      <c r="L1688" s="170" t="s">
        <v>3913</v>
      </c>
      <c r="M1688" s="170" t="s">
        <v>3914</v>
      </c>
      <c r="N1688" s="294">
        <v>35</v>
      </c>
      <c r="O1688" s="170"/>
    </row>
    <row r="1689" ht="15.75" customHeight="1" spans="1:15">
      <c r="A1689" s="183" t="str">
        <f>VLOOKUP(F1689,数据集标准分类!A:G,7,0)</f>
        <v>06</v>
      </c>
      <c r="B1689" s="183" t="str">
        <f>VLOOKUP(F1689,数据集标准分类!A:F,6,0)</f>
        <v>护理病历</v>
      </c>
      <c r="C1689" s="183" t="str">
        <f>VLOOKUP(F1689,数据集标准分类!A:E,5,0)</f>
        <v>0611</v>
      </c>
      <c r="D1689" s="183" t="str">
        <f>VLOOKUP(F1689,数据集标准分类!A:D,4,0)</f>
        <v>其他护理文书</v>
      </c>
      <c r="E1689" s="183" t="str">
        <f>VLOOKUP(F1689,数据集标准分类!A:C,3,0)</f>
        <v>061101</v>
      </c>
      <c r="F1689" s="170" t="s">
        <v>3814</v>
      </c>
      <c r="G1689" s="183" t="str">
        <f>VLOOKUP(F1689,数据集标准分类!A:B,2,0)</f>
        <v>predelivery_record</v>
      </c>
      <c r="H1689" s="294">
        <f>VLOOKUP(F1689,数据集标准分类!A:H,8,0)</f>
        <v>120</v>
      </c>
      <c r="I1689" s="170" t="s">
        <v>3915</v>
      </c>
      <c r="J1689" s="170" t="s">
        <v>3916</v>
      </c>
      <c r="K1689" s="170" t="s">
        <v>3917</v>
      </c>
      <c r="L1689" s="170" t="s">
        <v>3918</v>
      </c>
      <c r="M1689" s="170" t="s">
        <v>3919</v>
      </c>
      <c r="N1689" s="294">
        <v>36</v>
      </c>
      <c r="O1689" s="170"/>
    </row>
    <row r="1690" ht="15.75" customHeight="1" spans="1:15">
      <c r="A1690" s="183" t="str">
        <f>VLOOKUP(F1690,数据集标准分类!A:G,7,0)</f>
        <v>06</v>
      </c>
      <c r="B1690" s="183" t="str">
        <f>VLOOKUP(F1690,数据集标准分类!A:F,6,0)</f>
        <v>护理病历</v>
      </c>
      <c r="C1690" s="183" t="str">
        <f>VLOOKUP(F1690,数据集标准分类!A:E,5,0)</f>
        <v>0611</v>
      </c>
      <c r="D1690" s="183" t="str">
        <f>VLOOKUP(F1690,数据集标准分类!A:D,4,0)</f>
        <v>其他护理文书</v>
      </c>
      <c r="E1690" s="183" t="str">
        <f>VLOOKUP(F1690,数据集标准分类!A:C,3,0)</f>
        <v>061101</v>
      </c>
      <c r="F1690" s="170" t="s">
        <v>3814</v>
      </c>
      <c r="G1690" s="183" t="str">
        <f>VLOOKUP(F1690,数据集标准分类!A:B,2,0)</f>
        <v>predelivery_record</v>
      </c>
      <c r="H1690" s="294">
        <f>VLOOKUP(F1690,数据集标准分类!A:H,8,0)</f>
        <v>120</v>
      </c>
      <c r="I1690" s="170" t="s">
        <v>3920</v>
      </c>
      <c r="J1690" s="170" t="s">
        <v>3921</v>
      </c>
      <c r="K1690" s="170" t="s">
        <v>3922</v>
      </c>
      <c r="L1690" s="170" t="s">
        <v>3923</v>
      </c>
      <c r="M1690" s="170" t="s">
        <v>3924</v>
      </c>
      <c r="N1690" s="294">
        <v>37</v>
      </c>
      <c r="O1690" s="170"/>
    </row>
    <row r="1691" ht="15.75" customHeight="1" spans="1:15">
      <c r="A1691" s="183" t="str">
        <f>VLOOKUP(F1691,数据集标准分类!A:G,7,0)</f>
        <v>06</v>
      </c>
      <c r="B1691" s="183" t="str">
        <f>VLOOKUP(F1691,数据集标准分类!A:F,6,0)</f>
        <v>护理病历</v>
      </c>
      <c r="C1691" s="183" t="str">
        <f>VLOOKUP(F1691,数据集标准分类!A:E,5,0)</f>
        <v>0611</v>
      </c>
      <c r="D1691" s="183" t="str">
        <f>VLOOKUP(F1691,数据集标准分类!A:D,4,0)</f>
        <v>其他护理文书</v>
      </c>
      <c r="E1691" s="183" t="str">
        <f>VLOOKUP(F1691,数据集标准分类!A:C,3,0)</f>
        <v>061101</v>
      </c>
      <c r="F1691" s="170" t="s">
        <v>3814</v>
      </c>
      <c r="G1691" s="183" t="str">
        <f>VLOOKUP(F1691,数据集标准分类!A:B,2,0)</f>
        <v>predelivery_record</v>
      </c>
      <c r="H1691" s="294">
        <f>VLOOKUP(F1691,数据集标准分类!A:H,8,0)</f>
        <v>120</v>
      </c>
      <c r="I1691" s="170" t="s">
        <v>3925</v>
      </c>
      <c r="J1691" s="170" t="s">
        <v>3926</v>
      </c>
      <c r="K1691" s="170" t="s">
        <v>3927</v>
      </c>
      <c r="L1691" s="170" t="s">
        <v>3928</v>
      </c>
      <c r="M1691" s="170" t="s">
        <v>3929</v>
      </c>
      <c r="N1691" s="294">
        <v>38</v>
      </c>
      <c r="O1691" s="170"/>
    </row>
    <row r="1692" ht="15.75" customHeight="1" spans="1:15">
      <c r="A1692" s="183" t="str">
        <f>VLOOKUP(F1692,数据集标准分类!A:G,7,0)</f>
        <v>06</v>
      </c>
      <c r="B1692" s="183" t="str">
        <f>VLOOKUP(F1692,数据集标准分类!A:F,6,0)</f>
        <v>护理病历</v>
      </c>
      <c r="C1692" s="183" t="str">
        <f>VLOOKUP(F1692,数据集标准分类!A:E,5,0)</f>
        <v>0611</v>
      </c>
      <c r="D1692" s="183" t="str">
        <f>VLOOKUP(F1692,数据集标准分类!A:D,4,0)</f>
        <v>其他护理文书</v>
      </c>
      <c r="E1692" s="183" t="str">
        <f>VLOOKUP(F1692,数据集标准分类!A:C,3,0)</f>
        <v>061101</v>
      </c>
      <c r="F1692" s="170" t="s">
        <v>3814</v>
      </c>
      <c r="G1692" s="183" t="str">
        <f>VLOOKUP(F1692,数据集标准分类!A:B,2,0)</f>
        <v>predelivery_record</v>
      </c>
      <c r="H1692" s="294">
        <f>VLOOKUP(F1692,数据集标准分类!A:H,8,0)</f>
        <v>120</v>
      </c>
      <c r="I1692" s="170" t="s">
        <v>1480</v>
      </c>
      <c r="J1692" s="170" t="s">
        <v>1481</v>
      </c>
      <c r="K1692" s="170" t="s">
        <v>1482</v>
      </c>
      <c r="L1692" s="170" t="s">
        <v>1483</v>
      </c>
      <c r="M1692" s="170" t="s">
        <v>3930</v>
      </c>
      <c r="N1692" s="294">
        <v>39</v>
      </c>
      <c r="O1692" s="170"/>
    </row>
    <row r="1693" ht="15.75" customHeight="1" spans="1:15">
      <c r="A1693" s="183" t="str">
        <f>VLOOKUP(F1693,数据集标准分类!A:G,7,0)</f>
        <v>06</v>
      </c>
      <c r="B1693" s="183" t="str">
        <f>VLOOKUP(F1693,数据集标准分类!A:F,6,0)</f>
        <v>护理病历</v>
      </c>
      <c r="C1693" s="183" t="str">
        <f>VLOOKUP(F1693,数据集标准分类!A:E,5,0)</f>
        <v>0611</v>
      </c>
      <c r="D1693" s="183" t="str">
        <f>VLOOKUP(F1693,数据集标准分类!A:D,4,0)</f>
        <v>其他护理文书</v>
      </c>
      <c r="E1693" s="183" t="str">
        <f>VLOOKUP(F1693,数据集标准分类!A:C,3,0)</f>
        <v>061101</v>
      </c>
      <c r="F1693" s="170" t="s">
        <v>3814</v>
      </c>
      <c r="G1693" s="183" t="str">
        <f>VLOOKUP(F1693,数据集标准分类!A:B,2,0)</f>
        <v>predelivery_record</v>
      </c>
      <c r="H1693" s="294">
        <f>VLOOKUP(F1693,数据集标准分类!A:H,8,0)</f>
        <v>120</v>
      </c>
      <c r="I1693" s="170" t="s">
        <v>3931</v>
      </c>
      <c r="J1693" s="170" t="s">
        <v>3932</v>
      </c>
      <c r="K1693" s="170" t="s">
        <v>3933</v>
      </c>
      <c r="L1693" s="170" t="s">
        <v>3934</v>
      </c>
      <c r="M1693" s="170" t="s">
        <v>3935</v>
      </c>
      <c r="N1693" s="294">
        <v>40</v>
      </c>
      <c r="O1693" s="170"/>
    </row>
    <row r="1694" ht="15.75" customHeight="1" spans="1:15">
      <c r="A1694" s="183" t="str">
        <f>VLOOKUP(F1694,数据集标准分类!A:G,7,0)</f>
        <v>06</v>
      </c>
      <c r="B1694" s="183" t="str">
        <f>VLOOKUP(F1694,数据集标准分类!A:F,6,0)</f>
        <v>护理病历</v>
      </c>
      <c r="C1694" s="183" t="str">
        <f>VLOOKUP(F1694,数据集标准分类!A:E,5,0)</f>
        <v>0611</v>
      </c>
      <c r="D1694" s="183" t="str">
        <f>VLOOKUP(F1694,数据集标准分类!A:D,4,0)</f>
        <v>其他护理文书</v>
      </c>
      <c r="E1694" s="183" t="str">
        <f>VLOOKUP(F1694,数据集标准分类!A:C,3,0)</f>
        <v>061101</v>
      </c>
      <c r="F1694" s="170" t="s">
        <v>3814</v>
      </c>
      <c r="G1694" s="183" t="str">
        <f>VLOOKUP(F1694,数据集标准分类!A:B,2,0)</f>
        <v>predelivery_record</v>
      </c>
      <c r="H1694" s="294">
        <f>VLOOKUP(F1694,数据集标准分类!A:H,8,0)</f>
        <v>120</v>
      </c>
      <c r="I1694" s="170" t="s">
        <v>3936</v>
      </c>
      <c r="J1694" s="170" t="s">
        <v>3937</v>
      </c>
      <c r="K1694" s="170" t="s">
        <v>3938</v>
      </c>
      <c r="L1694" s="170" t="s">
        <v>3939</v>
      </c>
      <c r="M1694" s="170" t="s">
        <v>3940</v>
      </c>
      <c r="N1694" s="294">
        <v>41</v>
      </c>
      <c r="O1694" s="170"/>
    </row>
    <row r="1695" ht="15.75" customHeight="1" spans="1:15">
      <c r="A1695" s="183" t="str">
        <f>VLOOKUP(F1695,数据集标准分类!A:G,7,0)</f>
        <v>06</v>
      </c>
      <c r="B1695" s="183" t="str">
        <f>VLOOKUP(F1695,数据集标准分类!A:F,6,0)</f>
        <v>护理病历</v>
      </c>
      <c r="C1695" s="183" t="str">
        <f>VLOOKUP(F1695,数据集标准分类!A:E,5,0)</f>
        <v>0611</v>
      </c>
      <c r="D1695" s="183" t="str">
        <f>VLOOKUP(F1695,数据集标准分类!A:D,4,0)</f>
        <v>其他护理文书</v>
      </c>
      <c r="E1695" s="183" t="str">
        <f>VLOOKUP(F1695,数据集标准分类!A:C,3,0)</f>
        <v>061102</v>
      </c>
      <c r="F1695" s="170" t="s">
        <v>3941</v>
      </c>
      <c r="G1695" s="183" t="str">
        <f>VLOOKUP(F1695,数据集标准分类!A:B,2,0)</f>
        <v>spontaneous_childbirth_record</v>
      </c>
      <c r="H1695" s="294">
        <f>VLOOKUP(F1695,数据集标准分类!A:H,8,0)</f>
        <v>121</v>
      </c>
      <c r="I1695" s="170" t="s">
        <v>3815</v>
      </c>
      <c r="J1695" s="170" t="s">
        <v>3816</v>
      </c>
      <c r="K1695" s="170" t="s">
        <v>3817</v>
      </c>
      <c r="L1695" s="170" t="s">
        <v>3818</v>
      </c>
      <c r="M1695" s="170" t="s">
        <v>3819</v>
      </c>
      <c r="N1695" s="294">
        <v>1</v>
      </c>
      <c r="O1695" s="170"/>
    </row>
    <row r="1696" ht="16.8" spans="1:15">
      <c r="A1696" s="183" t="str">
        <f>VLOOKUP(F1696,数据集标准分类!A:G,7,0)</f>
        <v>06</v>
      </c>
      <c r="B1696" s="183" t="str">
        <f>VLOOKUP(F1696,数据集标准分类!A:F,6,0)</f>
        <v>护理病历</v>
      </c>
      <c r="C1696" s="183" t="str">
        <f>VLOOKUP(F1696,数据集标准分类!A:E,5,0)</f>
        <v>0611</v>
      </c>
      <c r="D1696" s="183" t="str">
        <f>VLOOKUP(F1696,数据集标准分类!A:D,4,0)</f>
        <v>其他护理文书</v>
      </c>
      <c r="E1696" s="183" t="str">
        <f>VLOOKUP(F1696,数据集标准分类!A:C,3,0)</f>
        <v>061102</v>
      </c>
      <c r="F1696" s="170" t="s">
        <v>3941</v>
      </c>
      <c r="G1696" s="183" t="str">
        <f>VLOOKUP(F1696,数据集标准分类!A:B,2,0)</f>
        <v>spontaneous_childbirth_record</v>
      </c>
      <c r="H1696" s="294">
        <f>VLOOKUP(F1696,数据集标准分类!A:H,8,0)</f>
        <v>121</v>
      </c>
      <c r="I1696" s="170" t="s">
        <v>3820</v>
      </c>
      <c r="J1696" s="170" t="s">
        <v>3821</v>
      </c>
      <c r="K1696" s="170" t="s">
        <v>3822</v>
      </c>
      <c r="L1696" s="170" t="s">
        <v>3823</v>
      </c>
      <c r="M1696" s="170" t="s">
        <v>3824</v>
      </c>
      <c r="N1696" s="294">
        <v>2</v>
      </c>
      <c r="O1696" s="170"/>
    </row>
    <row r="1697" ht="16.8" spans="1:15">
      <c r="A1697" s="183" t="str">
        <f>VLOOKUP(F1697,数据集标准分类!A:G,7,0)</f>
        <v>06</v>
      </c>
      <c r="B1697" s="183" t="str">
        <f>VLOOKUP(F1697,数据集标准分类!A:F,6,0)</f>
        <v>护理病历</v>
      </c>
      <c r="C1697" s="183" t="str">
        <f>VLOOKUP(F1697,数据集标准分类!A:E,5,0)</f>
        <v>0611</v>
      </c>
      <c r="D1697" s="183" t="str">
        <f>VLOOKUP(F1697,数据集标准分类!A:D,4,0)</f>
        <v>其他护理文书</v>
      </c>
      <c r="E1697" s="183" t="str">
        <f>VLOOKUP(F1697,数据集标准分类!A:C,3,0)</f>
        <v>061102</v>
      </c>
      <c r="F1697" s="170" t="s">
        <v>3941</v>
      </c>
      <c r="G1697" s="183" t="str">
        <f>VLOOKUP(F1697,数据集标准分类!A:B,2,0)</f>
        <v>spontaneous_childbirth_record</v>
      </c>
      <c r="H1697" s="294">
        <f>VLOOKUP(F1697,数据集标准分类!A:H,8,0)</f>
        <v>121</v>
      </c>
      <c r="I1697" s="170" t="s">
        <v>3835</v>
      </c>
      <c r="J1697" s="170" t="s">
        <v>3836</v>
      </c>
      <c r="K1697" s="170" t="s">
        <v>3836</v>
      </c>
      <c r="L1697" s="170" t="s">
        <v>3837</v>
      </c>
      <c r="M1697" s="170" t="s">
        <v>3838</v>
      </c>
      <c r="N1697" s="294">
        <v>3</v>
      </c>
      <c r="O1697" s="170"/>
    </row>
    <row r="1698" ht="16.8" spans="1:15">
      <c r="A1698" s="183" t="str">
        <f>VLOOKUP(F1698,数据集标准分类!A:G,7,0)</f>
        <v>06</v>
      </c>
      <c r="B1698" s="183" t="str">
        <f>VLOOKUP(F1698,数据集标准分类!A:F,6,0)</f>
        <v>护理病历</v>
      </c>
      <c r="C1698" s="183" t="str">
        <f>VLOOKUP(F1698,数据集标准分类!A:E,5,0)</f>
        <v>0611</v>
      </c>
      <c r="D1698" s="183" t="str">
        <f>VLOOKUP(F1698,数据集标准分类!A:D,4,0)</f>
        <v>其他护理文书</v>
      </c>
      <c r="E1698" s="183" t="str">
        <f>VLOOKUP(F1698,数据集标准分类!A:C,3,0)</f>
        <v>061102</v>
      </c>
      <c r="F1698" s="170" t="s">
        <v>3941</v>
      </c>
      <c r="G1698" s="183" t="str">
        <f>VLOOKUP(F1698,数据集标准分类!A:B,2,0)</f>
        <v>spontaneous_childbirth_record</v>
      </c>
      <c r="H1698" s="294">
        <f>VLOOKUP(F1698,数据集标准分类!A:H,8,0)</f>
        <v>121</v>
      </c>
      <c r="I1698" s="170" t="s">
        <v>3942</v>
      </c>
      <c r="J1698" s="170" t="s">
        <v>3943</v>
      </c>
      <c r="K1698" s="170" t="s">
        <v>3944</v>
      </c>
      <c r="L1698" s="170" t="s">
        <v>3945</v>
      </c>
      <c r="M1698" s="170" t="s">
        <v>3946</v>
      </c>
      <c r="N1698" s="294">
        <v>4</v>
      </c>
      <c r="O1698" s="170"/>
    </row>
    <row r="1699" ht="16.8" spans="1:15">
      <c r="A1699" s="183" t="str">
        <f>VLOOKUP(F1699,数据集标准分类!A:G,7,0)</f>
        <v>06</v>
      </c>
      <c r="B1699" s="183" t="str">
        <f>VLOOKUP(F1699,数据集标准分类!A:F,6,0)</f>
        <v>护理病历</v>
      </c>
      <c r="C1699" s="183" t="str">
        <f>VLOOKUP(F1699,数据集标准分类!A:E,5,0)</f>
        <v>0611</v>
      </c>
      <c r="D1699" s="183" t="str">
        <f>VLOOKUP(F1699,数据集标准分类!A:D,4,0)</f>
        <v>其他护理文书</v>
      </c>
      <c r="E1699" s="183" t="str">
        <f>VLOOKUP(F1699,数据集标准分类!A:C,3,0)</f>
        <v>061102</v>
      </c>
      <c r="F1699" s="170" t="s">
        <v>3941</v>
      </c>
      <c r="G1699" s="183" t="str">
        <f>VLOOKUP(F1699,数据集标准分类!A:B,2,0)</f>
        <v>spontaneous_childbirth_record</v>
      </c>
      <c r="H1699" s="294">
        <f>VLOOKUP(F1699,数据集标准分类!A:H,8,0)</f>
        <v>121</v>
      </c>
      <c r="I1699" s="170" t="s">
        <v>3947</v>
      </c>
      <c r="J1699" s="170" t="s">
        <v>3948</v>
      </c>
      <c r="K1699" s="170" t="s">
        <v>3949</v>
      </c>
      <c r="L1699" s="170" t="s">
        <v>3950</v>
      </c>
      <c r="M1699" s="170" t="s">
        <v>3951</v>
      </c>
      <c r="N1699" s="294">
        <v>5</v>
      </c>
      <c r="O1699" s="170"/>
    </row>
    <row r="1700" ht="16.8" spans="1:15">
      <c r="A1700" s="183" t="str">
        <f>VLOOKUP(F1700,数据集标准分类!A:G,7,0)</f>
        <v>06</v>
      </c>
      <c r="B1700" s="183" t="str">
        <f>VLOOKUP(F1700,数据集标准分类!A:F,6,0)</f>
        <v>护理病历</v>
      </c>
      <c r="C1700" s="183" t="str">
        <f>VLOOKUP(F1700,数据集标准分类!A:E,5,0)</f>
        <v>0611</v>
      </c>
      <c r="D1700" s="183" t="str">
        <f>VLOOKUP(F1700,数据集标准分类!A:D,4,0)</f>
        <v>其他护理文书</v>
      </c>
      <c r="E1700" s="183" t="str">
        <f>VLOOKUP(F1700,数据集标准分类!A:C,3,0)</f>
        <v>061102</v>
      </c>
      <c r="F1700" s="170" t="s">
        <v>3941</v>
      </c>
      <c r="G1700" s="183" t="str">
        <f>VLOOKUP(F1700,数据集标准分类!A:B,2,0)</f>
        <v>spontaneous_childbirth_record</v>
      </c>
      <c r="H1700" s="294">
        <f>VLOOKUP(F1700,数据集标准分类!A:H,8,0)</f>
        <v>121</v>
      </c>
      <c r="I1700" s="170" t="s">
        <v>3952</v>
      </c>
      <c r="J1700" s="170" t="s">
        <v>3953</v>
      </c>
      <c r="K1700" s="170" t="s">
        <v>3954</v>
      </c>
      <c r="L1700" s="170" t="s">
        <v>3955</v>
      </c>
      <c r="M1700" s="170" t="s">
        <v>3956</v>
      </c>
      <c r="N1700" s="294">
        <v>6</v>
      </c>
      <c r="O1700" s="170"/>
    </row>
    <row r="1701" ht="16.8" spans="1:15">
      <c r="A1701" s="183" t="str">
        <f>VLOOKUP(F1701,数据集标准分类!A:G,7,0)</f>
        <v>06</v>
      </c>
      <c r="B1701" s="183" t="str">
        <f>VLOOKUP(F1701,数据集标准分类!A:F,6,0)</f>
        <v>护理病历</v>
      </c>
      <c r="C1701" s="183" t="str">
        <f>VLOOKUP(F1701,数据集标准分类!A:E,5,0)</f>
        <v>0611</v>
      </c>
      <c r="D1701" s="183" t="str">
        <f>VLOOKUP(F1701,数据集标准分类!A:D,4,0)</f>
        <v>其他护理文书</v>
      </c>
      <c r="E1701" s="183" t="str">
        <f>VLOOKUP(F1701,数据集标准分类!A:C,3,0)</f>
        <v>061102</v>
      </c>
      <c r="F1701" s="170" t="s">
        <v>3941</v>
      </c>
      <c r="G1701" s="183" t="str">
        <f>VLOOKUP(F1701,数据集标准分类!A:B,2,0)</f>
        <v>spontaneous_childbirth_record</v>
      </c>
      <c r="H1701" s="294">
        <f>VLOOKUP(F1701,数据集标准分类!A:H,8,0)</f>
        <v>121</v>
      </c>
      <c r="I1701" s="170" t="s">
        <v>3957</v>
      </c>
      <c r="J1701" s="170" t="s">
        <v>3958</v>
      </c>
      <c r="K1701" s="170" t="s">
        <v>3959</v>
      </c>
      <c r="L1701" s="170" t="s">
        <v>3960</v>
      </c>
      <c r="M1701" s="170" t="s">
        <v>3961</v>
      </c>
      <c r="N1701" s="294">
        <v>7</v>
      </c>
      <c r="O1701" s="170"/>
    </row>
    <row r="1702" ht="16.8" spans="1:15">
      <c r="A1702" s="183" t="str">
        <f>VLOOKUP(F1702,数据集标准分类!A:G,7,0)</f>
        <v>06</v>
      </c>
      <c r="B1702" s="183" t="str">
        <f>VLOOKUP(F1702,数据集标准分类!A:F,6,0)</f>
        <v>护理病历</v>
      </c>
      <c r="C1702" s="183" t="str">
        <f>VLOOKUP(F1702,数据集标准分类!A:E,5,0)</f>
        <v>0611</v>
      </c>
      <c r="D1702" s="183" t="str">
        <f>VLOOKUP(F1702,数据集标准分类!A:D,4,0)</f>
        <v>其他护理文书</v>
      </c>
      <c r="E1702" s="183" t="str">
        <f>VLOOKUP(F1702,数据集标准分类!A:C,3,0)</f>
        <v>061102</v>
      </c>
      <c r="F1702" s="170" t="s">
        <v>3941</v>
      </c>
      <c r="G1702" s="183" t="str">
        <f>VLOOKUP(F1702,数据集标准分类!A:B,2,0)</f>
        <v>spontaneous_childbirth_record</v>
      </c>
      <c r="H1702" s="294">
        <f>VLOOKUP(F1702,数据集标准分类!A:H,8,0)</f>
        <v>121</v>
      </c>
      <c r="I1702" s="170" t="s">
        <v>3962</v>
      </c>
      <c r="J1702" s="170" t="s">
        <v>3963</v>
      </c>
      <c r="K1702" s="170" t="s">
        <v>3964</v>
      </c>
      <c r="L1702" s="170" t="s">
        <v>3965</v>
      </c>
      <c r="M1702" s="170" t="s">
        <v>3966</v>
      </c>
      <c r="N1702" s="294">
        <v>8</v>
      </c>
      <c r="O1702" s="170"/>
    </row>
    <row r="1703" ht="16.8" spans="1:15">
      <c r="A1703" s="183" t="str">
        <f>VLOOKUP(F1703,数据集标准分类!A:G,7,0)</f>
        <v>06</v>
      </c>
      <c r="B1703" s="183" t="str">
        <f>VLOOKUP(F1703,数据集标准分类!A:F,6,0)</f>
        <v>护理病历</v>
      </c>
      <c r="C1703" s="183" t="str">
        <f>VLOOKUP(F1703,数据集标准分类!A:E,5,0)</f>
        <v>0611</v>
      </c>
      <c r="D1703" s="183" t="str">
        <f>VLOOKUP(F1703,数据集标准分类!A:D,4,0)</f>
        <v>其他护理文书</v>
      </c>
      <c r="E1703" s="183" t="str">
        <f>VLOOKUP(F1703,数据集标准分类!A:C,3,0)</f>
        <v>061102</v>
      </c>
      <c r="F1703" s="170" t="s">
        <v>3941</v>
      </c>
      <c r="G1703" s="183" t="str">
        <f>VLOOKUP(F1703,数据集标准分类!A:B,2,0)</f>
        <v>spontaneous_childbirth_record</v>
      </c>
      <c r="H1703" s="294">
        <f>VLOOKUP(F1703,数据集标准分类!A:H,8,0)</f>
        <v>121</v>
      </c>
      <c r="I1703" s="170" t="s">
        <v>3967</v>
      </c>
      <c r="J1703" s="170" t="s">
        <v>3968</v>
      </c>
      <c r="K1703" s="170" t="s">
        <v>3969</v>
      </c>
      <c r="L1703" s="170" t="s">
        <v>3970</v>
      </c>
      <c r="M1703" s="170" t="s">
        <v>3971</v>
      </c>
      <c r="N1703" s="294">
        <v>9</v>
      </c>
      <c r="O1703" s="170"/>
    </row>
    <row r="1704" ht="16.8" spans="1:15">
      <c r="A1704" s="183" t="str">
        <f>VLOOKUP(F1704,数据集标准分类!A:G,7,0)</f>
        <v>06</v>
      </c>
      <c r="B1704" s="183" t="str">
        <f>VLOOKUP(F1704,数据集标准分类!A:F,6,0)</f>
        <v>护理病历</v>
      </c>
      <c r="C1704" s="183" t="str">
        <f>VLOOKUP(F1704,数据集标准分类!A:E,5,0)</f>
        <v>0611</v>
      </c>
      <c r="D1704" s="183" t="str">
        <f>VLOOKUP(F1704,数据集标准分类!A:D,4,0)</f>
        <v>其他护理文书</v>
      </c>
      <c r="E1704" s="183" t="str">
        <f>VLOOKUP(F1704,数据集标准分类!A:C,3,0)</f>
        <v>061102</v>
      </c>
      <c r="F1704" s="170" t="s">
        <v>3941</v>
      </c>
      <c r="G1704" s="183" t="str">
        <f>VLOOKUP(F1704,数据集标准分类!A:B,2,0)</f>
        <v>spontaneous_childbirth_record</v>
      </c>
      <c r="H1704" s="294">
        <f>VLOOKUP(F1704,数据集标准分类!A:H,8,0)</f>
        <v>121</v>
      </c>
      <c r="I1704" s="170" t="s">
        <v>3972</v>
      </c>
      <c r="J1704" s="170" t="s">
        <v>3973</v>
      </c>
      <c r="K1704" s="170" t="s">
        <v>3974</v>
      </c>
      <c r="L1704" s="170" t="s">
        <v>3975</v>
      </c>
      <c r="M1704" s="170" t="s">
        <v>3976</v>
      </c>
      <c r="N1704" s="294">
        <v>10</v>
      </c>
      <c r="O1704" s="170"/>
    </row>
    <row r="1705" ht="16.8" spans="1:15">
      <c r="A1705" s="183" t="str">
        <f>VLOOKUP(F1705,数据集标准分类!A:G,7,0)</f>
        <v>06</v>
      </c>
      <c r="B1705" s="183" t="str">
        <f>VLOOKUP(F1705,数据集标准分类!A:F,6,0)</f>
        <v>护理病历</v>
      </c>
      <c r="C1705" s="183" t="str">
        <f>VLOOKUP(F1705,数据集标准分类!A:E,5,0)</f>
        <v>0611</v>
      </c>
      <c r="D1705" s="183" t="str">
        <f>VLOOKUP(F1705,数据集标准分类!A:D,4,0)</f>
        <v>其他护理文书</v>
      </c>
      <c r="E1705" s="183" t="str">
        <f>VLOOKUP(F1705,数据集标准分类!A:C,3,0)</f>
        <v>061102</v>
      </c>
      <c r="F1705" s="170" t="s">
        <v>3941</v>
      </c>
      <c r="G1705" s="183" t="str">
        <f>VLOOKUP(F1705,数据集标准分类!A:B,2,0)</f>
        <v>spontaneous_childbirth_record</v>
      </c>
      <c r="H1705" s="294">
        <f>VLOOKUP(F1705,数据集标准分类!A:H,8,0)</f>
        <v>121</v>
      </c>
      <c r="I1705" s="170" t="s">
        <v>3977</v>
      </c>
      <c r="J1705" s="170" t="s">
        <v>3978</v>
      </c>
      <c r="K1705" s="170" t="s">
        <v>3979</v>
      </c>
      <c r="L1705" s="170" t="s">
        <v>3980</v>
      </c>
      <c r="M1705" s="170" t="s">
        <v>3981</v>
      </c>
      <c r="N1705" s="294">
        <v>11</v>
      </c>
      <c r="O1705" s="170"/>
    </row>
    <row r="1706" ht="16.8" spans="1:15">
      <c r="A1706" s="183" t="str">
        <f>VLOOKUP(F1706,数据集标准分类!A:G,7,0)</f>
        <v>06</v>
      </c>
      <c r="B1706" s="183" t="str">
        <f>VLOOKUP(F1706,数据集标准分类!A:F,6,0)</f>
        <v>护理病历</v>
      </c>
      <c r="C1706" s="183" t="str">
        <f>VLOOKUP(F1706,数据集标准分类!A:E,5,0)</f>
        <v>0611</v>
      </c>
      <c r="D1706" s="183" t="str">
        <f>VLOOKUP(F1706,数据集标准分类!A:D,4,0)</f>
        <v>其他护理文书</v>
      </c>
      <c r="E1706" s="183" t="str">
        <f>VLOOKUP(F1706,数据集标准分类!A:C,3,0)</f>
        <v>061102</v>
      </c>
      <c r="F1706" s="170" t="s">
        <v>3941</v>
      </c>
      <c r="G1706" s="183" t="str">
        <f>VLOOKUP(F1706,数据集标准分类!A:B,2,0)</f>
        <v>spontaneous_childbirth_record</v>
      </c>
      <c r="H1706" s="294">
        <f>VLOOKUP(F1706,数据集标准分类!A:H,8,0)</f>
        <v>121</v>
      </c>
      <c r="I1706" s="170" t="s">
        <v>3982</v>
      </c>
      <c r="J1706" s="170" t="s">
        <v>3983</v>
      </c>
      <c r="K1706" s="170" t="s">
        <v>3984</v>
      </c>
      <c r="L1706" s="170" t="s">
        <v>3985</v>
      </c>
      <c r="M1706" s="170" t="s">
        <v>3986</v>
      </c>
      <c r="N1706" s="294">
        <v>12</v>
      </c>
      <c r="O1706" s="170"/>
    </row>
    <row r="1707" ht="16.8" spans="1:15">
      <c r="A1707" s="183" t="str">
        <f>VLOOKUP(F1707,数据集标准分类!A:G,7,0)</f>
        <v>06</v>
      </c>
      <c r="B1707" s="183" t="str">
        <f>VLOOKUP(F1707,数据集标准分类!A:F,6,0)</f>
        <v>护理病历</v>
      </c>
      <c r="C1707" s="183" t="str">
        <f>VLOOKUP(F1707,数据集标准分类!A:E,5,0)</f>
        <v>0611</v>
      </c>
      <c r="D1707" s="183" t="str">
        <f>VLOOKUP(F1707,数据集标准分类!A:D,4,0)</f>
        <v>其他护理文书</v>
      </c>
      <c r="E1707" s="183" t="str">
        <f>VLOOKUP(F1707,数据集标准分类!A:C,3,0)</f>
        <v>061102</v>
      </c>
      <c r="F1707" s="170" t="s">
        <v>3941</v>
      </c>
      <c r="G1707" s="183" t="str">
        <f>VLOOKUP(F1707,数据集标准分类!A:B,2,0)</f>
        <v>spontaneous_childbirth_record</v>
      </c>
      <c r="H1707" s="294">
        <f>VLOOKUP(F1707,数据集标准分类!A:H,8,0)</f>
        <v>121</v>
      </c>
      <c r="I1707" s="170" t="s">
        <v>3987</v>
      </c>
      <c r="J1707" s="170" t="s">
        <v>3988</v>
      </c>
      <c r="K1707" s="170" t="s">
        <v>3989</v>
      </c>
      <c r="L1707" s="170" t="s">
        <v>3990</v>
      </c>
      <c r="M1707" s="170" t="s">
        <v>3991</v>
      </c>
      <c r="N1707" s="294">
        <v>13</v>
      </c>
      <c r="O1707" s="170"/>
    </row>
    <row r="1708" ht="16.8" spans="1:15">
      <c r="A1708" s="183" t="str">
        <f>VLOOKUP(F1708,数据集标准分类!A:G,7,0)</f>
        <v>06</v>
      </c>
      <c r="B1708" s="183" t="str">
        <f>VLOOKUP(F1708,数据集标准分类!A:F,6,0)</f>
        <v>护理病历</v>
      </c>
      <c r="C1708" s="183" t="str">
        <f>VLOOKUP(F1708,数据集标准分类!A:E,5,0)</f>
        <v>0611</v>
      </c>
      <c r="D1708" s="183" t="str">
        <f>VLOOKUP(F1708,数据集标准分类!A:D,4,0)</f>
        <v>其他护理文书</v>
      </c>
      <c r="E1708" s="183" t="str">
        <f>VLOOKUP(F1708,数据集标准分类!A:C,3,0)</f>
        <v>061102</v>
      </c>
      <c r="F1708" s="170" t="s">
        <v>3941</v>
      </c>
      <c r="G1708" s="183" t="str">
        <f>VLOOKUP(F1708,数据集标准分类!A:B,2,0)</f>
        <v>spontaneous_childbirth_record</v>
      </c>
      <c r="H1708" s="294">
        <f>VLOOKUP(F1708,数据集标准分类!A:H,8,0)</f>
        <v>121</v>
      </c>
      <c r="I1708" s="170" t="s">
        <v>3992</v>
      </c>
      <c r="J1708" s="170" t="s">
        <v>3993</v>
      </c>
      <c r="K1708" s="170" t="s">
        <v>3994</v>
      </c>
      <c r="L1708" s="170" t="s">
        <v>3995</v>
      </c>
      <c r="M1708" s="170" t="s">
        <v>3996</v>
      </c>
      <c r="N1708" s="294">
        <v>14</v>
      </c>
      <c r="O1708" s="170"/>
    </row>
    <row r="1709" ht="16.8" spans="1:15">
      <c r="A1709" s="183" t="str">
        <f>VLOOKUP(F1709,数据集标准分类!A:G,7,0)</f>
        <v>06</v>
      </c>
      <c r="B1709" s="183" t="str">
        <f>VLOOKUP(F1709,数据集标准分类!A:F,6,0)</f>
        <v>护理病历</v>
      </c>
      <c r="C1709" s="183" t="str">
        <f>VLOOKUP(F1709,数据集标准分类!A:E,5,0)</f>
        <v>0611</v>
      </c>
      <c r="D1709" s="183" t="str">
        <f>VLOOKUP(F1709,数据集标准分类!A:D,4,0)</f>
        <v>其他护理文书</v>
      </c>
      <c r="E1709" s="183" t="str">
        <f>VLOOKUP(F1709,数据集标准分类!A:C,3,0)</f>
        <v>061102</v>
      </c>
      <c r="F1709" s="170" t="s">
        <v>3941</v>
      </c>
      <c r="G1709" s="183" t="str">
        <f>VLOOKUP(F1709,数据集标准分类!A:B,2,0)</f>
        <v>spontaneous_childbirth_record</v>
      </c>
      <c r="H1709" s="294">
        <f>VLOOKUP(F1709,数据集标准分类!A:H,8,0)</f>
        <v>121</v>
      </c>
      <c r="I1709" s="170" t="s">
        <v>3997</v>
      </c>
      <c r="J1709" s="170" t="s">
        <v>3998</v>
      </c>
      <c r="K1709" s="170" t="s">
        <v>3999</v>
      </c>
      <c r="L1709" s="170" t="s">
        <v>4000</v>
      </c>
      <c r="M1709" s="170" t="s">
        <v>4001</v>
      </c>
      <c r="N1709" s="294">
        <v>15</v>
      </c>
      <c r="O1709" s="170"/>
    </row>
    <row r="1710" ht="16.8" spans="1:15">
      <c r="A1710" s="183" t="str">
        <f>VLOOKUP(F1710,数据集标准分类!A:G,7,0)</f>
        <v>06</v>
      </c>
      <c r="B1710" s="183" t="str">
        <f>VLOOKUP(F1710,数据集标准分类!A:F,6,0)</f>
        <v>护理病历</v>
      </c>
      <c r="C1710" s="183" t="str">
        <f>VLOOKUP(F1710,数据集标准分类!A:E,5,0)</f>
        <v>0611</v>
      </c>
      <c r="D1710" s="183" t="str">
        <f>VLOOKUP(F1710,数据集标准分类!A:D,4,0)</f>
        <v>其他护理文书</v>
      </c>
      <c r="E1710" s="183" t="str">
        <f>VLOOKUP(F1710,数据集标准分类!A:C,3,0)</f>
        <v>061102</v>
      </c>
      <c r="F1710" s="170" t="s">
        <v>3941</v>
      </c>
      <c r="G1710" s="183" t="str">
        <f>VLOOKUP(F1710,数据集标准分类!A:B,2,0)</f>
        <v>spontaneous_childbirth_record</v>
      </c>
      <c r="H1710" s="294">
        <f>VLOOKUP(F1710,数据集标准分类!A:H,8,0)</f>
        <v>121</v>
      </c>
      <c r="I1710" s="170" t="s">
        <v>1828</v>
      </c>
      <c r="J1710" s="170" t="s">
        <v>1829</v>
      </c>
      <c r="K1710" s="170" t="s">
        <v>1830</v>
      </c>
      <c r="L1710" s="170" t="s">
        <v>1831</v>
      </c>
      <c r="M1710" s="170" t="s">
        <v>4002</v>
      </c>
      <c r="N1710" s="294">
        <v>16</v>
      </c>
      <c r="O1710" s="170"/>
    </row>
    <row r="1711" ht="16.8" spans="1:15">
      <c r="A1711" s="183" t="str">
        <f>VLOOKUP(F1711,数据集标准分类!A:G,7,0)</f>
        <v>06</v>
      </c>
      <c r="B1711" s="183" t="str">
        <f>VLOOKUP(F1711,数据集标准分类!A:F,6,0)</f>
        <v>护理病历</v>
      </c>
      <c r="C1711" s="183" t="str">
        <f>VLOOKUP(F1711,数据集标准分类!A:E,5,0)</f>
        <v>0611</v>
      </c>
      <c r="D1711" s="183" t="str">
        <f>VLOOKUP(F1711,数据集标准分类!A:D,4,0)</f>
        <v>其他护理文书</v>
      </c>
      <c r="E1711" s="183" t="str">
        <f>VLOOKUP(F1711,数据集标准分类!A:C,3,0)</f>
        <v>061102</v>
      </c>
      <c r="F1711" s="170" t="s">
        <v>3941</v>
      </c>
      <c r="G1711" s="183" t="str">
        <f>VLOOKUP(F1711,数据集标准分类!A:B,2,0)</f>
        <v>spontaneous_childbirth_record</v>
      </c>
      <c r="H1711" s="294">
        <f>VLOOKUP(F1711,数据集标准分类!A:H,8,0)</f>
        <v>121</v>
      </c>
      <c r="I1711" s="170" t="s">
        <v>4003</v>
      </c>
      <c r="J1711" s="170" t="s">
        <v>4004</v>
      </c>
      <c r="K1711" s="170" t="s">
        <v>4005</v>
      </c>
      <c r="L1711" s="170" t="s">
        <v>4006</v>
      </c>
      <c r="M1711" s="170" t="s">
        <v>4007</v>
      </c>
      <c r="N1711" s="294">
        <v>17</v>
      </c>
      <c r="O1711" s="170"/>
    </row>
    <row r="1712" ht="16.8" spans="1:15">
      <c r="A1712" s="183" t="str">
        <f>VLOOKUP(F1712,数据集标准分类!A:G,7,0)</f>
        <v>06</v>
      </c>
      <c r="B1712" s="183" t="str">
        <f>VLOOKUP(F1712,数据集标准分类!A:F,6,0)</f>
        <v>护理病历</v>
      </c>
      <c r="C1712" s="183" t="str">
        <f>VLOOKUP(F1712,数据集标准分类!A:E,5,0)</f>
        <v>0611</v>
      </c>
      <c r="D1712" s="183" t="str">
        <f>VLOOKUP(F1712,数据集标准分类!A:D,4,0)</f>
        <v>其他护理文书</v>
      </c>
      <c r="E1712" s="183" t="str">
        <f>VLOOKUP(F1712,数据集标准分类!A:C,3,0)</f>
        <v>061102</v>
      </c>
      <c r="F1712" s="170" t="s">
        <v>3941</v>
      </c>
      <c r="G1712" s="183" t="str">
        <f>VLOOKUP(F1712,数据集标准分类!A:B,2,0)</f>
        <v>spontaneous_childbirth_record</v>
      </c>
      <c r="H1712" s="294">
        <f>VLOOKUP(F1712,数据集标准分类!A:H,8,0)</f>
        <v>121</v>
      </c>
      <c r="I1712" s="170" t="s">
        <v>4008</v>
      </c>
      <c r="J1712" s="170" t="s">
        <v>4009</v>
      </c>
      <c r="K1712" s="170" t="s">
        <v>4010</v>
      </c>
      <c r="L1712" s="170" t="s">
        <v>4011</v>
      </c>
      <c r="M1712" s="170" t="s">
        <v>4012</v>
      </c>
      <c r="N1712" s="294">
        <v>18</v>
      </c>
      <c r="O1712" s="170"/>
    </row>
    <row r="1713" ht="16.8" spans="1:15">
      <c r="A1713" s="183" t="str">
        <f>VLOOKUP(F1713,数据集标准分类!A:G,7,0)</f>
        <v>06</v>
      </c>
      <c r="B1713" s="183" t="str">
        <f>VLOOKUP(F1713,数据集标准分类!A:F,6,0)</f>
        <v>护理病历</v>
      </c>
      <c r="C1713" s="183" t="str">
        <f>VLOOKUP(F1713,数据集标准分类!A:E,5,0)</f>
        <v>0611</v>
      </c>
      <c r="D1713" s="183" t="str">
        <f>VLOOKUP(F1713,数据集标准分类!A:D,4,0)</f>
        <v>其他护理文书</v>
      </c>
      <c r="E1713" s="183" t="str">
        <f>VLOOKUP(F1713,数据集标准分类!A:C,3,0)</f>
        <v>061102</v>
      </c>
      <c r="F1713" s="170" t="s">
        <v>3941</v>
      </c>
      <c r="G1713" s="183" t="str">
        <f>VLOOKUP(F1713,数据集标准分类!A:B,2,0)</f>
        <v>spontaneous_childbirth_record</v>
      </c>
      <c r="H1713" s="294">
        <f>VLOOKUP(F1713,数据集标准分类!A:H,8,0)</f>
        <v>121</v>
      </c>
      <c r="I1713" s="170" t="s">
        <v>1833</v>
      </c>
      <c r="J1713" s="170" t="s">
        <v>1834</v>
      </c>
      <c r="K1713" s="170" t="s">
        <v>1835</v>
      </c>
      <c r="L1713" s="170" t="s">
        <v>1836</v>
      </c>
      <c r="M1713" s="170" t="s">
        <v>4013</v>
      </c>
      <c r="N1713" s="294">
        <v>19</v>
      </c>
      <c r="O1713" s="170"/>
    </row>
    <row r="1714" ht="16.8" spans="1:15">
      <c r="A1714" s="183" t="str">
        <f>VLOOKUP(F1714,数据集标准分类!A:G,7,0)</f>
        <v>06</v>
      </c>
      <c r="B1714" s="183" t="str">
        <f>VLOOKUP(F1714,数据集标准分类!A:F,6,0)</f>
        <v>护理病历</v>
      </c>
      <c r="C1714" s="183" t="str">
        <f>VLOOKUP(F1714,数据集标准分类!A:E,5,0)</f>
        <v>0611</v>
      </c>
      <c r="D1714" s="183" t="str">
        <f>VLOOKUP(F1714,数据集标准分类!A:D,4,0)</f>
        <v>其他护理文书</v>
      </c>
      <c r="E1714" s="183" t="str">
        <f>VLOOKUP(F1714,数据集标准分类!A:C,3,0)</f>
        <v>061102</v>
      </c>
      <c r="F1714" s="170" t="s">
        <v>3941</v>
      </c>
      <c r="G1714" s="183" t="str">
        <f>VLOOKUP(F1714,数据集标准分类!A:B,2,0)</f>
        <v>spontaneous_childbirth_record</v>
      </c>
      <c r="H1714" s="294">
        <f>VLOOKUP(F1714,数据集标准分类!A:H,8,0)</f>
        <v>121</v>
      </c>
      <c r="I1714" s="170" t="s">
        <v>1796</v>
      </c>
      <c r="J1714" s="170" t="s">
        <v>1797</v>
      </c>
      <c r="K1714" s="170" t="s">
        <v>1798</v>
      </c>
      <c r="L1714" s="170" t="s">
        <v>1799</v>
      </c>
      <c r="M1714" s="170" t="s">
        <v>1800</v>
      </c>
      <c r="N1714" s="294">
        <v>20</v>
      </c>
      <c r="O1714" s="170"/>
    </row>
    <row r="1715" ht="16.8" spans="1:15">
      <c r="A1715" s="183" t="str">
        <f>VLOOKUP(F1715,数据集标准分类!A:G,7,0)</f>
        <v>06</v>
      </c>
      <c r="B1715" s="183" t="str">
        <f>VLOOKUP(F1715,数据集标准分类!A:F,6,0)</f>
        <v>护理病历</v>
      </c>
      <c r="C1715" s="183" t="str">
        <f>VLOOKUP(F1715,数据集标准分类!A:E,5,0)</f>
        <v>0611</v>
      </c>
      <c r="D1715" s="183" t="str">
        <f>VLOOKUP(F1715,数据集标准分类!A:D,4,0)</f>
        <v>其他护理文书</v>
      </c>
      <c r="E1715" s="183" t="str">
        <f>VLOOKUP(F1715,数据集标准分类!A:C,3,0)</f>
        <v>061102</v>
      </c>
      <c r="F1715" s="170" t="s">
        <v>3941</v>
      </c>
      <c r="G1715" s="183" t="str">
        <f>VLOOKUP(F1715,数据集标准分类!A:B,2,0)</f>
        <v>spontaneous_childbirth_record</v>
      </c>
      <c r="H1715" s="294">
        <f>VLOOKUP(F1715,数据集标准分类!A:H,8,0)</f>
        <v>121</v>
      </c>
      <c r="I1715" s="170" t="s">
        <v>4014</v>
      </c>
      <c r="J1715" s="170" t="s">
        <v>4015</v>
      </c>
      <c r="K1715" s="170" t="s">
        <v>4016</v>
      </c>
      <c r="L1715" s="170" t="s">
        <v>4017</v>
      </c>
      <c r="M1715" s="170" t="s">
        <v>4018</v>
      </c>
      <c r="N1715" s="294">
        <v>21</v>
      </c>
      <c r="O1715" s="170"/>
    </row>
    <row r="1716" ht="16.8" spans="1:15">
      <c r="A1716" s="183" t="str">
        <f>VLOOKUP(F1716,数据集标准分类!A:G,7,0)</f>
        <v>06</v>
      </c>
      <c r="B1716" s="183" t="str">
        <f>VLOOKUP(F1716,数据集标准分类!A:F,6,0)</f>
        <v>护理病历</v>
      </c>
      <c r="C1716" s="183" t="str">
        <f>VLOOKUP(F1716,数据集标准分类!A:E,5,0)</f>
        <v>0611</v>
      </c>
      <c r="D1716" s="183" t="str">
        <f>VLOOKUP(F1716,数据集标准分类!A:D,4,0)</f>
        <v>其他护理文书</v>
      </c>
      <c r="E1716" s="183" t="str">
        <f>VLOOKUP(F1716,数据集标准分类!A:C,3,0)</f>
        <v>061102</v>
      </c>
      <c r="F1716" s="170" t="s">
        <v>3941</v>
      </c>
      <c r="G1716" s="183" t="str">
        <f>VLOOKUP(F1716,数据集标准分类!A:B,2,0)</f>
        <v>spontaneous_childbirth_record</v>
      </c>
      <c r="H1716" s="294">
        <f>VLOOKUP(F1716,数据集标准分类!A:H,8,0)</f>
        <v>121</v>
      </c>
      <c r="I1716" s="170" t="s">
        <v>4019</v>
      </c>
      <c r="J1716" s="170" t="s">
        <v>4020</v>
      </c>
      <c r="K1716" s="170" t="s">
        <v>4021</v>
      </c>
      <c r="L1716" s="170" t="s">
        <v>4022</v>
      </c>
      <c r="M1716" s="170" t="s">
        <v>4023</v>
      </c>
      <c r="N1716" s="294">
        <v>22</v>
      </c>
      <c r="O1716" s="170"/>
    </row>
    <row r="1717" ht="16.8" spans="1:15">
      <c r="A1717" s="183" t="str">
        <f>VLOOKUP(F1717,数据集标准分类!A:G,7,0)</f>
        <v>06</v>
      </c>
      <c r="B1717" s="183" t="str">
        <f>VLOOKUP(F1717,数据集标准分类!A:F,6,0)</f>
        <v>护理病历</v>
      </c>
      <c r="C1717" s="183" t="str">
        <f>VLOOKUP(F1717,数据集标准分类!A:E,5,0)</f>
        <v>0611</v>
      </c>
      <c r="D1717" s="183" t="str">
        <f>VLOOKUP(F1717,数据集标准分类!A:D,4,0)</f>
        <v>其他护理文书</v>
      </c>
      <c r="E1717" s="183" t="str">
        <f>VLOOKUP(F1717,数据集标准分类!A:C,3,0)</f>
        <v>061102</v>
      </c>
      <c r="F1717" s="170" t="s">
        <v>3941</v>
      </c>
      <c r="G1717" s="183" t="str">
        <f>VLOOKUP(F1717,数据集标准分类!A:B,2,0)</f>
        <v>spontaneous_childbirth_record</v>
      </c>
      <c r="H1717" s="294">
        <f>VLOOKUP(F1717,数据集标准分类!A:H,8,0)</f>
        <v>121</v>
      </c>
      <c r="I1717" s="170" t="s">
        <v>1801</v>
      </c>
      <c r="J1717" s="170" t="s">
        <v>1802</v>
      </c>
      <c r="K1717" s="170" t="s">
        <v>1803</v>
      </c>
      <c r="L1717" s="170" t="s">
        <v>1804</v>
      </c>
      <c r="M1717" s="170" t="s">
        <v>1805</v>
      </c>
      <c r="N1717" s="294">
        <v>23</v>
      </c>
      <c r="O1717" s="170"/>
    </row>
    <row r="1718" ht="16.8" spans="1:15">
      <c r="A1718" s="183" t="str">
        <f>VLOOKUP(F1718,数据集标准分类!A:G,7,0)</f>
        <v>06</v>
      </c>
      <c r="B1718" s="183" t="str">
        <f>VLOOKUP(F1718,数据集标准分类!A:F,6,0)</f>
        <v>护理病历</v>
      </c>
      <c r="C1718" s="183" t="str">
        <f>VLOOKUP(F1718,数据集标准分类!A:E,5,0)</f>
        <v>0611</v>
      </c>
      <c r="D1718" s="183" t="str">
        <f>VLOOKUP(F1718,数据集标准分类!A:D,4,0)</f>
        <v>其他护理文书</v>
      </c>
      <c r="E1718" s="183" t="str">
        <f>VLOOKUP(F1718,数据集标准分类!A:C,3,0)</f>
        <v>061102</v>
      </c>
      <c r="F1718" s="170" t="s">
        <v>3941</v>
      </c>
      <c r="G1718" s="183" t="str">
        <f>VLOOKUP(F1718,数据集标准分类!A:B,2,0)</f>
        <v>spontaneous_childbirth_record</v>
      </c>
      <c r="H1718" s="294">
        <f>VLOOKUP(F1718,数据集标准分类!A:H,8,0)</f>
        <v>121</v>
      </c>
      <c r="I1718" s="170" t="s">
        <v>1806</v>
      </c>
      <c r="J1718" s="170" t="s">
        <v>1807</v>
      </c>
      <c r="K1718" s="170" t="s">
        <v>1808</v>
      </c>
      <c r="L1718" s="170" t="s">
        <v>1809</v>
      </c>
      <c r="M1718" s="170" t="s">
        <v>1810</v>
      </c>
      <c r="N1718" s="294">
        <v>24</v>
      </c>
      <c r="O1718" s="170"/>
    </row>
    <row r="1719" ht="16.8" spans="1:15">
      <c r="A1719" s="183" t="str">
        <f>VLOOKUP(F1719,数据集标准分类!A:G,7,0)</f>
        <v>06</v>
      </c>
      <c r="B1719" s="183" t="str">
        <f>VLOOKUP(F1719,数据集标准分类!A:F,6,0)</f>
        <v>护理病历</v>
      </c>
      <c r="C1719" s="183" t="str">
        <f>VLOOKUP(F1719,数据集标准分类!A:E,5,0)</f>
        <v>0611</v>
      </c>
      <c r="D1719" s="183" t="str">
        <f>VLOOKUP(F1719,数据集标准分类!A:D,4,0)</f>
        <v>其他护理文书</v>
      </c>
      <c r="E1719" s="183" t="str">
        <f>VLOOKUP(F1719,数据集标准分类!A:C,3,0)</f>
        <v>061102</v>
      </c>
      <c r="F1719" s="170" t="s">
        <v>3941</v>
      </c>
      <c r="G1719" s="183" t="str">
        <f>VLOOKUP(F1719,数据集标准分类!A:B,2,0)</f>
        <v>spontaneous_childbirth_record</v>
      </c>
      <c r="H1719" s="294">
        <f>VLOOKUP(F1719,数据集标准分类!A:H,8,0)</f>
        <v>121</v>
      </c>
      <c r="I1719" s="170" t="s">
        <v>4024</v>
      </c>
      <c r="J1719" s="170" t="s">
        <v>4025</v>
      </c>
      <c r="K1719" s="170" t="s">
        <v>4026</v>
      </c>
      <c r="L1719" s="170" t="s">
        <v>4027</v>
      </c>
      <c r="M1719" s="170" t="s">
        <v>4028</v>
      </c>
      <c r="N1719" s="294">
        <v>25</v>
      </c>
      <c r="O1719" s="170"/>
    </row>
    <row r="1720" ht="16.8" spans="1:15">
      <c r="A1720" s="183" t="str">
        <f>VLOOKUP(F1720,数据集标准分类!A:G,7,0)</f>
        <v>06</v>
      </c>
      <c r="B1720" s="183" t="str">
        <f>VLOOKUP(F1720,数据集标准分类!A:F,6,0)</f>
        <v>护理病历</v>
      </c>
      <c r="C1720" s="183" t="str">
        <f>VLOOKUP(F1720,数据集标准分类!A:E,5,0)</f>
        <v>0611</v>
      </c>
      <c r="D1720" s="183" t="str">
        <f>VLOOKUP(F1720,数据集标准分类!A:D,4,0)</f>
        <v>其他护理文书</v>
      </c>
      <c r="E1720" s="183" t="str">
        <f>VLOOKUP(F1720,数据集标准分类!A:C,3,0)</f>
        <v>061102</v>
      </c>
      <c r="F1720" s="170" t="s">
        <v>3941</v>
      </c>
      <c r="G1720" s="183" t="str">
        <f>VLOOKUP(F1720,数据集标准分类!A:B,2,0)</f>
        <v>spontaneous_childbirth_record</v>
      </c>
      <c r="H1720" s="294">
        <f>VLOOKUP(F1720,数据集标准分类!A:H,8,0)</f>
        <v>121</v>
      </c>
      <c r="I1720" s="170" t="s">
        <v>4029</v>
      </c>
      <c r="J1720" s="170" t="s">
        <v>4030</v>
      </c>
      <c r="K1720" s="170" t="s">
        <v>4031</v>
      </c>
      <c r="L1720" s="170" t="s">
        <v>4032</v>
      </c>
      <c r="M1720" s="170" t="s">
        <v>4033</v>
      </c>
      <c r="N1720" s="294">
        <v>26</v>
      </c>
      <c r="O1720" s="170"/>
    </row>
    <row r="1721" ht="16.8" spans="1:15">
      <c r="A1721" s="183" t="str">
        <f>VLOOKUP(F1721,数据集标准分类!A:G,7,0)</f>
        <v>06</v>
      </c>
      <c r="B1721" s="183" t="str">
        <f>VLOOKUP(F1721,数据集标准分类!A:F,6,0)</f>
        <v>护理病历</v>
      </c>
      <c r="C1721" s="183" t="str">
        <f>VLOOKUP(F1721,数据集标准分类!A:E,5,0)</f>
        <v>0611</v>
      </c>
      <c r="D1721" s="183" t="str">
        <f>VLOOKUP(F1721,数据集标准分类!A:D,4,0)</f>
        <v>其他护理文书</v>
      </c>
      <c r="E1721" s="183" t="str">
        <f>VLOOKUP(F1721,数据集标准分类!A:C,3,0)</f>
        <v>061102</v>
      </c>
      <c r="F1721" s="170" t="s">
        <v>3941</v>
      </c>
      <c r="G1721" s="183" t="str">
        <f>VLOOKUP(F1721,数据集标准分类!A:B,2,0)</f>
        <v>spontaneous_childbirth_record</v>
      </c>
      <c r="H1721" s="294">
        <f>VLOOKUP(F1721,数据集标准分类!A:H,8,0)</f>
        <v>121</v>
      </c>
      <c r="I1721" s="170" t="s">
        <v>4034</v>
      </c>
      <c r="J1721" s="170" t="s">
        <v>4035</v>
      </c>
      <c r="K1721" s="170" t="s">
        <v>4036</v>
      </c>
      <c r="L1721" s="170" t="s">
        <v>4037</v>
      </c>
      <c r="M1721" s="170" t="s">
        <v>4038</v>
      </c>
      <c r="N1721" s="294">
        <v>27</v>
      </c>
      <c r="O1721" s="170"/>
    </row>
    <row r="1722" ht="16.8" spans="1:15">
      <c r="A1722" s="183" t="str">
        <f>VLOOKUP(F1722,数据集标准分类!A:G,7,0)</f>
        <v>06</v>
      </c>
      <c r="B1722" s="183" t="str">
        <f>VLOOKUP(F1722,数据集标准分类!A:F,6,0)</f>
        <v>护理病历</v>
      </c>
      <c r="C1722" s="183" t="str">
        <f>VLOOKUP(F1722,数据集标准分类!A:E,5,0)</f>
        <v>0611</v>
      </c>
      <c r="D1722" s="183" t="str">
        <f>VLOOKUP(F1722,数据集标准分类!A:D,4,0)</f>
        <v>其他护理文书</v>
      </c>
      <c r="E1722" s="183" t="str">
        <f>VLOOKUP(F1722,数据集标准分类!A:C,3,0)</f>
        <v>061102</v>
      </c>
      <c r="F1722" s="170" t="s">
        <v>3941</v>
      </c>
      <c r="G1722" s="183" t="str">
        <f>VLOOKUP(F1722,数据集标准分类!A:B,2,0)</f>
        <v>spontaneous_childbirth_record</v>
      </c>
      <c r="H1722" s="294">
        <f>VLOOKUP(F1722,数据集标准分类!A:H,8,0)</f>
        <v>121</v>
      </c>
      <c r="I1722" s="170" t="s">
        <v>4039</v>
      </c>
      <c r="J1722" s="170" t="s">
        <v>4040</v>
      </c>
      <c r="K1722" s="170" t="s">
        <v>4041</v>
      </c>
      <c r="L1722" s="170" t="s">
        <v>4042</v>
      </c>
      <c r="M1722" s="170" t="s">
        <v>4043</v>
      </c>
      <c r="N1722" s="294">
        <v>28</v>
      </c>
      <c r="O1722" s="170"/>
    </row>
    <row r="1723" ht="16.8" spans="1:15">
      <c r="A1723" s="183" t="str">
        <f>VLOOKUP(F1723,数据集标准分类!A:G,7,0)</f>
        <v>06</v>
      </c>
      <c r="B1723" s="183" t="str">
        <f>VLOOKUP(F1723,数据集标准分类!A:F,6,0)</f>
        <v>护理病历</v>
      </c>
      <c r="C1723" s="183" t="str">
        <f>VLOOKUP(F1723,数据集标准分类!A:E,5,0)</f>
        <v>0611</v>
      </c>
      <c r="D1723" s="183" t="str">
        <f>VLOOKUP(F1723,数据集标准分类!A:D,4,0)</f>
        <v>其他护理文书</v>
      </c>
      <c r="E1723" s="183" t="str">
        <f>VLOOKUP(F1723,数据集标准分类!A:C,3,0)</f>
        <v>061102</v>
      </c>
      <c r="F1723" s="170" t="s">
        <v>3941</v>
      </c>
      <c r="G1723" s="183" t="str">
        <f>VLOOKUP(F1723,数据集标准分类!A:B,2,0)</f>
        <v>spontaneous_childbirth_record</v>
      </c>
      <c r="H1723" s="294">
        <f>VLOOKUP(F1723,数据集标准分类!A:H,8,0)</f>
        <v>121</v>
      </c>
      <c r="I1723" s="170" t="s">
        <v>4044</v>
      </c>
      <c r="J1723" s="170" t="s">
        <v>4045</v>
      </c>
      <c r="K1723" s="170" t="s">
        <v>4046</v>
      </c>
      <c r="L1723" s="170" t="s">
        <v>4047</v>
      </c>
      <c r="M1723" s="170" t="s">
        <v>4048</v>
      </c>
      <c r="N1723" s="294">
        <v>29</v>
      </c>
      <c r="O1723" s="170"/>
    </row>
    <row r="1724" ht="16.8" spans="1:15">
      <c r="A1724" s="183" t="str">
        <f>VLOOKUP(F1724,数据集标准分类!A:G,7,0)</f>
        <v>06</v>
      </c>
      <c r="B1724" s="183" t="str">
        <f>VLOOKUP(F1724,数据集标准分类!A:F,6,0)</f>
        <v>护理病历</v>
      </c>
      <c r="C1724" s="183" t="str">
        <f>VLOOKUP(F1724,数据集标准分类!A:E,5,0)</f>
        <v>0611</v>
      </c>
      <c r="D1724" s="183" t="str">
        <f>VLOOKUP(F1724,数据集标准分类!A:D,4,0)</f>
        <v>其他护理文书</v>
      </c>
      <c r="E1724" s="183" t="str">
        <f>VLOOKUP(F1724,数据集标准分类!A:C,3,0)</f>
        <v>061102</v>
      </c>
      <c r="F1724" s="170" t="s">
        <v>3941</v>
      </c>
      <c r="G1724" s="183" t="str">
        <f>VLOOKUP(F1724,数据集标准分类!A:B,2,0)</f>
        <v>spontaneous_childbirth_record</v>
      </c>
      <c r="H1724" s="294">
        <f>VLOOKUP(F1724,数据集标准分类!A:H,8,0)</f>
        <v>121</v>
      </c>
      <c r="I1724" s="170" t="s">
        <v>4049</v>
      </c>
      <c r="J1724" s="170" t="s">
        <v>4050</v>
      </c>
      <c r="K1724" s="170" t="s">
        <v>4051</v>
      </c>
      <c r="L1724" s="170" t="s">
        <v>4052</v>
      </c>
      <c r="M1724" s="170" t="s">
        <v>4053</v>
      </c>
      <c r="N1724" s="294">
        <v>30</v>
      </c>
      <c r="O1724" s="170"/>
    </row>
    <row r="1725" ht="16.8" spans="1:15">
      <c r="A1725" s="183" t="str">
        <f>VLOOKUP(F1725,数据集标准分类!A:G,7,0)</f>
        <v>06</v>
      </c>
      <c r="B1725" s="183" t="str">
        <f>VLOOKUP(F1725,数据集标准分类!A:F,6,0)</f>
        <v>护理病历</v>
      </c>
      <c r="C1725" s="183" t="str">
        <f>VLOOKUP(F1725,数据集标准分类!A:E,5,0)</f>
        <v>0611</v>
      </c>
      <c r="D1725" s="183" t="str">
        <f>VLOOKUP(F1725,数据集标准分类!A:D,4,0)</f>
        <v>其他护理文书</v>
      </c>
      <c r="E1725" s="183" t="str">
        <f>VLOOKUP(F1725,数据集标准分类!A:C,3,0)</f>
        <v>061102</v>
      </c>
      <c r="F1725" s="170" t="s">
        <v>3941</v>
      </c>
      <c r="G1725" s="183" t="str">
        <f>VLOOKUP(F1725,数据集标准分类!A:B,2,0)</f>
        <v>spontaneous_childbirth_record</v>
      </c>
      <c r="H1725" s="294">
        <f>VLOOKUP(F1725,数据集标准分类!A:H,8,0)</f>
        <v>121</v>
      </c>
      <c r="I1725" s="170" t="s">
        <v>4054</v>
      </c>
      <c r="J1725" s="170" t="s">
        <v>4055</v>
      </c>
      <c r="K1725" s="170" t="s">
        <v>4056</v>
      </c>
      <c r="L1725" s="170" t="s">
        <v>4057</v>
      </c>
      <c r="M1725" s="170" t="s">
        <v>4058</v>
      </c>
      <c r="N1725" s="294">
        <v>31</v>
      </c>
      <c r="O1725" s="170"/>
    </row>
    <row r="1726" ht="16.8" spans="1:15">
      <c r="A1726" s="183" t="str">
        <f>VLOOKUP(F1726,数据集标准分类!A:G,7,0)</f>
        <v>06</v>
      </c>
      <c r="B1726" s="183" t="str">
        <f>VLOOKUP(F1726,数据集标准分类!A:F,6,0)</f>
        <v>护理病历</v>
      </c>
      <c r="C1726" s="183" t="str">
        <f>VLOOKUP(F1726,数据集标准分类!A:E,5,0)</f>
        <v>0611</v>
      </c>
      <c r="D1726" s="183" t="str">
        <f>VLOOKUP(F1726,数据集标准分类!A:D,4,0)</f>
        <v>其他护理文书</v>
      </c>
      <c r="E1726" s="183" t="str">
        <f>VLOOKUP(F1726,数据集标准分类!A:C,3,0)</f>
        <v>061102</v>
      </c>
      <c r="F1726" s="170" t="s">
        <v>3941</v>
      </c>
      <c r="G1726" s="183" t="str">
        <f>VLOOKUP(F1726,数据集标准分类!A:B,2,0)</f>
        <v>spontaneous_childbirth_record</v>
      </c>
      <c r="H1726" s="294">
        <f>VLOOKUP(F1726,数据集标准分类!A:H,8,0)</f>
        <v>121</v>
      </c>
      <c r="I1726" s="170" t="s">
        <v>4059</v>
      </c>
      <c r="J1726" s="170" t="s">
        <v>4060</v>
      </c>
      <c r="K1726" s="170" t="s">
        <v>4061</v>
      </c>
      <c r="L1726" s="170" t="s">
        <v>4062</v>
      </c>
      <c r="M1726" s="170" t="s">
        <v>4063</v>
      </c>
      <c r="N1726" s="294">
        <v>32</v>
      </c>
      <c r="O1726" s="170"/>
    </row>
    <row r="1727" ht="16.8" spans="1:15">
      <c r="A1727" s="183" t="str">
        <f>VLOOKUP(F1727,数据集标准分类!A:G,7,0)</f>
        <v>06</v>
      </c>
      <c r="B1727" s="183" t="str">
        <f>VLOOKUP(F1727,数据集标准分类!A:F,6,0)</f>
        <v>护理病历</v>
      </c>
      <c r="C1727" s="183" t="str">
        <f>VLOOKUP(F1727,数据集标准分类!A:E,5,0)</f>
        <v>0611</v>
      </c>
      <c r="D1727" s="183" t="str">
        <f>VLOOKUP(F1727,数据集标准分类!A:D,4,0)</f>
        <v>其他护理文书</v>
      </c>
      <c r="E1727" s="183" t="str">
        <f>VLOOKUP(F1727,数据集标准分类!A:C,3,0)</f>
        <v>061102</v>
      </c>
      <c r="F1727" s="170" t="s">
        <v>3941</v>
      </c>
      <c r="G1727" s="183" t="str">
        <f>VLOOKUP(F1727,数据集标准分类!A:B,2,0)</f>
        <v>spontaneous_childbirth_record</v>
      </c>
      <c r="H1727" s="294">
        <f>VLOOKUP(F1727,数据集标准分类!A:H,8,0)</f>
        <v>121</v>
      </c>
      <c r="I1727" s="170" t="s">
        <v>4064</v>
      </c>
      <c r="J1727" s="170" t="s">
        <v>4065</v>
      </c>
      <c r="K1727" s="170" t="s">
        <v>4066</v>
      </c>
      <c r="L1727" s="170" t="s">
        <v>4067</v>
      </c>
      <c r="M1727" s="170" t="s">
        <v>4068</v>
      </c>
      <c r="N1727" s="294">
        <v>33</v>
      </c>
      <c r="O1727" s="170"/>
    </row>
    <row r="1728" ht="16.8" spans="1:15">
      <c r="A1728" s="183" t="str">
        <f>VLOOKUP(F1728,数据集标准分类!A:G,7,0)</f>
        <v>06</v>
      </c>
      <c r="B1728" s="183" t="str">
        <f>VLOOKUP(F1728,数据集标准分类!A:F,6,0)</f>
        <v>护理病历</v>
      </c>
      <c r="C1728" s="183" t="str">
        <f>VLOOKUP(F1728,数据集标准分类!A:E,5,0)</f>
        <v>0611</v>
      </c>
      <c r="D1728" s="183" t="str">
        <f>VLOOKUP(F1728,数据集标准分类!A:D,4,0)</f>
        <v>其他护理文书</v>
      </c>
      <c r="E1728" s="183" t="str">
        <f>VLOOKUP(F1728,数据集标准分类!A:C,3,0)</f>
        <v>061102</v>
      </c>
      <c r="F1728" s="170" t="s">
        <v>3941</v>
      </c>
      <c r="G1728" s="183" t="str">
        <f>VLOOKUP(F1728,数据集标准分类!A:B,2,0)</f>
        <v>spontaneous_childbirth_record</v>
      </c>
      <c r="H1728" s="294">
        <f>VLOOKUP(F1728,数据集标准分类!A:H,8,0)</f>
        <v>121</v>
      </c>
      <c r="I1728" s="170" t="s">
        <v>4069</v>
      </c>
      <c r="J1728" s="170" t="s">
        <v>4070</v>
      </c>
      <c r="K1728" s="170" t="s">
        <v>4071</v>
      </c>
      <c r="L1728" s="170" t="s">
        <v>4072</v>
      </c>
      <c r="M1728" s="170" t="s">
        <v>4073</v>
      </c>
      <c r="N1728" s="294">
        <v>34</v>
      </c>
      <c r="O1728" s="170"/>
    </row>
    <row r="1729" ht="16.8" spans="1:15">
      <c r="A1729" s="183" t="str">
        <f>VLOOKUP(F1729,数据集标准分类!A:G,7,0)</f>
        <v>06</v>
      </c>
      <c r="B1729" s="183" t="str">
        <f>VLOOKUP(F1729,数据集标准分类!A:F,6,0)</f>
        <v>护理病历</v>
      </c>
      <c r="C1729" s="183" t="str">
        <f>VLOOKUP(F1729,数据集标准分类!A:E,5,0)</f>
        <v>0611</v>
      </c>
      <c r="D1729" s="183" t="str">
        <f>VLOOKUP(F1729,数据集标准分类!A:D,4,0)</f>
        <v>其他护理文书</v>
      </c>
      <c r="E1729" s="183" t="str">
        <f>VLOOKUP(F1729,数据集标准分类!A:C,3,0)</f>
        <v>061102</v>
      </c>
      <c r="F1729" s="170" t="s">
        <v>3941</v>
      </c>
      <c r="G1729" s="183" t="str">
        <f>VLOOKUP(F1729,数据集标准分类!A:B,2,0)</f>
        <v>spontaneous_childbirth_record</v>
      </c>
      <c r="H1729" s="294">
        <f>VLOOKUP(F1729,数据集标准分类!A:H,8,0)</f>
        <v>121</v>
      </c>
      <c r="I1729" s="170" t="s">
        <v>421</v>
      </c>
      <c r="J1729" s="170" t="s">
        <v>422</v>
      </c>
      <c r="K1729" s="170" t="s">
        <v>423</v>
      </c>
      <c r="L1729" s="170" t="s">
        <v>424</v>
      </c>
      <c r="M1729" s="170" t="s">
        <v>425</v>
      </c>
      <c r="N1729" s="294">
        <v>35</v>
      </c>
      <c r="O1729" s="170"/>
    </row>
    <row r="1730" ht="16.8" spans="1:15">
      <c r="A1730" s="183" t="str">
        <f>VLOOKUP(F1730,数据集标准分类!A:G,7,0)</f>
        <v>06</v>
      </c>
      <c r="B1730" s="183" t="str">
        <f>VLOOKUP(F1730,数据集标准分类!A:F,6,0)</f>
        <v>护理病历</v>
      </c>
      <c r="C1730" s="183" t="str">
        <f>VLOOKUP(F1730,数据集标准分类!A:E,5,0)</f>
        <v>0611</v>
      </c>
      <c r="D1730" s="183" t="str">
        <f>VLOOKUP(F1730,数据集标准分类!A:D,4,0)</f>
        <v>其他护理文书</v>
      </c>
      <c r="E1730" s="183" t="str">
        <f>VLOOKUP(F1730,数据集标准分类!A:C,3,0)</f>
        <v>061102</v>
      </c>
      <c r="F1730" s="170" t="s">
        <v>3941</v>
      </c>
      <c r="G1730" s="183" t="str">
        <f>VLOOKUP(F1730,数据集标准分类!A:B,2,0)</f>
        <v>spontaneous_childbirth_record</v>
      </c>
      <c r="H1730" s="294">
        <f>VLOOKUP(F1730,数据集标准分类!A:H,8,0)</f>
        <v>121</v>
      </c>
      <c r="I1730" s="170" t="s">
        <v>2015</v>
      </c>
      <c r="J1730" s="170" t="s">
        <v>2016</v>
      </c>
      <c r="K1730" s="170" t="s">
        <v>2017</v>
      </c>
      <c r="L1730" s="170" t="s">
        <v>2018</v>
      </c>
      <c r="M1730" s="170" t="s">
        <v>4074</v>
      </c>
      <c r="N1730" s="294">
        <v>36</v>
      </c>
      <c r="O1730" s="170"/>
    </row>
    <row r="1731" ht="16.8" spans="1:15">
      <c r="A1731" s="183" t="str">
        <f>VLOOKUP(F1731,数据集标准分类!A:G,7,0)</f>
        <v>06</v>
      </c>
      <c r="B1731" s="183" t="str">
        <f>VLOOKUP(F1731,数据集标准分类!A:F,6,0)</f>
        <v>护理病历</v>
      </c>
      <c r="C1731" s="183" t="str">
        <f>VLOOKUP(F1731,数据集标准分类!A:E,5,0)</f>
        <v>0611</v>
      </c>
      <c r="D1731" s="183" t="str">
        <f>VLOOKUP(F1731,数据集标准分类!A:D,4,0)</f>
        <v>其他护理文书</v>
      </c>
      <c r="E1731" s="183" t="str">
        <f>VLOOKUP(F1731,数据集标准分类!A:C,3,0)</f>
        <v>061102</v>
      </c>
      <c r="F1731" s="170" t="s">
        <v>3941</v>
      </c>
      <c r="G1731" s="183" t="str">
        <f>VLOOKUP(F1731,数据集标准分类!A:B,2,0)</f>
        <v>spontaneous_childbirth_record</v>
      </c>
      <c r="H1731" s="294">
        <f>VLOOKUP(F1731,数据集标准分类!A:H,8,0)</f>
        <v>121</v>
      </c>
      <c r="I1731" s="170" t="s">
        <v>4075</v>
      </c>
      <c r="J1731" s="170" t="s">
        <v>4076</v>
      </c>
      <c r="K1731" s="170" t="s">
        <v>4077</v>
      </c>
      <c r="L1731" s="170" t="s">
        <v>4078</v>
      </c>
      <c r="M1731" s="170" t="s">
        <v>4079</v>
      </c>
      <c r="N1731" s="294">
        <v>37</v>
      </c>
      <c r="O1731" s="170"/>
    </row>
    <row r="1732" ht="16.8" spans="1:15">
      <c r="A1732" s="183" t="str">
        <f>VLOOKUP(F1732,数据集标准分类!A:G,7,0)</f>
        <v>06</v>
      </c>
      <c r="B1732" s="183" t="str">
        <f>VLOOKUP(F1732,数据集标准分类!A:F,6,0)</f>
        <v>护理病历</v>
      </c>
      <c r="C1732" s="183" t="str">
        <f>VLOOKUP(F1732,数据集标准分类!A:E,5,0)</f>
        <v>0611</v>
      </c>
      <c r="D1732" s="183" t="str">
        <f>VLOOKUP(F1732,数据集标准分类!A:D,4,0)</f>
        <v>其他护理文书</v>
      </c>
      <c r="E1732" s="183" t="str">
        <f>VLOOKUP(F1732,数据集标准分类!A:C,3,0)</f>
        <v>061102</v>
      </c>
      <c r="F1732" s="170" t="s">
        <v>3941</v>
      </c>
      <c r="G1732" s="183" t="str">
        <f>VLOOKUP(F1732,数据集标准分类!A:B,2,0)</f>
        <v>spontaneous_childbirth_record</v>
      </c>
      <c r="H1732" s="294">
        <f>VLOOKUP(F1732,数据集标准分类!A:H,8,0)</f>
        <v>121</v>
      </c>
      <c r="I1732" s="170" t="s">
        <v>4080</v>
      </c>
      <c r="J1732" s="170" t="s">
        <v>4081</v>
      </c>
      <c r="K1732" s="170" t="s">
        <v>4082</v>
      </c>
      <c r="L1732" s="170" t="s">
        <v>4083</v>
      </c>
      <c r="M1732" s="170" t="s">
        <v>4084</v>
      </c>
      <c r="N1732" s="294">
        <v>38</v>
      </c>
      <c r="O1732" s="170"/>
    </row>
    <row r="1733" ht="16.8" spans="1:15">
      <c r="A1733" s="183" t="str">
        <f>VLOOKUP(F1733,数据集标准分类!A:G,7,0)</f>
        <v>06</v>
      </c>
      <c r="B1733" s="183" t="str">
        <f>VLOOKUP(F1733,数据集标准分类!A:F,6,0)</f>
        <v>护理病历</v>
      </c>
      <c r="C1733" s="183" t="str">
        <f>VLOOKUP(F1733,数据集标准分类!A:E,5,0)</f>
        <v>0611</v>
      </c>
      <c r="D1733" s="183" t="str">
        <f>VLOOKUP(F1733,数据集标准分类!A:D,4,0)</f>
        <v>其他护理文书</v>
      </c>
      <c r="E1733" s="183" t="str">
        <f>VLOOKUP(F1733,数据集标准分类!A:C,3,0)</f>
        <v>061102</v>
      </c>
      <c r="F1733" s="170" t="s">
        <v>3941</v>
      </c>
      <c r="G1733" s="183" t="str">
        <f>VLOOKUP(F1733,数据集标准分类!A:B,2,0)</f>
        <v>spontaneous_childbirth_record</v>
      </c>
      <c r="H1733" s="294">
        <f>VLOOKUP(F1733,数据集标准分类!A:H,8,0)</f>
        <v>121</v>
      </c>
      <c r="I1733" s="170" t="s">
        <v>4085</v>
      </c>
      <c r="J1733" s="170" t="s">
        <v>4086</v>
      </c>
      <c r="K1733" s="170" t="s">
        <v>4087</v>
      </c>
      <c r="L1733" s="170" t="s">
        <v>4088</v>
      </c>
      <c r="M1733" s="170" t="s">
        <v>4089</v>
      </c>
      <c r="N1733" s="294">
        <v>39</v>
      </c>
      <c r="O1733" s="170"/>
    </row>
    <row r="1734" ht="16.8" spans="1:15">
      <c r="A1734" s="183" t="str">
        <f>VLOOKUP(F1734,数据集标准分类!A:G,7,0)</f>
        <v>06</v>
      </c>
      <c r="B1734" s="183" t="str">
        <f>VLOOKUP(F1734,数据集标准分类!A:F,6,0)</f>
        <v>护理病历</v>
      </c>
      <c r="C1734" s="183" t="str">
        <f>VLOOKUP(F1734,数据集标准分类!A:E,5,0)</f>
        <v>0611</v>
      </c>
      <c r="D1734" s="183" t="str">
        <f>VLOOKUP(F1734,数据集标准分类!A:D,4,0)</f>
        <v>其他护理文书</v>
      </c>
      <c r="E1734" s="183" t="str">
        <f>VLOOKUP(F1734,数据集标准分类!A:C,3,0)</f>
        <v>061102</v>
      </c>
      <c r="F1734" s="170" t="s">
        <v>3941</v>
      </c>
      <c r="G1734" s="183" t="str">
        <f>VLOOKUP(F1734,数据集标准分类!A:B,2,0)</f>
        <v>spontaneous_childbirth_record</v>
      </c>
      <c r="H1734" s="294">
        <f>VLOOKUP(F1734,数据集标准分类!A:H,8,0)</f>
        <v>121</v>
      </c>
      <c r="I1734" s="170" t="s">
        <v>4090</v>
      </c>
      <c r="J1734" s="170" t="s">
        <v>4091</v>
      </c>
      <c r="K1734" s="170" t="s">
        <v>4092</v>
      </c>
      <c r="L1734" s="170" t="s">
        <v>4093</v>
      </c>
      <c r="M1734" s="170" t="s">
        <v>4094</v>
      </c>
      <c r="N1734" s="294">
        <v>40</v>
      </c>
      <c r="O1734" s="170"/>
    </row>
    <row r="1735" ht="16.8" spans="1:15">
      <c r="A1735" s="183" t="str">
        <f>VLOOKUP(F1735,数据集标准分类!A:G,7,0)</f>
        <v>06</v>
      </c>
      <c r="B1735" s="183" t="str">
        <f>VLOOKUP(F1735,数据集标准分类!A:F,6,0)</f>
        <v>护理病历</v>
      </c>
      <c r="C1735" s="183" t="str">
        <f>VLOOKUP(F1735,数据集标准分类!A:E,5,0)</f>
        <v>0611</v>
      </c>
      <c r="D1735" s="183" t="str">
        <f>VLOOKUP(F1735,数据集标准分类!A:D,4,0)</f>
        <v>其他护理文书</v>
      </c>
      <c r="E1735" s="183" t="str">
        <f>VLOOKUP(F1735,数据集标准分类!A:C,3,0)</f>
        <v>061102</v>
      </c>
      <c r="F1735" s="170" t="s">
        <v>3941</v>
      </c>
      <c r="G1735" s="183" t="str">
        <f>VLOOKUP(F1735,数据集标准分类!A:B,2,0)</f>
        <v>spontaneous_childbirth_record</v>
      </c>
      <c r="H1735" s="294">
        <f>VLOOKUP(F1735,数据集标准分类!A:H,8,0)</f>
        <v>121</v>
      </c>
      <c r="I1735" s="170" t="s">
        <v>4095</v>
      </c>
      <c r="J1735" s="170" t="s">
        <v>4096</v>
      </c>
      <c r="K1735" s="170" t="s">
        <v>4097</v>
      </c>
      <c r="L1735" s="170" t="s">
        <v>4098</v>
      </c>
      <c r="M1735" s="170" t="s">
        <v>4099</v>
      </c>
      <c r="N1735" s="294">
        <v>41</v>
      </c>
      <c r="O1735" s="170"/>
    </row>
    <row r="1736" ht="16.8" spans="1:15">
      <c r="A1736" s="183" t="str">
        <f>VLOOKUP(F1736,数据集标准分类!A:G,7,0)</f>
        <v>06</v>
      </c>
      <c r="B1736" s="183" t="str">
        <f>VLOOKUP(F1736,数据集标准分类!A:F,6,0)</f>
        <v>护理病历</v>
      </c>
      <c r="C1736" s="183" t="str">
        <f>VLOOKUP(F1736,数据集标准分类!A:E,5,0)</f>
        <v>0611</v>
      </c>
      <c r="D1736" s="183" t="str">
        <f>VLOOKUP(F1736,数据集标准分类!A:D,4,0)</f>
        <v>其他护理文书</v>
      </c>
      <c r="E1736" s="183" t="str">
        <f>VLOOKUP(F1736,数据集标准分类!A:C,3,0)</f>
        <v>061102</v>
      </c>
      <c r="F1736" s="170" t="s">
        <v>3941</v>
      </c>
      <c r="G1736" s="183" t="str">
        <f>VLOOKUP(F1736,数据集标准分类!A:B,2,0)</f>
        <v>spontaneous_childbirth_record</v>
      </c>
      <c r="H1736" s="294">
        <f>VLOOKUP(F1736,数据集标准分类!A:H,8,0)</f>
        <v>121</v>
      </c>
      <c r="I1736" s="170" t="s">
        <v>4100</v>
      </c>
      <c r="J1736" s="170" t="s">
        <v>4101</v>
      </c>
      <c r="K1736" s="170" t="s">
        <v>4102</v>
      </c>
      <c r="L1736" s="170" t="s">
        <v>4103</v>
      </c>
      <c r="M1736" s="170" t="s">
        <v>4104</v>
      </c>
      <c r="N1736" s="294">
        <v>42</v>
      </c>
      <c r="O1736" s="170"/>
    </row>
    <row r="1737" ht="16.8" spans="1:15">
      <c r="A1737" s="183" t="str">
        <f>VLOOKUP(F1737,数据集标准分类!A:G,7,0)</f>
        <v>06</v>
      </c>
      <c r="B1737" s="183" t="str">
        <f>VLOOKUP(F1737,数据集标准分类!A:F,6,0)</f>
        <v>护理病历</v>
      </c>
      <c r="C1737" s="183" t="str">
        <f>VLOOKUP(F1737,数据集标准分类!A:E,5,0)</f>
        <v>0611</v>
      </c>
      <c r="D1737" s="183" t="str">
        <f>VLOOKUP(F1737,数据集标准分类!A:D,4,0)</f>
        <v>其他护理文书</v>
      </c>
      <c r="E1737" s="183" t="str">
        <f>VLOOKUP(F1737,数据集标准分类!A:C,3,0)</f>
        <v>061102</v>
      </c>
      <c r="F1737" s="170" t="s">
        <v>3941</v>
      </c>
      <c r="G1737" s="183" t="str">
        <f>VLOOKUP(F1737,数据集标准分类!A:B,2,0)</f>
        <v>spontaneous_childbirth_record</v>
      </c>
      <c r="H1737" s="294">
        <f>VLOOKUP(F1737,数据集标准分类!A:H,8,0)</f>
        <v>121</v>
      </c>
      <c r="I1737" s="170" t="s">
        <v>1959</v>
      </c>
      <c r="J1737" s="170" t="s">
        <v>1960</v>
      </c>
      <c r="K1737" s="170" t="s">
        <v>1961</v>
      </c>
      <c r="L1737" s="170" t="s">
        <v>1962</v>
      </c>
      <c r="M1737" s="170" t="s">
        <v>3884</v>
      </c>
      <c r="N1737" s="294">
        <v>43</v>
      </c>
      <c r="O1737" s="170"/>
    </row>
    <row r="1738" ht="16.8" spans="1:15">
      <c r="A1738" s="183" t="str">
        <f>VLOOKUP(F1738,数据集标准分类!A:G,7,0)</f>
        <v>06</v>
      </c>
      <c r="B1738" s="183" t="str">
        <f>VLOOKUP(F1738,数据集标准分类!A:F,6,0)</f>
        <v>护理病历</v>
      </c>
      <c r="C1738" s="183" t="str">
        <f>VLOOKUP(F1738,数据集标准分类!A:E,5,0)</f>
        <v>0611</v>
      </c>
      <c r="D1738" s="183" t="str">
        <f>VLOOKUP(F1738,数据集标准分类!A:D,4,0)</f>
        <v>其他护理文书</v>
      </c>
      <c r="E1738" s="183" t="str">
        <f>VLOOKUP(F1738,数据集标准分类!A:C,3,0)</f>
        <v>061102</v>
      </c>
      <c r="F1738" s="170" t="s">
        <v>3941</v>
      </c>
      <c r="G1738" s="183" t="str">
        <f>VLOOKUP(F1738,数据集标准分类!A:B,2,0)</f>
        <v>spontaneous_childbirth_record</v>
      </c>
      <c r="H1738" s="294">
        <f>VLOOKUP(F1738,数据集标准分类!A:H,8,0)</f>
        <v>121</v>
      </c>
      <c r="I1738" s="170" t="s">
        <v>4105</v>
      </c>
      <c r="J1738" s="170" t="s">
        <v>4106</v>
      </c>
      <c r="K1738" s="170" t="s">
        <v>4107</v>
      </c>
      <c r="L1738" s="170" t="s">
        <v>4108</v>
      </c>
      <c r="M1738" s="170" t="s">
        <v>1827</v>
      </c>
      <c r="N1738" s="294">
        <v>44</v>
      </c>
      <c r="O1738" s="170"/>
    </row>
    <row r="1739" ht="16.8" spans="1:15">
      <c r="A1739" s="183" t="str">
        <f>VLOOKUP(F1739,数据集标准分类!A:G,7,0)</f>
        <v>06</v>
      </c>
      <c r="B1739" s="183" t="str">
        <f>VLOOKUP(F1739,数据集标准分类!A:F,6,0)</f>
        <v>护理病历</v>
      </c>
      <c r="C1739" s="183" t="str">
        <f>VLOOKUP(F1739,数据集标准分类!A:E,5,0)</f>
        <v>0611</v>
      </c>
      <c r="D1739" s="183" t="str">
        <f>VLOOKUP(F1739,数据集标准分类!A:D,4,0)</f>
        <v>其他护理文书</v>
      </c>
      <c r="E1739" s="183" t="str">
        <f>VLOOKUP(F1739,数据集标准分类!A:C,3,0)</f>
        <v>061102</v>
      </c>
      <c r="F1739" s="170" t="s">
        <v>3941</v>
      </c>
      <c r="G1739" s="183" t="str">
        <f>VLOOKUP(F1739,数据集标准分类!A:B,2,0)</f>
        <v>spontaneous_childbirth_record</v>
      </c>
      <c r="H1739" s="294">
        <f>VLOOKUP(F1739,数据集标准分类!A:H,8,0)</f>
        <v>121</v>
      </c>
      <c r="I1739" s="170" t="s">
        <v>4109</v>
      </c>
      <c r="J1739" s="170" t="s">
        <v>4110</v>
      </c>
      <c r="K1739" s="170" t="s">
        <v>4111</v>
      </c>
      <c r="L1739" s="170" t="s">
        <v>4112</v>
      </c>
      <c r="M1739" s="170" t="s">
        <v>4113</v>
      </c>
      <c r="N1739" s="294">
        <v>45</v>
      </c>
      <c r="O1739" s="170"/>
    </row>
    <row r="1740" ht="16.8" spans="1:15">
      <c r="A1740" s="183" t="str">
        <f>VLOOKUP(F1740,数据集标准分类!A:G,7,0)</f>
        <v>06</v>
      </c>
      <c r="B1740" s="183" t="str">
        <f>VLOOKUP(F1740,数据集标准分类!A:F,6,0)</f>
        <v>护理病历</v>
      </c>
      <c r="C1740" s="183" t="str">
        <f>VLOOKUP(F1740,数据集标准分类!A:E,5,0)</f>
        <v>0611</v>
      </c>
      <c r="D1740" s="183" t="str">
        <f>VLOOKUP(F1740,数据集标准分类!A:D,4,0)</f>
        <v>其他护理文书</v>
      </c>
      <c r="E1740" s="183" t="str">
        <f>VLOOKUP(F1740,数据集标准分类!A:C,3,0)</f>
        <v>061102</v>
      </c>
      <c r="F1740" s="170" t="s">
        <v>3941</v>
      </c>
      <c r="G1740" s="183" t="str">
        <f>VLOOKUP(F1740,数据集标准分类!A:B,2,0)</f>
        <v>spontaneous_childbirth_record</v>
      </c>
      <c r="H1740" s="294">
        <f>VLOOKUP(F1740,数据集标准分类!A:H,8,0)</f>
        <v>121</v>
      </c>
      <c r="I1740" s="170" t="s">
        <v>4114</v>
      </c>
      <c r="J1740" s="170" t="s">
        <v>4115</v>
      </c>
      <c r="K1740" s="170" t="s">
        <v>4116</v>
      </c>
      <c r="L1740" s="170" t="s">
        <v>4117</v>
      </c>
      <c r="M1740" s="170" t="s">
        <v>4118</v>
      </c>
      <c r="N1740" s="294">
        <v>46</v>
      </c>
      <c r="O1740" s="170"/>
    </row>
    <row r="1741" ht="16.8" spans="1:15">
      <c r="A1741" s="183" t="str">
        <f>VLOOKUP(F1741,数据集标准分类!A:G,7,0)</f>
        <v>06</v>
      </c>
      <c r="B1741" s="183" t="str">
        <f>VLOOKUP(F1741,数据集标准分类!A:F,6,0)</f>
        <v>护理病历</v>
      </c>
      <c r="C1741" s="183" t="str">
        <f>VLOOKUP(F1741,数据集标准分类!A:E,5,0)</f>
        <v>0611</v>
      </c>
      <c r="D1741" s="183" t="str">
        <f>VLOOKUP(F1741,数据集标准分类!A:D,4,0)</f>
        <v>其他护理文书</v>
      </c>
      <c r="E1741" s="183" t="str">
        <f>VLOOKUP(F1741,数据集标准分类!A:C,3,0)</f>
        <v>061102</v>
      </c>
      <c r="F1741" s="170" t="s">
        <v>3941</v>
      </c>
      <c r="G1741" s="183" t="str">
        <f>VLOOKUP(F1741,数据集标准分类!A:B,2,0)</f>
        <v>spontaneous_childbirth_record</v>
      </c>
      <c r="H1741" s="294">
        <f>VLOOKUP(F1741,数据集标准分类!A:H,8,0)</f>
        <v>121</v>
      </c>
      <c r="I1741" s="170" t="s">
        <v>4119</v>
      </c>
      <c r="J1741" s="170" t="s">
        <v>4120</v>
      </c>
      <c r="K1741" s="170" t="s">
        <v>4121</v>
      </c>
      <c r="L1741" s="170" t="s">
        <v>4122</v>
      </c>
      <c r="M1741" s="170" t="s">
        <v>4123</v>
      </c>
      <c r="N1741" s="294">
        <v>47</v>
      </c>
      <c r="O1741" s="170"/>
    </row>
    <row r="1742" ht="16.8" spans="1:15">
      <c r="A1742" s="183" t="str">
        <f>VLOOKUP(F1742,数据集标准分类!A:G,7,0)</f>
        <v>06</v>
      </c>
      <c r="B1742" s="183" t="str">
        <f>VLOOKUP(F1742,数据集标准分类!A:F,6,0)</f>
        <v>护理病历</v>
      </c>
      <c r="C1742" s="183" t="str">
        <f>VLOOKUP(F1742,数据集标准分类!A:E,5,0)</f>
        <v>0611</v>
      </c>
      <c r="D1742" s="183" t="str">
        <f>VLOOKUP(F1742,数据集标准分类!A:D,4,0)</f>
        <v>其他护理文书</v>
      </c>
      <c r="E1742" s="183" t="str">
        <f>VLOOKUP(F1742,数据集标准分类!A:C,3,0)</f>
        <v>061102</v>
      </c>
      <c r="F1742" s="170" t="s">
        <v>3941</v>
      </c>
      <c r="G1742" s="183" t="str">
        <f>VLOOKUP(F1742,数据集标准分类!A:B,2,0)</f>
        <v>spontaneous_childbirth_record</v>
      </c>
      <c r="H1742" s="294">
        <f>VLOOKUP(F1742,数据集标准分类!A:H,8,0)</f>
        <v>121</v>
      </c>
      <c r="I1742" s="170" t="s">
        <v>1854</v>
      </c>
      <c r="J1742" s="170" t="s">
        <v>1855</v>
      </c>
      <c r="K1742" s="170" t="s">
        <v>1856</v>
      </c>
      <c r="L1742" s="170" t="s">
        <v>1857</v>
      </c>
      <c r="M1742" s="170" t="s">
        <v>1858</v>
      </c>
      <c r="N1742" s="294">
        <v>48</v>
      </c>
      <c r="O1742" s="170"/>
    </row>
    <row r="1743" ht="16.8" spans="1:15">
      <c r="A1743" s="183" t="str">
        <f>VLOOKUP(F1743,数据集标准分类!A:G,7,0)</f>
        <v>06</v>
      </c>
      <c r="B1743" s="183" t="str">
        <f>VLOOKUP(F1743,数据集标准分类!A:F,6,0)</f>
        <v>护理病历</v>
      </c>
      <c r="C1743" s="183" t="str">
        <f>VLOOKUP(F1743,数据集标准分类!A:E,5,0)</f>
        <v>0611</v>
      </c>
      <c r="D1743" s="183" t="str">
        <f>VLOOKUP(F1743,数据集标准分类!A:D,4,0)</f>
        <v>其他护理文书</v>
      </c>
      <c r="E1743" s="183" t="str">
        <f>VLOOKUP(F1743,数据集标准分类!A:C,3,0)</f>
        <v>061102</v>
      </c>
      <c r="F1743" s="170" t="s">
        <v>3941</v>
      </c>
      <c r="G1743" s="183" t="str">
        <f>VLOOKUP(F1743,数据集标准分类!A:B,2,0)</f>
        <v>spontaneous_childbirth_record</v>
      </c>
      <c r="H1743" s="294">
        <f>VLOOKUP(F1743,数据集标准分类!A:H,8,0)</f>
        <v>121</v>
      </c>
      <c r="I1743" s="170" t="s">
        <v>1931</v>
      </c>
      <c r="J1743" s="170" t="s">
        <v>1932</v>
      </c>
      <c r="K1743" s="170" t="s">
        <v>1933</v>
      </c>
      <c r="L1743" s="170" t="s">
        <v>1934</v>
      </c>
      <c r="M1743" s="170" t="s">
        <v>1935</v>
      </c>
      <c r="N1743" s="294">
        <v>49</v>
      </c>
      <c r="O1743" s="170"/>
    </row>
    <row r="1744" ht="16.8" spans="1:15">
      <c r="A1744" s="183" t="str">
        <f>VLOOKUP(F1744,数据集标准分类!A:G,7,0)</f>
        <v>06</v>
      </c>
      <c r="B1744" s="183" t="str">
        <f>VLOOKUP(F1744,数据集标准分类!A:F,6,0)</f>
        <v>护理病历</v>
      </c>
      <c r="C1744" s="183" t="str">
        <f>VLOOKUP(F1744,数据集标准分类!A:E,5,0)</f>
        <v>0611</v>
      </c>
      <c r="D1744" s="183" t="str">
        <f>VLOOKUP(F1744,数据集标准分类!A:D,4,0)</f>
        <v>其他护理文书</v>
      </c>
      <c r="E1744" s="183" t="str">
        <f>VLOOKUP(F1744,数据集标准分类!A:C,3,0)</f>
        <v>061102</v>
      </c>
      <c r="F1744" s="170" t="s">
        <v>3941</v>
      </c>
      <c r="G1744" s="183" t="str">
        <f>VLOOKUP(F1744,数据集标准分类!A:B,2,0)</f>
        <v>spontaneous_childbirth_record</v>
      </c>
      <c r="H1744" s="294">
        <f>VLOOKUP(F1744,数据集标准分类!A:H,8,0)</f>
        <v>121</v>
      </c>
      <c r="I1744" s="170" t="s">
        <v>1936</v>
      </c>
      <c r="J1744" s="170" t="s">
        <v>1937</v>
      </c>
      <c r="K1744" s="170" t="s">
        <v>1938</v>
      </c>
      <c r="L1744" s="170" t="s">
        <v>1939</v>
      </c>
      <c r="M1744" s="170" t="s">
        <v>1940</v>
      </c>
      <c r="N1744" s="294">
        <v>50</v>
      </c>
      <c r="O1744" s="170"/>
    </row>
    <row r="1745" ht="16.8" spans="1:15">
      <c r="A1745" s="183" t="str">
        <f>VLOOKUP(F1745,数据集标准分类!A:G,7,0)</f>
        <v>06</v>
      </c>
      <c r="B1745" s="183" t="str">
        <f>VLOOKUP(F1745,数据集标准分类!A:F,6,0)</f>
        <v>护理病历</v>
      </c>
      <c r="C1745" s="183" t="str">
        <f>VLOOKUP(F1745,数据集标准分类!A:E,5,0)</f>
        <v>0611</v>
      </c>
      <c r="D1745" s="183" t="str">
        <f>VLOOKUP(F1745,数据集标准分类!A:D,4,0)</f>
        <v>其他护理文书</v>
      </c>
      <c r="E1745" s="183" t="str">
        <f>VLOOKUP(F1745,数据集标准分类!A:C,3,0)</f>
        <v>061102</v>
      </c>
      <c r="F1745" s="170" t="s">
        <v>3941</v>
      </c>
      <c r="G1745" s="183" t="str">
        <f>VLOOKUP(F1745,数据集标准分类!A:B,2,0)</f>
        <v>spontaneous_childbirth_record</v>
      </c>
      <c r="H1745" s="294">
        <f>VLOOKUP(F1745,数据集标准分类!A:H,8,0)</f>
        <v>121</v>
      </c>
      <c r="I1745" s="170" t="s">
        <v>1941</v>
      </c>
      <c r="J1745" s="170" t="s">
        <v>1942</v>
      </c>
      <c r="K1745" s="170" t="s">
        <v>1943</v>
      </c>
      <c r="L1745" s="170" t="s">
        <v>1944</v>
      </c>
      <c r="M1745" s="170" t="s">
        <v>1945</v>
      </c>
      <c r="N1745" s="294">
        <v>51</v>
      </c>
      <c r="O1745" s="170"/>
    </row>
    <row r="1746" ht="16.8" spans="1:15">
      <c r="A1746" s="183" t="str">
        <f>VLOOKUP(F1746,数据集标准分类!A:G,7,0)</f>
        <v>06</v>
      </c>
      <c r="B1746" s="183" t="str">
        <f>VLOOKUP(F1746,数据集标准分类!A:F,6,0)</f>
        <v>护理病历</v>
      </c>
      <c r="C1746" s="183" t="str">
        <f>VLOOKUP(F1746,数据集标准分类!A:E,5,0)</f>
        <v>0611</v>
      </c>
      <c r="D1746" s="183" t="str">
        <f>VLOOKUP(F1746,数据集标准分类!A:D,4,0)</f>
        <v>其他护理文书</v>
      </c>
      <c r="E1746" s="183" t="str">
        <f>VLOOKUP(F1746,数据集标准分类!A:C,3,0)</f>
        <v>061102</v>
      </c>
      <c r="F1746" s="170" t="s">
        <v>3941</v>
      </c>
      <c r="G1746" s="183" t="str">
        <f>VLOOKUP(F1746,数据集标准分类!A:B,2,0)</f>
        <v>spontaneous_childbirth_record</v>
      </c>
      <c r="H1746" s="294">
        <f>VLOOKUP(F1746,数据集标准分类!A:H,8,0)</f>
        <v>121</v>
      </c>
      <c r="I1746" s="170" t="s">
        <v>699</v>
      </c>
      <c r="J1746" s="170" t="s">
        <v>700</v>
      </c>
      <c r="K1746" s="170" t="s">
        <v>700</v>
      </c>
      <c r="L1746" s="170" t="s">
        <v>701</v>
      </c>
      <c r="M1746" s="170" t="s">
        <v>1946</v>
      </c>
      <c r="N1746" s="294">
        <v>52</v>
      </c>
      <c r="O1746" s="170"/>
    </row>
    <row r="1747" ht="16.8" spans="1:15">
      <c r="A1747" s="183" t="str">
        <f>VLOOKUP(F1747,数据集标准分类!A:G,7,0)</f>
        <v>06</v>
      </c>
      <c r="B1747" s="183" t="str">
        <f>VLOOKUP(F1747,数据集标准分类!A:F,6,0)</f>
        <v>护理病历</v>
      </c>
      <c r="C1747" s="183" t="str">
        <f>VLOOKUP(F1747,数据集标准分类!A:E,5,0)</f>
        <v>0611</v>
      </c>
      <c r="D1747" s="183" t="str">
        <f>VLOOKUP(F1747,数据集标准分类!A:D,4,0)</f>
        <v>其他护理文书</v>
      </c>
      <c r="E1747" s="183" t="str">
        <f>VLOOKUP(F1747,数据集标准分类!A:C,3,0)</f>
        <v>061102</v>
      </c>
      <c r="F1747" s="170" t="s">
        <v>3941</v>
      </c>
      <c r="G1747" s="183" t="str">
        <f>VLOOKUP(F1747,数据集标准分类!A:B,2,0)</f>
        <v>spontaneous_childbirth_record</v>
      </c>
      <c r="H1747" s="294">
        <f>VLOOKUP(F1747,数据集标准分类!A:H,8,0)</f>
        <v>121</v>
      </c>
      <c r="I1747" s="170" t="s">
        <v>703</v>
      </c>
      <c r="J1747" s="170" t="s">
        <v>704</v>
      </c>
      <c r="K1747" s="170" t="s">
        <v>704</v>
      </c>
      <c r="L1747" s="170" t="s">
        <v>705</v>
      </c>
      <c r="M1747" s="170" t="s">
        <v>1947</v>
      </c>
      <c r="N1747" s="294">
        <v>53</v>
      </c>
      <c r="O1747" s="170"/>
    </row>
    <row r="1748" ht="16.8" spans="1:15">
      <c r="A1748" s="183" t="str">
        <f>VLOOKUP(F1748,数据集标准分类!A:G,7,0)</f>
        <v>06</v>
      </c>
      <c r="B1748" s="183" t="str">
        <f>VLOOKUP(F1748,数据集标准分类!A:F,6,0)</f>
        <v>护理病历</v>
      </c>
      <c r="C1748" s="183" t="str">
        <f>VLOOKUP(F1748,数据集标准分类!A:E,5,0)</f>
        <v>0611</v>
      </c>
      <c r="D1748" s="183" t="str">
        <f>VLOOKUP(F1748,数据集标准分类!A:D,4,0)</f>
        <v>其他护理文书</v>
      </c>
      <c r="E1748" s="183" t="str">
        <f>VLOOKUP(F1748,数据集标准分类!A:C,3,0)</f>
        <v>061102</v>
      </c>
      <c r="F1748" s="170" t="s">
        <v>3941</v>
      </c>
      <c r="G1748" s="183" t="str">
        <f>VLOOKUP(F1748,数据集标准分类!A:B,2,0)</f>
        <v>spontaneous_childbirth_record</v>
      </c>
      <c r="H1748" s="294">
        <f>VLOOKUP(F1748,数据集标准分类!A:H,8,0)</f>
        <v>121</v>
      </c>
      <c r="I1748" s="170" t="s">
        <v>689</v>
      </c>
      <c r="J1748" s="170" t="s">
        <v>690</v>
      </c>
      <c r="K1748" s="170" t="s">
        <v>691</v>
      </c>
      <c r="L1748" s="170" t="s">
        <v>692</v>
      </c>
      <c r="M1748" s="170" t="s">
        <v>1948</v>
      </c>
      <c r="N1748" s="294">
        <v>54</v>
      </c>
      <c r="O1748" s="170"/>
    </row>
    <row r="1749" ht="16.8" spans="1:15">
      <c r="A1749" s="183" t="str">
        <f>VLOOKUP(F1749,数据集标准分类!A:G,7,0)</f>
        <v>06</v>
      </c>
      <c r="B1749" s="183" t="str">
        <f>VLOOKUP(F1749,数据集标准分类!A:F,6,0)</f>
        <v>护理病历</v>
      </c>
      <c r="C1749" s="183" t="str">
        <f>VLOOKUP(F1749,数据集标准分类!A:E,5,0)</f>
        <v>0611</v>
      </c>
      <c r="D1749" s="183" t="str">
        <f>VLOOKUP(F1749,数据集标准分类!A:D,4,0)</f>
        <v>其他护理文书</v>
      </c>
      <c r="E1749" s="183" t="str">
        <f>VLOOKUP(F1749,数据集标准分类!A:C,3,0)</f>
        <v>061102</v>
      </c>
      <c r="F1749" s="170" t="s">
        <v>3941</v>
      </c>
      <c r="G1749" s="183" t="str">
        <f>VLOOKUP(F1749,数据集标准分类!A:B,2,0)</f>
        <v>spontaneous_childbirth_record</v>
      </c>
      <c r="H1749" s="294">
        <f>VLOOKUP(F1749,数据集标准分类!A:H,8,0)</f>
        <v>121</v>
      </c>
      <c r="I1749" s="170" t="s">
        <v>1949</v>
      </c>
      <c r="J1749" s="170" t="s">
        <v>1950</v>
      </c>
      <c r="K1749" s="170" t="s">
        <v>1951</v>
      </c>
      <c r="L1749" s="170" t="s">
        <v>1952</v>
      </c>
      <c r="M1749" s="170" t="s">
        <v>1953</v>
      </c>
      <c r="N1749" s="294">
        <v>55</v>
      </c>
      <c r="O1749" s="170"/>
    </row>
    <row r="1750" ht="16.8" spans="1:15">
      <c r="A1750" s="183" t="str">
        <f>VLOOKUP(F1750,数据集标准分类!A:G,7,0)</f>
        <v>06</v>
      </c>
      <c r="B1750" s="183" t="str">
        <f>VLOOKUP(F1750,数据集标准分类!A:F,6,0)</f>
        <v>护理病历</v>
      </c>
      <c r="C1750" s="183" t="str">
        <f>VLOOKUP(F1750,数据集标准分类!A:E,5,0)</f>
        <v>0611</v>
      </c>
      <c r="D1750" s="183" t="str">
        <f>VLOOKUP(F1750,数据集标准分类!A:D,4,0)</f>
        <v>其他护理文书</v>
      </c>
      <c r="E1750" s="183" t="str">
        <f>VLOOKUP(F1750,数据集标准分类!A:C,3,0)</f>
        <v>061102</v>
      </c>
      <c r="F1750" s="170" t="s">
        <v>3941</v>
      </c>
      <c r="G1750" s="183" t="str">
        <f>VLOOKUP(F1750,数据集标准分类!A:B,2,0)</f>
        <v>spontaneous_childbirth_record</v>
      </c>
      <c r="H1750" s="294">
        <f>VLOOKUP(F1750,数据集标准分类!A:H,8,0)</f>
        <v>121</v>
      </c>
      <c r="I1750" s="170" t="s">
        <v>1954</v>
      </c>
      <c r="J1750" s="170" t="s">
        <v>1955</v>
      </c>
      <c r="K1750" s="170" t="s">
        <v>1956</v>
      </c>
      <c r="L1750" s="170" t="s">
        <v>1957</v>
      </c>
      <c r="M1750" s="170" t="s">
        <v>1958</v>
      </c>
      <c r="N1750" s="294">
        <v>56</v>
      </c>
      <c r="O1750" s="170"/>
    </row>
    <row r="1751" ht="16.8" spans="1:15">
      <c r="A1751" s="183" t="str">
        <f>VLOOKUP(F1751,数据集标准分类!A:G,7,0)</f>
        <v>06</v>
      </c>
      <c r="B1751" s="183" t="str">
        <f>VLOOKUP(F1751,数据集标准分类!A:F,6,0)</f>
        <v>护理病历</v>
      </c>
      <c r="C1751" s="183" t="str">
        <f>VLOOKUP(F1751,数据集标准分类!A:E,5,0)</f>
        <v>0611</v>
      </c>
      <c r="D1751" s="183" t="str">
        <f>VLOOKUP(F1751,数据集标准分类!A:D,4,0)</f>
        <v>其他护理文书</v>
      </c>
      <c r="E1751" s="183" t="str">
        <f>VLOOKUP(F1751,数据集标准分类!A:C,3,0)</f>
        <v>061102</v>
      </c>
      <c r="F1751" s="170" t="s">
        <v>3941</v>
      </c>
      <c r="G1751" s="183" t="str">
        <f>VLOOKUP(F1751,数据集标准分类!A:B,2,0)</f>
        <v>spontaneous_childbirth_record</v>
      </c>
      <c r="H1751" s="294">
        <f>VLOOKUP(F1751,数据集标准分类!A:H,8,0)</f>
        <v>121</v>
      </c>
      <c r="I1751" s="170" t="s">
        <v>4124</v>
      </c>
      <c r="J1751" s="170" t="s">
        <v>4125</v>
      </c>
      <c r="K1751" s="170" t="s">
        <v>4126</v>
      </c>
      <c r="L1751" s="170" t="s">
        <v>4127</v>
      </c>
      <c r="M1751" s="170" t="s">
        <v>1963</v>
      </c>
      <c r="N1751" s="294">
        <v>57</v>
      </c>
      <c r="O1751" s="170"/>
    </row>
    <row r="1752" ht="16.8" spans="1:15">
      <c r="A1752" s="183" t="str">
        <f>VLOOKUP(F1752,数据集标准分类!A:G,7,0)</f>
        <v>06</v>
      </c>
      <c r="B1752" s="183" t="str">
        <f>VLOOKUP(F1752,数据集标准分类!A:F,6,0)</f>
        <v>护理病历</v>
      </c>
      <c r="C1752" s="183" t="str">
        <f>VLOOKUP(F1752,数据集标准分类!A:E,5,0)</f>
        <v>0611</v>
      </c>
      <c r="D1752" s="183" t="str">
        <f>VLOOKUP(F1752,数据集标准分类!A:D,4,0)</f>
        <v>其他护理文书</v>
      </c>
      <c r="E1752" s="183" t="str">
        <f>VLOOKUP(F1752,数据集标准分类!A:C,3,0)</f>
        <v>061102</v>
      </c>
      <c r="F1752" s="170" t="s">
        <v>3941</v>
      </c>
      <c r="G1752" s="183" t="str">
        <f>VLOOKUP(F1752,数据集标准分类!A:B,2,0)</f>
        <v>spontaneous_childbirth_record</v>
      </c>
      <c r="H1752" s="294">
        <f>VLOOKUP(F1752,数据集标准分类!A:H,8,0)</f>
        <v>121</v>
      </c>
      <c r="I1752" s="170" t="s">
        <v>1964</v>
      </c>
      <c r="J1752" s="170" t="s">
        <v>1965</v>
      </c>
      <c r="K1752" s="170" t="s">
        <v>1966</v>
      </c>
      <c r="L1752" s="170" t="s">
        <v>1967</v>
      </c>
      <c r="M1752" s="170" t="s">
        <v>1968</v>
      </c>
      <c r="N1752" s="294">
        <v>58</v>
      </c>
      <c r="O1752" s="170"/>
    </row>
    <row r="1753" ht="16.8" spans="1:15">
      <c r="A1753" s="183" t="str">
        <f>VLOOKUP(F1753,数据集标准分类!A:G,7,0)</f>
        <v>06</v>
      </c>
      <c r="B1753" s="183" t="str">
        <f>VLOOKUP(F1753,数据集标准分类!A:F,6,0)</f>
        <v>护理病历</v>
      </c>
      <c r="C1753" s="183" t="str">
        <f>VLOOKUP(F1753,数据集标准分类!A:E,5,0)</f>
        <v>0611</v>
      </c>
      <c r="D1753" s="183" t="str">
        <f>VLOOKUP(F1753,数据集标准分类!A:D,4,0)</f>
        <v>其他护理文书</v>
      </c>
      <c r="E1753" s="183" t="str">
        <f>VLOOKUP(F1753,数据集标准分类!A:C,3,0)</f>
        <v>061102</v>
      </c>
      <c r="F1753" s="170" t="s">
        <v>3941</v>
      </c>
      <c r="G1753" s="183" t="str">
        <f>VLOOKUP(F1753,数据集标准分类!A:B,2,0)</f>
        <v>spontaneous_childbirth_record</v>
      </c>
      <c r="H1753" s="294">
        <f>VLOOKUP(F1753,数据集标准分类!A:H,8,0)</f>
        <v>121</v>
      </c>
      <c r="I1753" s="170" t="s">
        <v>4128</v>
      </c>
      <c r="J1753" s="170" t="s">
        <v>4129</v>
      </c>
      <c r="K1753" s="170" t="s">
        <v>4130</v>
      </c>
      <c r="L1753" s="170" t="s">
        <v>4131</v>
      </c>
      <c r="M1753" s="170" t="s">
        <v>4132</v>
      </c>
      <c r="N1753" s="294">
        <v>59</v>
      </c>
      <c r="O1753" s="170"/>
    </row>
    <row r="1754" ht="16.8" spans="1:15">
      <c r="A1754" s="183" t="str">
        <f>VLOOKUP(F1754,数据集标准分类!A:G,7,0)</f>
        <v>06</v>
      </c>
      <c r="B1754" s="183" t="str">
        <f>VLOOKUP(F1754,数据集标准分类!A:F,6,0)</f>
        <v>护理病历</v>
      </c>
      <c r="C1754" s="183" t="str">
        <f>VLOOKUP(F1754,数据集标准分类!A:E,5,0)</f>
        <v>0611</v>
      </c>
      <c r="D1754" s="183" t="str">
        <f>VLOOKUP(F1754,数据集标准分类!A:D,4,0)</f>
        <v>其他护理文书</v>
      </c>
      <c r="E1754" s="183" t="str">
        <f>VLOOKUP(F1754,数据集标准分类!A:C,3,0)</f>
        <v>061102</v>
      </c>
      <c r="F1754" s="170" t="s">
        <v>3941</v>
      </c>
      <c r="G1754" s="183" t="str">
        <f>VLOOKUP(F1754,数据集标准分类!A:B,2,0)</f>
        <v>spontaneous_childbirth_record</v>
      </c>
      <c r="H1754" s="294">
        <f>VLOOKUP(F1754,数据集标准分类!A:H,8,0)</f>
        <v>121</v>
      </c>
      <c r="I1754" s="170" t="s">
        <v>330</v>
      </c>
      <c r="J1754" s="170" t="s">
        <v>331</v>
      </c>
      <c r="K1754" s="170" t="s">
        <v>332</v>
      </c>
      <c r="L1754" s="170" t="s">
        <v>333</v>
      </c>
      <c r="M1754" s="170" t="s">
        <v>334</v>
      </c>
      <c r="N1754" s="294">
        <v>60</v>
      </c>
      <c r="O1754" s="170"/>
    </row>
    <row r="1755" ht="16.8" spans="1:15">
      <c r="A1755" s="183" t="str">
        <f>VLOOKUP(F1755,数据集标准分类!A:G,7,0)</f>
        <v>06</v>
      </c>
      <c r="B1755" s="183" t="str">
        <f>VLOOKUP(F1755,数据集标准分类!A:F,6,0)</f>
        <v>护理病历</v>
      </c>
      <c r="C1755" s="183" t="str">
        <f>VLOOKUP(F1755,数据集标准分类!A:E,5,0)</f>
        <v>0611</v>
      </c>
      <c r="D1755" s="183" t="str">
        <f>VLOOKUP(F1755,数据集标准分类!A:D,4,0)</f>
        <v>其他护理文书</v>
      </c>
      <c r="E1755" s="183" t="str">
        <f>VLOOKUP(F1755,数据集标准分类!A:C,3,0)</f>
        <v>061102</v>
      </c>
      <c r="F1755" s="170" t="s">
        <v>3941</v>
      </c>
      <c r="G1755" s="183" t="str">
        <f>VLOOKUP(F1755,数据集标准分类!A:B,2,0)</f>
        <v>spontaneous_childbirth_record</v>
      </c>
      <c r="H1755" s="294">
        <f>VLOOKUP(F1755,数据集标准分类!A:H,8,0)</f>
        <v>121</v>
      </c>
      <c r="I1755" s="170" t="s">
        <v>1969</v>
      </c>
      <c r="J1755" s="170" t="s">
        <v>1970</v>
      </c>
      <c r="K1755" s="170" t="s">
        <v>1971</v>
      </c>
      <c r="L1755" s="170" t="s">
        <v>1972</v>
      </c>
      <c r="M1755" s="170" t="s">
        <v>1973</v>
      </c>
      <c r="N1755" s="294">
        <v>61</v>
      </c>
      <c r="O1755" s="170"/>
    </row>
    <row r="1756" ht="16.8" spans="1:15">
      <c r="A1756" s="183" t="str">
        <f>VLOOKUP(F1756,数据集标准分类!A:G,7,0)</f>
        <v>06</v>
      </c>
      <c r="B1756" s="183" t="str">
        <f>VLOOKUP(F1756,数据集标准分类!A:F,6,0)</f>
        <v>护理病历</v>
      </c>
      <c r="C1756" s="183" t="str">
        <f>VLOOKUP(F1756,数据集标准分类!A:E,5,0)</f>
        <v>0611</v>
      </c>
      <c r="D1756" s="183" t="str">
        <f>VLOOKUP(F1756,数据集标准分类!A:D,4,0)</f>
        <v>其他护理文书</v>
      </c>
      <c r="E1756" s="183" t="str">
        <f>VLOOKUP(F1756,数据集标准分类!A:C,3,0)</f>
        <v>061102</v>
      </c>
      <c r="F1756" s="170" t="s">
        <v>3941</v>
      </c>
      <c r="G1756" s="183" t="str">
        <f>VLOOKUP(F1756,数据集标准分类!A:B,2,0)</f>
        <v>spontaneous_childbirth_record</v>
      </c>
      <c r="H1756" s="294">
        <f>VLOOKUP(F1756,数据集标准分类!A:H,8,0)</f>
        <v>121</v>
      </c>
      <c r="I1756" s="170" t="s">
        <v>1974</v>
      </c>
      <c r="J1756" s="170" t="s">
        <v>1975</v>
      </c>
      <c r="K1756" s="170" t="s">
        <v>1976</v>
      </c>
      <c r="L1756" s="170" t="s">
        <v>1977</v>
      </c>
      <c r="M1756" s="170" t="s">
        <v>1978</v>
      </c>
      <c r="N1756" s="294">
        <v>62</v>
      </c>
      <c r="O1756" s="170"/>
    </row>
    <row r="1757" ht="16.8" spans="1:15">
      <c r="A1757" s="183" t="str">
        <f>VLOOKUP(F1757,数据集标准分类!A:G,7,0)</f>
        <v>06</v>
      </c>
      <c r="B1757" s="183" t="str">
        <f>VLOOKUP(F1757,数据集标准分类!A:F,6,0)</f>
        <v>护理病历</v>
      </c>
      <c r="C1757" s="183" t="str">
        <f>VLOOKUP(F1757,数据集标准分类!A:E,5,0)</f>
        <v>0611</v>
      </c>
      <c r="D1757" s="183" t="str">
        <f>VLOOKUP(F1757,数据集标准分类!A:D,4,0)</f>
        <v>其他护理文书</v>
      </c>
      <c r="E1757" s="183" t="str">
        <f>VLOOKUP(F1757,数据集标准分类!A:C,3,0)</f>
        <v>061102</v>
      </c>
      <c r="F1757" s="170" t="s">
        <v>3941</v>
      </c>
      <c r="G1757" s="183" t="str">
        <f>VLOOKUP(F1757,数据集标准分类!A:B,2,0)</f>
        <v>spontaneous_childbirth_record</v>
      </c>
      <c r="H1757" s="294">
        <f>VLOOKUP(F1757,数据集标准分类!A:H,8,0)</f>
        <v>121</v>
      </c>
      <c r="I1757" s="170" t="s">
        <v>1979</v>
      </c>
      <c r="J1757" s="170" t="s">
        <v>1980</v>
      </c>
      <c r="K1757" s="170" t="s">
        <v>1981</v>
      </c>
      <c r="L1757" s="170" t="s">
        <v>1982</v>
      </c>
      <c r="M1757" s="170" t="s">
        <v>1983</v>
      </c>
      <c r="N1757" s="294">
        <v>63</v>
      </c>
      <c r="O1757" s="170"/>
    </row>
    <row r="1758" ht="16.8" spans="1:15">
      <c r="A1758" s="183" t="str">
        <f>VLOOKUP(F1758,数据集标准分类!A:G,7,0)</f>
        <v>06</v>
      </c>
      <c r="B1758" s="183" t="str">
        <f>VLOOKUP(F1758,数据集标准分类!A:F,6,0)</f>
        <v>护理病历</v>
      </c>
      <c r="C1758" s="183" t="str">
        <f>VLOOKUP(F1758,数据集标准分类!A:E,5,0)</f>
        <v>0611</v>
      </c>
      <c r="D1758" s="183" t="str">
        <f>VLOOKUP(F1758,数据集标准分类!A:D,4,0)</f>
        <v>其他护理文书</v>
      </c>
      <c r="E1758" s="183" t="str">
        <f>VLOOKUP(F1758,数据集标准分类!A:C,3,0)</f>
        <v>061102</v>
      </c>
      <c r="F1758" s="170" t="s">
        <v>3941</v>
      </c>
      <c r="G1758" s="183" t="str">
        <f>VLOOKUP(F1758,数据集标准分类!A:B,2,0)</f>
        <v>spontaneous_childbirth_record</v>
      </c>
      <c r="H1758" s="294">
        <f>VLOOKUP(F1758,数据集标准分类!A:H,8,0)</f>
        <v>121</v>
      </c>
      <c r="I1758" s="170" t="s">
        <v>1984</v>
      </c>
      <c r="J1758" s="170" t="s">
        <v>1985</v>
      </c>
      <c r="K1758" s="170" t="s">
        <v>1986</v>
      </c>
      <c r="L1758" s="170" t="s">
        <v>1987</v>
      </c>
      <c r="M1758" s="170" t="s">
        <v>1988</v>
      </c>
      <c r="N1758" s="294">
        <v>64</v>
      </c>
      <c r="O1758" s="170"/>
    </row>
    <row r="1759" ht="16.8" spans="1:15">
      <c r="A1759" s="183" t="str">
        <f>VLOOKUP(F1759,数据集标准分类!A:G,7,0)</f>
        <v>06</v>
      </c>
      <c r="B1759" s="183" t="str">
        <f>VLOOKUP(F1759,数据集标准分类!A:F,6,0)</f>
        <v>护理病历</v>
      </c>
      <c r="C1759" s="183" t="str">
        <f>VLOOKUP(F1759,数据集标准分类!A:E,5,0)</f>
        <v>0611</v>
      </c>
      <c r="D1759" s="183" t="str">
        <f>VLOOKUP(F1759,数据集标准分类!A:D,4,0)</f>
        <v>其他护理文书</v>
      </c>
      <c r="E1759" s="183" t="str">
        <f>VLOOKUP(F1759,数据集标准分类!A:C,3,0)</f>
        <v>061102</v>
      </c>
      <c r="F1759" s="170" t="s">
        <v>3941</v>
      </c>
      <c r="G1759" s="183" t="str">
        <f>VLOOKUP(F1759,数据集标准分类!A:B,2,0)</f>
        <v>spontaneous_childbirth_record</v>
      </c>
      <c r="H1759" s="294">
        <f>VLOOKUP(F1759,数据集标准分类!A:H,8,0)</f>
        <v>121</v>
      </c>
      <c r="I1759" s="170" t="s">
        <v>1989</v>
      </c>
      <c r="J1759" s="170" t="s">
        <v>1990</v>
      </c>
      <c r="K1759" s="170" t="s">
        <v>1991</v>
      </c>
      <c r="L1759" s="170" t="s">
        <v>1992</v>
      </c>
      <c r="M1759" s="170" t="s">
        <v>1993</v>
      </c>
      <c r="N1759" s="294">
        <v>65</v>
      </c>
      <c r="O1759" s="170"/>
    </row>
    <row r="1760" ht="16.8" spans="1:15">
      <c r="A1760" s="183" t="str">
        <f>VLOOKUP(F1760,数据集标准分类!A:G,7,0)</f>
        <v>06</v>
      </c>
      <c r="B1760" s="183" t="str">
        <f>VLOOKUP(F1760,数据集标准分类!A:F,6,0)</f>
        <v>护理病历</v>
      </c>
      <c r="C1760" s="183" t="str">
        <f>VLOOKUP(F1760,数据集标准分类!A:E,5,0)</f>
        <v>0611</v>
      </c>
      <c r="D1760" s="183" t="str">
        <f>VLOOKUP(F1760,数据集标准分类!A:D,4,0)</f>
        <v>其他护理文书</v>
      </c>
      <c r="E1760" s="183" t="str">
        <f>VLOOKUP(F1760,数据集标准分类!A:C,3,0)</f>
        <v>061102</v>
      </c>
      <c r="F1760" s="170" t="s">
        <v>3941</v>
      </c>
      <c r="G1760" s="183" t="str">
        <f>VLOOKUP(F1760,数据集标准分类!A:B,2,0)</f>
        <v>spontaneous_childbirth_record</v>
      </c>
      <c r="H1760" s="294">
        <f>VLOOKUP(F1760,数据集标准分类!A:H,8,0)</f>
        <v>121</v>
      </c>
      <c r="I1760" s="170" t="s">
        <v>1994</v>
      </c>
      <c r="J1760" s="170" t="s">
        <v>1995</v>
      </c>
      <c r="K1760" s="170" t="s">
        <v>1996</v>
      </c>
      <c r="L1760" s="170" t="s">
        <v>1997</v>
      </c>
      <c r="M1760" s="170" t="s">
        <v>1998</v>
      </c>
      <c r="N1760" s="294">
        <v>66</v>
      </c>
      <c r="O1760" s="170"/>
    </row>
    <row r="1761" ht="16.8" spans="1:15">
      <c r="A1761" s="183" t="str">
        <f>VLOOKUP(F1761,数据集标准分类!A:G,7,0)</f>
        <v>06</v>
      </c>
      <c r="B1761" s="183" t="str">
        <f>VLOOKUP(F1761,数据集标准分类!A:F,6,0)</f>
        <v>护理病历</v>
      </c>
      <c r="C1761" s="183" t="str">
        <f>VLOOKUP(F1761,数据集标准分类!A:E,5,0)</f>
        <v>0611</v>
      </c>
      <c r="D1761" s="183" t="str">
        <f>VLOOKUP(F1761,数据集标准分类!A:D,4,0)</f>
        <v>其他护理文书</v>
      </c>
      <c r="E1761" s="183" t="str">
        <f>VLOOKUP(F1761,数据集标准分类!A:C,3,0)</f>
        <v>061102</v>
      </c>
      <c r="F1761" s="170" t="s">
        <v>3941</v>
      </c>
      <c r="G1761" s="183" t="str">
        <f>VLOOKUP(F1761,数据集标准分类!A:B,2,0)</f>
        <v>spontaneous_childbirth_record</v>
      </c>
      <c r="H1761" s="294">
        <f>VLOOKUP(F1761,数据集标准分类!A:H,8,0)</f>
        <v>121</v>
      </c>
      <c r="I1761" s="170" t="s">
        <v>1999</v>
      </c>
      <c r="J1761" s="170" t="s">
        <v>2000</v>
      </c>
      <c r="K1761" s="170" t="s">
        <v>2001</v>
      </c>
      <c r="L1761" s="170" t="s">
        <v>2002</v>
      </c>
      <c r="M1761" s="170" t="s">
        <v>2003</v>
      </c>
      <c r="N1761" s="294">
        <v>67</v>
      </c>
      <c r="O1761" s="170"/>
    </row>
    <row r="1762" ht="16.8" spans="1:15">
      <c r="A1762" s="183" t="str">
        <f>VLOOKUP(F1762,数据集标准分类!A:G,7,0)</f>
        <v>06</v>
      </c>
      <c r="B1762" s="183" t="str">
        <f>VLOOKUP(F1762,数据集标准分类!A:F,6,0)</f>
        <v>护理病历</v>
      </c>
      <c r="C1762" s="183" t="str">
        <f>VLOOKUP(F1762,数据集标准分类!A:E,5,0)</f>
        <v>0611</v>
      </c>
      <c r="D1762" s="183" t="str">
        <f>VLOOKUP(F1762,数据集标准分类!A:D,4,0)</f>
        <v>其他护理文书</v>
      </c>
      <c r="E1762" s="183" t="str">
        <f>VLOOKUP(F1762,数据集标准分类!A:C,3,0)</f>
        <v>061103</v>
      </c>
      <c r="F1762" s="170" t="s">
        <v>4133</v>
      </c>
      <c r="G1762" s="183" t="str">
        <f>VLOOKUP(F1762,数据集标准分类!A:B,2,0)</f>
        <v>hvc_use_record</v>
      </c>
      <c r="H1762" s="294">
        <f>VLOOKUP(F1762,数据集标准分类!A:H,8,0)</f>
        <v>122</v>
      </c>
      <c r="I1762" s="170" t="s">
        <v>172</v>
      </c>
      <c r="J1762" s="170" t="s">
        <v>173</v>
      </c>
      <c r="K1762" s="170" t="s">
        <v>174</v>
      </c>
      <c r="L1762" s="170" t="s">
        <v>175</v>
      </c>
      <c r="M1762" s="170" t="s">
        <v>1245</v>
      </c>
      <c r="N1762" s="294">
        <v>1</v>
      </c>
      <c r="O1762" s="170"/>
    </row>
    <row r="1763" ht="16.8" spans="1:15">
      <c r="A1763" s="183" t="str">
        <f>VLOOKUP(F1763,数据集标准分类!A:G,7,0)</f>
        <v>06</v>
      </c>
      <c r="B1763" s="183" t="str">
        <f>VLOOKUP(F1763,数据集标准分类!A:F,6,0)</f>
        <v>护理病历</v>
      </c>
      <c r="C1763" s="183" t="str">
        <f>VLOOKUP(F1763,数据集标准分类!A:E,5,0)</f>
        <v>0611</v>
      </c>
      <c r="D1763" s="183" t="str">
        <f>VLOOKUP(F1763,数据集标准分类!A:D,4,0)</f>
        <v>其他护理文书</v>
      </c>
      <c r="E1763" s="183" t="str">
        <f>VLOOKUP(F1763,数据集标准分类!A:C,3,0)</f>
        <v>061103</v>
      </c>
      <c r="F1763" s="170" t="s">
        <v>4133</v>
      </c>
      <c r="G1763" s="183" t="str">
        <f>VLOOKUP(F1763,数据集标准分类!A:B,2,0)</f>
        <v>hvc_use_record</v>
      </c>
      <c r="H1763" s="294">
        <f>VLOOKUP(F1763,数据集标准分类!A:H,8,0)</f>
        <v>122</v>
      </c>
      <c r="I1763" s="170" t="s">
        <v>1394</v>
      </c>
      <c r="J1763" s="170" t="s">
        <v>1395</v>
      </c>
      <c r="K1763" s="170" t="s">
        <v>1396</v>
      </c>
      <c r="L1763" s="170" t="s">
        <v>1397</v>
      </c>
      <c r="M1763" s="170" t="s">
        <v>1106</v>
      </c>
      <c r="N1763" s="294">
        <v>2</v>
      </c>
      <c r="O1763" s="170"/>
    </row>
    <row r="1764" ht="16.8" spans="1:15">
      <c r="A1764" s="183" t="str">
        <f>VLOOKUP(F1764,数据集标准分类!A:G,7,0)</f>
        <v>06</v>
      </c>
      <c r="B1764" s="183" t="str">
        <f>VLOOKUP(F1764,数据集标准分类!A:F,6,0)</f>
        <v>护理病历</v>
      </c>
      <c r="C1764" s="183" t="str">
        <f>VLOOKUP(F1764,数据集标准分类!A:E,5,0)</f>
        <v>0611</v>
      </c>
      <c r="D1764" s="183" t="str">
        <f>VLOOKUP(F1764,数据集标准分类!A:D,4,0)</f>
        <v>其他护理文书</v>
      </c>
      <c r="E1764" s="183" t="str">
        <f>VLOOKUP(F1764,数据集标准分类!A:C,3,0)</f>
        <v>061103</v>
      </c>
      <c r="F1764" s="170" t="s">
        <v>4133</v>
      </c>
      <c r="G1764" s="183" t="str">
        <f>VLOOKUP(F1764,数据集标准分类!A:B,2,0)</f>
        <v>hvc_use_record</v>
      </c>
      <c r="H1764" s="294">
        <f>VLOOKUP(F1764,数据集标准分类!A:H,8,0)</f>
        <v>122</v>
      </c>
      <c r="I1764" s="170" t="s">
        <v>4134</v>
      </c>
      <c r="J1764" s="170" t="s">
        <v>4135</v>
      </c>
      <c r="K1764" s="170" t="s">
        <v>4136</v>
      </c>
      <c r="L1764" s="170" t="s">
        <v>4137</v>
      </c>
      <c r="M1764" s="170" t="s">
        <v>4138</v>
      </c>
      <c r="N1764" s="294">
        <v>3</v>
      </c>
      <c r="O1764" s="170"/>
    </row>
    <row r="1765" ht="16.8" spans="1:15">
      <c r="A1765" s="183" t="str">
        <f>VLOOKUP(F1765,数据集标准分类!A:G,7,0)</f>
        <v>06</v>
      </c>
      <c r="B1765" s="183" t="str">
        <f>VLOOKUP(F1765,数据集标准分类!A:F,6,0)</f>
        <v>护理病历</v>
      </c>
      <c r="C1765" s="183" t="str">
        <f>VLOOKUP(F1765,数据集标准分类!A:E,5,0)</f>
        <v>0611</v>
      </c>
      <c r="D1765" s="183" t="str">
        <f>VLOOKUP(F1765,数据集标准分类!A:D,4,0)</f>
        <v>其他护理文书</v>
      </c>
      <c r="E1765" s="183" t="str">
        <f>VLOOKUP(F1765,数据集标准分类!A:C,3,0)</f>
        <v>061103</v>
      </c>
      <c r="F1765" s="170" t="s">
        <v>4133</v>
      </c>
      <c r="G1765" s="183" t="str">
        <f>VLOOKUP(F1765,数据集标准分类!A:B,2,0)</f>
        <v>hvc_use_record</v>
      </c>
      <c r="H1765" s="294">
        <f>VLOOKUP(F1765,数据集标准分类!A:H,8,0)</f>
        <v>122</v>
      </c>
      <c r="I1765" s="170" t="s">
        <v>1647</v>
      </c>
      <c r="J1765" s="170" t="s">
        <v>1648</v>
      </c>
      <c r="K1765" s="170" t="s">
        <v>1649</v>
      </c>
      <c r="L1765" s="170" t="s">
        <v>1650</v>
      </c>
      <c r="M1765" s="170" t="s">
        <v>4139</v>
      </c>
      <c r="N1765" s="294">
        <v>4</v>
      </c>
      <c r="O1765" s="170"/>
    </row>
    <row r="1766" ht="16.8" spans="1:15">
      <c r="A1766" s="183" t="str">
        <f>VLOOKUP(F1766,数据集标准分类!A:G,7,0)</f>
        <v>06</v>
      </c>
      <c r="B1766" s="183" t="str">
        <f>VLOOKUP(F1766,数据集标准分类!A:F,6,0)</f>
        <v>护理病历</v>
      </c>
      <c r="C1766" s="183" t="str">
        <f>VLOOKUP(F1766,数据集标准分类!A:E,5,0)</f>
        <v>0611</v>
      </c>
      <c r="D1766" s="183" t="str">
        <f>VLOOKUP(F1766,数据集标准分类!A:D,4,0)</f>
        <v>其他护理文书</v>
      </c>
      <c r="E1766" s="183" t="str">
        <f>VLOOKUP(F1766,数据集标准分类!A:C,3,0)</f>
        <v>061103</v>
      </c>
      <c r="F1766" s="170" t="s">
        <v>4133</v>
      </c>
      <c r="G1766" s="183" t="str">
        <f>VLOOKUP(F1766,数据集标准分类!A:B,2,0)</f>
        <v>hvc_use_record</v>
      </c>
      <c r="H1766" s="294">
        <f>VLOOKUP(F1766,数据集标准分类!A:H,8,0)</f>
        <v>122</v>
      </c>
      <c r="I1766" s="170" t="s">
        <v>4140</v>
      </c>
      <c r="J1766" s="170" t="s">
        <v>4141</v>
      </c>
      <c r="K1766" s="170" t="s">
        <v>4142</v>
      </c>
      <c r="L1766" s="170" t="s">
        <v>4143</v>
      </c>
      <c r="M1766" s="170" t="s">
        <v>4144</v>
      </c>
      <c r="N1766" s="294">
        <v>5</v>
      </c>
      <c r="O1766" s="170"/>
    </row>
    <row r="1767" ht="16.8" spans="1:15">
      <c r="A1767" s="183" t="str">
        <f>VLOOKUP(F1767,数据集标准分类!A:G,7,0)</f>
        <v>06</v>
      </c>
      <c r="B1767" s="183" t="str">
        <f>VLOOKUP(F1767,数据集标准分类!A:F,6,0)</f>
        <v>护理病历</v>
      </c>
      <c r="C1767" s="183" t="str">
        <f>VLOOKUP(F1767,数据集标准分类!A:E,5,0)</f>
        <v>0611</v>
      </c>
      <c r="D1767" s="183" t="str">
        <f>VLOOKUP(F1767,数据集标准分类!A:D,4,0)</f>
        <v>其他护理文书</v>
      </c>
      <c r="E1767" s="183" t="str">
        <f>VLOOKUP(F1767,数据集标准分类!A:C,3,0)</f>
        <v>061103</v>
      </c>
      <c r="F1767" s="170" t="s">
        <v>4133</v>
      </c>
      <c r="G1767" s="183" t="str">
        <f>VLOOKUP(F1767,数据集标准分类!A:B,2,0)</f>
        <v>hvc_use_record</v>
      </c>
      <c r="H1767" s="294">
        <f>VLOOKUP(F1767,数据集标准分类!A:H,8,0)</f>
        <v>122</v>
      </c>
      <c r="I1767" s="170" t="s">
        <v>4145</v>
      </c>
      <c r="J1767" s="170" t="s">
        <v>4146</v>
      </c>
      <c r="K1767" s="170" t="s">
        <v>4147</v>
      </c>
      <c r="L1767" s="170" t="s">
        <v>4148</v>
      </c>
      <c r="M1767" s="170" t="s">
        <v>4149</v>
      </c>
      <c r="N1767" s="294">
        <v>6</v>
      </c>
      <c r="O1767" s="170"/>
    </row>
    <row r="1768" ht="16.8" spans="1:15">
      <c r="A1768" s="183" t="str">
        <f>VLOOKUP(F1768,数据集标准分类!A:G,7,0)</f>
        <v>06</v>
      </c>
      <c r="B1768" s="183" t="str">
        <f>VLOOKUP(F1768,数据集标准分类!A:F,6,0)</f>
        <v>护理病历</v>
      </c>
      <c r="C1768" s="183" t="str">
        <f>VLOOKUP(F1768,数据集标准分类!A:E,5,0)</f>
        <v>0611</v>
      </c>
      <c r="D1768" s="183" t="str">
        <f>VLOOKUP(F1768,数据集标准分类!A:D,4,0)</f>
        <v>其他护理文书</v>
      </c>
      <c r="E1768" s="183" t="str">
        <f>VLOOKUP(F1768,数据集标准分类!A:C,3,0)</f>
        <v>061103</v>
      </c>
      <c r="F1768" s="170" t="s">
        <v>4133</v>
      </c>
      <c r="G1768" s="183" t="str">
        <f>VLOOKUP(F1768,数据集标准分类!A:B,2,0)</f>
        <v>hvc_use_record</v>
      </c>
      <c r="H1768" s="294">
        <f>VLOOKUP(F1768,数据集标准分类!A:H,8,0)</f>
        <v>122</v>
      </c>
      <c r="I1768" s="170" t="s">
        <v>4150</v>
      </c>
      <c r="J1768" s="170" t="s">
        <v>4151</v>
      </c>
      <c r="K1768" s="170" t="s">
        <v>4152</v>
      </c>
      <c r="L1768" s="170" t="s">
        <v>4153</v>
      </c>
      <c r="M1768" s="170" t="s">
        <v>4154</v>
      </c>
      <c r="N1768" s="294">
        <v>7</v>
      </c>
      <c r="O1768" s="170"/>
    </row>
  </sheetData>
  <mergeCells count="1">
    <mergeCell ref="A1:O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数据集标准分类">
    <tabColor rgb="FFFFFFFF"/>
  </sheetPr>
  <dimension ref="A1:AG291"/>
  <sheetViews>
    <sheetView tabSelected="1" zoomScale="110" zoomScaleNormal="110" workbookViewId="0">
      <pane ySplit="1" topLeftCell="A102" activePane="bottomLeft" state="frozen"/>
      <selection/>
      <selection pane="bottomLeft" activeCell="I128" sqref="I128"/>
    </sheetView>
  </sheetViews>
  <sheetFormatPr defaultColWidth="10.3846153846154" defaultRowHeight="16.8"/>
  <cols>
    <col min="1" max="1" width="28.7115384615385" customWidth="1"/>
    <col min="2" max="2" width="29.7115384615385" customWidth="1"/>
    <col min="3" max="3" width="14.7115384615385" customWidth="1"/>
    <col min="4" max="4" width="26.7115384615385" customWidth="1"/>
    <col min="5" max="5" width="13" customWidth="1"/>
    <col min="6" max="6" width="25.6346153846154" customWidth="1"/>
    <col min="7" max="7" width="25.3942307692308" customWidth="1"/>
    <col min="8" max="8" width="23.1634615384615" customWidth="1"/>
    <col min="9" max="33" width="13.7115384615385" customWidth="1"/>
  </cols>
  <sheetData>
    <row r="1" spans="1:33">
      <c r="A1" s="276" t="s">
        <v>4155</v>
      </c>
      <c r="B1" s="276" t="s">
        <v>4156</v>
      </c>
      <c r="C1" s="276" t="s">
        <v>4157</v>
      </c>
      <c r="D1" s="276" t="s">
        <v>4158</v>
      </c>
      <c r="E1" s="276" t="s">
        <v>4159</v>
      </c>
      <c r="F1" s="276" t="s">
        <v>4160</v>
      </c>
      <c r="G1" s="277" t="s">
        <v>4161</v>
      </c>
      <c r="H1" s="277" t="s">
        <v>8</v>
      </c>
      <c r="I1" s="277" t="s">
        <v>4162</v>
      </c>
      <c r="J1" s="277" t="s">
        <v>4163</v>
      </c>
      <c r="K1" s="277" t="s">
        <v>1309</v>
      </c>
      <c r="L1" s="278"/>
      <c r="M1" s="278"/>
      <c r="N1" s="278"/>
      <c r="O1" s="278"/>
      <c r="P1" s="278"/>
      <c r="Q1" s="278"/>
      <c r="R1" s="278"/>
      <c r="S1" s="278"/>
      <c r="T1" s="278"/>
      <c r="U1" s="278"/>
      <c r="V1" s="278"/>
      <c r="W1" s="278"/>
      <c r="X1" s="278"/>
      <c r="Y1" s="278"/>
      <c r="Z1" s="278"/>
      <c r="AA1" s="278"/>
      <c r="AB1" s="278"/>
      <c r="AC1" s="278"/>
      <c r="AD1" s="278"/>
      <c r="AE1" s="278"/>
      <c r="AF1" s="278"/>
      <c r="AG1" s="278"/>
    </row>
    <row r="2" spans="1:33">
      <c r="A2" s="101" t="s">
        <v>16</v>
      </c>
      <c r="B2" s="101" t="s">
        <v>4164</v>
      </c>
      <c r="C2" s="101" t="s">
        <v>4165</v>
      </c>
      <c r="D2" s="101" t="s">
        <v>16</v>
      </c>
      <c r="E2" s="101" t="s">
        <v>4166</v>
      </c>
      <c r="F2" s="101" t="s">
        <v>4167</v>
      </c>
      <c r="G2" s="101" t="s">
        <v>4168</v>
      </c>
      <c r="H2" s="279">
        <f t="shared" ref="H2:H65" si="0">ROW(A2)-1</f>
        <v>1</v>
      </c>
      <c r="I2" s="280"/>
      <c r="J2" s="280"/>
      <c r="K2" s="171"/>
      <c r="L2" s="132"/>
      <c r="M2" s="132"/>
      <c r="N2" s="132"/>
      <c r="O2" s="132"/>
      <c r="P2" s="132"/>
      <c r="Q2" s="132"/>
      <c r="R2" s="132"/>
      <c r="S2" s="132"/>
      <c r="T2" s="132"/>
      <c r="U2" s="132"/>
      <c r="V2" s="132"/>
      <c r="W2" s="132"/>
      <c r="X2" s="132"/>
      <c r="Y2" s="132"/>
      <c r="Z2" s="132"/>
      <c r="AA2" s="132"/>
      <c r="AB2" s="132"/>
      <c r="AC2" s="132"/>
      <c r="AD2" s="132"/>
      <c r="AE2" s="132"/>
      <c r="AF2" s="132"/>
      <c r="AG2" s="132"/>
    </row>
    <row r="3" spans="1:33">
      <c r="A3" s="101" t="s">
        <v>76</v>
      </c>
      <c r="B3" s="101" t="s">
        <v>4169</v>
      </c>
      <c r="C3" s="101" t="s">
        <v>4170</v>
      </c>
      <c r="D3" s="101" t="s">
        <v>16</v>
      </c>
      <c r="E3" s="101" t="s">
        <v>4166</v>
      </c>
      <c r="F3" s="101" t="s">
        <v>4167</v>
      </c>
      <c r="G3" s="101" t="s">
        <v>4168</v>
      </c>
      <c r="H3" s="279">
        <f t="shared" si="0"/>
        <v>2</v>
      </c>
      <c r="I3" s="280"/>
      <c r="J3" s="280"/>
      <c r="K3" s="171"/>
      <c r="L3" s="132"/>
      <c r="M3" s="132"/>
      <c r="N3" s="132"/>
      <c r="O3" s="132"/>
      <c r="P3" s="132"/>
      <c r="Q3" s="132"/>
      <c r="R3" s="132"/>
      <c r="S3" s="132"/>
      <c r="T3" s="132"/>
      <c r="U3" s="132"/>
      <c r="V3" s="132"/>
      <c r="W3" s="132"/>
      <c r="X3" s="132"/>
      <c r="Y3" s="132"/>
      <c r="Z3" s="132"/>
      <c r="AA3" s="132"/>
      <c r="AB3" s="132"/>
      <c r="AC3" s="132"/>
      <c r="AD3" s="132"/>
      <c r="AE3" s="132"/>
      <c r="AF3" s="132"/>
      <c r="AG3" s="132"/>
    </row>
    <row r="4" spans="1:33">
      <c r="A4" s="101" t="s">
        <v>131</v>
      </c>
      <c r="B4" s="101" t="s">
        <v>4171</v>
      </c>
      <c r="C4" s="101" t="s">
        <v>226</v>
      </c>
      <c r="D4" s="101" t="s">
        <v>16</v>
      </c>
      <c r="E4" s="101" t="s">
        <v>4166</v>
      </c>
      <c r="F4" s="101" t="s">
        <v>4167</v>
      </c>
      <c r="G4" s="101" t="s">
        <v>4168</v>
      </c>
      <c r="H4" s="279">
        <f t="shared" si="0"/>
        <v>3</v>
      </c>
      <c r="I4" s="280"/>
      <c r="J4" s="280"/>
      <c r="K4" s="171"/>
      <c r="L4" s="132"/>
      <c r="M4" s="132"/>
      <c r="N4" s="132"/>
      <c r="O4" s="132"/>
      <c r="P4" s="132"/>
      <c r="Q4" s="132"/>
      <c r="R4" s="132"/>
      <c r="S4" s="132"/>
      <c r="T4" s="132"/>
      <c r="U4" s="132"/>
      <c r="V4" s="132"/>
      <c r="W4" s="132"/>
      <c r="X4" s="132"/>
      <c r="Y4" s="132"/>
      <c r="Z4" s="132"/>
      <c r="AA4" s="132"/>
      <c r="AB4" s="132"/>
      <c r="AC4" s="132"/>
      <c r="AD4" s="132"/>
      <c r="AE4" s="132"/>
      <c r="AF4" s="132"/>
      <c r="AG4" s="132"/>
    </row>
    <row r="5" spans="1:33">
      <c r="A5" s="101" t="s">
        <v>238</v>
      </c>
      <c r="B5" s="101" t="s">
        <v>239</v>
      </c>
      <c r="C5" s="101" t="s">
        <v>237</v>
      </c>
      <c r="D5" s="101" t="s">
        <v>4172</v>
      </c>
      <c r="E5" s="101" t="s">
        <v>4173</v>
      </c>
      <c r="F5" s="281" t="s">
        <v>4174</v>
      </c>
      <c r="G5" s="281" t="s">
        <v>4175</v>
      </c>
      <c r="H5" s="279">
        <f t="shared" si="0"/>
        <v>4</v>
      </c>
      <c r="I5" s="280"/>
      <c r="J5" s="280"/>
      <c r="K5" s="171"/>
      <c r="L5" s="132"/>
      <c r="M5" s="132"/>
      <c r="N5" s="132"/>
      <c r="O5" s="132"/>
      <c r="P5" s="132"/>
      <c r="Q5" s="132"/>
      <c r="R5" s="132"/>
      <c r="S5" s="132"/>
      <c r="T5" s="132"/>
      <c r="U5" s="132"/>
      <c r="V5" s="132"/>
      <c r="W5" s="132"/>
      <c r="X5" s="132"/>
      <c r="Y5" s="132"/>
      <c r="Z5" s="132"/>
      <c r="AA5" s="132"/>
      <c r="AB5" s="132"/>
      <c r="AC5" s="132"/>
      <c r="AD5" s="132"/>
      <c r="AE5" s="132"/>
      <c r="AF5" s="132"/>
      <c r="AG5" s="132"/>
    </row>
    <row r="6" spans="1:33">
      <c r="A6" s="101" t="s">
        <v>563</v>
      </c>
      <c r="B6" s="101" t="s">
        <v>4176</v>
      </c>
      <c r="C6" s="101" t="s">
        <v>4177</v>
      </c>
      <c r="D6" s="101" t="s">
        <v>4172</v>
      </c>
      <c r="E6" s="101" t="s">
        <v>4173</v>
      </c>
      <c r="F6" s="281" t="s">
        <v>4174</v>
      </c>
      <c r="G6" s="281" t="s">
        <v>4175</v>
      </c>
      <c r="H6" s="279">
        <f t="shared" si="0"/>
        <v>5</v>
      </c>
      <c r="I6" s="280"/>
      <c r="J6" s="280"/>
      <c r="K6" s="171"/>
      <c r="L6" s="132"/>
      <c r="M6" s="132"/>
      <c r="N6" s="132"/>
      <c r="O6" s="132"/>
      <c r="P6" s="132"/>
      <c r="Q6" s="132"/>
      <c r="R6" s="132"/>
      <c r="S6" s="132"/>
      <c r="T6" s="132"/>
      <c r="U6" s="132"/>
      <c r="V6" s="132"/>
      <c r="W6" s="132"/>
      <c r="X6" s="132"/>
      <c r="Y6" s="132"/>
      <c r="Z6" s="132"/>
      <c r="AA6" s="132"/>
      <c r="AB6" s="132"/>
      <c r="AC6" s="132"/>
      <c r="AD6" s="132"/>
      <c r="AE6" s="132"/>
      <c r="AF6" s="132"/>
      <c r="AG6" s="132"/>
    </row>
    <row r="7" spans="1:33">
      <c r="A7" s="101" t="s">
        <v>4178</v>
      </c>
      <c r="B7" s="101" t="s">
        <v>4179</v>
      </c>
      <c r="C7" s="101" t="s">
        <v>4180</v>
      </c>
      <c r="D7" s="101" t="s">
        <v>4172</v>
      </c>
      <c r="E7" s="101" t="s">
        <v>4173</v>
      </c>
      <c r="F7" s="281" t="s">
        <v>4174</v>
      </c>
      <c r="G7" s="281" t="s">
        <v>4175</v>
      </c>
      <c r="H7" s="279">
        <f t="shared" si="0"/>
        <v>6</v>
      </c>
      <c r="I7" s="280"/>
      <c r="J7" s="280"/>
      <c r="K7" s="171"/>
      <c r="L7" s="132"/>
      <c r="M7" s="132"/>
      <c r="N7" s="132"/>
      <c r="O7" s="132"/>
      <c r="P7" s="132"/>
      <c r="Q7" s="132"/>
      <c r="R7" s="132"/>
      <c r="S7" s="132"/>
      <c r="T7" s="132"/>
      <c r="U7" s="132"/>
      <c r="V7" s="132"/>
      <c r="W7" s="132"/>
      <c r="X7" s="132"/>
      <c r="Y7" s="132"/>
      <c r="Z7" s="132"/>
      <c r="AA7" s="132"/>
      <c r="AB7" s="132"/>
      <c r="AC7" s="132"/>
      <c r="AD7" s="132"/>
      <c r="AE7" s="132"/>
      <c r="AF7" s="132"/>
      <c r="AG7" s="132"/>
    </row>
    <row r="8" spans="1:33">
      <c r="A8" s="101" t="s">
        <v>662</v>
      </c>
      <c r="B8" s="101" t="s">
        <v>4181</v>
      </c>
      <c r="C8" s="101" t="s">
        <v>4182</v>
      </c>
      <c r="D8" s="101" t="s">
        <v>662</v>
      </c>
      <c r="E8" s="101" t="s">
        <v>4183</v>
      </c>
      <c r="F8" s="281" t="s">
        <v>4174</v>
      </c>
      <c r="G8" s="281" t="s">
        <v>4175</v>
      </c>
      <c r="H8" s="279">
        <f t="shared" si="0"/>
        <v>7</v>
      </c>
      <c r="I8" s="280"/>
      <c r="J8" s="280"/>
      <c r="K8" s="171"/>
      <c r="L8" s="132"/>
      <c r="M8" s="132"/>
      <c r="N8" s="132"/>
      <c r="O8" s="132"/>
      <c r="P8" s="132"/>
      <c r="Q8" s="132"/>
      <c r="R8" s="132"/>
      <c r="S8" s="132"/>
      <c r="T8" s="132"/>
      <c r="U8" s="132"/>
      <c r="V8" s="132"/>
      <c r="W8" s="132"/>
      <c r="X8" s="132"/>
      <c r="Y8" s="132"/>
      <c r="Z8" s="132"/>
      <c r="AA8" s="132"/>
      <c r="AB8" s="132"/>
      <c r="AC8" s="132"/>
      <c r="AD8" s="132"/>
      <c r="AE8" s="132"/>
      <c r="AF8" s="132"/>
      <c r="AG8" s="132"/>
    </row>
    <row r="9" spans="1:33">
      <c r="A9" s="101" t="s">
        <v>923</v>
      </c>
      <c r="B9" s="101" t="s">
        <v>4184</v>
      </c>
      <c r="C9" s="101" t="s">
        <v>4185</v>
      </c>
      <c r="D9" s="101" t="s">
        <v>662</v>
      </c>
      <c r="E9" s="101" t="s">
        <v>4183</v>
      </c>
      <c r="F9" s="281" t="s">
        <v>4174</v>
      </c>
      <c r="G9" s="281" t="s">
        <v>4175</v>
      </c>
      <c r="H9" s="279">
        <f t="shared" si="0"/>
        <v>8</v>
      </c>
      <c r="I9" s="280"/>
      <c r="J9" s="280"/>
      <c r="K9" s="171"/>
      <c r="L9" s="132"/>
      <c r="M9" s="132"/>
      <c r="N9" s="132"/>
      <c r="O9" s="132"/>
      <c r="P9" s="132"/>
      <c r="Q9" s="132"/>
      <c r="R9" s="132"/>
      <c r="S9" s="132"/>
      <c r="T9" s="132"/>
      <c r="U9" s="132"/>
      <c r="V9" s="132"/>
      <c r="W9" s="132"/>
      <c r="X9" s="132"/>
      <c r="Y9" s="132"/>
      <c r="Z9" s="132"/>
      <c r="AA9" s="132"/>
      <c r="AB9" s="132"/>
      <c r="AC9" s="132"/>
      <c r="AD9" s="132"/>
      <c r="AE9" s="132"/>
      <c r="AF9" s="132"/>
      <c r="AG9" s="132"/>
    </row>
    <row r="10" spans="1:33">
      <c r="A10" s="101" t="s">
        <v>1016</v>
      </c>
      <c r="B10" s="101" t="s">
        <v>4186</v>
      </c>
      <c r="C10" s="101" t="s">
        <v>4187</v>
      </c>
      <c r="D10" s="101" t="s">
        <v>662</v>
      </c>
      <c r="E10" s="101" t="s">
        <v>4183</v>
      </c>
      <c r="F10" s="281" t="s">
        <v>4174</v>
      </c>
      <c r="G10" s="281" t="s">
        <v>4175</v>
      </c>
      <c r="H10" s="279">
        <f t="shared" si="0"/>
        <v>9</v>
      </c>
      <c r="I10" s="280"/>
      <c r="J10" s="280"/>
      <c r="K10" s="171"/>
      <c r="L10" s="132"/>
      <c r="M10" s="132"/>
      <c r="N10" s="132"/>
      <c r="O10" s="132"/>
      <c r="P10" s="132"/>
      <c r="Q10" s="132"/>
      <c r="R10" s="132"/>
      <c r="S10" s="132"/>
      <c r="T10" s="132"/>
      <c r="U10" s="132"/>
      <c r="V10" s="132"/>
      <c r="W10" s="132"/>
      <c r="X10" s="132"/>
      <c r="Y10" s="132"/>
      <c r="Z10" s="132"/>
      <c r="AA10" s="132"/>
      <c r="AB10" s="132"/>
      <c r="AC10" s="132"/>
      <c r="AD10" s="132"/>
      <c r="AE10" s="132"/>
      <c r="AF10" s="132"/>
      <c r="AG10" s="132"/>
    </row>
    <row r="11" spans="1:33">
      <c r="A11" s="101" t="s">
        <v>1057</v>
      </c>
      <c r="B11" s="101" t="s">
        <v>4188</v>
      </c>
      <c r="C11" s="101" t="s">
        <v>4189</v>
      </c>
      <c r="D11" s="281" t="s">
        <v>4190</v>
      </c>
      <c r="E11" s="281" t="s">
        <v>4191</v>
      </c>
      <c r="F11" s="281" t="s">
        <v>4174</v>
      </c>
      <c r="G11" s="281" t="s">
        <v>4175</v>
      </c>
      <c r="H11" s="279">
        <f t="shared" si="0"/>
        <v>10</v>
      </c>
      <c r="I11" s="280"/>
      <c r="J11" s="280"/>
      <c r="K11" s="171"/>
      <c r="L11" s="132"/>
      <c r="M11" s="132"/>
      <c r="N11" s="132"/>
      <c r="O11" s="132"/>
      <c r="P11" s="132"/>
      <c r="Q11" s="132"/>
      <c r="R11" s="132"/>
      <c r="S11" s="132"/>
      <c r="T11" s="132"/>
      <c r="U11" s="132"/>
      <c r="V11" s="132"/>
      <c r="W11" s="132"/>
      <c r="X11" s="132"/>
      <c r="Y11" s="132"/>
      <c r="Z11" s="132"/>
      <c r="AA11" s="132"/>
      <c r="AB11" s="132"/>
      <c r="AC11" s="132"/>
      <c r="AD11" s="132"/>
      <c r="AE11" s="132"/>
      <c r="AF11" s="132"/>
      <c r="AG11" s="132"/>
    </row>
    <row r="12" spans="1:33">
      <c r="A12" s="101" t="s">
        <v>1096</v>
      </c>
      <c r="B12" s="101" t="s">
        <v>4192</v>
      </c>
      <c r="C12" s="101" t="s">
        <v>4193</v>
      </c>
      <c r="D12" s="281" t="s">
        <v>4190</v>
      </c>
      <c r="E12" s="281" t="s">
        <v>4191</v>
      </c>
      <c r="F12" s="281" t="s">
        <v>4174</v>
      </c>
      <c r="G12" s="281" t="s">
        <v>4175</v>
      </c>
      <c r="H12" s="279">
        <f t="shared" si="0"/>
        <v>11</v>
      </c>
      <c r="I12" s="280"/>
      <c r="J12" s="280"/>
      <c r="K12" s="171"/>
      <c r="L12" s="132"/>
      <c r="M12" s="132"/>
      <c r="N12" s="132"/>
      <c r="O12" s="132"/>
      <c r="P12" s="132"/>
      <c r="Q12" s="132"/>
      <c r="R12" s="132"/>
      <c r="S12" s="132"/>
      <c r="T12" s="132"/>
      <c r="U12" s="132"/>
      <c r="V12" s="132"/>
      <c r="W12" s="132"/>
      <c r="X12" s="132"/>
      <c r="Y12" s="132"/>
      <c r="Z12" s="132"/>
      <c r="AA12" s="132"/>
      <c r="AB12" s="132"/>
      <c r="AC12" s="132"/>
      <c r="AD12" s="132"/>
      <c r="AE12" s="132"/>
      <c r="AF12" s="132"/>
      <c r="AG12" s="132"/>
    </row>
    <row r="13" spans="1:33">
      <c r="A13" s="101" t="s">
        <v>1125</v>
      </c>
      <c r="B13" s="101" t="s">
        <v>4194</v>
      </c>
      <c r="C13" s="101" t="s">
        <v>4195</v>
      </c>
      <c r="D13" s="281" t="s">
        <v>4190</v>
      </c>
      <c r="E13" s="281" t="s">
        <v>4191</v>
      </c>
      <c r="F13" s="281" t="s">
        <v>4174</v>
      </c>
      <c r="G13" s="281" t="s">
        <v>4175</v>
      </c>
      <c r="H13" s="279">
        <f t="shared" si="0"/>
        <v>12</v>
      </c>
      <c r="I13" s="280"/>
      <c r="J13" s="280"/>
      <c r="K13" s="171"/>
      <c r="L13" s="132"/>
      <c r="M13" s="132"/>
      <c r="N13" s="132"/>
      <c r="O13" s="132"/>
      <c r="P13" s="132"/>
      <c r="Q13" s="132"/>
      <c r="R13" s="132"/>
      <c r="S13" s="132"/>
      <c r="T13" s="132"/>
      <c r="U13" s="132"/>
      <c r="V13" s="132"/>
      <c r="W13" s="132"/>
      <c r="X13" s="132"/>
      <c r="Y13" s="132"/>
      <c r="Z13" s="132"/>
      <c r="AA13" s="132"/>
      <c r="AB13" s="132"/>
      <c r="AC13" s="132"/>
      <c r="AD13" s="132"/>
      <c r="AE13" s="132"/>
      <c r="AF13" s="132"/>
      <c r="AG13" s="132"/>
    </row>
    <row r="14" spans="1:33">
      <c r="A14" s="101" t="s">
        <v>1138</v>
      </c>
      <c r="B14" s="101" t="s">
        <v>4196</v>
      </c>
      <c r="C14" s="101" t="s">
        <v>4197</v>
      </c>
      <c r="D14" s="281" t="s">
        <v>4190</v>
      </c>
      <c r="E14" s="281" t="s">
        <v>4191</v>
      </c>
      <c r="F14" s="281" t="s">
        <v>4174</v>
      </c>
      <c r="G14" s="281" t="s">
        <v>4175</v>
      </c>
      <c r="H14" s="279">
        <f t="shared" si="0"/>
        <v>13</v>
      </c>
      <c r="I14" s="280"/>
      <c r="J14" s="280"/>
      <c r="K14" s="171"/>
      <c r="L14" s="132"/>
      <c r="M14" s="132"/>
      <c r="N14" s="132"/>
      <c r="O14" s="132"/>
      <c r="P14" s="132"/>
      <c r="Q14" s="132"/>
      <c r="R14" s="132"/>
      <c r="S14" s="132"/>
      <c r="T14" s="132"/>
      <c r="U14" s="132"/>
      <c r="V14" s="132"/>
      <c r="W14" s="132"/>
      <c r="X14" s="132"/>
      <c r="Y14" s="132"/>
      <c r="Z14" s="132"/>
      <c r="AA14" s="132"/>
      <c r="AB14" s="132"/>
      <c r="AC14" s="132"/>
      <c r="AD14" s="132"/>
      <c r="AE14" s="132"/>
      <c r="AF14" s="132"/>
      <c r="AG14" s="132"/>
    </row>
    <row r="15" spans="1:33">
      <c r="A15" s="101" t="s">
        <v>1171</v>
      </c>
      <c r="B15" s="101" t="s">
        <v>4198</v>
      </c>
      <c r="C15" s="101" t="s">
        <v>4199</v>
      </c>
      <c r="D15" s="281" t="s">
        <v>4190</v>
      </c>
      <c r="E15" s="281" t="s">
        <v>4191</v>
      </c>
      <c r="F15" s="281" t="s">
        <v>4174</v>
      </c>
      <c r="G15" s="281" t="s">
        <v>4175</v>
      </c>
      <c r="H15" s="279">
        <f t="shared" si="0"/>
        <v>14</v>
      </c>
      <c r="I15" s="280"/>
      <c r="J15" s="280"/>
      <c r="K15" s="171"/>
      <c r="L15" s="132"/>
      <c r="M15" s="132"/>
      <c r="N15" s="132"/>
      <c r="O15" s="132"/>
      <c r="P15" s="132"/>
      <c r="Q15" s="132"/>
      <c r="R15" s="132"/>
      <c r="S15" s="132"/>
      <c r="T15" s="132"/>
      <c r="U15" s="132"/>
      <c r="V15" s="132"/>
      <c r="W15" s="132"/>
      <c r="X15" s="132"/>
      <c r="Y15" s="132"/>
      <c r="Z15" s="132"/>
      <c r="AA15" s="132"/>
      <c r="AB15" s="132"/>
      <c r="AC15" s="132"/>
      <c r="AD15" s="132"/>
      <c r="AE15" s="132"/>
      <c r="AF15" s="132"/>
      <c r="AG15" s="132"/>
    </row>
    <row r="16" spans="1:33">
      <c r="A16" s="101" t="s">
        <v>1214</v>
      </c>
      <c r="B16" s="101" t="s">
        <v>4200</v>
      </c>
      <c r="C16" s="101" t="s">
        <v>4201</v>
      </c>
      <c r="D16" s="281" t="s">
        <v>4190</v>
      </c>
      <c r="E16" s="281" t="s">
        <v>4191</v>
      </c>
      <c r="F16" s="281" t="s">
        <v>4174</v>
      </c>
      <c r="G16" s="281" t="s">
        <v>4175</v>
      </c>
      <c r="H16" s="279">
        <f t="shared" si="0"/>
        <v>15</v>
      </c>
      <c r="I16" s="280"/>
      <c r="J16" s="280"/>
      <c r="K16" s="171"/>
      <c r="L16" s="132"/>
      <c r="M16" s="132"/>
      <c r="N16" s="132"/>
      <c r="O16" s="132"/>
      <c r="P16" s="132"/>
      <c r="Q16" s="132"/>
      <c r="R16" s="132"/>
      <c r="S16" s="132"/>
      <c r="T16" s="132"/>
      <c r="U16" s="132"/>
      <c r="V16" s="132"/>
      <c r="W16" s="132"/>
      <c r="X16" s="132"/>
      <c r="Y16" s="132"/>
      <c r="Z16" s="132"/>
      <c r="AA16" s="132"/>
      <c r="AB16" s="132"/>
      <c r="AC16" s="132"/>
      <c r="AD16" s="132"/>
      <c r="AE16" s="132"/>
      <c r="AF16" s="132"/>
      <c r="AG16" s="132"/>
    </row>
    <row r="17" spans="1:33">
      <c r="A17" s="101" t="s">
        <v>1224</v>
      </c>
      <c r="B17" s="101" t="s">
        <v>4202</v>
      </c>
      <c r="C17" s="101" t="s">
        <v>4203</v>
      </c>
      <c r="D17" s="281" t="s">
        <v>4190</v>
      </c>
      <c r="E17" s="281" t="s">
        <v>4191</v>
      </c>
      <c r="F17" s="281" t="s">
        <v>4174</v>
      </c>
      <c r="G17" s="281" t="s">
        <v>4175</v>
      </c>
      <c r="H17" s="279">
        <f t="shared" si="0"/>
        <v>16</v>
      </c>
      <c r="I17" s="280"/>
      <c r="J17" s="280"/>
      <c r="K17" s="171"/>
      <c r="L17" s="132"/>
      <c r="M17" s="132"/>
      <c r="N17" s="132"/>
      <c r="O17" s="132"/>
      <c r="P17" s="132"/>
      <c r="Q17" s="132"/>
      <c r="R17" s="132"/>
      <c r="S17" s="132"/>
      <c r="T17" s="132"/>
      <c r="U17" s="132"/>
      <c r="V17" s="132"/>
      <c r="W17" s="132"/>
      <c r="X17" s="132"/>
      <c r="Y17" s="132"/>
      <c r="Z17" s="132"/>
      <c r="AA17" s="132"/>
      <c r="AB17" s="132"/>
      <c r="AC17" s="132"/>
      <c r="AD17" s="132"/>
      <c r="AE17" s="132"/>
      <c r="AF17" s="132"/>
      <c r="AG17" s="132"/>
    </row>
    <row r="18" spans="1:33">
      <c r="A18" s="101" t="s">
        <v>1239</v>
      </c>
      <c r="B18" s="101" t="s">
        <v>4204</v>
      </c>
      <c r="C18" s="101" t="s">
        <v>4205</v>
      </c>
      <c r="D18" s="281" t="s">
        <v>4190</v>
      </c>
      <c r="E18" s="281" t="s">
        <v>4191</v>
      </c>
      <c r="F18" s="281" t="s">
        <v>4174</v>
      </c>
      <c r="G18" s="281" t="s">
        <v>4175</v>
      </c>
      <c r="H18" s="279">
        <f t="shared" si="0"/>
        <v>17</v>
      </c>
      <c r="I18" s="280"/>
      <c r="J18" s="280"/>
      <c r="K18" s="171"/>
      <c r="L18" s="132"/>
      <c r="M18" s="132"/>
      <c r="N18" s="132"/>
      <c r="O18" s="132"/>
      <c r="P18" s="132"/>
      <c r="Q18" s="132"/>
      <c r="R18" s="132"/>
      <c r="S18" s="132"/>
      <c r="T18" s="132"/>
      <c r="U18" s="132"/>
      <c r="V18" s="132"/>
      <c r="W18" s="132"/>
      <c r="X18" s="132"/>
      <c r="Y18" s="132"/>
      <c r="Z18" s="132"/>
      <c r="AA18" s="132"/>
      <c r="AB18" s="132"/>
      <c r="AC18" s="132"/>
      <c r="AD18" s="132"/>
      <c r="AE18" s="132"/>
      <c r="AF18" s="132"/>
      <c r="AG18" s="132"/>
    </row>
    <row r="19" spans="1:33">
      <c r="A19" s="101" t="s">
        <v>1322</v>
      </c>
      <c r="B19" s="101" t="s">
        <v>4206</v>
      </c>
      <c r="C19" s="101" t="s">
        <v>4207</v>
      </c>
      <c r="D19" s="281" t="s">
        <v>4190</v>
      </c>
      <c r="E19" s="281" t="s">
        <v>4191</v>
      </c>
      <c r="F19" s="281" t="s">
        <v>4174</v>
      </c>
      <c r="G19" s="281" t="s">
        <v>4175</v>
      </c>
      <c r="H19" s="279">
        <f t="shared" si="0"/>
        <v>18</v>
      </c>
      <c r="I19" s="280"/>
      <c r="J19" s="280"/>
      <c r="K19" s="171"/>
      <c r="L19" s="132"/>
      <c r="M19" s="132"/>
      <c r="N19" s="132"/>
      <c r="O19" s="132"/>
      <c r="P19" s="132"/>
      <c r="Q19" s="132"/>
      <c r="R19" s="132"/>
      <c r="S19" s="132"/>
      <c r="T19" s="132"/>
      <c r="U19" s="132"/>
      <c r="V19" s="132"/>
      <c r="W19" s="132"/>
      <c r="X19" s="132"/>
      <c r="Y19" s="132"/>
      <c r="Z19" s="132"/>
      <c r="AA19" s="132"/>
      <c r="AB19" s="132"/>
      <c r="AC19" s="132"/>
      <c r="AD19" s="132"/>
      <c r="AE19" s="132"/>
      <c r="AF19" s="132"/>
      <c r="AG19" s="132"/>
    </row>
    <row r="20" spans="1:33">
      <c r="A20" s="101" t="s">
        <v>1403</v>
      </c>
      <c r="B20" s="101" t="s">
        <v>4208</v>
      </c>
      <c r="C20" s="101" t="s">
        <v>4209</v>
      </c>
      <c r="D20" s="281" t="s">
        <v>4190</v>
      </c>
      <c r="E20" s="281" t="s">
        <v>4191</v>
      </c>
      <c r="F20" s="281" t="s">
        <v>4174</v>
      </c>
      <c r="G20" s="281" t="s">
        <v>4175</v>
      </c>
      <c r="H20" s="279">
        <f t="shared" si="0"/>
        <v>19</v>
      </c>
      <c r="I20" s="280"/>
      <c r="J20" s="280"/>
      <c r="K20" s="171"/>
      <c r="L20" s="132"/>
      <c r="M20" s="132"/>
      <c r="N20" s="132"/>
      <c r="O20" s="132"/>
      <c r="P20" s="132"/>
      <c r="Q20" s="132"/>
      <c r="R20" s="132"/>
      <c r="S20" s="132"/>
      <c r="T20" s="132"/>
      <c r="U20" s="132"/>
      <c r="V20" s="132"/>
      <c r="W20" s="132"/>
      <c r="X20" s="132"/>
      <c r="Y20" s="132"/>
      <c r="Z20" s="132"/>
      <c r="AA20" s="132"/>
      <c r="AB20" s="132"/>
      <c r="AC20" s="132"/>
      <c r="AD20" s="132"/>
      <c r="AE20" s="132"/>
      <c r="AF20" s="132"/>
      <c r="AG20" s="132"/>
    </row>
    <row r="21" spans="1:33">
      <c r="A21" s="101" t="s">
        <v>1423</v>
      </c>
      <c r="B21" s="101" t="s">
        <v>4210</v>
      </c>
      <c r="C21" s="101" t="s">
        <v>4211</v>
      </c>
      <c r="D21" s="281" t="s">
        <v>4190</v>
      </c>
      <c r="E21" s="281" t="s">
        <v>4191</v>
      </c>
      <c r="F21" s="281" t="s">
        <v>4174</v>
      </c>
      <c r="G21" s="281" t="s">
        <v>4175</v>
      </c>
      <c r="H21" s="279">
        <f t="shared" si="0"/>
        <v>20</v>
      </c>
      <c r="I21" s="280"/>
      <c r="J21" s="280"/>
      <c r="K21" s="171"/>
      <c r="L21" s="132"/>
      <c r="M21" s="132"/>
      <c r="N21" s="132"/>
      <c r="O21" s="132"/>
      <c r="P21" s="132"/>
      <c r="Q21" s="132"/>
      <c r="R21" s="132"/>
      <c r="S21" s="132"/>
      <c r="T21" s="132"/>
      <c r="U21" s="132"/>
      <c r="V21" s="132"/>
      <c r="W21" s="132"/>
      <c r="X21" s="132"/>
      <c r="Y21" s="132"/>
      <c r="Z21" s="132"/>
      <c r="AA21" s="132"/>
      <c r="AB21" s="132"/>
      <c r="AC21" s="132"/>
      <c r="AD21" s="132"/>
      <c r="AE21" s="132"/>
      <c r="AF21" s="132"/>
      <c r="AG21" s="132"/>
    </row>
    <row r="22" spans="1:33">
      <c r="A22" s="101" t="s">
        <v>1450</v>
      </c>
      <c r="B22" s="101" t="s">
        <v>4212</v>
      </c>
      <c r="C22" s="101" t="s">
        <v>4213</v>
      </c>
      <c r="D22" s="281" t="s">
        <v>4190</v>
      </c>
      <c r="E22" s="281" t="s">
        <v>4191</v>
      </c>
      <c r="F22" s="281" t="s">
        <v>4174</v>
      </c>
      <c r="G22" s="281" t="s">
        <v>4175</v>
      </c>
      <c r="H22" s="279">
        <f t="shared" si="0"/>
        <v>21</v>
      </c>
      <c r="I22" s="280"/>
      <c r="J22" s="280"/>
      <c r="K22" s="171"/>
      <c r="L22" s="132"/>
      <c r="M22" s="132"/>
      <c r="N22" s="132"/>
      <c r="O22" s="132"/>
      <c r="P22" s="132"/>
      <c r="Q22" s="132"/>
      <c r="R22" s="132"/>
      <c r="S22" s="132"/>
      <c r="T22" s="132"/>
      <c r="U22" s="132"/>
      <c r="V22" s="132"/>
      <c r="W22" s="132"/>
      <c r="X22" s="132"/>
      <c r="Y22" s="132"/>
      <c r="Z22" s="132"/>
      <c r="AA22" s="132"/>
      <c r="AB22" s="132"/>
      <c r="AC22" s="132"/>
      <c r="AD22" s="132"/>
      <c r="AE22" s="132"/>
      <c r="AF22" s="132"/>
      <c r="AG22" s="132"/>
    </row>
    <row r="23" spans="1:33">
      <c r="A23" s="101" t="s">
        <v>1495</v>
      </c>
      <c r="B23" s="101" t="s">
        <v>4214</v>
      </c>
      <c r="C23" s="101" t="s">
        <v>4215</v>
      </c>
      <c r="D23" s="281" t="s">
        <v>4190</v>
      </c>
      <c r="E23" s="281" t="s">
        <v>4191</v>
      </c>
      <c r="F23" s="281" t="s">
        <v>4174</v>
      </c>
      <c r="G23" s="281" t="s">
        <v>4175</v>
      </c>
      <c r="H23" s="279">
        <f t="shared" si="0"/>
        <v>22</v>
      </c>
      <c r="I23" s="280"/>
      <c r="J23" s="280"/>
      <c r="K23" s="171"/>
      <c r="L23" s="132"/>
      <c r="M23" s="132"/>
      <c r="N23" s="132"/>
      <c r="O23" s="132"/>
      <c r="P23" s="132"/>
      <c r="Q23" s="132"/>
      <c r="R23" s="132"/>
      <c r="S23" s="132"/>
      <c r="T23" s="132"/>
      <c r="U23" s="132"/>
      <c r="V23" s="132"/>
      <c r="W23" s="132"/>
      <c r="X23" s="132"/>
      <c r="Y23" s="132"/>
      <c r="Z23" s="132"/>
      <c r="AA23" s="132"/>
      <c r="AB23" s="132"/>
      <c r="AC23" s="132"/>
      <c r="AD23" s="132"/>
      <c r="AE23" s="132"/>
      <c r="AF23" s="132"/>
      <c r="AG23" s="132"/>
    </row>
    <row r="24" spans="1:33">
      <c r="A24" s="101" t="s">
        <v>1508</v>
      </c>
      <c r="B24" s="101" t="s">
        <v>4216</v>
      </c>
      <c r="C24" s="101" t="s">
        <v>4217</v>
      </c>
      <c r="D24" s="101" t="s">
        <v>1508</v>
      </c>
      <c r="E24" s="101" t="s">
        <v>4218</v>
      </c>
      <c r="F24" s="281" t="s">
        <v>4174</v>
      </c>
      <c r="G24" s="281" t="s">
        <v>4175</v>
      </c>
      <c r="H24" s="279">
        <f t="shared" si="0"/>
        <v>23</v>
      </c>
      <c r="I24" s="280"/>
      <c r="J24" s="280"/>
      <c r="K24" s="171"/>
      <c r="L24" s="132"/>
      <c r="M24" s="132"/>
      <c r="N24" s="132"/>
      <c r="O24" s="132"/>
      <c r="P24" s="132"/>
      <c r="Q24" s="132"/>
      <c r="R24" s="132"/>
      <c r="S24" s="132"/>
      <c r="T24" s="132"/>
      <c r="U24" s="132"/>
      <c r="V24" s="132"/>
      <c r="W24" s="132"/>
      <c r="X24" s="132"/>
      <c r="Y24" s="132"/>
      <c r="Z24" s="132"/>
      <c r="AA24" s="132"/>
      <c r="AB24" s="132"/>
      <c r="AC24" s="132"/>
      <c r="AD24" s="132"/>
      <c r="AE24" s="132"/>
      <c r="AF24" s="132"/>
      <c r="AG24" s="132"/>
    </row>
    <row r="25" spans="1:33">
      <c r="A25" s="101" t="s">
        <v>1560</v>
      </c>
      <c r="B25" s="101" t="s">
        <v>4219</v>
      </c>
      <c r="C25" s="101" t="s">
        <v>1563</v>
      </c>
      <c r="D25" s="101" t="s">
        <v>1560</v>
      </c>
      <c r="E25" s="101" t="s">
        <v>4220</v>
      </c>
      <c r="F25" s="281" t="s">
        <v>4174</v>
      </c>
      <c r="G25" s="281" t="s">
        <v>4175</v>
      </c>
      <c r="H25" s="279">
        <f t="shared" si="0"/>
        <v>24</v>
      </c>
      <c r="I25" s="280"/>
      <c r="J25" s="280"/>
      <c r="K25" s="171"/>
      <c r="L25" s="132"/>
      <c r="M25" s="132"/>
      <c r="N25" s="132"/>
      <c r="O25" s="132"/>
      <c r="P25" s="132"/>
      <c r="Q25" s="132"/>
      <c r="R25" s="132"/>
      <c r="S25" s="132"/>
      <c r="T25" s="132"/>
      <c r="U25" s="132"/>
      <c r="V25" s="132"/>
      <c r="W25" s="132"/>
      <c r="X25" s="132"/>
      <c r="Y25" s="132"/>
      <c r="Z25" s="132"/>
      <c r="AA25" s="132"/>
      <c r="AB25" s="132"/>
      <c r="AC25" s="132"/>
      <c r="AD25" s="132"/>
      <c r="AE25" s="132"/>
      <c r="AF25" s="132"/>
      <c r="AG25" s="132"/>
    </row>
    <row r="26" spans="1:33">
      <c r="A26" s="101" t="s">
        <v>1571</v>
      </c>
      <c r="B26" s="101" t="s">
        <v>4221</v>
      </c>
      <c r="C26" s="101" t="s">
        <v>4222</v>
      </c>
      <c r="D26" s="101" t="s">
        <v>1560</v>
      </c>
      <c r="E26" s="101" t="s">
        <v>4220</v>
      </c>
      <c r="F26" s="281" t="s">
        <v>4174</v>
      </c>
      <c r="G26" s="281" t="s">
        <v>4175</v>
      </c>
      <c r="H26" s="279">
        <f t="shared" si="0"/>
        <v>25</v>
      </c>
      <c r="I26" s="280"/>
      <c r="J26" s="280"/>
      <c r="K26" s="171"/>
      <c r="L26" s="132"/>
      <c r="M26" s="132"/>
      <c r="N26" s="132"/>
      <c r="O26" s="132"/>
      <c r="P26" s="132"/>
      <c r="Q26" s="132"/>
      <c r="R26" s="132"/>
      <c r="S26" s="132"/>
      <c r="T26" s="132"/>
      <c r="U26" s="132"/>
      <c r="V26" s="132"/>
      <c r="W26" s="132"/>
      <c r="X26" s="132"/>
      <c r="Y26" s="132"/>
      <c r="Z26" s="132"/>
      <c r="AA26" s="132"/>
      <c r="AB26" s="132"/>
      <c r="AC26" s="132"/>
      <c r="AD26" s="132"/>
      <c r="AE26" s="132"/>
      <c r="AF26" s="132"/>
      <c r="AG26" s="132"/>
    </row>
    <row r="27" spans="1:33">
      <c r="A27" s="101" t="s">
        <v>1576</v>
      </c>
      <c r="B27" s="101" t="s">
        <v>4223</v>
      </c>
      <c r="C27" s="101" t="s">
        <v>4224</v>
      </c>
      <c r="D27" s="101" t="s">
        <v>1560</v>
      </c>
      <c r="E27" s="101" t="s">
        <v>4220</v>
      </c>
      <c r="F27" s="281" t="s">
        <v>4174</v>
      </c>
      <c r="G27" s="281" t="s">
        <v>4175</v>
      </c>
      <c r="H27" s="279">
        <f t="shared" si="0"/>
        <v>26</v>
      </c>
      <c r="I27" s="280"/>
      <c r="J27" s="280"/>
      <c r="K27" s="171"/>
      <c r="L27" s="132"/>
      <c r="M27" s="132"/>
      <c r="N27" s="132"/>
      <c r="O27" s="132"/>
      <c r="P27" s="132"/>
      <c r="Q27" s="132"/>
      <c r="R27" s="132"/>
      <c r="S27" s="132"/>
      <c r="T27" s="132"/>
      <c r="U27" s="132"/>
      <c r="V27" s="132"/>
      <c r="W27" s="132"/>
      <c r="X27" s="132"/>
      <c r="Y27" s="132"/>
      <c r="Z27" s="132"/>
      <c r="AA27" s="132"/>
      <c r="AB27" s="132"/>
      <c r="AC27" s="132"/>
      <c r="AD27" s="132"/>
      <c r="AE27" s="132"/>
      <c r="AF27" s="132"/>
      <c r="AG27" s="132"/>
    </row>
    <row r="28" spans="1:33">
      <c r="A28" s="101" t="s">
        <v>1582</v>
      </c>
      <c r="B28" s="101" t="s">
        <v>4225</v>
      </c>
      <c r="C28" s="101" t="s">
        <v>4226</v>
      </c>
      <c r="D28" s="281" t="s">
        <v>4227</v>
      </c>
      <c r="E28" s="281" t="s">
        <v>4228</v>
      </c>
      <c r="F28" s="281" t="s">
        <v>4174</v>
      </c>
      <c r="G28" s="281" t="s">
        <v>4175</v>
      </c>
      <c r="H28" s="279">
        <f t="shared" si="0"/>
        <v>27</v>
      </c>
      <c r="I28" s="280"/>
      <c r="J28" s="280"/>
      <c r="K28" s="171"/>
      <c r="L28" s="132"/>
      <c r="M28" s="132"/>
      <c r="N28" s="132"/>
      <c r="O28" s="132"/>
      <c r="P28" s="132"/>
      <c r="Q28" s="132"/>
      <c r="R28" s="132"/>
      <c r="S28" s="132"/>
      <c r="T28" s="132"/>
      <c r="U28" s="132"/>
      <c r="V28" s="132"/>
      <c r="W28" s="132"/>
      <c r="X28" s="132"/>
      <c r="Y28" s="132"/>
      <c r="Z28" s="132"/>
      <c r="AA28" s="132"/>
      <c r="AB28" s="132"/>
      <c r="AC28" s="132"/>
      <c r="AD28" s="132"/>
      <c r="AE28" s="132"/>
      <c r="AF28" s="132"/>
      <c r="AG28" s="132"/>
    </row>
    <row r="29" spans="1:33">
      <c r="A29" s="101" t="s">
        <v>1720</v>
      </c>
      <c r="B29" s="101" t="s">
        <v>4229</v>
      </c>
      <c r="C29" s="101" t="s">
        <v>4230</v>
      </c>
      <c r="D29" s="281" t="s">
        <v>4227</v>
      </c>
      <c r="E29" s="281" t="s">
        <v>4228</v>
      </c>
      <c r="F29" s="281" t="s">
        <v>4174</v>
      </c>
      <c r="G29" s="281" t="s">
        <v>4175</v>
      </c>
      <c r="H29" s="279">
        <f t="shared" si="0"/>
        <v>28</v>
      </c>
      <c r="I29" s="280"/>
      <c r="J29" s="280"/>
      <c r="K29" s="171"/>
      <c r="L29" s="132"/>
      <c r="M29" s="132"/>
      <c r="N29" s="132"/>
      <c r="O29" s="132"/>
      <c r="P29" s="132"/>
      <c r="Q29" s="132"/>
      <c r="R29" s="132"/>
      <c r="S29" s="132"/>
      <c r="T29" s="132"/>
      <c r="U29" s="132"/>
      <c r="V29" s="132"/>
      <c r="W29" s="132"/>
      <c r="X29" s="132"/>
      <c r="Y29" s="132"/>
      <c r="Z29" s="132"/>
      <c r="AA29" s="132"/>
      <c r="AB29" s="132"/>
      <c r="AC29" s="132"/>
      <c r="AD29" s="132"/>
      <c r="AE29" s="132"/>
      <c r="AF29" s="132"/>
      <c r="AG29" s="132"/>
    </row>
    <row r="30" spans="1:33">
      <c r="A30" s="101" t="s">
        <v>1778</v>
      </c>
      <c r="B30" s="101" t="s">
        <v>4231</v>
      </c>
      <c r="C30" s="101" t="s">
        <v>4232</v>
      </c>
      <c r="D30" s="281" t="s">
        <v>4227</v>
      </c>
      <c r="E30" s="281" t="s">
        <v>4228</v>
      </c>
      <c r="F30" s="281" t="s">
        <v>4174</v>
      </c>
      <c r="G30" s="281" t="s">
        <v>4175</v>
      </c>
      <c r="H30" s="279">
        <f t="shared" si="0"/>
        <v>29</v>
      </c>
      <c r="I30" s="280"/>
      <c r="J30" s="280"/>
      <c r="K30" s="171"/>
      <c r="L30" s="132"/>
      <c r="M30" s="132"/>
      <c r="N30" s="132"/>
      <c r="O30" s="132"/>
      <c r="P30" s="132"/>
      <c r="Q30" s="132"/>
      <c r="R30" s="132"/>
      <c r="S30" s="132"/>
      <c r="T30" s="132"/>
      <c r="U30" s="132"/>
      <c r="V30" s="132"/>
      <c r="W30" s="132"/>
      <c r="X30" s="132"/>
      <c r="Y30" s="132"/>
      <c r="Z30" s="132"/>
      <c r="AA30" s="132"/>
      <c r="AB30" s="132"/>
      <c r="AC30" s="132"/>
      <c r="AD30" s="132"/>
      <c r="AE30" s="132"/>
      <c r="AF30" s="132"/>
      <c r="AG30" s="132"/>
    </row>
    <row r="31" spans="1:33">
      <c r="A31" s="101" t="s">
        <v>1790</v>
      </c>
      <c r="B31" s="101" t="s">
        <v>4233</v>
      </c>
      <c r="C31" s="101" t="s">
        <v>4234</v>
      </c>
      <c r="D31" s="281" t="s">
        <v>4227</v>
      </c>
      <c r="E31" s="281" t="s">
        <v>4228</v>
      </c>
      <c r="F31" s="281" t="s">
        <v>4174</v>
      </c>
      <c r="G31" s="281" t="s">
        <v>4175</v>
      </c>
      <c r="H31" s="279">
        <f t="shared" si="0"/>
        <v>30</v>
      </c>
      <c r="I31" s="280"/>
      <c r="J31" s="280"/>
      <c r="K31" s="171"/>
      <c r="L31" s="132"/>
      <c r="M31" s="132"/>
      <c r="N31" s="132"/>
      <c r="O31" s="132"/>
      <c r="P31" s="132"/>
      <c r="Q31" s="132"/>
      <c r="R31" s="132"/>
      <c r="S31" s="132"/>
      <c r="T31" s="132"/>
      <c r="U31" s="132"/>
      <c r="V31" s="132"/>
      <c r="W31" s="132"/>
      <c r="X31" s="132"/>
      <c r="Y31" s="132"/>
      <c r="Z31" s="132"/>
      <c r="AA31" s="132"/>
      <c r="AB31" s="132"/>
      <c r="AC31" s="132"/>
      <c r="AD31" s="132"/>
      <c r="AE31" s="132"/>
      <c r="AF31" s="132"/>
      <c r="AG31" s="132"/>
    </row>
    <row r="32" spans="1:33">
      <c r="A32" s="101" t="s">
        <v>2009</v>
      </c>
      <c r="B32" s="101" t="s">
        <v>4235</v>
      </c>
      <c r="C32" s="101" t="s">
        <v>4236</v>
      </c>
      <c r="D32" s="281" t="s">
        <v>4227</v>
      </c>
      <c r="E32" s="281" t="s">
        <v>4228</v>
      </c>
      <c r="F32" s="281" t="s">
        <v>4174</v>
      </c>
      <c r="G32" s="281" t="s">
        <v>4175</v>
      </c>
      <c r="H32" s="279">
        <f t="shared" si="0"/>
        <v>31</v>
      </c>
      <c r="I32" s="280"/>
      <c r="J32" s="280"/>
      <c r="K32" s="171"/>
      <c r="L32" s="132"/>
      <c r="M32" s="132"/>
      <c r="N32" s="132"/>
      <c r="O32" s="132"/>
      <c r="P32" s="132"/>
      <c r="Q32" s="132"/>
      <c r="R32" s="132"/>
      <c r="S32" s="132"/>
      <c r="T32" s="132"/>
      <c r="U32" s="132"/>
      <c r="V32" s="132"/>
      <c r="W32" s="132"/>
      <c r="X32" s="132"/>
      <c r="Y32" s="132"/>
      <c r="Z32" s="132"/>
      <c r="AA32" s="132"/>
      <c r="AB32" s="132"/>
      <c r="AC32" s="132"/>
      <c r="AD32" s="132"/>
      <c r="AE32" s="132"/>
      <c r="AF32" s="132"/>
      <c r="AG32" s="132"/>
    </row>
    <row r="33" spans="1:33">
      <c r="A33" s="101" t="s">
        <v>2111</v>
      </c>
      <c r="B33" s="101" t="s">
        <v>4237</v>
      </c>
      <c r="C33" s="101" t="s">
        <v>4238</v>
      </c>
      <c r="D33" s="281" t="s">
        <v>4227</v>
      </c>
      <c r="E33" s="281" t="s">
        <v>4228</v>
      </c>
      <c r="F33" s="281" t="s">
        <v>4174</v>
      </c>
      <c r="G33" s="281" t="s">
        <v>4175</v>
      </c>
      <c r="H33" s="279">
        <f t="shared" si="0"/>
        <v>32</v>
      </c>
      <c r="I33" s="280"/>
      <c r="J33" s="280"/>
      <c r="K33" s="171"/>
      <c r="L33" s="132"/>
      <c r="M33" s="132"/>
      <c r="N33" s="132"/>
      <c r="O33" s="132"/>
      <c r="P33" s="132"/>
      <c r="Q33" s="132"/>
      <c r="R33" s="132"/>
      <c r="S33" s="132"/>
      <c r="T33" s="132"/>
      <c r="U33" s="132"/>
      <c r="V33" s="132"/>
      <c r="W33" s="132"/>
      <c r="X33" s="132"/>
      <c r="Y33" s="132"/>
      <c r="Z33" s="132"/>
      <c r="AA33" s="132"/>
      <c r="AB33" s="132"/>
      <c r="AC33" s="132"/>
      <c r="AD33" s="132"/>
      <c r="AE33" s="132"/>
      <c r="AF33" s="132"/>
      <c r="AG33" s="132"/>
    </row>
    <row r="34" spans="1:33">
      <c r="A34" s="101" t="s">
        <v>2133</v>
      </c>
      <c r="B34" s="101" t="s">
        <v>4239</v>
      </c>
      <c r="C34" s="101" t="s">
        <v>4240</v>
      </c>
      <c r="D34" s="281" t="s">
        <v>4227</v>
      </c>
      <c r="E34" s="281" t="s">
        <v>4228</v>
      </c>
      <c r="F34" s="281" t="s">
        <v>4174</v>
      </c>
      <c r="G34" s="281" t="s">
        <v>4175</v>
      </c>
      <c r="H34" s="279">
        <f t="shared" si="0"/>
        <v>33</v>
      </c>
      <c r="I34" s="280"/>
      <c r="J34" s="280"/>
      <c r="K34" s="171"/>
      <c r="L34" s="132"/>
      <c r="M34" s="132"/>
      <c r="N34" s="132"/>
      <c r="O34" s="132"/>
      <c r="P34" s="132"/>
      <c r="Q34" s="132"/>
      <c r="R34" s="132"/>
      <c r="S34" s="132"/>
      <c r="T34" s="132"/>
      <c r="U34" s="132"/>
      <c r="V34" s="132"/>
      <c r="W34" s="132"/>
      <c r="X34" s="132"/>
      <c r="Y34" s="132"/>
      <c r="Z34" s="132"/>
      <c r="AA34" s="132"/>
      <c r="AB34" s="132"/>
      <c r="AC34" s="132"/>
      <c r="AD34" s="132"/>
      <c r="AE34" s="132"/>
      <c r="AF34" s="132"/>
      <c r="AG34" s="132"/>
    </row>
    <row r="35" spans="1:33">
      <c r="A35" s="101" t="s">
        <v>2228</v>
      </c>
      <c r="B35" s="176" t="s">
        <v>4241</v>
      </c>
      <c r="C35" s="101" t="s">
        <v>4242</v>
      </c>
      <c r="D35" s="281" t="s">
        <v>4227</v>
      </c>
      <c r="E35" s="281" t="s">
        <v>4228</v>
      </c>
      <c r="F35" s="281" t="s">
        <v>4174</v>
      </c>
      <c r="G35" s="281" t="s">
        <v>4175</v>
      </c>
      <c r="H35" s="279">
        <f t="shared" si="0"/>
        <v>34</v>
      </c>
      <c r="I35" s="280"/>
      <c r="J35" s="280"/>
      <c r="K35" s="171"/>
      <c r="L35" s="132"/>
      <c r="M35" s="132"/>
      <c r="N35" s="132"/>
      <c r="O35" s="132"/>
      <c r="P35" s="132"/>
      <c r="Q35" s="132"/>
      <c r="R35" s="132"/>
      <c r="S35" s="132"/>
      <c r="T35" s="132"/>
      <c r="U35" s="132"/>
      <c r="V35" s="132"/>
      <c r="W35" s="132"/>
      <c r="X35" s="132"/>
      <c r="Y35" s="132"/>
      <c r="Z35" s="132"/>
      <c r="AA35" s="132"/>
      <c r="AB35" s="132"/>
      <c r="AC35" s="132"/>
      <c r="AD35" s="132"/>
      <c r="AE35" s="132"/>
      <c r="AF35" s="132"/>
      <c r="AG35" s="132"/>
    </row>
    <row r="36" spans="1:33">
      <c r="A36" s="101" t="s">
        <v>2241</v>
      </c>
      <c r="B36" s="176" t="s">
        <v>4243</v>
      </c>
      <c r="C36" s="101" t="s">
        <v>4244</v>
      </c>
      <c r="D36" s="281" t="s">
        <v>4227</v>
      </c>
      <c r="E36" s="281" t="s">
        <v>4228</v>
      </c>
      <c r="F36" s="281" t="s">
        <v>4174</v>
      </c>
      <c r="G36" s="281" t="s">
        <v>4175</v>
      </c>
      <c r="H36" s="279">
        <f t="shared" si="0"/>
        <v>35</v>
      </c>
      <c r="I36" s="280"/>
      <c r="J36" s="280"/>
      <c r="K36" s="171"/>
      <c r="L36" s="132"/>
      <c r="M36" s="132"/>
      <c r="N36" s="132"/>
      <c r="O36" s="132"/>
      <c r="P36" s="132"/>
      <c r="Q36" s="132"/>
      <c r="R36" s="132"/>
      <c r="S36" s="132"/>
      <c r="T36" s="132"/>
      <c r="U36" s="132"/>
      <c r="V36" s="132"/>
      <c r="W36" s="132"/>
      <c r="X36" s="132"/>
      <c r="Y36" s="132"/>
      <c r="Z36" s="132"/>
      <c r="AA36" s="132"/>
      <c r="AB36" s="132"/>
      <c r="AC36" s="132"/>
      <c r="AD36" s="132"/>
      <c r="AE36" s="132"/>
      <c r="AF36" s="132"/>
      <c r="AG36" s="132"/>
    </row>
    <row r="37" spans="1:33">
      <c r="A37" s="101" t="s">
        <v>2313</v>
      </c>
      <c r="B37" s="101" t="s">
        <v>4245</v>
      </c>
      <c r="C37" s="101" t="s">
        <v>4246</v>
      </c>
      <c r="D37" s="101" t="s">
        <v>4247</v>
      </c>
      <c r="E37" s="101" t="s">
        <v>4248</v>
      </c>
      <c r="F37" s="281" t="s">
        <v>4174</v>
      </c>
      <c r="G37" s="281" t="s">
        <v>4175</v>
      </c>
      <c r="H37" s="279">
        <f t="shared" si="0"/>
        <v>36</v>
      </c>
      <c r="I37" s="280"/>
      <c r="J37" s="280"/>
      <c r="K37" s="171"/>
      <c r="L37" s="132"/>
      <c r="M37" s="132"/>
      <c r="N37" s="132"/>
      <c r="O37" s="132"/>
      <c r="P37" s="132"/>
      <c r="Q37" s="132"/>
      <c r="R37" s="132"/>
      <c r="S37" s="132"/>
      <c r="T37" s="132"/>
      <c r="U37" s="132"/>
      <c r="V37" s="132"/>
      <c r="W37" s="132"/>
      <c r="X37" s="132"/>
      <c r="Y37" s="132"/>
      <c r="Z37" s="132"/>
      <c r="AA37" s="132"/>
      <c r="AB37" s="132"/>
      <c r="AC37" s="132"/>
      <c r="AD37" s="132"/>
      <c r="AE37" s="132"/>
      <c r="AF37" s="132"/>
      <c r="AG37" s="132"/>
    </row>
    <row r="38" spans="1:33">
      <c r="A38" s="101" t="s">
        <v>2332</v>
      </c>
      <c r="B38" s="101" t="s">
        <v>4249</v>
      </c>
      <c r="C38" s="101" t="s">
        <v>4250</v>
      </c>
      <c r="D38" s="101" t="s">
        <v>4247</v>
      </c>
      <c r="E38" s="101" t="s">
        <v>4248</v>
      </c>
      <c r="F38" s="281" t="s">
        <v>4174</v>
      </c>
      <c r="G38" s="281" t="s">
        <v>4175</v>
      </c>
      <c r="H38" s="279">
        <f t="shared" si="0"/>
        <v>37</v>
      </c>
      <c r="I38" s="280"/>
      <c r="J38" s="280"/>
      <c r="K38" s="171"/>
      <c r="L38" s="132"/>
      <c r="M38" s="132"/>
      <c r="N38" s="132"/>
      <c r="O38" s="132"/>
      <c r="P38" s="132"/>
      <c r="Q38" s="132"/>
      <c r="R38" s="132"/>
      <c r="S38" s="132"/>
      <c r="T38" s="132"/>
      <c r="U38" s="132"/>
      <c r="V38" s="132"/>
      <c r="W38" s="132"/>
      <c r="X38" s="132"/>
      <c r="Y38" s="132"/>
      <c r="Z38" s="132"/>
      <c r="AA38" s="132"/>
      <c r="AB38" s="132"/>
      <c r="AC38" s="132"/>
      <c r="AD38" s="132"/>
      <c r="AE38" s="132"/>
      <c r="AF38" s="132"/>
      <c r="AG38" s="132"/>
    </row>
    <row r="39" spans="1:33">
      <c r="A39" s="101" t="s">
        <v>2344</v>
      </c>
      <c r="B39" s="101" t="s">
        <v>4251</v>
      </c>
      <c r="C39" s="101" t="s">
        <v>4252</v>
      </c>
      <c r="D39" s="101" t="s">
        <v>4247</v>
      </c>
      <c r="E39" s="101" t="s">
        <v>4248</v>
      </c>
      <c r="F39" s="281" t="s">
        <v>4174</v>
      </c>
      <c r="G39" s="281" t="s">
        <v>4175</v>
      </c>
      <c r="H39" s="279">
        <f t="shared" si="0"/>
        <v>38</v>
      </c>
      <c r="I39" s="280"/>
      <c r="J39" s="280"/>
      <c r="K39" s="171"/>
      <c r="L39" s="132"/>
      <c r="M39" s="132"/>
      <c r="N39" s="132"/>
      <c r="O39" s="132"/>
      <c r="P39" s="132"/>
      <c r="Q39" s="132"/>
      <c r="R39" s="132"/>
      <c r="S39" s="132"/>
      <c r="T39" s="132"/>
      <c r="U39" s="132"/>
      <c r="V39" s="132"/>
      <c r="W39" s="132"/>
      <c r="X39" s="132"/>
      <c r="Y39" s="132"/>
      <c r="Z39" s="132"/>
      <c r="AA39" s="132"/>
      <c r="AB39" s="132"/>
      <c r="AC39" s="132"/>
      <c r="AD39" s="132"/>
      <c r="AE39" s="132"/>
      <c r="AF39" s="132"/>
      <c r="AG39" s="132"/>
    </row>
    <row r="40" spans="1:33">
      <c r="A40" s="101" t="s">
        <v>2374</v>
      </c>
      <c r="B40" s="101" t="s">
        <v>4253</v>
      </c>
      <c r="C40" s="101" t="s">
        <v>4254</v>
      </c>
      <c r="D40" s="101" t="s">
        <v>4247</v>
      </c>
      <c r="E40" s="101" t="s">
        <v>4248</v>
      </c>
      <c r="F40" s="281" t="s">
        <v>4174</v>
      </c>
      <c r="G40" s="281" t="s">
        <v>4175</v>
      </c>
      <c r="H40" s="279">
        <f t="shared" si="0"/>
        <v>39</v>
      </c>
      <c r="I40" s="280"/>
      <c r="J40" s="280"/>
      <c r="K40" s="171"/>
      <c r="L40" s="132"/>
      <c r="M40" s="132"/>
      <c r="N40" s="132"/>
      <c r="O40" s="132"/>
      <c r="P40" s="132"/>
      <c r="Q40" s="132"/>
      <c r="R40" s="132"/>
      <c r="S40" s="132"/>
      <c r="T40" s="132"/>
      <c r="U40" s="132"/>
      <c r="V40" s="132"/>
      <c r="W40" s="132"/>
      <c r="X40" s="132"/>
      <c r="Y40" s="132"/>
      <c r="Z40" s="132"/>
      <c r="AA40" s="132"/>
      <c r="AB40" s="132"/>
      <c r="AC40" s="132"/>
      <c r="AD40" s="132"/>
      <c r="AE40" s="132"/>
      <c r="AF40" s="132"/>
      <c r="AG40" s="132"/>
    </row>
    <row r="41" spans="1:33">
      <c r="A41" s="101" t="s">
        <v>2397</v>
      </c>
      <c r="B41" s="101" t="s">
        <v>4255</v>
      </c>
      <c r="C41" s="101" t="s">
        <v>4256</v>
      </c>
      <c r="D41" s="101" t="s">
        <v>4247</v>
      </c>
      <c r="E41" s="101" t="s">
        <v>4248</v>
      </c>
      <c r="F41" s="281" t="s">
        <v>4174</v>
      </c>
      <c r="G41" s="281" t="s">
        <v>4175</v>
      </c>
      <c r="H41" s="279">
        <f t="shared" si="0"/>
        <v>40</v>
      </c>
      <c r="I41" s="280"/>
      <c r="J41" s="280"/>
      <c r="K41" s="171"/>
      <c r="L41" s="132"/>
      <c r="M41" s="132"/>
      <c r="N41" s="132"/>
      <c r="O41" s="132"/>
      <c r="P41" s="132"/>
      <c r="Q41" s="132"/>
      <c r="R41" s="132"/>
      <c r="S41" s="132"/>
      <c r="T41" s="132"/>
      <c r="U41" s="132"/>
      <c r="V41" s="132"/>
      <c r="W41" s="132"/>
      <c r="X41" s="132"/>
      <c r="Y41" s="132"/>
      <c r="Z41" s="132"/>
      <c r="AA41" s="132"/>
      <c r="AB41" s="132"/>
      <c r="AC41" s="132"/>
      <c r="AD41" s="132"/>
      <c r="AE41" s="132"/>
      <c r="AF41" s="132"/>
      <c r="AG41" s="132"/>
    </row>
    <row r="42" spans="1:33">
      <c r="A42" s="101" t="s">
        <v>2409</v>
      </c>
      <c r="B42" s="101" t="s">
        <v>4257</v>
      </c>
      <c r="C42" s="101" t="s">
        <v>4258</v>
      </c>
      <c r="D42" s="101" t="s">
        <v>4247</v>
      </c>
      <c r="E42" s="101" t="s">
        <v>4248</v>
      </c>
      <c r="F42" s="281" t="s">
        <v>4174</v>
      </c>
      <c r="G42" s="281" t="s">
        <v>4175</v>
      </c>
      <c r="H42" s="279">
        <f t="shared" si="0"/>
        <v>41</v>
      </c>
      <c r="I42" s="280"/>
      <c r="J42" s="280"/>
      <c r="K42" s="171"/>
      <c r="L42" s="132"/>
      <c r="M42" s="132"/>
      <c r="N42" s="132"/>
      <c r="O42" s="132"/>
      <c r="P42" s="132"/>
      <c r="Q42" s="132"/>
      <c r="R42" s="132"/>
      <c r="S42" s="132"/>
      <c r="T42" s="132"/>
      <c r="U42" s="132"/>
      <c r="V42" s="132"/>
      <c r="W42" s="132"/>
      <c r="X42" s="132"/>
      <c r="Y42" s="132"/>
      <c r="Z42" s="132"/>
      <c r="AA42" s="132"/>
      <c r="AB42" s="132"/>
      <c r="AC42" s="132"/>
      <c r="AD42" s="132"/>
      <c r="AE42" s="132"/>
      <c r="AF42" s="132"/>
      <c r="AG42" s="132"/>
    </row>
    <row r="43" spans="1:33">
      <c r="A43" s="101" t="s">
        <v>2417</v>
      </c>
      <c r="B43" s="101" t="s">
        <v>2418</v>
      </c>
      <c r="C43" s="101" t="s">
        <v>2416</v>
      </c>
      <c r="D43" s="101" t="s">
        <v>2417</v>
      </c>
      <c r="E43" s="101" t="s">
        <v>4259</v>
      </c>
      <c r="F43" s="281" t="s">
        <v>4174</v>
      </c>
      <c r="G43" s="281" t="s">
        <v>4175</v>
      </c>
      <c r="H43" s="279">
        <f t="shared" si="0"/>
        <v>42</v>
      </c>
      <c r="I43" s="280"/>
      <c r="J43" s="280"/>
      <c r="K43" s="171"/>
      <c r="L43" s="132"/>
      <c r="M43" s="132"/>
      <c r="N43" s="132"/>
      <c r="O43" s="132"/>
      <c r="P43" s="132"/>
      <c r="Q43" s="132"/>
      <c r="R43" s="132"/>
      <c r="S43" s="132"/>
      <c r="T43" s="132"/>
      <c r="U43" s="132"/>
      <c r="V43" s="132"/>
      <c r="W43" s="132"/>
      <c r="X43" s="132"/>
      <c r="Y43" s="132"/>
      <c r="Z43" s="132"/>
      <c r="AA43" s="132"/>
      <c r="AB43" s="132"/>
      <c r="AC43" s="132"/>
      <c r="AD43" s="132"/>
      <c r="AE43" s="132"/>
      <c r="AF43" s="132"/>
      <c r="AG43" s="132"/>
    </row>
    <row r="44" spans="1:33">
      <c r="A44" s="101" t="s">
        <v>2522</v>
      </c>
      <c r="B44" s="101" t="s">
        <v>2552</v>
      </c>
      <c r="C44" s="101" t="s">
        <v>2558</v>
      </c>
      <c r="D44" s="101" t="s">
        <v>2522</v>
      </c>
      <c r="E44" s="101" t="s">
        <v>4260</v>
      </c>
      <c r="F44" s="281" t="s">
        <v>4174</v>
      </c>
      <c r="G44" s="281" t="s">
        <v>4175</v>
      </c>
      <c r="H44" s="279">
        <f t="shared" si="0"/>
        <v>43</v>
      </c>
      <c r="I44" s="280"/>
      <c r="J44" s="280"/>
      <c r="K44" s="171"/>
      <c r="L44" s="132"/>
      <c r="M44" s="132"/>
      <c r="N44" s="132"/>
      <c r="O44" s="132"/>
      <c r="P44" s="132"/>
      <c r="Q44" s="132"/>
      <c r="R44" s="132"/>
      <c r="S44" s="132"/>
      <c r="T44" s="132"/>
      <c r="U44" s="132"/>
      <c r="V44" s="132"/>
      <c r="W44" s="132"/>
      <c r="X44" s="132"/>
      <c r="Y44" s="132"/>
      <c r="Z44" s="132"/>
      <c r="AA44" s="132"/>
      <c r="AB44" s="132"/>
      <c r="AC44" s="132"/>
      <c r="AD44" s="132"/>
      <c r="AE44" s="132"/>
      <c r="AF44" s="132"/>
      <c r="AG44" s="132"/>
    </row>
    <row r="45" spans="1:33">
      <c r="A45" s="101" t="s">
        <v>2625</v>
      </c>
      <c r="B45" s="101" t="s">
        <v>4261</v>
      </c>
      <c r="C45" s="101" t="s">
        <v>4262</v>
      </c>
      <c r="D45" s="101" t="s">
        <v>2625</v>
      </c>
      <c r="E45" s="101" t="s">
        <v>4263</v>
      </c>
      <c r="F45" s="281" t="s">
        <v>4174</v>
      </c>
      <c r="G45" s="281" t="s">
        <v>4175</v>
      </c>
      <c r="H45" s="279">
        <f t="shared" si="0"/>
        <v>44</v>
      </c>
      <c r="I45" s="280"/>
      <c r="J45" s="280"/>
      <c r="K45" s="171"/>
      <c r="L45" s="132"/>
      <c r="M45" s="132"/>
      <c r="N45" s="132"/>
      <c r="O45" s="132"/>
      <c r="P45" s="132"/>
      <c r="Q45" s="132"/>
      <c r="R45" s="132"/>
      <c r="S45" s="132"/>
      <c r="T45" s="132"/>
      <c r="U45" s="132"/>
      <c r="V45" s="132"/>
      <c r="W45" s="132"/>
      <c r="X45" s="132"/>
      <c r="Y45" s="132"/>
      <c r="Z45" s="132"/>
      <c r="AA45" s="132"/>
      <c r="AB45" s="132"/>
      <c r="AC45" s="132"/>
      <c r="AD45" s="132"/>
      <c r="AE45" s="132"/>
      <c r="AF45" s="132"/>
      <c r="AG45" s="132"/>
    </row>
    <row r="46" spans="1:33">
      <c r="A46" s="101" t="s">
        <v>2650</v>
      </c>
      <c r="B46" s="101" t="s">
        <v>2651</v>
      </c>
      <c r="C46" s="101" t="s">
        <v>2684</v>
      </c>
      <c r="D46" s="101" t="s">
        <v>2650</v>
      </c>
      <c r="E46" s="101" t="s">
        <v>4264</v>
      </c>
      <c r="F46" s="281" t="s">
        <v>4174</v>
      </c>
      <c r="G46" s="281" t="s">
        <v>4175</v>
      </c>
      <c r="H46" s="279">
        <f t="shared" si="0"/>
        <v>45</v>
      </c>
      <c r="I46" s="280"/>
      <c r="J46" s="280"/>
      <c r="K46" s="171"/>
      <c r="L46" s="132"/>
      <c r="M46" s="132"/>
      <c r="N46" s="132"/>
      <c r="O46" s="132"/>
      <c r="P46" s="132"/>
      <c r="Q46" s="132"/>
      <c r="R46" s="132"/>
      <c r="S46" s="132"/>
      <c r="T46" s="132"/>
      <c r="U46" s="132"/>
      <c r="V46" s="132"/>
      <c r="W46" s="132"/>
      <c r="X46" s="132"/>
      <c r="Y46" s="132"/>
      <c r="Z46" s="132"/>
      <c r="AA46" s="132"/>
      <c r="AB46" s="132"/>
      <c r="AC46" s="132"/>
      <c r="AD46" s="132"/>
      <c r="AE46" s="132"/>
      <c r="AF46" s="132"/>
      <c r="AG46" s="132"/>
    </row>
    <row r="47" spans="1:33">
      <c r="A47" s="101" t="s">
        <v>4265</v>
      </c>
      <c r="B47" s="101" t="s">
        <v>4266</v>
      </c>
      <c r="C47" s="101" t="s">
        <v>4267</v>
      </c>
      <c r="D47" s="101" t="s">
        <v>2650</v>
      </c>
      <c r="E47" s="101" t="s">
        <v>4264</v>
      </c>
      <c r="F47" s="281" t="s">
        <v>4174</v>
      </c>
      <c r="G47" s="281" t="s">
        <v>4175</v>
      </c>
      <c r="H47" s="279">
        <f t="shared" si="0"/>
        <v>46</v>
      </c>
      <c r="I47" s="280"/>
      <c r="J47" s="280"/>
      <c r="K47" s="171"/>
      <c r="L47" s="132"/>
      <c r="M47" s="132"/>
      <c r="N47" s="132"/>
      <c r="O47" s="132"/>
      <c r="P47" s="132"/>
      <c r="Q47" s="132"/>
      <c r="R47" s="132"/>
      <c r="S47" s="132"/>
      <c r="T47" s="132"/>
      <c r="U47" s="132"/>
      <c r="V47" s="132"/>
      <c r="W47" s="132"/>
      <c r="X47" s="132"/>
      <c r="Y47" s="132"/>
      <c r="Z47" s="132"/>
      <c r="AA47" s="132"/>
      <c r="AB47" s="132"/>
      <c r="AC47" s="132"/>
      <c r="AD47" s="132"/>
      <c r="AE47" s="132"/>
      <c r="AF47" s="132"/>
      <c r="AG47" s="132"/>
    </row>
    <row r="48" spans="1:33">
      <c r="A48" s="101" t="s">
        <v>2716</v>
      </c>
      <c r="B48" s="101" t="s">
        <v>4268</v>
      </c>
      <c r="C48" s="101" t="s">
        <v>4269</v>
      </c>
      <c r="D48" s="101" t="s">
        <v>4270</v>
      </c>
      <c r="E48" s="101" t="s">
        <v>4271</v>
      </c>
      <c r="F48" s="281" t="s">
        <v>4174</v>
      </c>
      <c r="G48" s="281" t="s">
        <v>4175</v>
      </c>
      <c r="H48" s="279">
        <f t="shared" si="0"/>
        <v>47</v>
      </c>
      <c r="I48" s="280"/>
      <c r="J48" s="280"/>
      <c r="K48" s="171"/>
      <c r="L48" s="132"/>
      <c r="M48" s="132"/>
      <c r="N48" s="132"/>
      <c r="O48" s="132"/>
      <c r="P48" s="132"/>
      <c r="Q48" s="132"/>
      <c r="R48" s="132"/>
      <c r="S48" s="132"/>
      <c r="T48" s="132"/>
      <c r="U48" s="132"/>
      <c r="V48" s="132"/>
      <c r="W48" s="132"/>
      <c r="X48" s="132"/>
      <c r="Y48" s="132"/>
      <c r="Z48" s="132"/>
      <c r="AA48" s="132"/>
      <c r="AB48" s="132"/>
      <c r="AC48" s="132"/>
      <c r="AD48" s="132"/>
      <c r="AE48" s="132"/>
      <c r="AF48" s="132"/>
      <c r="AG48" s="132"/>
    </row>
    <row r="49" spans="1:33">
      <c r="A49" s="101" t="s">
        <v>2734</v>
      </c>
      <c r="B49" s="101" t="s">
        <v>4272</v>
      </c>
      <c r="C49" s="101" t="s">
        <v>4273</v>
      </c>
      <c r="D49" s="281" t="s">
        <v>2734</v>
      </c>
      <c r="E49" s="281" t="s">
        <v>4274</v>
      </c>
      <c r="F49" s="281" t="s">
        <v>4174</v>
      </c>
      <c r="G49" s="281" t="s">
        <v>4175</v>
      </c>
      <c r="H49" s="279">
        <f t="shared" si="0"/>
        <v>48</v>
      </c>
      <c r="I49" s="280"/>
      <c r="J49" s="280"/>
      <c r="K49" s="171"/>
      <c r="L49" s="132"/>
      <c r="M49" s="132"/>
      <c r="N49" s="132"/>
      <c r="O49" s="132"/>
      <c r="P49" s="132"/>
      <c r="Q49" s="132"/>
      <c r="R49" s="132"/>
      <c r="S49" s="132"/>
      <c r="T49" s="132"/>
      <c r="U49" s="132"/>
      <c r="V49" s="132"/>
      <c r="W49" s="132"/>
      <c r="X49" s="132"/>
      <c r="Y49" s="132"/>
      <c r="Z49" s="132"/>
      <c r="AA49" s="132"/>
      <c r="AB49" s="132"/>
      <c r="AC49" s="132"/>
      <c r="AD49" s="132"/>
      <c r="AE49" s="132"/>
      <c r="AF49" s="132"/>
      <c r="AG49" s="132"/>
    </row>
    <row r="50" spans="1:33">
      <c r="A50" s="101" t="s">
        <v>2770</v>
      </c>
      <c r="B50" s="101" t="s">
        <v>2771</v>
      </c>
      <c r="C50" s="101" t="s">
        <v>2769</v>
      </c>
      <c r="D50" s="281" t="s">
        <v>2770</v>
      </c>
      <c r="E50" s="281" t="s">
        <v>4275</v>
      </c>
      <c r="F50" s="281" t="s">
        <v>4276</v>
      </c>
      <c r="G50" s="281" t="s">
        <v>4277</v>
      </c>
      <c r="H50" s="279">
        <f t="shared" si="0"/>
        <v>49</v>
      </c>
      <c r="I50" s="280"/>
      <c r="J50" s="280"/>
      <c r="K50" s="171"/>
      <c r="L50" s="132"/>
      <c r="M50" s="132"/>
      <c r="N50" s="132"/>
      <c r="O50" s="132"/>
      <c r="P50" s="132"/>
      <c r="Q50" s="132"/>
      <c r="R50" s="132"/>
      <c r="S50" s="132"/>
      <c r="T50" s="132"/>
      <c r="U50" s="132"/>
      <c r="V50" s="132"/>
      <c r="W50" s="132"/>
      <c r="X50" s="132"/>
      <c r="Y50" s="132"/>
      <c r="Z50" s="132"/>
      <c r="AA50" s="132"/>
      <c r="AB50" s="132"/>
      <c r="AC50" s="132"/>
      <c r="AD50" s="132"/>
      <c r="AE50" s="132"/>
      <c r="AF50" s="132"/>
      <c r="AG50" s="132"/>
    </row>
    <row r="51" spans="1:33">
      <c r="A51" s="101" t="s">
        <v>2824</v>
      </c>
      <c r="B51" s="101" t="s">
        <v>4278</v>
      </c>
      <c r="C51" s="101" t="s">
        <v>4279</v>
      </c>
      <c r="D51" s="281" t="s">
        <v>2770</v>
      </c>
      <c r="E51" s="281" t="s">
        <v>4275</v>
      </c>
      <c r="F51" s="281" t="s">
        <v>4276</v>
      </c>
      <c r="G51" s="281" t="s">
        <v>4277</v>
      </c>
      <c r="H51" s="279">
        <f t="shared" si="0"/>
        <v>50</v>
      </c>
      <c r="I51" s="280"/>
      <c r="J51" s="280"/>
      <c r="K51" s="171"/>
      <c r="L51" s="132"/>
      <c r="M51" s="132"/>
      <c r="N51" s="132"/>
      <c r="O51" s="132"/>
      <c r="P51" s="132"/>
      <c r="Q51" s="132"/>
      <c r="R51" s="132"/>
      <c r="S51" s="132"/>
      <c r="T51" s="132"/>
      <c r="U51" s="132"/>
      <c r="V51" s="132"/>
      <c r="W51" s="132"/>
      <c r="X51" s="132"/>
      <c r="Y51" s="132"/>
      <c r="Z51" s="132"/>
      <c r="AA51" s="132"/>
      <c r="AB51" s="132"/>
      <c r="AC51" s="132"/>
      <c r="AD51" s="132"/>
      <c r="AE51" s="132"/>
      <c r="AF51" s="132"/>
      <c r="AG51" s="132"/>
    </row>
    <row r="52" spans="1:33">
      <c r="A52" s="101" t="s">
        <v>2833</v>
      </c>
      <c r="B52" s="101" t="s">
        <v>2838</v>
      </c>
      <c r="C52" s="101" t="s">
        <v>2835</v>
      </c>
      <c r="D52" s="101" t="s">
        <v>4280</v>
      </c>
      <c r="E52" s="101" t="s">
        <v>4281</v>
      </c>
      <c r="F52" s="281" t="s">
        <v>4276</v>
      </c>
      <c r="G52" s="281" t="s">
        <v>4277</v>
      </c>
      <c r="H52" s="279">
        <f t="shared" si="0"/>
        <v>51</v>
      </c>
      <c r="I52" s="280"/>
      <c r="J52" s="280"/>
      <c r="K52" s="171"/>
      <c r="L52" s="132"/>
      <c r="M52" s="132"/>
      <c r="N52" s="132"/>
      <c r="O52" s="132"/>
      <c r="P52" s="132"/>
      <c r="Q52" s="132"/>
      <c r="R52" s="132"/>
      <c r="S52" s="132"/>
      <c r="T52" s="132"/>
      <c r="U52" s="132"/>
      <c r="V52" s="132"/>
      <c r="W52" s="132"/>
      <c r="X52" s="132"/>
      <c r="Y52" s="132"/>
      <c r="Z52" s="132"/>
      <c r="AA52" s="132"/>
      <c r="AB52" s="132"/>
      <c r="AC52" s="132"/>
      <c r="AD52" s="132"/>
      <c r="AE52" s="132"/>
      <c r="AF52" s="132"/>
      <c r="AG52" s="132"/>
    </row>
    <row r="53" spans="1:33">
      <c r="A53" s="101" t="s">
        <v>2845</v>
      </c>
      <c r="B53" s="101" t="s">
        <v>2846</v>
      </c>
      <c r="C53" s="101" t="s">
        <v>4282</v>
      </c>
      <c r="D53" s="101" t="s">
        <v>4280</v>
      </c>
      <c r="E53" s="101" t="s">
        <v>4281</v>
      </c>
      <c r="F53" s="281" t="s">
        <v>4276</v>
      </c>
      <c r="G53" s="281" t="s">
        <v>4277</v>
      </c>
      <c r="H53" s="279">
        <f t="shared" si="0"/>
        <v>52</v>
      </c>
      <c r="I53" s="280"/>
      <c r="J53" s="280"/>
      <c r="K53" s="171"/>
      <c r="L53" s="132"/>
      <c r="M53" s="132"/>
      <c r="N53" s="132"/>
      <c r="O53" s="132"/>
      <c r="P53" s="132"/>
      <c r="Q53" s="132"/>
      <c r="R53" s="132"/>
      <c r="S53" s="132"/>
      <c r="T53" s="132"/>
      <c r="U53" s="132"/>
      <c r="V53" s="132"/>
      <c r="W53" s="132"/>
      <c r="X53" s="132"/>
      <c r="Y53" s="132"/>
      <c r="Z53" s="132"/>
      <c r="AA53" s="132"/>
      <c r="AB53" s="132"/>
      <c r="AC53" s="132"/>
      <c r="AD53" s="132"/>
      <c r="AE53" s="132"/>
      <c r="AF53" s="132"/>
      <c r="AG53" s="132"/>
    </row>
    <row r="54" spans="1:33">
      <c r="A54" s="101" t="s">
        <v>2867</v>
      </c>
      <c r="B54" s="101" t="s">
        <v>4283</v>
      </c>
      <c r="C54" s="101" t="s">
        <v>4284</v>
      </c>
      <c r="D54" s="101" t="s">
        <v>2867</v>
      </c>
      <c r="E54" s="101" t="s">
        <v>4285</v>
      </c>
      <c r="F54" s="101" t="s">
        <v>4286</v>
      </c>
      <c r="G54" s="101" t="s">
        <v>4287</v>
      </c>
      <c r="H54" s="279">
        <f t="shared" si="0"/>
        <v>53</v>
      </c>
      <c r="I54" s="280"/>
      <c r="J54" s="280"/>
      <c r="K54" s="171"/>
      <c r="L54" s="132"/>
      <c r="M54" s="132"/>
      <c r="N54" s="132"/>
      <c r="O54" s="132"/>
      <c r="P54" s="132"/>
      <c r="Q54" s="132"/>
      <c r="R54" s="132"/>
      <c r="S54" s="132"/>
      <c r="T54" s="132"/>
      <c r="U54" s="132"/>
      <c r="V54" s="132"/>
      <c r="W54" s="132"/>
      <c r="X54" s="132"/>
      <c r="Y54" s="132"/>
      <c r="Z54" s="132"/>
      <c r="AA54" s="132"/>
      <c r="AB54" s="132"/>
      <c r="AC54" s="132"/>
      <c r="AD54" s="132"/>
      <c r="AE54" s="132"/>
      <c r="AF54" s="132"/>
      <c r="AG54" s="132"/>
    </row>
    <row r="55" spans="1:33">
      <c r="A55" s="171" t="s">
        <v>4288</v>
      </c>
      <c r="B55" s="171" t="s">
        <v>4289</v>
      </c>
      <c r="C55" s="101" t="s">
        <v>4290</v>
      </c>
      <c r="D55" s="171" t="s">
        <v>4291</v>
      </c>
      <c r="E55" s="101" t="s">
        <v>4292</v>
      </c>
      <c r="F55" s="171" t="s">
        <v>4293</v>
      </c>
      <c r="G55" s="101" t="s">
        <v>4294</v>
      </c>
      <c r="H55" s="279">
        <f t="shared" si="0"/>
        <v>54</v>
      </c>
      <c r="I55" s="280"/>
      <c r="J55" s="280"/>
      <c r="K55" s="171"/>
      <c r="L55" s="132"/>
      <c r="M55" s="132"/>
      <c r="N55" s="132"/>
      <c r="O55" s="132"/>
      <c r="P55" s="132"/>
      <c r="Q55" s="132"/>
      <c r="R55" s="132"/>
      <c r="S55" s="132"/>
      <c r="T55" s="132"/>
      <c r="U55" s="132"/>
      <c r="V55" s="132"/>
      <c r="W55" s="132"/>
      <c r="X55" s="132"/>
      <c r="Y55" s="132"/>
      <c r="Z55" s="132"/>
      <c r="AA55" s="132"/>
      <c r="AB55" s="132"/>
      <c r="AC55" s="132"/>
      <c r="AD55" s="132"/>
      <c r="AE55" s="132"/>
      <c r="AF55" s="132"/>
      <c r="AG55" s="132"/>
    </row>
    <row r="56" spans="1:33">
      <c r="A56" s="171" t="s">
        <v>4295</v>
      </c>
      <c r="B56" s="171" t="s">
        <v>4296</v>
      </c>
      <c r="C56" s="101" t="s">
        <v>4297</v>
      </c>
      <c r="D56" s="171" t="s">
        <v>4291</v>
      </c>
      <c r="E56" s="101" t="s">
        <v>4292</v>
      </c>
      <c r="F56" s="171" t="s">
        <v>4293</v>
      </c>
      <c r="G56" s="101" t="s">
        <v>4294</v>
      </c>
      <c r="H56" s="279">
        <f t="shared" si="0"/>
        <v>55</v>
      </c>
      <c r="I56" s="280"/>
      <c r="J56" s="280"/>
      <c r="K56" s="171"/>
      <c r="L56" s="132"/>
      <c r="M56" s="132"/>
      <c r="N56" s="132"/>
      <c r="O56" s="132"/>
      <c r="P56" s="132"/>
      <c r="Q56" s="132"/>
      <c r="R56" s="132"/>
      <c r="S56" s="132"/>
      <c r="T56" s="132"/>
      <c r="U56" s="132"/>
      <c r="V56" s="132"/>
      <c r="W56" s="132"/>
      <c r="X56" s="132"/>
      <c r="Y56" s="132"/>
      <c r="Z56" s="132"/>
      <c r="AA56" s="132"/>
      <c r="AB56" s="132"/>
      <c r="AC56" s="132"/>
      <c r="AD56" s="132"/>
      <c r="AE56" s="132"/>
      <c r="AF56" s="132"/>
      <c r="AG56" s="132"/>
    </row>
    <row r="57" spans="1:33">
      <c r="A57" s="171" t="s">
        <v>2888</v>
      </c>
      <c r="B57" s="171" t="s">
        <v>4298</v>
      </c>
      <c r="C57" s="101" t="s">
        <v>4299</v>
      </c>
      <c r="D57" s="171" t="s">
        <v>4300</v>
      </c>
      <c r="E57" s="101" t="s">
        <v>4301</v>
      </c>
      <c r="F57" s="171" t="s">
        <v>4293</v>
      </c>
      <c r="G57" s="101" t="s">
        <v>4294</v>
      </c>
      <c r="H57" s="279">
        <f t="shared" si="0"/>
        <v>56</v>
      </c>
      <c r="I57" s="280"/>
      <c r="J57" s="280"/>
      <c r="K57" s="171"/>
      <c r="L57" s="132"/>
      <c r="M57" s="132"/>
      <c r="N57" s="132"/>
      <c r="O57" s="132"/>
      <c r="P57" s="132"/>
      <c r="Q57" s="132"/>
      <c r="R57" s="132"/>
      <c r="S57" s="132"/>
      <c r="T57" s="132"/>
      <c r="U57" s="132"/>
      <c r="V57" s="132"/>
      <c r="W57" s="132"/>
      <c r="X57" s="132"/>
      <c r="Y57" s="132"/>
      <c r="Z57" s="132"/>
      <c r="AA57" s="132"/>
      <c r="AB57" s="132"/>
      <c r="AC57" s="132"/>
      <c r="AD57" s="132"/>
      <c r="AE57" s="132"/>
      <c r="AF57" s="132"/>
      <c r="AG57" s="132"/>
    </row>
    <row r="58" spans="1:33">
      <c r="A58" s="171" t="s">
        <v>4302</v>
      </c>
      <c r="B58" s="171" t="s">
        <v>4303</v>
      </c>
      <c r="C58" s="101" t="s">
        <v>4304</v>
      </c>
      <c r="D58" s="171" t="s">
        <v>4300</v>
      </c>
      <c r="E58" s="101" t="s">
        <v>4301</v>
      </c>
      <c r="F58" s="171" t="s">
        <v>4293</v>
      </c>
      <c r="G58" s="101" t="s">
        <v>4294</v>
      </c>
      <c r="H58" s="279">
        <f t="shared" si="0"/>
        <v>57</v>
      </c>
      <c r="I58" s="280"/>
      <c r="J58" s="280"/>
      <c r="K58" s="171"/>
      <c r="L58" s="132"/>
      <c r="M58" s="132"/>
      <c r="N58" s="132"/>
      <c r="O58" s="132"/>
      <c r="P58" s="132"/>
      <c r="Q58" s="132"/>
      <c r="R58" s="132"/>
      <c r="S58" s="132"/>
      <c r="T58" s="132"/>
      <c r="U58" s="132"/>
      <c r="V58" s="132"/>
      <c r="W58" s="132"/>
      <c r="X58" s="132"/>
      <c r="Y58" s="132"/>
      <c r="Z58" s="132"/>
      <c r="AA58" s="132"/>
      <c r="AB58" s="132"/>
      <c r="AC58" s="132"/>
      <c r="AD58" s="132"/>
      <c r="AE58" s="132"/>
      <c r="AF58" s="132"/>
      <c r="AG58" s="132"/>
    </row>
    <row r="59" spans="1:33">
      <c r="A59" s="171" t="s">
        <v>4305</v>
      </c>
      <c r="B59" s="171" t="s">
        <v>4306</v>
      </c>
      <c r="C59" s="101" t="s">
        <v>4307</v>
      </c>
      <c r="D59" s="171" t="s">
        <v>4308</v>
      </c>
      <c r="E59" s="101" t="s">
        <v>4309</v>
      </c>
      <c r="F59" s="171" t="s">
        <v>4293</v>
      </c>
      <c r="G59" s="101" t="s">
        <v>4294</v>
      </c>
      <c r="H59" s="279">
        <f t="shared" si="0"/>
        <v>58</v>
      </c>
      <c r="I59" s="280"/>
      <c r="J59" s="280"/>
      <c r="K59" s="171"/>
      <c r="L59" s="132"/>
      <c r="M59" s="132"/>
      <c r="N59" s="132"/>
      <c r="O59" s="132"/>
      <c r="P59" s="132"/>
      <c r="Q59" s="132"/>
      <c r="R59" s="132"/>
      <c r="S59" s="132"/>
      <c r="T59" s="132"/>
      <c r="U59" s="132"/>
      <c r="V59" s="132"/>
      <c r="W59" s="132"/>
      <c r="X59" s="132"/>
      <c r="Y59" s="132"/>
      <c r="Z59" s="132"/>
      <c r="AA59" s="132"/>
      <c r="AB59" s="132"/>
      <c r="AC59" s="132"/>
      <c r="AD59" s="132"/>
      <c r="AE59" s="132"/>
      <c r="AF59" s="132"/>
      <c r="AG59" s="132"/>
    </row>
    <row r="60" spans="1:33">
      <c r="A60" s="171" t="s">
        <v>2926</v>
      </c>
      <c r="B60" s="171" t="s">
        <v>4310</v>
      </c>
      <c r="C60" s="101" t="s">
        <v>4311</v>
      </c>
      <c r="D60" s="171" t="s">
        <v>2926</v>
      </c>
      <c r="E60" s="101" t="s">
        <v>4312</v>
      </c>
      <c r="F60" s="171" t="s">
        <v>4293</v>
      </c>
      <c r="G60" s="101" t="s">
        <v>4294</v>
      </c>
      <c r="H60" s="279">
        <f t="shared" si="0"/>
        <v>59</v>
      </c>
      <c r="I60" s="280"/>
      <c r="J60" s="280"/>
      <c r="K60" s="171"/>
      <c r="L60" s="132"/>
      <c r="M60" s="132"/>
      <c r="N60" s="132"/>
      <c r="O60" s="132"/>
      <c r="P60" s="132"/>
      <c r="Q60" s="132"/>
      <c r="R60" s="132"/>
      <c r="S60" s="132"/>
      <c r="T60" s="132"/>
      <c r="U60" s="132"/>
      <c r="V60" s="132"/>
      <c r="W60" s="132"/>
      <c r="X60" s="132"/>
      <c r="Y60" s="132"/>
      <c r="Z60" s="132"/>
      <c r="AA60" s="132"/>
      <c r="AB60" s="132"/>
      <c r="AC60" s="132"/>
      <c r="AD60" s="132"/>
      <c r="AE60" s="132"/>
      <c r="AF60" s="132"/>
      <c r="AG60" s="132"/>
    </row>
    <row r="61" spans="1:33">
      <c r="A61" s="171" t="s">
        <v>3065</v>
      </c>
      <c r="B61" s="171" t="s">
        <v>4313</v>
      </c>
      <c r="C61" s="101" t="s">
        <v>4314</v>
      </c>
      <c r="D61" s="176" t="s">
        <v>4315</v>
      </c>
      <c r="E61" s="281" t="s">
        <v>4316</v>
      </c>
      <c r="F61" s="176" t="s">
        <v>4317</v>
      </c>
      <c r="G61" s="281" t="s">
        <v>3066</v>
      </c>
      <c r="H61" s="279">
        <f t="shared" si="0"/>
        <v>60</v>
      </c>
      <c r="I61" s="280"/>
      <c r="J61" s="280"/>
      <c r="K61" s="171"/>
      <c r="L61" s="132"/>
      <c r="M61" s="132"/>
      <c r="N61" s="132"/>
      <c r="O61" s="132"/>
      <c r="P61" s="132"/>
      <c r="Q61" s="132"/>
      <c r="R61" s="132"/>
      <c r="S61" s="132"/>
      <c r="T61" s="132"/>
      <c r="U61" s="132"/>
      <c r="V61" s="132"/>
      <c r="W61" s="132"/>
      <c r="X61" s="132"/>
      <c r="Y61" s="132"/>
      <c r="Z61" s="132"/>
      <c r="AA61" s="132"/>
      <c r="AB61" s="132"/>
      <c r="AC61" s="132"/>
      <c r="AD61" s="132"/>
      <c r="AE61" s="132"/>
      <c r="AF61" s="132"/>
      <c r="AG61" s="132"/>
    </row>
    <row r="62" spans="1:33">
      <c r="A62" s="171" t="s">
        <v>3103</v>
      </c>
      <c r="B62" s="171" t="s">
        <v>4318</v>
      </c>
      <c r="C62" s="101" t="s">
        <v>4319</v>
      </c>
      <c r="D62" s="176" t="s">
        <v>4315</v>
      </c>
      <c r="E62" s="281" t="s">
        <v>4316</v>
      </c>
      <c r="F62" s="176" t="s">
        <v>4317</v>
      </c>
      <c r="G62" s="281" t="s">
        <v>3066</v>
      </c>
      <c r="H62" s="279">
        <f t="shared" si="0"/>
        <v>61</v>
      </c>
      <c r="I62" s="280"/>
      <c r="J62" s="280"/>
      <c r="K62" s="171"/>
      <c r="L62" s="132"/>
      <c r="M62" s="132"/>
      <c r="N62" s="132"/>
      <c r="O62" s="132"/>
      <c r="P62" s="132"/>
      <c r="Q62" s="132"/>
      <c r="R62" s="132"/>
      <c r="S62" s="132"/>
      <c r="T62" s="132"/>
      <c r="U62" s="132"/>
      <c r="V62" s="132"/>
      <c r="W62" s="132"/>
      <c r="X62" s="132"/>
      <c r="Y62" s="132"/>
      <c r="Z62" s="132"/>
      <c r="AA62" s="132"/>
      <c r="AB62" s="132"/>
      <c r="AC62" s="132"/>
      <c r="AD62" s="132"/>
      <c r="AE62" s="132"/>
      <c r="AF62" s="132"/>
      <c r="AG62" s="132"/>
    </row>
    <row r="63" spans="1:33">
      <c r="A63" s="171" t="s">
        <v>3112</v>
      </c>
      <c r="B63" s="171" t="s">
        <v>3113</v>
      </c>
      <c r="C63" s="101" t="s">
        <v>4320</v>
      </c>
      <c r="D63" s="176" t="s">
        <v>4315</v>
      </c>
      <c r="E63" s="281" t="s">
        <v>4316</v>
      </c>
      <c r="F63" s="176" t="s">
        <v>4317</v>
      </c>
      <c r="G63" s="281" t="s">
        <v>3066</v>
      </c>
      <c r="H63" s="279">
        <f t="shared" si="0"/>
        <v>62</v>
      </c>
      <c r="I63" s="280"/>
      <c r="J63" s="280"/>
      <c r="K63" s="171"/>
      <c r="L63" s="132"/>
      <c r="M63" s="132"/>
      <c r="N63" s="132"/>
      <c r="O63" s="132"/>
      <c r="P63" s="132"/>
      <c r="Q63" s="132"/>
      <c r="R63" s="132"/>
      <c r="S63" s="132"/>
      <c r="T63" s="132"/>
      <c r="U63" s="132"/>
      <c r="V63" s="132"/>
      <c r="W63" s="132"/>
      <c r="X63" s="132"/>
      <c r="Y63" s="132"/>
      <c r="Z63" s="132"/>
      <c r="AA63" s="132"/>
      <c r="AB63" s="132"/>
      <c r="AC63" s="132"/>
      <c r="AD63" s="132"/>
      <c r="AE63" s="132"/>
      <c r="AF63" s="132"/>
      <c r="AG63" s="132"/>
    </row>
    <row r="64" spans="1:33">
      <c r="A64" s="65" t="s">
        <v>3143</v>
      </c>
      <c r="B64" s="101" t="s">
        <v>4321</v>
      </c>
      <c r="C64" s="101" t="s">
        <v>4322</v>
      </c>
      <c r="D64" s="176" t="s">
        <v>4315</v>
      </c>
      <c r="E64" s="281" t="s">
        <v>4316</v>
      </c>
      <c r="F64" s="176" t="s">
        <v>4317</v>
      </c>
      <c r="G64" s="281" t="s">
        <v>3066</v>
      </c>
      <c r="H64" s="279">
        <f t="shared" si="0"/>
        <v>63</v>
      </c>
      <c r="I64" s="280"/>
      <c r="J64" s="280"/>
      <c r="K64" s="171"/>
      <c r="L64" s="132"/>
      <c r="M64" s="132"/>
      <c r="N64" s="132"/>
      <c r="O64" s="132"/>
      <c r="P64" s="132"/>
      <c r="Q64" s="132"/>
      <c r="R64" s="132"/>
      <c r="S64" s="132"/>
      <c r="T64" s="132"/>
      <c r="U64" s="132"/>
      <c r="V64" s="132"/>
      <c r="W64" s="132"/>
      <c r="X64" s="132"/>
      <c r="Y64" s="132"/>
      <c r="Z64" s="132"/>
      <c r="AA64" s="132"/>
      <c r="AB64" s="132"/>
      <c r="AC64" s="132"/>
      <c r="AD64" s="132"/>
      <c r="AE64" s="132"/>
      <c r="AF64" s="132"/>
      <c r="AG64" s="132"/>
    </row>
    <row r="65" spans="1:33">
      <c r="A65" s="171" t="s">
        <v>3170</v>
      </c>
      <c r="B65" s="171" t="s">
        <v>4323</v>
      </c>
      <c r="C65" s="101" t="s">
        <v>4324</v>
      </c>
      <c r="D65" s="176" t="s">
        <v>4315</v>
      </c>
      <c r="E65" s="281" t="s">
        <v>4316</v>
      </c>
      <c r="F65" s="176" t="s">
        <v>4317</v>
      </c>
      <c r="G65" s="281" t="s">
        <v>3066</v>
      </c>
      <c r="H65" s="279">
        <f t="shared" si="0"/>
        <v>64</v>
      </c>
      <c r="I65" s="280"/>
      <c r="J65" s="280"/>
      <c r="K65" s="171"/>
      <c r="L65" s="132"/>
      <c r="M65" s="132"/>
      <c r="N65" s="132"/>
      <c r="O65" s="132"/>
      <c r="P65" s="132"/>
      <c r="Q65" s="132"/>
      <c r="R65" s="132"/>
      <c r="S65" s="132"/>
      <c r="T65" s="132"/>
      <c r="U65" s="132"/>
      <c r="V65" s="132"/>
      <c r="W65" s="132"/>
      <c r="X65" s="132"/>
      <c r="Y65" s="132"/>
      <c r="Z65" s="132"/>
      <c r="AA65" s="132"/>
      <c r="AB65" s="132"/>
      <c r="AC65" s="132"/>
      <c r="AD65" s="132"/>
      <c r="AE65" s="132"/>
      <c r="AF65" s="132"/>
      <c r="AG65" s="132"/>
    </row>
    <row r="66" ht="17" spans="1:33">
      <c r="A66" s="179" t="s">
        <v>3191</v>
      </c>
      <c r="B66" s="101" t="s">
        <v>4325</v>
      </c>
      <c r="C66" s="101" t="s">
        <v>4326</v>
      </c>
      <c r="D66" s="176" t="s">
        <v>4315</v>
      </c>
      <c r="E66" s="281" t="s">
        <v>4316</v>
      </c>
      <c r="F66" s="176" t="s">
        <v>4317</v>
      </c>
      <c r="G66" s="281" t="s">
        <v>3066</v>
      </c>
      <c r="H66" s="279">
        <f t="shared" ref="H66:H125" si="1">ROW(A66)-1</f>
        <v>65</v>
      </c>
      <c r="I66" s="280"/>
      <c r="J66" s="280"/>
      <c r="K66" s="171"/>
      <c r="L66" s="132"/>
      <c r="M66" s="132"/>
      <c r="N66" s="132"/>
      <c r="O66" s="132"/>
      <c r="P66" s="132"/>
      <c r="Q66" s="132"/>
      <c r="R66" s="132"/>
      <c r="S66" s="132"/>
      <c r="T66" s="132"/>
      <c r="U66" s="132"/>
      <c r="V66" s="132"/>
      <c r="W66" s="132"/>
      <c r="X66" s="132"/>
      <c r="Y66" s="132"/>
      <c r="Z66" s="132"/>
      <c r="AA66" s="132"/>
      <c r="AB66" s="132"/>
      <c r="AC66" s="132"/>
      <c r="AD66" s="132"/>
      <c r="AE66" s="132"/>
      <c r="AF66" s="132"/>
      <c r="AG66" s="132"/>
    </row>
    <row r="67" spans="1:33">
      <c r="A67" s="65" t="s">
        <v>3203</v>
      </c>
      <c r="B67" s="101" t="s">
        <v>4327</v>
      </c>
      <c r="C67" s="101" t="s">
        <v>4328</v>
      </c>
      <c r="D67" s="176" t="s">
        <v>4315</v>
      </c>
      <c r="E67" s="281" t="s">
        <v>4316</v>
      </c>
      <c r="F67" s="176" t="s">
        <v>4317</v>
      </c>
      <c r="G67" s="281" t="s">
        <v>3066</v>
      </c>
      <c r="H67" s="279">
        <f t="shared" si="1"/>
        <v>66</v>
      </c>
      <c r="I67" s="280"/>
      <c r="J67" s="280"/>
      <c r="K67" s="171"/>
      <c r="L67" s="132"/>
      <c r="M67" s="132"/>
      <c r="N67" s="132"/>
      <c r="O67" s="132"/>
      <c r="P67" s="132"/>
      <c r="Q67" s="132"/>
      <c r="R67" s="132"/>
      <c r="S67" s="132"/>
      <c r="T67" s="132"/>
      <c r="U67" s="132"/>
      <c r="V67" s="132"/>
      <c r="W67" s="132"/>
      <c r="X67" s="132"/>
      <c r="Y67" s="132"/>
      <c r="Z67" s="132"/>
      <c r="AA67" s="132"/>
      <c r="AB67" s="132"/>
      <c r="AC67" s="132"/>
      <c r="AD67" s="132"/>
      <c r="AE67" s="132"/>
      <c r="AF67" s="132"/>
      <c r="AG67" s="132"/>
    </row>
    <row r="68" spans="1:33">
      <c r="A68" s="101" t="s">
        <v>3211</v>
      </c>
      <c r="B68" s="101" t="s">
        <v>3224</v>
      </c>
      <c r="C68" s="101" t="s">
        <v>3212</v>
      </c>
      <c r="D68" s="176" t="s">
        <v>4315</v>
      </c>
      <c r="E68" s="281" t="s">
        <v>4316</v>
      </c>
      <c r="F68" s="176" t="s">
        <v>4317</v>
      </c>
      <c r="G68" s="281" t="s">
        <v>3066</v>
      </c>
      <c r="H68" s="279">
        <f t="shared" si="1"/>
        <v>67</v>
      </c>
      <c r="I68" s="280"/>
      <c r="J68" s="280"/>
      <c r="K68" s="171"/>
      <c r="L68" s="132"/>
      <c r="M68" s="132"/>
      <c r="N68" s="132"/>
      <c r="O68" s="132"/>
      <c r="P68" s="132"/>
      <c r="Q68" s="132"/>
      <c r="R68" s="132"/>
      <c r="S68" s="132"/>
      <c r="T68" s="132"/>
      <c r="U68" s="132"/>
      <c r="V68" s="132"/>
      <c r="W68" s="132"/>
      <c r="X68" s="132"/>
      <c r="Y68" s="132"/>
      <c r="Z68" s="132"/>
      <c r="AA68" s="132"/>
      <c r="AB68" s="132"/>
      <c r="AC68" s="132"/>
      <c r="AD68" s="132"/>
      <c r="AE68" s="132"/>
      <c r="AF68" s="132"/>
      <c r="AG68" s="132"/>
    </row>
    <row r="69" spans="1:33">
      <c r="A69" s="101" t="s">
        <v>4329</v>
      </c>
      <c r="B69" s="101" t="s">
        <v>4330</v>
      </c>
      <c r="C69" s="101" t="s">
        <v>4331</v>
      </c>
      <c r="D69" s="176" t="s">
        <v>4315</v>
      </c>
      <c r="E69" s="281" t="s">
        <v>4316</v>
      </c>
      <c r="F69" s="176" t="s">
        <v>4317</v>
      </c>
      <c r="G69" s="281" t="s">
        <v>3066</v>
      </c>
      <c r="H69" s="279">
        <f t="shared" si="1"/>
        <v>68</v>
      </c>
      <c r="I69" s="280"/>
      <c r="J69" s="280"/>
      <c r="K69" s="20"/>
      <c r="L69" s="132"/>
      <c r="M69" s="132"/>
      <c r="N69" s="132"/>
      <c r="O69" s="132"/>
      <c r="P69" s="132"/>
      <c r="Q69" s="132"/>
      <c r="R69" s="132"/>
      <c r="S69" s="132"/>
      <c r="T69" s="132"/>
      <c r="U69" s="132"/>
      <c r="V69" s="132"/>
      <c r="W69" s="132"/>
      <c r="X69" s="132"/>
      <c r="Y69" s="132"/>
      <c r="Z69" s="132"/>
      <c r="AA69" s="132"/>
      <c r="AB69" s="132"/>
      <c r="AC69" s="132"/>
      <c r="AD69" s="132"/>
      <c r="AE69" s="132"/>
      <c r="AF69" s="132"/>
      <c r="AG69" s="132"/>
    </row>
    <row r="70" spans="1:33">
      <c r="A70" s="101" t="s">
        <v>4332</v>
      </c>
      <c r="B70" s="101" t="s">
        <v>4333</v>
      </c>
      <c r="C70" s="101" t="s">
        <v>4334</v>
      </c>
      <c r="D70" s="176" t="s">
        <v>4315</v>
      </c>
      <c r="E70" s="281" t="s">
        <v>4316</v>
      </c>
      <c r="F70" s="176" t="s">
        <v>4317</v>
      </c>
      <c r="G70" s="281" t="s">
        <v>3066</v>
      </c>
      <c r="H70" s="279">
        <f t="shared" si="1"/>
        <v>69</v>
      </c>
      <c r="I70" s="280"/>
      <c r="J70" s="280"/>
      <c r="K70" s="20"/>
      <c r="L70" s="132"/>
      <c r="M70" s="132"/>
      <c r="N70" s="132"/>
      <c r="O70" s="132"/>
      <c r="P70" s="132"/>
      <c r="Q70" s="132"/>
      <c r="R70" s="132"/>
      <c r="S70" s="132"/>
      <c r="T70" s="132"/>
      <c r="U70" s="132"/>
      <c r="V70" s="132"/>
      <c r="W70" s="132"/>
      <c r="X70" s="132"/>
      <c r="Y70" s="132"/>
      <c r="Z70" s="132"/>
      <c r="AA70" s="132"/>
      <c r="AB70" s="132"/>
      <c r="AC70" s="132"/>
      <c r="AD70" s="132"/>
      <c r="AE70" s="132"/>
      <c r="AF70" s="132"/>
      <c r="AG70" s="132"/>
    </row>
    <row r="71" spans="1:33">
      <c r="A71" s="171" t="s">
        <v>3235</v>
      </c>
      <c r="B71" s="171" t="s">
        <v>4335</v>
      </c>
      <c r="C71" s="101" t="s">
        <v>4336</v>
      </c>
      <c r="D71" s="176" t="s">
        <v>4337</v>
      </c>
      <c r="E71" s="281" t="s">
        <v>4338</v>
      </c>
      <c r="F71" s="176" t="s">
        <v>4317</v>
      </c>
      <c r="G71" s="281" t="s">
        <v>3066</v>
      </c>
      <c r="H71" s="279">
        <f t="shared" si="1"/>
        <v>70</v>
      </c>
      <c r="I71" s="280"/>
      <c r="J71" s="280"/>
      <c r="K71" s="171"/>
      <c r="L71" s="132"/>
      <c r="M71" s="132"/>
      <c r="N71" s="132"/>
      <c r="O71" s="132"/>
      <c r="P71" s="132"/>
      <c r="Q71" s="132"/>
      <c r="R71" s="132"/>
      <c r="S71" s="132"/>
      <c r="T71" s="132"/>
      <c r="U71" s="132"/>
      <c r="V71" s="132"/>
      <c r="W71" s="132"/>
      <c r="X71" s="132"/>
      <c r="Y71" s="132"/>
      <c r="Z71" s="132"/>
      <c r="AA71" s="132"/>
      <c r="AB71" s="132"/>
      <c r="AC71" s="132"/>
      <c r="AD71" s="132"/>
      <c r="AE71" s="132"/>
      <c r="AF71" s="132"/>
      <c r="AG71" s="132"/>
    </row>
    <row r="72" spans="1:33">
      <c r="A72" s="171" t="s">
        <v>3326</v>
      </c>
      <c r="B72" s="171" t="s">
        <v>4339</v>
      </c>
      <c r="C72" s="101" t="s">
        <v>4340</v>
      </c>
      <c r="D72" s="176" t="s">
        <v>4337</v>
      </c>
      <c r="E72" s="281" t="s">
        <v>4338</v>
      </c>
      <c r="F72" s="176" t="s">
        <v>4317</v>
      </c>
      <c r="G72" s="281" t="s">
        <v>3066</v>
      </c>
      <c r="H72" s="279">
        <f t="shared" si="1"/>
        <v>71</v>
      </c>
      <c r="I72" s="280"/>
      <c r="J72" s="280"/>
      <c r="K72" s="171"/>
      <c r="L72" s="132"/>
      <c r="M72" s="132"/>
      <c r="N72" s="132"/>
      <c r="O72" s="132"/>
      <c r="P72" s="132"/>
      <c r="Q72" s="132"/>
      <c r="R72" s="132"/>
      <c r="S72" s="132"/>
      <c r="T72" s="132"/>
      <c r="U72" s="132"/>
      <c r="V72" s="132"/>
      <c r="W72" s="132"/>
      <c r="X72" s="132"/>
      <c r="Y72" s="132"/>
      <c r="Z72" s="132"/>
      <c r="AA72" s="132"/>
      <c r="AB72" s="132"/>
      <c r="AC72" s="132"/>
      <c r="AD72" s="132"/>
      <c r="AE72" s="132"/>
      <c r="AF72" s="132"/>
      <c r="AG72" s="132"/>
    </row>
    <row r="73" spans="1:33">
      <c r="A73" s="171" t="s">
        <v>3331</v>
      </c>
      <c r="B73" s="171" t="s">
        <v>4341</v>
      </c>
      <c r="C73" s="101" t="s">
        <v>4342</v>
      </c>
      <c r="D73" s="176" t="s">
        <v>4337</v>
      </c>
      <c r="E73" s="281" t="s">
        <v>4338</v>
      </c>
      <c r="F73" s="176" t="s">
        <v>4317</v>
      </c>
      <c r="G73" s="281" t="s">
        <v>3066</v>
      </c>
      <c r="H73" s="279">
        <f t="shared" si="1"/>
        <v>72</v>
      </c>
      <c r="I73" s="280"/>
      <c r="J73" s="280"/>
      <c r="K73" s="171"/>
      <c r="L73" s="132"/>
      <c r="M73" s="132"/>
      <c r="N73" s="132"/>
      <c r="O73" s="132"/>
      <c r="P73" s="132"/>
      <c r="Q73" s="132"/>
      <c r="R73" s="132"/>
      <c r="S73" s="132"/>
      <c r="T73" s="132"/>
      <c r="U73" s="132"/>
      <c r="V73" s="132"/>
      <c r="W73" s="132"/>
      <c r="X73" s="132"/>
      <c r="Y73" s="132"/>
      <c r="Z73" s="132"/>
      <c r="AA73" s="132"/>
      <c r="AB73" s="132"/>
      <c r="AC73" s="132"/>
      <c r="AD73" s="132"/>
      <c r="AE73" s="132"/>
      <c r="AF73" s="132"/>
      <c r="AG73" s="132"/>
    </row>
    <row r="74" spans="1:33">
      <c r="A74" s="171" t="s">
        <v>3345</v>
      </c>
      <c r="B74" s="171" t="s">
        <v>4343</v>
      </c>
      <c r="C74" s="101" t="s">
        <v>4344</v>
      </c>
      <c r="D74" s="176" t="s">
        <v>4337</v>
      </c>
      <c r="E74" s="281" t="s">
        <v>4338</v>
      </c>
      <c r="F74" s="176" t="s">
        <v>4317</v>
      </c>
      <c r="G74" s="281" t="s">
        <v>3066</v>
      </c>
      <c r="H74" s="279">
        <f t="shared" si="1"/>
        <v>73</v>
      </c>
      <c r="I74" s="280"/>
      <c r="J74" s="280"/>
      <c r="K74" s="171"/>
      <c r="L74" s="132"/>
      <c r="M74" s="132"/>
      <c r="N74" s="132"/>
      <c r="O74" s="132"/>
      <c r="P74" s="132"/>
      <c r="Q74" s="132"/>
      <c r="R74" s="132"/>
      <c r="S74" s="132"/>
      <c r="T74" s="132"/>
      <c r="U74" s="132"/>
      <c r="V74" s="132"/>
      <c r="W74" s="132"/>
      <c r="X74" s="132"/>
      <c r="Y74" s="132"/>
      <c r="Z74" s="132"/>
      <c r="AA74" s="132"/>
      <c r="AB74" s="132"/>
      <c r="AC74" s="132"/>
      <c r="AD74" s="132"/>
      <c r="AE74" s="132"/>
      <c r="AF74" s="132"/>
      <c r="AG74" s="132"/>
    </row>
    <row r="75" spans="1:33">
      <c r="A75" s="171" t="s">
        <v>3347</v>
      </c>
      <c r="B75" s="101" t="s">
        <v>4345</v>
      </c>
      <c r="C75" s="101" t="s">
        <v>4346</v>
      </c>
      <c r="D75" s="176" t="s">
        <v>4337</v>
      </c>
      <c r="E75" s="281" t="s">
        <v>4338</v>
      </c>
      <c r="F75" s="176" t="s">
        <v>4317</v>
      </c>
      <c r="G75" s="281" t="s">
        <v>3066</v>
      </c>
      <c r="H75" s="279">
        <f t="shared" si="1"/>
        <v>74</v>
      </c>
      <c r="I75" s="280"/>
      <c r="J75" s="280"/>
      <c r="K75" s="171"/>
      <c r="L75" s="132"/>
      <c r="M75" s="132"/>
      <c r="N75" s="132"/>
      <c r="O75" s="132"/>
      <c r="P75" s="132"/>
      <c r="Q75" s="132"/>
      <c r="R75" s="132"/>
      <c r="S75" s="132"/>
      <c r="T75" s="132"/>
      <c r="U75" s="132"/>
      <c r="V75" s="132"/>
      <c r="W75" s="132"/>
      <c r="X75" s="132"/>
      <c r="Y75" s="132"/>
      <c r="Z75" s="132"/>
      <c r="AA75" s="132"/>
      <c r="AB75" s="132"/>
      <c r="AC75" s="132"/>
      <c r="AD75" s="132"/>
      <c r="AE75" s="132"/>
      <c r="AF75" s="132"/>
      <c r="AG75" s="132"/>
    </row>
    <row r="76" spans="1:33">
      <c r="A76" s="171" t="s">
        <v>3349</v>
      </c>
      <c r="B76" s="101" t="s">
        <v>4347</v>
      </c>
      <c r="C76" s="101" t="s">
        <v>4348</v>
      </c>
      <c r="D76" s="176" t="s">
        <v>4337</v>
      </c>
      <c r="E76" s="281" t="s">
        <v>4338</v>
      </c>
      <c r="F76" s="176" t="s">
        <v>4317</v>
      </c>
      <c r="G76" s="281" t="s">
        <v>3066</v>
      </c>
      <c r="H76" s="279">
        <f t="shared" si="1"/>
        <v>75</v>
      </c>
      <c r="I76" s="280"/>
      <c r="J76" s="280"/>
      <c r="K76" s="171"/>
      <c r="L76" s="132"/>
      <c r="M76" s="132"/>
      <c r="N76" s="132"/>
      <c r="O76" s="132"/>
      <c r="P76" s="132"/>
      <c r="Q76" s="132"/>
      <c r="R76" s="132"/>
      <c r="S76" s="132"/>
      <c r="T76" s="132"/>
      <c r="U76" s="132"/>
      <c r="V76" s="132"/>
      <c r="W76" s="132"/>
      <c r="X76" s="132"/>
      <c r="Y76" s="132"/>
      <c r="Z76" s="132"/>
      <c r="AA76" s="132"/>
      <c r="AB76" s="132"/>
      <c r="AC76" s="132"/>
      <c r="AD76" s="132"/>
      <c r="AE76" s="132"/>
      <c r="AF76" s="132"/>
      <c r="AG76" s="132"/>
    </row>
    <row r="77" spans="1:33">
      <c r="A77" s="171" t="s">
        <v>3350</v>
      </c>
      <c r="B77" s="171" t="s">
        <v>4349</v>
      </c>
      <c r="C77" s="101" t="s">
        <v>4350</v>
      </c>
      <c r="D77" s="176" t="s">
        <v>4337</v>
      </c>
      <c r="E77" s="281" t="s">
        <v>4338</v>
      </c>
      <c r="F77" s="176" t="s">
        <v>4317</v>
      </c>
      <c r="G77" s="281" t="s">
        <v>3066</v>
      </c>
      <c r="H77" s="279">
        <f t="shared" si="1"/>
        <v>76</v>
      </c>
      <c r="I77" s="280"/>
      <c r="J77" s="280"/>
      <c r="K77" s="171"/>
      <c r="L77" s="132"/>
      <c r="M77" s="132"/>
      <c r="N77" s="132"/>
      <c r="O77" s="132"/>
      <c r="P77" s="132"/>
      <c r="Q77" s="132"/>
      <c r="R77" s="132"/>
      <c r="S77" s="132"/>
      <c r="T77" s="132"/>
      <c r="U77" s="132"/>
      <c r="V77" s="132"/>
      <c r="W77" s="132"/>
      <c r="X77" s="132"/>
      <c r="Y77" s="132"/>
      <c r="Z77" s="132"/>
      <c r="AA77" s="132"/>
      <c r="AB77" s="132"/>
      <c r="AC77" s="132"/>
      <c r="AD77" s="132"/>
      <c r="AE77" s="132"/>
      <c r="AF77" s="132"/>
      <c r="AG77" s="132"/>
    </row>
    <row r="78" spans="1:33">
      <c r="A78" s="171" t="s">
        <v>3354</v>
      </c>
      <c r="B78" s="171" t="s">
        <v>4351</v>
      </c>
      <c r="C78" s="101" t="s">
        <v>4352</v>
      </c>
      <c r="D78" s="176" t="s">
        <v>4337</v>
      </c>
      <c r="E78" s="281" t="s">
        <v>4338</v>
      </c>
      <c r="F78" s="176" t="s">
        <v>4317</v>
      </c>
      <c r="G78" s="281" t="s">
        <v>3066</v>
      </c>
      <c r="H78" s="279">
        <f t="shared" si="1"/>
        <v>77</v>
      </c>
      <c r="I78" s="280"/>
      <c r="J78" s="280"/>
      <c r="K78" s="171"/>
      <c r="L78" s="132"/>
      <c r="M78" s="132"/>
      <c r="N78" s="132"/>
      <c r="O78" s="132"/>
      <c r="P78" s="132"/>
      <c r="Q78" s="132"/>
      <c r="R78" s="132"/>
      <c r="S78" s="132"/>
      <c r="T78" s="132"/>
      <c r="U78" s="132"/>
      <c r="V78" s="132"/>
      <c r="W78" s="132"/>
      <c r="X78" s="132"/>
      <c r="Y78" s="132"/>
      <c r="Z78" s="132"/>
      <c r="AA78" s="132"/>
      <c r="AB78" s="132"/>
      <c r="AC78" s="132"/>
      <c r="AD78" s="132"/>
      <c r="AE78" s="132"/>
      <c r="AF78" s="132"/>
      <c r="AG78" s="132"/>
    </row>
    <row r="79" spans="1:33">
      <c r="A79" s="171" t="s">
        <v>3360</v>
      </c>
      <c r="B79" s="171" t="s">
        <v>4353</v>
      </c>
      <c r="C79" s="101" t="s">
        <v>4354</v>
      </c>
      <c r="D79" s="176" t="s">
        <v>4337</v>
      </c>
      <c r="E79" s="281" t="s">
        <v>4338</v>
      </c>
      <c r="F79" s="176" t="s">
        <v>4317</v>
      </c>
      <c r="G79" s="281" t="s">
        <v>3066</v>
      </c>
      <c r="H79" s="279">
        <f t="shared" si="1"/>
        <v>78</v>
      </c>
      <c r="I79" s="280"/>
      <c r="J79" s="280"/>
      <c r="K79" s="171"/>
      <c r="L79" s="132"/>
      <c r="M79" s="132"/>
      <c r="N79" s="132"/>
      <c r="O79" s="132"/>
      <c r="P79" s="132"/>
      <c r="Q79" s="132"/>
      <c r="R79" s="132"/>
      <c r="S79" s="132"/>
      <c r="T79" s="132"/>
      <c r="U79" s="132"/>
      <c r="V79" s="132"/>
      <c r="W79" s="132"/>
      <c r="X79" s="132"/>
      <c r="Y79" s="132"/>
      <c r="Z79" s="132"/>
      <c r="AA79" s="132"/>
      <c r="AB79" s="132"/>
      <c r="AC79" s="132"/>
      <c r="AD79" s="132"/>
      <c r="AE79" s="132"/>
      <c r="AF79" s="132"/>
      <c r="AG79" s="132"/>
    </row>
    <row r="80" spans="1:33">
      <c r="A80" s="171" t="s">
        <v>3372</v>
      </c>
      <c r="B80" s="171" t="s">
        <v>4355</v>
      </c>
      <c r="C80" s="101" t="s">
        <v>4356</v>
      </c>
      <c r="D80" s="176" t="s">
        <v>4337</v>
      </c>
      <c r="E80" s="281" t="s">
        <v>4338</v>
      </c>
      <c r="F80" s="176" t="s">
        <v>4317</v>
      </c>
      <c r="G80" s="281" t="s">
        <v>3066</v>
      </c>
      <c r="H80" s="279">
        <f t="shared" si="1"/>
        <v>79</v>
      </c>
      <c r="I80" s="280"/>
      <c r="J80" s="280"/>
      <c r="K80" s="171"/>
      <c r="L80" s="132"/>
      <c r="M80" s="132"/>
      <c r="N80" s="132"/>
      <c r="O80" s="132"/>
      <c r="P80" s="132"/>
      <c r="Q80" s="132"/>
      <c r="R80" s="132"/>
      <c r="S80" s="132"/>
      <c r="T80" s="132"/>
      <c r="U80" s="132"/>
      <c r="V80" s="132"/>
      <c r="W80" s="132"/>
      <c r="X80" s="132"/>
      <c r="Y80" s="132"/>
      <c r="Z80" s="132"/>
      <c r="AA80" s="132"/>
      <c r="AB80" s="132"/>
      <c r="AC80" s="132"/>
      <c r="AD80" s="132"/>
      <c r="AE80" s="132"/>
      <c r="AF80" s="132"/>
      <c r="AG80" s="132"/>
    </row>
    <row r="81" spans="1:33">
      <c r="A81" s="171" t="s">
        <v>3373</v>
      </c>
      <c r="B81" s="171" t="s">
        <v>4357</v>
      </c>
      <c r="C81" s="101" t="s">
        <v>4358</v>
      </c>
      <c r="D81" s="176" t="s">
        <v>4337</v>
      </c>
      <c r="E81" s="281" t="s">
        <v>4338</v>
      </c>
      <c r="F81" s="176" t="s">
        <v>4317</v>
      </c>
      <c r="G81" s="281" t="s">
        <v>3066</v>
      </c>
      <c r="H81" s="279">
        <f t="shared" si="1"/>
        <v>80</v>
      </c>
      <c r="I81" s="280"/>
      <c r="J81" s="280"/>
      <c r="K81" s="171"/>
      <c r="L81" s="132"/>
      <c r="M81" s="132"/>
      <c r="N81" s="132"/>
      <c r="O81" s="132"/>
      <c r="P81" s="132"/>
      <c r="Q81" s="132"/>
      <c r="R81" s="132"/>
      <c r="S81" s="132"/>
      <c r="T81" s="132"/>
      <c r="U81" s="132"/>
      <c r="V81" s="132"/>
      <c r="W81" s="132"/>
      <c r="X81" s="132"/>
      <c r="Y81" s="132"/>
      <c r="Z81" s="132"/>
      <c r="AA81" s="132"/>
      <c r="AB81" s="132"/>
      <c r="AC81" s="132"/>
      <c r="AD81" s="132"/>
      <c r="AE81" s="132"/>
      <c r="AF81" s="132"/>
      <c r="AG81" s="132"/>
    </row>
    <row r="82" spans="1:33">
      <c r="A82" s="171" t="s">
        <v>3386</v>
      </c>
      <c r="B82" s="171" t="s">
        <v>4359</v>
      </c>
      <c r="C82" s="101" t="s">
        <v>4360</v>
      </c>
      <c r="D82" s="176" t="s">
        <v>4337</v>
      </c>
      <c r="E82" s="281" t="s">
        <v>4338</v>
      </c>
      <c r="F82" s="176" t="s">
        <v>4317</v>
      </c>
      <c r="G82" s="281" t="s">
        <v>3066</v>
      </c>
      <c r="H82" s="279">
        <f t="shared" si="1"/>
        <v>81</v>
      </c>
      <c r="I82" s="280"/>
      <c r="J82" s="280"/>
      <c r="K82" s="171"/>
      <c r="L82" s="132"/>
      <c r="M82" s="132"/>
      <c r="N82" s="132"/>
      <c r="O82" s="132"/>
      <c r="P82" s="132"/>
      <c r="Q82" s="132"/>
      <c r="R82" s="132"/>
      <c r="S82" s="132"/>
      <c r="T82" s="132"/>
      <c r="U82" s="132"/>
      <c r="V82" s="132"/>
      <c r="W82" s="132"/>
      <c r="X82" s="132"/>
      <c r="Y82" s="132"/>
      <c r="Z82" s="132"/>
      <c r="AA82" s="132"/>
      <c r="AB82" s="132"/>
      <c r="AC82" s="132"/>
      <c r="AD82" s="132"/>
      <c r="AE82" s="132"/>
      <c r="AF82" s="132"/>
      <c r="AG82" s="132"/>
    </row>
    <row r="83" spans="1:33">
      <c r="A83" s="171" t="s">
        <v>3387</v>
      </c>
      <c r="B83" s="171" t="s">
        <v>4361</v>
      </c>
      <c r="C83" s="101" t="s">
        <v>4362</v>
      </c>
      <c r="D83" s="176" t="s">
        <v>4337</v>
      </c>
      <c r="E83" s="281" t="s">
        <v>4338</v>
      </c>
      <c r="F83" s="176" t="s">
        <v>4317</v>
      </c>
      <c r="G83" s="281" t="s">
        <v>3066</v>
      </c>
      <c r="H83" s="279">
        <f t="shared" si="1"/>
        <v>82</v>
      </c>
      <c r="I83" s="280"/>
      <c r="J83" s="280"/>
      <c r="K83" s="171"/>
      <c r="L83" s="132"/>
      <c r="M83" s="132"/>
      <c r="N83" s="132"/>
      <c r="O83" s="132"/>
      <c r="P83" s="132"/>
      <c r="Q83" s="132"/>
      <c r="R83" s="132"/>
      <c r="S83" s="132"/>
      <c r="T83" s="132"/>
      <c r="U83" s="132"/>
      <c r="V83" s="132"/>
      <c r="W83" s="132"/>
      <c r="X83" s="132"/>
      <c r="Y83" s="132"/>
      <c r="Z83" s="132"/>
      <c r="AA83" s="132"/>
      <c r="AB83" s="132"/>
      <c r="AC83" s="132"/>
      <c r="AD83" s="132"/>
      <c r="AE83" s="132"/>
      <c r="AF83" s="132"/>
      <c r="AG83" s="132"/>
    </row>
    <row r="84" spans="1:33">
      <c r="A84" s="101" t="s">
        <v>3388</v>
      </c>
      <c r="B84" s="101" t="s">
        <v>4363</v>
      </c>
      <c r="C84" s="101" t="s">
        <v>4364</v>
      </c>
      <c r="D84" s="176" t="s">
        <v>4337</v>
      </c>
      <c r="E84" s="281" t="s">
        <v>4338</v>
      </c>
      <c r="F84" s="176" t="s">
        <v>4317</v>
      </c>
      <c r="G84" s="281" t="s">
        <v>3066</v>
      </c>
      <c r="H84" s="279">
        <f t="shared" si="1"/>
        <v>83</v>
      </c>
      <c r="I84" s="280"/>
      <c r="J84" s="280"/>
      <c r="K84" s="171"/>
      <c r="L84" s="132"/>
      <c r="M84" s="132"/>
      <c r="N84" s="132"/>
      <c r="O84" s="132"/>
      <c r="P84" s="132"/>
      <c r="Q84" s="132"/>
      <c r="R84" s="132"/>
      <c r="S84" s="132"/>
      <c r="T84" s="132"/>
      <c r="U84" s="132"/>
      <c r="V84" s="132"/>
      <c r="W84" s="132"/>
      <c r="X84" s="132"/>
      <c r="Y84" s="132"/>
      <c r="Z84" s="132"/>
      <c r="AA84" s="132"/>
      <c r="AB84" s="132"/>
      <c r="AC84" s="132"/>
      <c r="AD84" s="132"/>
      <c r="AE84" s="132"/>
      <c r="AF84" s="132"/>
      <c r="AG84" s="132"/>
    </row>
    <row r="85" spans="1:33">
      <c r="A85" s="171" t="s">
        <v>3411</v>
      </c>
      <c r="B85" s="171" t="s">
        <v>4365</v>
      </c>
      <c r="C85" s="101" t="s">
        <v>4366</v>
      </c>
      <c r="D85" s="176" t="s">
        <v>4367</v>
      </c>
      <c r="E85" s="281" t="s">
        <v>4368</v>
      </c>
      <c r="F85" s="176" t="s">
        <v>4317</v>
      </c>
      <c r="G85" s="281" t="s">
        <v>3066</v>
      </c>
      <c r="H85" s="279">
        <f t="shared" si="1"/>
        <v>84</v>
      </c>
      <c r="I85" s="280"/>
      <c r="J85" s="280"/>
      <c r="K85" s="171"/>
      <c r="L85" s="132"/>
      <c r="M85" s="132"/>
      <c r="N85" s="132"/>
      <c r="O85" s="132"/>
      <c r="P85" s="132"/>
      <c r="Q85" s="132"/>
      <c r="R85" s="132"/>
      <c r="S85" s="132"/>
      <c r="T85" s="132"/>
      <c r="U85" s="132"/>
      <c r="V85" s="132"/>
      <c r="W85" s="132"/>
      <c r="X85" s="132"/>
      <c r="Y85" s="132"/>
      <c r="Z85" s="132"/>
      <c r="AA85" s="132"/>
      <c r="AB85" s="132"/>
      <c r="AC85" s="132"/>
      <c r="AD85" s="132"/>
      <c r="AE85" s="132"/>
      <c r="AF85" s="132"/>
      <c r="AG85" s="132"/>
    </row>
    <row r="86" spans="1:33">
      <c r="A86" s="171" t="s">
        <v>3412</v>
      </c>
      <c r="B86" s="171" t="s">
        <v>4369</v>
      </c>
      <c r="C86" s="101" t="s">
        <v>4370</v>
      </c>
      <c r="D86" s="176" t="s">
        <v>4367</v>
      </c>
      <c r="E86" s="281" t="s">
        <v>4368</v>
      </c>
      <c r="F86" s="176" t="s">
        <v>4317</v>
      </c>
      <c r="G86" s="281" t="s">
        <v>3066</v>
      </c>
      <c r="H86" s="279">
        <f t="shared" si="1"/>
        <v>85</v>
      </c>
      <c r="I86" s="280"/>
      <c r="J86" s="280"/>
      <c r="K86" s="171"/>
      <c r="L86" s="132"/>
      <c r="M86" s="132"/>
      <c r="N86" s="132"/>
      <c r="O86" s="132"/>
      <c r="P86" s="132"/>
      <c r="Q86" s="132"/>
      <c r="R86" s="132"/>
      <c r="S86" s="132"/>
      <c r="T86" s="132"/>
      <c r="U86" s="132"/>
      <c r="V86" s="132"/>
      <c r="W86" s="132"/>
      <c r="X86" s="132"/>
      <c r="Y86" s="132"/>
      <c r="Z86" s="132"/>
      <c r="AA86" s="132"/>
      <c r="AB86" s="132"/>
      <c r="AC86" s="132"/>
      <c r="AD86" s="132"/>
      <c r="AE86" s="132"/>
      <c r="AF86" s="132"/>
      <c r="AG86" s="132"/>
    </row>
    <row r="87" spans="1:33">
      <c r="A87" s="171" t="s">
        <v>3413</v>
      </c>
      <c r="B87" s="171" t="s">
        <v>4371</v>
      </c>
      <c r="C87" s="101" t="s">
        <v>4372</v>
      </c>
      <c r="D87" s="176" t="s">
        <v>4367</v>
      </c>
      <c r="E87" s="281" t="s">
        <v>4368</v>
      </c>
      <c r="F87" s="176" t="s">
        <v>4317</v>
      </c>
      <c r="G87" s="281" t="s">
        <v>3066</v>
      </c>
      <c r="H87" s="279">
        <f t="shared" si="1"/>
        <v>86</v>
      </c>
      <c r="I87" s="280"/>
      <c r="J87" s="280"/>
      <c r="K87" s="171"/>
      <c r="L87" s="132"/>
      <c r="M87" s="132"/>
      <c r="N87" s="132"/>
      <c r="O87" s="132"/>
      <c r="P87" s="132"/>
      <c r="Q87" s="132"/>
      <c r="R87" s="132"/>
      <c r="S87" s="132"/>
      <c r="T87" s="132"/>
      <c r="U87" s="132"/>
      <c r="V87" s="132"/>
      <c r="W87" s="132"/>
      <c r="X87" s="132"/>
      <c r="Y87" s="132"/>
      <c r="Z87" s="132"/>
      <c r="AA87" s="132"/>
      <c r="AB87" s="132"/>
      <c r="AC87" s="132"/>
      <c r="AD87" s="132"/>
      <c r="AE87" s="132"/>
      <c r="AF87" s="132"/>
      <c r="AG87" s="132"/>
    </row>
    <row r="88" spans="1:33">
      <c r="A88" s="171" t="s">
        <v>3414</v>
      </c>
      <c r="B88" s="171" t="s">
        <v>4373</v>
      </c>
      <c r="C88" s="101" t="s">
        <v>4374</v>
      </c>
      <c r="D88" s="176" t="s">
        <v>4367</v>
      </c>
      <c r="E88" s="281" t="s">
        <v>4368</v>
      </c>
      <c r="F88" s="176" t="s">
        <v>4317</v>
      </c>
      <c r="G88" s="281" t="s">
        <v>3066</v>
      </c>
      <c r="H88" s="279">
        <f t="shared" si="1"/>
        <v>87</v>
      </c>
      <c r="I88" s="280"/>
      <c r="J88" s="280"/>
      <c r="K88" s="171"/>
      <c r="L88" s="132"/>
      <c r="M88" s="132"/>
      <c r="N88" s="132"/>
      <c r="O88" s="132"/>
      <c r="P88" s="132"/>
      <c r="Q88" s="132"/>
      <c r="R88" s="132"/>
      <c r="S88" s="132"/>
      <c r="T88" s="132"/>
      <c r="U88" s="132"/>
      <c r="V88" s="132"/>
      <c r="W88" s="132"/>
      <c r="X88" s="132"/>
      <c r="Y88" s="132"/>
      <c r="Z88" s="132"/>
      <c r="AA88" s="132"/>
      <c r="AB88" s="132"/>
      <c r="AC88" s="132"/>
      <c r="AD88" s="132"/>
      <c r="AE88" s="132"/>
      <c r="AF88" s="132"/>
      <c r="AG88" s="132"/>
    </row>
    <row r="89" spans="1:33">
      <c r="A89" s="171" t="s">
        <v>3415</v>
      </c>
      <c r="B89" s="171" t="s">
        <v>4375</v>
      </c>
      <c r="C89" s="101" t="s">
        <v>4376</v>
      </c>
      <c r="D89" s="176" t="s">
        <v>4367</v>
      </c>
      <c r="E89" s="281" t="s">
        <v>4368</v>
      </c>
      <c r="F89" s="176" t="s">
        <v>4317</v>
      </c>
      <c r="G89" s="281" t="s">
        <v>3066</v>
      </c>
      <c r="H89" s="279">
        <f t="shared" si="1"/>
        <v>88</v>
      </c>
      <c r="I89" s="280"/>
      <c r="J89" s="280"/>
      <c r="K89" s="171"/>
      <c r="L89" s="132"/>
      <c r="M89" s="132"/>
      <c r="N89" s="132"/>
      <c r="O89" s="132"/>
      <c r="P89" s="132"/>
      <c r="Q89" s="132"/>
      <c r="R89" s="132"/>
      <c r="S89" s="132"/>
      <c r="T89" s="132"/>
      <c r="U89" s="132"/>
      <c r="V89" s="132"/>
      <c r="W89" s="132"/>
      <c r="X89" s="132"/>
      <c r="Y89" s="132"/>
      <c r="Z89" s="132"/>
      <c r="AA89" s="132"/>
      <c r="AB89" s="132"/>
      <c r="AC89" s="132"/>
      <c r="AD89" s="132"/>
      <c r="AE89" s="132"/>
      <c r="AF89" s="132"/>
      <c r="AG89" s="132"/>
    </row>
    <row r="90" spans="1:33">
      <c r="A90" s="171" t="s">
        <v>3416</v>
      </c>
      <c r="B90" s="171" t="s">
        <v>4377</v>
      </c>
      <c r="C90" s="101" t="s">
        <v>4378</v>
      </c>
      <c r="D90" s="176" t="s">
        <v>4367</v>
      </c>
      <c r="E90" s="281" t="s">
        <v>4368</v>
      </c>
      <c r="F90" s="176" t="s">
        <v>4317</v>
      </c>
      <c r="G90" s="281" t="s">
        <v>3066</v>
      </c>
      <c r="H90" s="279">
        <f t="shared" si="1"/>
        <v>89</v>
      </c>
      <c r="I90" s="280"/>
      <c r="J90" s="280"/>
      <c r="K90" s="171"/>
      <c r="L90" s="132"/>
      <c r="M90" s="132"/>
      <c r="N90" s="132"/>
      <c r="O90" s="132"/>
      <c r="P90" s="132"/>
      <c r="Q90" s="132"/>
      <c r="R90" s="132"/>
      <c r="S90" s="132"/>
      <c r="T90" s="132"/>
      <c r="U90" s="132"/>
      <c r="V90" s="132"/>
      <c r="W90" s="132"/>
      <c r="X90" s="132"/>
      <c r="Y90" s="132"/>
      <c r="Z90" s="132"/>
      <c r="AA90" s="132"/>
      <c r="AB90" s="132"/>
      <c r="AC90" s="132"/>
      <c r="AD90" s="132"/>
      <c r="AE90" s="132"/>
      <c r="AF90" s="132"/>
      <c r="AG90" s="132"/>
    </row>
    <row r="91" spans="1:33">
      <c r="A91" s="171" t="s">
        <v>3417</v>
      </c>
      <c r="B91" s="171" t="s">
        <v>4379</v>
      </c>
      <c r="C91" s="101" t="s">
        <v>4380</v>
      </c>
      <c r="D91" s="176" t="s">
        <v>4367</v>
      </c>
      <c r="E91" s="281" t="s">
        <v>4368</v>
      </c>
      <c r="F91" s="176" t="s">
        <v>4317</v>
      </c>
      <c r="G91" s="281" t="s">
        <v>3066</v>
      </c>
      <c r="H91" s="279">
        <f t="shared" si="1"/>
        <v>90</v>
      </c>
      <c r="I91" s="280"/>
      <c r="J91" s="280"/>
      <c r="K91" s="171"/>
      <c r="L91" s="132"/>
      <c r="M91" s="132"/>
      <c r="N91" s="132"/>
      <c r="O91" s="132"/>
      <c r="P91" s="132"/>
      <c r="Q91" s="132"/>
      <c r="R91" s="132"/>
      <c r="S91" s="132"/>
      <c r="T91" s="132"/>
      <c r="U91" s="132"/>
      <c r="V91" s="132"/>
      <c r="W91" s="132"/>
      <c r="X91" s="132"/>
      <c r="Y91" s="132"/>
      <c r="Z91" s="132"/>
      <c r="AA91" s="132"/>
      <c r="AB91" s="132"/>
      <c r="AC91" s="132"/>
      <c r="AD91" s="132"/>
      <c r="AE91" s="132"/>
      <c r="AF91" s="132"/>
      <c r="AG91" s="132"/>
    </row>
    <row r="92" spans="1:33">
      <c r="A92" s="171" t="s">
        <v>3418</v>
      </c>
      <c r="B92" s="171" t="s">
        <v>4381</v>
      </c>
      <c r="C92" s="101" t="s">
        <v>4382</v>
      </c>
      <c r="D92" s="176" t="s">
        <v>4367</v>
      </c>
      <c r="E92" s="281" t="s">
        <v>4368</v>
      </c>
      <c r="F92" s="176" t="s">
        <v>4317</v>
      </c>
      <c r="G92" s="281" t="s">
        <v>3066</v>
      </c>
      <c r="H92" s="279">
        <f t="shared" si="1"/>
        <v>91</v>
      </c>
      <c r="I92" s="280"/>
      <c r="J92" s="280"/>
      <c r="K92" s="171"/>
      <c r="L92" s="132"/>
      <c r="M92" s="132"/>
      <c r="N92" s="132"/>
      <c r="O92" s="132"/>
      <c r="P92" s="132"/>
      <c r="Q92" s="132"/>
      <c r="R92" s="132"/>
      <c r="S92" s="132"/>
      <c r="T92" s="132"/>
      <c r="U92" s="132"/>
      <c r="V92" s="132"/>
      <c r="W92" s="132"/>
      <c r="X92" s="132"/>
      <c r="Y92" s="132"/>
      <c r="Z92" s="132"/>
      <c r="AA92" s="132"/>
      <c r="AB92" s="132"/>
      <c r="AC92" s="132"/>
      <c r="AD92" s="132"/>
      <c r="AE92" s="132"/>
      <c r="AF92" s="132"/>
      <c r="AG92" s="132"/>
    </row>
    <row r="93" spans="1:33">
      <c r="A93" s="171" t="s">
        <v>3419</v>
      </c>
      <c r="B93" s="171" t="s">
        <v>4383</v>
      </c>
      <c r="C93" s="101" t="s">
        <v>4384</v>
      </c>
      <c r="D93" s="176" t="s">
        <v>4367</v>
      </c>
      <c r="E93" s="281" t="s">
        <v>4368</v>
      </c>
      <c r="F93" s="176" t="s">
        <v>4317</v>
      </c>
      <c r="G93" s="281" t="s">
        <v>3066</v>
      </c>
      <c r="H93" s="279">
        <f t="shared" si="1"/>
        <v>92</v>
      </c>
      <c r="I93" s="280"/>
      <c r="J93" s="280"/>
      <c r="K93" s="171"/>
      <c r="L93" s="132"/>
      <c r="M93" s="132"/>
      <c r="N93" s="132"/>
      <c r="O93" s="132"/>
      <c r="P93" s="132"/>
      <c r="Q93" s="132"/>
      <c r="R93" s="132"/>
      <c r="S93" s="132"/>
      <c r="T93" s="132"/>
      <c r="U93" s="132"/>
      <c r="V93" s="132"/>
      <c r="W93" s="132"/>
      <c r="X93" s="132"/>
      <c r="Y93" s="132"/>
      <c r="Z93" s="132"/>
      <c r="AA93" s="132"/>
      <c r="AB93" s="132"/>
      <c r="AC93" s="132"/>
      <c r="AD93" s="132"/>
      <c r="AE93" s="132"/>
      <c r="AF93" s="132"/>
      <c r="AG93" s="132"/>
    </row>
    <row r="94" spans="1:33">
      <c r="A94" s="171" t="s">
        <v>3420</v>
      </c>
      <c r="B94" s="101" t="s">
        <v>4385</v>
      </c>
      <c r="C94" s="101" t="s">
        <v>4386</v>
      </c>
      <c r="D94" s="176" t="s">
        <v>4367</v>
      </c>
      <c r="E94" s="281" t="s">
        <v>4368</v>
      </c>
      <c r="F94" s="176" t="s">
        <v>4317</v>
      </c>
      <c r="G94" s="281" t="s">
        <v>3066</v>
      </c>
      <c r="H94" s="279">
        <f t="shared" si="1"/>
        <v>93</v>
      </c>
      <c r="I94" s="280"/>
      <c r="J94" s="280"/>
      <c r="K94" s="171"/>
      <c r="L94" s="132"/>
      <c r="M94" s="132"/>
      <c r="N94" s="132"/>
      <c r="O94" s="132"/>
      <c r="P94" s="132"/>
      <c r="Q94" s="132"/>
      <c r="R94" s="132"/>
      <c r="S94" s="132"/>
      <c r="T94" s="132"/>
      <c r="U94" s="132"/>
      <c r="V94" s="132"/>
      <c r="W94" s="132"/>
      <c r="X94" s="132"/>
      <c r="Y94" s="132"/>
      <c r="Z94" s="132"/>
      <c r="AA94" s="132"/>
      <c r="AB94" s="132"/>
      <c r="AC94" s="132"/>
      <c r="AD94" s="132"/>
      <c r="AE94" s="132"/>
      <c r="AF94" s="132"/>
      <c r="AG94" s="132"/>
    </row>
    <row r="95" spans="1:33">
      <c r="A95" s="171" t="s">
        <v>3421</v>
      </c>
      <c r="B95" s="101" t="s">
        <v>4387</v>
      </c>
      <c r="C95" s="101" t="s">
        <v>4388</v>
      </c>
      <c r="D95" s="176" t="s">
        <v>4367</v>
      </c>
      <c r="E95" s="281" t="s">
        <v>4368</v>
      </c>
      <c r="F95" s="176" t="s">
        <v>4317</v>
      </c>
      <c r="G95" s="281" t="s">
        <v>3066</v>
      </c>
      <c r="H95" s="279">
        <f t="shared" si="1"/>
        <v>94</v>
      </c>
      <c r="I95" s="280"/>
      <c r="J95" s="280"/>
      <c r="K95" s="171"/>
      <c r="L95" s="132"/>
      <c r="M95" s="132"/>
      <c r="N95" s="132"/>
      <c r="O95" s="132"/>
      <c r="P95" s="132"/>
      <c r="Q95" s="132"/>
      <c r="R95" s="132"/>
      <c r="S95" s="132"/>
      <c r="T95" s="132"/>
      <c r="U95" s="132"/>
      <c r="V95" s="132"/>
      <c r="W95" s="132"/>
      <c r="X95" s="132"/>
      <c r="Y95" s="132"/>
      <c r="Z95" s="132"/>
      <c r="AA95" s="132"/>
      <c r="AB95" s="132"/>
      <c r="AC95" s="132"/>
      <c r="AD95" s="132"/>
      <c r="AE95" s="132"/>
      <c r="AF95" s="132"/>
      <c r="AG95" s="132"/>
    </row>
    <row r="96" spans="1:33">
      <c r="A96" s="171" t="s">
        <v>3422</v>
      </c>
      <c r="B96" s="101" t="s">
        <v>4389</v>
      </c>
      <c r="C96" s="101" t="s">
        <v>4390</v>
      </c>
      <c r="D96" s="176" t="s">
        <v>4367</v>
      </c>
      <c r="E96" s="281" t="s">
        <v>4368</v>
      </c>
      <c r="F96" s="176" t="s">
        <v>4317</v>
      </c>
      <c r="G96" s="281" t="s">
        <v>3066</v>
      </c>
      <c r="H96" s="279">
        <f t="shared" si="1"/>
        <v>95</v>
      </c>
      <c r="I96" s="280"/>
      <c r="J96" s="280"/>
      <c r="K96" s="171"/>
      <c r="L96" s="132"/>
      <c r="M96" s="132"/>
      <c r="N96" s="132"/>
      <c r="O96" s="132"/>
      <c r="P96" s="132"/>
      <c r="Q96" s="132"/>
      <c r="R96" s="132"/>
      <c r="S96" s="132"/>
      <c r="T96" s="132"/>
      <c r="U96" s="132"/>
      <c r="V96" s="132"/>
      <c r="W96" s="132"/>
      <c r="X96" s="132"/>
      <c r="Y96" s="132"/>
      <c r="Z96" s="132"/>
      <c r="AA96" s="132"/>
      <c r="AB96" s="132"/>
      <c r="AC96" s="132"/>
      <c r="AD96" s="132"/>
      <c r="AE96" s="132"/>
      <c r="AF96" s="132"/>
      <c r="AG96" s="132"/>
    </row>
    <row r="97" spans="1:33">
      <c r="A97" s="171" t="s">
        <v>3423</v>
      </c>
      <c r="B97" s="101" t="s">
        <v>4391</v>
      </c>
      <c r="C97" s="101" t="s">
        <v>4392</v>
      </c>
      <c r="D97" s="176" t="s">
        <v>4367</v>
      </c>
      <c r="E97" s="281" t="s">
        <v>4368</v>
      </c>
      <c r="F97" s="176" t="s">
        <v>4317</v>
      </c>
      <c r="G97" s="281" t="s">
        <v>3066</v>
      </c>
      <c r="H97" s="279">
        <f t="shared" si="1"/>
        <v>96</v>
      </c>
      <c r="I97" s="280"/>
      <c r="J97" s="280"/>
      <c r="K97" s="171"/>
      <c r="L97" s="132"/>
      <c r="M97" s="132"/>
      <c r="N97" s="132"/>
      <c r="O97" s="132"/>
      <c r="P97" s="132"/>
      <c r="Q97" s="132"/>
      <c r="R97" s="132"/>
      <c r="S97" s="132"/>
      <c r="T97" s="132"/>
      <c r="U97" s="132"/>
      <c r="V97" s="132"/>
      <c r="W97" s="132"/>
      <c r="X97" s="132"/>
      <c r="Y97" s="132"/>
      <c r="Z97" s="132"/>
      <c r="AA97" s="132"/>
      <c r="AB97" s="132"/>
      <c r="AC97" s="132"/>
      <c r="AD97" s="132"/>
      <c r="AE97" s="132"/>
      <c r="AF97" s="132"/>
      <c r="AG97" s="132"/>
    </row>
    <row r="98" spans="1:33">
      <c r="A98" s="171" t="s">
        <v>3424</v>
      </c>
      <c r="B98" s="101" t="s">
        <v>4393</v>
      </c>
      <c r="C98" s="101" t="s">
        <v>4394</v>
      </c>
      <c r="D98" s="176" t="s">
        <v>4367</v>
      </c>
      <c r="E98" s="281" t="s">
        <v>4368</v>
      </c>
      <c r="F98" s="176" t="s">
        <v>4317</v>
      </c>
      <c r="G98" s="281" t="s">
        <v>3066</v>
      </c>
      <c r="H98" s="279">
        <f t="shared" si="1"/>
        <v>97</v>
      </c>
      <c r="I98" s="280"/>
      <c r="J98" s="280"/>
      <c r="K98" s="171"/>
      <c r="L98" s="132"/>
      <c r="M98" s="132"/>
      <c r="N98" s="132"/>
      <c r="O98" s="132"/>
      <c r="P98" s="132"/>
      <c r="Q98" s="132"/>
      <c r="R98" s="132"/>
      <c r="S98" s="132"/>
      <c r="T98" s="132"/>
      <c r="U98" s="132"/>
      <c r="V98" s="132"/>
      <c r="W98" s="132"/>
      <c r="X98" s="132"/>
      <c r="Y98" s="132"/>
      <c r="Z98" s="132"/>
      <c r="AA98" s="132"/>
      <c r="AB98" s="132"/>
      <c r="AC98" s="132"/>
      <c r="AD98" s="132"/>
      <c r="AE98" s="132"/>
      <c r="AF98" s="132"/>
      <c r="AG98" s="132"/>
    </row>
    <row r="99" spans="1:33">
      <c r="A99" s="171" t="s">
        <v>3425</v>
      </c>
      <c r="B99" s="101" t="s">
        <v>4395</v>
      </c>
      <c r="C99" s="101" t="s">
        <v>4396</v>
      </c>
      <c r="D99" s="176" t="s">
        <v>4367</v>
      </c>
      <c r="E99" s="281" t="s">
        <v>4368</v>
      </c>
      <c r="F99" s="176" t="s">
        <v>4317</v>
      </c>
      <c r="G99" s="281" t="s">
        <v>3066</v>
      </c>
      <c r="H99" s="279">
        <f t="shared" si="1"/>
        <v>98</v>
      </c>
      <c r="I99" s="280"/>
      <c r="J99" s="280"/>
      <c r="K99" s="171"/>
      <c r="L99" s="132"/>
      <c r="M99" s="132"/>
      <c r="N99" s="132"/>
      <c r="O99" s="132"/>
      <c r="P99" s="132"/>
      <c r="Q99" s="132"/>
      <c r="R99" s="132"/>
      <c r="S99" s="132"/>
      <c r="T99" s="132"/>
      <c r="U99" s="132"/>
      <c r="V99" s="132"/>
      <c r="W99" s="132"/>
      <c r="X99" s="132"/>
      <c r="Y99" s="132"/>
      <c r="Z99" s="132"/>
      <c r="AA99" s="132"/>
      <c r="AB99" s="132"/>
      <c r="AC99" s="132"/>
      <c r="AD99" s="132"/>
      <c r="AE99" s="132"/>
      <c r="AF99" s="132"/>
      <c r="AG99" s="132"/>
    </row>
    <row r="100" spans="1:33">
      <c r="A100" s="171" t="s">
        <v>3426</v>
      </c>
      <c r="B100" s="101" t="s">
        <v>4397</v>
      </c>
      <c r="C100" s="101" t="s">
        <v>4398</v>
      </c>
      <c r="D100" s="176" t="s">
        <v>4367</v>
      </c>
      <c r="E100" s="281" t="s">
        <v>4368</v>
      </c>
      <c r="F100" s="176" t="s">
        <v>4317</v>
      </c>
      <c r="G100" s="281" t="s">
        <v>3066</v>
      </c>
      <c r="H100" s="279">
        <f t="shared" si="1"/>
        <v>99</v>
      </c>
      <c r="I100" s="280"/>
      <c r="J100" s="280"/>
      <c r="K100" s="171"/>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row>
    <row r="101" spans="1:33">
      <c r="A101" s="171" t="s">
        <v>3427</v>
      </c>
      <c r="B101" s="101" t="s">
        <v>4399</v>
      </c>
      <c r="C101" s="101" t="s">
        <v>4400</v>
      </c>
      <c r="D101" s="176" t="s">
        <v>4367</v>
      </c>
      <c r="E101" s="281" t="s">
        <v>4368</v>
      </c>
      <c r="F101" s="176" t="s">
        <v>4317</v>
      </c>
      <c r="G101" s="281" t="s">
        <v>3066</v>
      </c>
      <c r="H101" s="279">
        <f t="shared" si="1"/>
        <v>100</v>
      </c>
      <c r="I101" s="280"/>
      <c r="J101" s="280"/>
      <c r="K101" s="171"/>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row>
    <row r="102" spans="1:33">
      <c r="A102" s="171" t="s">
        <v>3428</v>
      </c>
      <c r="B102" s="101" t="s">
        <v>4401</v>
      </c>
      <c r="C102" s="101" t="s">
        <v>4402</v>
      </c>
      <c r="D102" s="176" t="s">
        <v>4367</v>
      </c>
      <c r="E102" s="281" t="s">
        <v>4368</v>
      </c>
      <c r="F102" s="176" t="s">
        <v>4317</v>
      </c>
      <c r="G102" s="281" t="s">
        <v>3066</v>
      </c>
      <c r="H102" s="279">
        <f t="shared" si="1"/>
        <v>101</v>
      </c>
      <c r="I102" s="280"/>
      <c r="J102" s="280"/>
      <c r="K102" s="171"/>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row>
    <row r="103" spans="1:33">
      <c r="A103" s="171" t="s">
        <v>3429</v>
      </c>
      <c r="B103" s="101" t="s">
        <v>4403</v>
      </c>
      <c r="C103" s="101" t="s">
        <v>4404</v>
      </c>
      <c r="D103" s="176" t="s">
        <v>4367</v>
      </c>
      <c r="E103" s="281" t="s">
        <v>4368</v>
      </c>
      <c r="F103" s="176" t="s">
        <v>4317</v>
      </c>
      <c r="G103" s="281" t="s">
        <v>3066</v>
      </c>
      <c r="H103" s="279">
        <f t="shared" si="1"/>
        <v>102</v>
      </c>
      <c r="I103" s="280"/>
      <c r="J103" s="280"/>
      <c r="K103" s="171"/>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132"/>
    </row>
    <row r="104" spans="1:33">
      <c r="A104" s="101" t="s">
        <v>3430</v>
      </c>
      <c r="B104" s="101" t="s">
        <v>4405</v>
      </c>
      <c r="C104" s="101" t="s">
        <v>4406</v>
      </c>
      <c r="D104" s="176" t="s">
        <v>4407</v>
      </c>
      <c r="E104" s="281" t="s">
        <v>4408</v>
      </c>
      <c r="F104" s="176" t="s">
        <v>4317</v>
      </c>
      <c r="G104" s="281" t="s">
        <v>3066</v>
      </c>
      <c r="H104" s="279">
        <f t="shared" si="1"/>
        <v>103</v>
      </c>
      <c r="I104" s="280"/>
      <c r="J104" s="280"/>
      <c r="K104" s="171"/>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row>
    <row r="105" spans="1:33">
      <c r="A105" s="101" t="s">
        <v>3432</v>
      </c>
      <c r="B105" s="101" t="s">
        <v>4409</v>
      </c>
      <c r="C105" s="101" t="s">
        <v>4410</v>
      </c>
      <c r="D105" s="176" t="s">
        <v>4407</v>
      </c>
      <c r="E105" s="281" t="s">
        <v>4408</v>
      </c>
      <c r="F105" s="176" t="s">
        <v>4317</v>
      </c>
      <c r="G105" s="281" t="s">
        <v>3066</v>
      </c>
      <c r="H105" s="279">
        <f t="shared" si="1"/>
        <v>104</v>
      </c>
      <c r="I105" s="280"/>
      <c r="J105" s="280"/>
      <c r="K105" s="171"/>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row>
    <row r="106" spans="1:33">
      <c r="A106" s="101" t="s">
        <v>3434</v>
      </c>
      <c r="B106" s="101" t="s">
        <v>3456</v>
      </c>
      <c r="C106" s="101" t="s">
        <v>3433</v>
      </c>
      <c r="D106" s="176" t="s">
        <v>4407</v>
      </c>
      <c r="E106" s="281" t="s">
        <v>4408</v>
      </c>
      <c r="F106" s="176" t="s">
        <v>4317</v>
      </c>
      <c r="G106" s="281" t="s">
        <v>3066</v>
      </c>
      <c r="H106" s="279">
        <f t="shared" si="1"/>
        <v>105</v>
      </c>
      <c r="I106" s="280"/>
      <c r="J106" s="280"/>
      <c r="K106" s="171"/>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row>
    <row r="107" spans="1:33">
      <c r="A107" s="101" t="s">
        <v>3538</v>
      </c>
      <c r="B107" s="101" t="s">
        <v>4411</v>
      </c>
      <c r="C107" s="101" t="s">
        <v>4412</v>
      </c>
      <c r="D107" s="176" t="s">
        <v>4407</v>
      </c>
      <c r="E107" s="281" t="s">
        <v>4408</v>
      </c>
      <c r="F107" s="176" t="s">
        <v>4317</v>
      </c>
      <c r="G107" s="281" t="s">
        <v>3066</v>
      </c>
      <c r="H107" s="279">
        <f t="shared" si="1"/>
        <v>106</v>
      </c>
      <c r="I107" s="280"/>
      <c r="J107" s="280"/>
      <c r="K107" s="171"/>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c r="AG107" s="132"/>
    </row>
    <row r="108" spans="1:33">
      <c r="A108" s="101" t="s">
        <v>3549</v>
      </c>
      <c r="B108" s="101" t="s">
        <v>4413</v>
      </c>
      <c r="C108" s="101" t="s">
        <v>4414</v>
      </c>
      <c r="D108" s="176" t="s">
        <v>4407</v>
      </c>
      <c r="E108" s="281" t="s">
        <v>4408</v>
      </c>
      <c r="F108" s="176" t="s">
        <v>4317</v>
      </c>
      <c r="G108" s="281" t="s">
        <v>3066</v>
      </c>
      <c r="H108" s="279">
        <f t="shared" si="1"/>
        <v>107</v>
      </c>
      <c r="I108" s="280"/>
      <c r="J108" s="280"/>
      <c r="K108" s="171"/>
      <c r="L108" s="132"/>
      <c r="M108" s="132"/>
      <c r="N108" s="132"/>
      <c r="O108" s="132"/>
      <c r="P108" s="132"/>
      <c r="Q108" s="132"/>
      <c r="R108" s="132"/>
      <c r="S108" s="132"/>
      <c r="T108" s="132"/>
      <c r="U108" s="132"/>
      <c r="V108" s="132"/>
      <c r="W108" s="132"/>
      <c r="X108" s="132"/>
      <c r="Y108" s="132"/>
      <c r="Z108" s="132"/>
      <c r="AA108" s="132"/>
      <c r="AB108" s="132"/>
      <c r="AC108" s="132"/>
      <c r="AD108" s="132"/>
      <c r="AE108" s="132"/>
      <c r="AF108" s="132"/>
      <c r="AG108" s="132"/>
    </row>
    <row r="109" spans="1:33">
      <c r="A109" s="101" t="s">
        <v>3605</v>
      </c>
      <c r="B109" s="101" t="s">
        <v>4415</v>
      </c>
      <c r="C109" s="101" t="s">
        <v>4416</v>
      </c>
      <c r="D109" s="176" t="s">
        <v>4407</v>
      </c>
      <c r="E109" s="281" t="s">
        <v>4408</v>
      </c>
      <c r="F109" s="176" t="s">
        <v>4317</v>
      </c>
      <c r="G109" s="281" t="s">
        <v>3066</v>
      </c>
      <c r="H109" s="279">
        <f t="shared" si="1"/>
        <v>108</v>
      </c>
      <c r="I109" s="280"/>
      <c r="J109" s="280"/>
      <c r="K109" s="171"/>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row>
    <row r="110" spans="1:33">
      <c r="A110" s="171" t="s">
        <v>3616</v>
      </c>
      <c r="B110" s="101" t="s">
        <v>4417</v>
      </c>
      <c r="C110" s="101" t="s">
        <v>4418</v>
      </c>
      <c r="D110" s="176" t="s">
        <v>3616</v>
      </c>
      <c r="E110" s="281" t="s">
        <v>4419</v>
      </c>
      <c r="F110" s="176" t="s">
        <v>4317</v>
      </c>
      <c r="G110" s="281" t="s">
        <v>3066</v>
      </c>
      <c r="H110" s="279">
        <f t="shared" si="1"/>
        <v>109</v>
      </c>
      <c r="I110" s="280"/>
      <c r="J110" s="280"/>
      <c r="K110" s="171"/>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row>
    <row r="111" spans="1:33">
      <c r="A111" s="171" t="s">
        <v>3640</v>
      </c>
      <c r="B111" s="101" t="s">
        <v>4420</v>
      </c>
      <c r="C111" s="101" t="s">
        <v>4421</v>
      </c>
      <c r="D111" s="176" t="s">
        <v>3616</v>
      </c>
      <c r="E111" s="281" t="s">
        <v>4419</v>
      </c>
      <c r="F111" s="176" t="s">
        <v>4317</v>
      </c>
      <c r="G111" s="281" t="s">
        <v>3066</v>
      </c>
      <c r="H111" s="279">
        <f t="shared" si="1"/>
        <v>110</v>
      </c>
      <c r="I111" s="280"/>
      <c r="J111" s="280"/>
      <c r="K111" s="171"/>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row>
    <row r="112" spans="1:33">
      <c r="A112" s="101" t="s">
        <v>3653</v>
      </c>
      <c r="B112" s="101" t="s">
        <v>4422</v>
      </c>
      <c r="C112" s="101" t="s">
        <v>4423</v>
      </c>
      <c r="D112" s="176" t="s">
        <v>3616</v>
      </c>
      <c r="E112" s="281" t="s">
        <v>4419</v>
      </c>
      <c r="F112" s="176" t="s">
        <v>4317</v>
      </c>
      <c r="G112" s="281" t="s">
        <v>3066</v>
      </c>
      <c r="H112" s="279">
        <f t="shared" si="1"/>
        <v>111</v>
      </c>
      <c r="I112" s="280"/>
      <c r="J112" s="280"/>
      <c r="K112" s="171"/>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row>
    <row r="113" spans="1:33">
      <c r="A113" s="171" t="s">
        <v>3659</v>
      </c>
      <c r="B113" s="171" t="s">
        <v>4424</v>
      </c>
      <c r="C113" s="101" t="s">
        <v>4425</v>
      </c>
      <c r="D113" s="171" t="s">
        <v>4426</v>
      </c>
      <c r="E113" s="101" t="s">
        <v>4427</v>
      </c>
      <c r="F113" s="176" t="s">
        <v>4317</v>
      </c>
      <c r="G113" s="281" t="s">
        <v>3066</v>
      </c>
      <c r="H113" s="279">
        <f t="shared" si="1"/>
        <v>112</v>
      </c>
      <c r="I113" s="280"/>
      <c r="J113" s="280"/>
      <c r="K113" s="171"/>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row>
    <row r="114" spans="1:33">
      <c r="A114" s="171" t="s">
        <v>3676</v>
      </c>
      <c r="B114" s="171" t="s">
        <v>4428</v>
      </c>
      <c r="C114" s="101" t="s">
        <v>4429</v>
      </c>
      <c r="D114" s="171" t="s">
        <v>4430</v>
      </c>
      <c r="E114" s="101" t="s">
        <v>4431</v>
      </c>
      <c r="F114" s="176" t="s">
        <v>4317</v>
      </c>
      <c r="G114" s="281" t="s">
        <v>3066</v>
      </c>
      <c r="H114" s="279">
        <f t="shared" si="1"/>
        <v>113</v>
      </c>
      <c r="I114" s="280"/>
      <c r="J114" s="280"/>
      <c r="K114" s="171"/>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row>
    <row r="115" spans="1:33">
      <c r="A115" s="171" t="s">
        <v>3694</v>
      </c>
      <c r="B115" s="171" t="s">
        <v>4432</v>
      </c>
      <c r="C115" s="101" t="s">
        <v>4433</v>
      </c>
      <c r="D115" s="176" t="s">
        <v>4434</v>
      </c>
      <c r="E115" s="281" t="s">
        <v>4435</v>
      </c>
      <c r="F115" s="176" t="s">
        <v>4317</v>
      </c>
      <c r="G115" s="281" t="s">
        <v>3066</v>
      </c>
      <c r="H115" s="279">
        <f t="shared" si="1"/>
        <v>114</v>
      </c>
      <c r="I115" s="280"/>
      <c r="J115" s="280"/>
      <c r="K115" s="171"/>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row>
    <row r="116" spans="1:33">
      <c r="A116" s="171" t="s">
        <v>3699</v>
      </c>
      <c r="B116" s="171" t="s">
        <v>4436</v>
      </c>
      <c r="C116" s="101" t="s">
        <v>4437</v>
      </c>
      <c r="D116" s="176" t="s">
        <v>4434</v>
      </c>
      <c r="E116" s="281" t="s">
        <v>4435</v>
      </c>
      <c r="F116" s="176" t="s">
        <v>4317</v>
      </c>
      <c r="G116" s="281" t="s">
        <v>3066</v>
      </c>
      <c r="H116" s="279">
        <f t="shared" si="1"/>
        <v>115</v>
      </c>
      <c r="I116" s="280"/>
      <c r="J116" s="280"/>
      <c r="K116" s="171"/>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row>
    <row r="117" spans="1:33">
      <c r="A117" s="176" t="s">
        <v>3728</v>
      </c>
      <c r="B117" s="176" t="s">
        <v>4438</v>
      </c>
      <c r="C117" s="281" t="s">
        <v>4439</v>
      </c>
      <c r="D117" s="176" t="s">
        <v>4434</v>
      </c>
      <c r="E117" s="281" t="s">
        <v>4435</v>
      </c>
      <c r="F117" s="176" t="s">
        <v>4317</v>
      </c>
      <c r="G117" s="281" t="s">
        <v>3066</v>
      </c>
      <c r="H117" s="279">
        <f t="shared" si="1"/>
        <v>116</v>
      </c>
      <c r="I117" s="280"/>
      <c r="J117" s="280"/>
      <c r="K117" s="176"/>
      <c r="L117" s="132"/>
      <c r="M117" s="132"/>
      <c r="N117" s="132"/>
      <c r="O117" s="132"/>
      <c r="P117" s="132"/>
      <c r="Q117" s="132"/>
      <c r="R117" s="132"/>
      <c r="S117" s="132"/>
      <c r="T117" s="132"/>
      <c r="U117" s="132"/>
      <c r="V117" s="132"/>
      <c r="W117" s="132"/>
      <c r="X117" s="132"/>
      <c r="Y117" s="132"/>
      <c r="Z117" s="132"/>
      <c r="AA117" s="132"/>
      <c r="AB117" s="132"/>
      <c r="AC117" s="132"/>
      <c r="AD117" s="132"/>
      <c r="AE117" s="132"/>
      <c r="AF117" s="132"/>
      <c r="AG117" s="132"/>
    </row>
    <row r="118" spans="1:33">
      <c r="A118" s="176" t="s">
        <v>3773</v>
      </c>
      <c r="B118" s="176" t="s">
        <v>4440</v>
      </c>
      <c r="C118" s="281" t="s">
        <v>4441</v>
      </c>
      <c r="D118" s="176" t="s">
        <v>4442</v>
      </c>
      <c r="E118" s="281" t="s">
        <v>4443</v>
      </c>
      <c r="F118" s="176" t="s">
        <v>4317</v>
      </c>
      <c r="G118" s="281" t="s">
        <v>3066</v>
      </c>
      <c r="H118" s="279">
        <f t="shared" si="1"/>
        <v>117</v>
      </c>
      <c r="I118" s="280"/>
      <c r="J118" s="280"/>
      <c r="K118" s="176"/>
      <c r="L118" s="132"/>
      <c r="M118" s="132"/>
      <c r="N118" s="132"/>
      <c r="O118" s="132"/>
      <c r="P118" s="132"/>
      <c r="Q118" s="132"/>
      <c r="R118" s="132"/>
      <c r="S118" s="132"/>
      <c r="T118" s="132"/>
      <c r="U118" s="132"/>
      <c r="V118" s="132"/>
      <c r="W118" s="132"/>
      <c r="X118" s="132"/>
      <c r="Y118" s="132"/>
      <c r="Z118" s="132"/>
      <c r="AA118" s="132"/>
      <c r="AB118" s="132"/>
      <c r="AC118" s="132"/>
      <c r="AD118" s="132"/>
      <c r="AE118" s="132"/>
      <c r="AF118" s="132"/>
      <c r="AG118" s="132"/>
    </row>
    <row r="119" spans="1:33">
      <c r="A119" s="176" t="s">
        <v>3774</v>
      </c>
      <c r="B119" s="176" t="s">
        <v>4444</v>
      </c>
      <c r="C119" s="281" t="s">
        <v>3775</v>
      </c>
      <c r="D119" s="176" t="s">
        <v>4442</v>
      </c>
      <c r="E119" s="281" t="s">
        <v>4443</v>
      </c>
      <c r="F119" s="176" t="s">
        <v>4317</v>
      </c>
      <c r="G119" s="281" t="s">
        <v>3066</v>
      </c>
      <c r="H119" s="279">
        <f t="shared" si="1"/>
        <v>118</v>
      </c>
      <c r="I119" s="280"/>
      <c r="J119" s="280"/>
      <c r="K119" s="176"/>
      <c r="L119" s="132"/>
      <c r="M119" s="132"/>
      <c r="N119" s="132"/>
      <c r="O119" s="132"/>
      <c r="P119" s="132"/>
      <c r="Q119" s="132"/>
      <c r="R119" s="132"/>
      <c r="S119" s="132"/>
      <c r="T119" s="132"/>
      <c r="U119" s="132"/>
      <c r="V119" s="132"/>
      <c r="W119" s="132"/>
      <c r="X119" s="132"/>
      <c r="Y119" s="132"/>
      <c r="Z119" s="132"/>
      <c r="AA119" s="132"/>
      <c r="AB119" s="132"/>
      <c r="AC119" s="132"/>
      <c r="AD119" s="132"/>
      <c r="AE119" s="132"/>
      <c r="AF119" s="132"/>
      <c r="AG119" s="132"/>
    </row>
    <row r="120" spans="1:33">
      <c r="A120" s="176" t="s">
        <v>3776</v>
      </c>
      <c r="B120" s="176" t="s">
        <v>4445</v>
      </c>
      <c r="C120" s="281" t="s">
        <v>4446</v>
      </c>
      <c r="D120" s="176" t="s">
        <v>4447</v>
      </c>
      <c r="E120" s="281" t="s">
        <v>4448</v>
      </c>
      <c r="F120" s="176" t="s">
        <v>4317</v>
      </c>
      <c r="G120" s="281" t="s">
        <v>3066</v>
      </c>
      <c r="H120" s="279">
        <f t="shared" si="1"/>
        <v>119</v>
      </c>
      <c r="I120" s="280"/>
      <c r="J120" s="280"/>
      <c r="K120" s="176"/>
      <c r="L120" s="132"/>
      <c r="M120" s="132"/>
      <c r="N120" s="132"/>
      <c r="O120" s="132"/>
      <c r="P120" s="132"/>
      <c r="Q120" s="132"/>
      <c r="R120" s="132"/>
      <c r="S120" s="132"/>
      <c r="T120" s="132"/>
      <c r="U120" s="132"/>
      <c r="V120" s="132"/>
      <c r="W120" s="132"/>
      <c r="X120" s="132"/>
      <c r="Y120" s="132"/>
      <c r="Z120" s="132"/>
      <c r="AA120" s="132"/>
      <c r="AB120" s="132"/>
      <c r="AC120" s="132"/>
      <c r="AD120" s="132"/>
      <c r="AE120" s="132"/>
      <c r="AF120" s="132"/>
      <c r="AG120" s="132"/>
    </row>
    <row r="121" spans="1:33">
      <c r="A121" s="101" t="s">
        <v>3814</v>
      </c>
      <c r="B121" s="101" t="s">
        <v>4449</v>
      </c>
      <c r="C121" s="281" t="s">
        <v>4450</v>
      </c>
      <c r="D121" s="176" t="s">
        <v>4451</v>
      </c>
      <c r="E121" s="281" t="s">
        <v>4452</v>
      </c>
      <c r="F121" s="176" t="s">
        <v>4317</v>
      </c>
      <c r="G121" s="281" t="s">
        <v>3066</v>
      </c>
      <c r="H121" s="279">
        <f t="shared" si="1"/>
        <v>120</v>
      </c>
      <c r="I121" s="280"/>
      <c r="J121" s="280"/>
      <c r="K121" s="176"/>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132"/>
    </row>
    <row r="122" spans="1:33">
      <c r="A122" s="101" t="s">
        <v>3941</v>
      </c>
      <c r="B122" s="101" t="s">
        <v>4453</v>
      </c>
      <c r="C122" s="281" t="s">
        <v>4454</v>
      </c>
      <c r="D122" s="176" t="s">
        <v>4451</v>
      </c>
      <c r="E122" s="281" t="s">
        <v>4452</v>
      </c>
      <c r="F122" s="176" t="s">
        <v>4317</v>
      </c>
      <c r="G122" s="281" t="s">
        <v>3066</v>
      </c>
      <c r="H122" s="279">
        <f t="shared" si="1"/>
        <v>121</v>
      </c>
      <c r="I122" s="280"/>
      <c r="J122" s="280"/>
      <c r="K122" s="282"/>
      <c r="L122" s="132"/>
      <c r="M122" s="132"/>
      <c r="N122" s="132"/>
      <c r="O122" s="132"/>
      <c r="P122" s="132"/>
      <c r="Q122" s="132"/>
      <c r="R122" s="132"/>
      <c r="S122" s="132"/>
      <c r="T122" s="132"/>
      <c r="U122" s="132"/>
      <c r="V122" s="132"/>
      <c r="W122" s="132"/>
      <c r="X122" s="132"/>
      <c r="Y122" s="132"/>
      <c r="Z122" s="132"/>
      <c r="AA122" s="132"/>
      <c r="AB122" s="132"/>
      <c r="AC122" s="132"/>
      <c r="AD122" s="132"/>
      <c r="AE122" s="132"/>
      <c r="AF122" s="132"/>
      <c r="AG122" s="132"/>
    </row>
    <row r="123" spans="1:33">
      <c r="A123" s="101" t="s">
        <v>4133</v>
      </c>
      <c r="B123" s="101" t="s">
        <v>4455</v>
      </c>
      <c r="C123" s="281" t="s">
        <v>4456</v>
      </c>
      <c r="D123" s="176" t="s">
        <v>4451</v>
      </c>
      <c r="E123" s="281" t="s">
        <v>4452</v>
      </c>
      <c r="F123" s="176" t="s">
        <v>4317</v>
      </c>
      <c r="G123" s="281" t="s">
        <v>3066</v>
      </c>
      <c r="H123" s="279">
        <f t="shared" si="1"/>
        <v>122</v>
      </c>
      <c r="I123" s="280"/>
      <c r="J123" s="280"/>
      <c r="K123" s="282"/>
      <c r="L123" s="132"/>
      <c r="M123" s="132"/>
      <c r="N123" s="132"/>
      <c r="O123" s="132"/>
      <c r="P123" s="132"/>
      <c r="Q123" s="132"/>
      <c r="R123" s="132"/>
      <c r="S123" s="132"/>
      <c r="T123" s="132"/>
      <c r="U123" s="132"/>
      <c r="V123" s="132"/>
      <c r="W123" s="132"/>
      <c r="X123" s="132"/>
      <c r="Y123" s="132"/>
      <c r="Z123" s="132"/>
      <c r="AA123" s="132"/>
      <c r="AB123" s="132"/>
      <c r="AC123" s="132"/>
      <c r="AD123" s="132"/>
      <c r="AE123" s="132"/>
      <c r="AF123" s="132"/>
      <c r="AG123" s="132"/>
    </row>
    <row r="124" spans="1:33">
      <c r="A124" s="101" t="s">
        <v>2417</v>
      </c>
      <c r="B124" s="171" t="s">
        <v>4457</v>
      </c>
      <c r="C124" s="101" t="s">
        <v>4458</v>
      </c>
      <c r="D124" s="101" t="s">
        <v>2417</v>
      </c>
      <c r="E124" s="101" t="s">
        <v>4459</v>
      </c>
      <c r="F124" s="171" t="s">
        <v>4460</v>
      </c>
      <c r="G124" s="101" t="s">
        <v>4461</v>
      </c>
      <c r="H124" s="279">
        <f t="shared" si="1"/>
        <v>123</v>
      </c>
      <c r="I124" s="280"/>
      <c r="J124" s="280"/>
      <c r="K124" s="171"/>
      <c r="L124" s="132"/>
      <c r="M124" s="132"/>
      <c r="N124" s="132"/>
      <c r="O124" s="132"/>
      <c r="P124" s="132"/>
      <c r="Q124" s="132"/>
      <c r="R124" s="132"/>
      <c r="S124" s="132"/>
      <c r="T124" s="132"/>
      <c r="U124" s="132"/>
      <c r="V124" s="132"/>
      <c r="W124" s="132"/>
      <c r="X124" s="132"/>
      <c r="Y124" s="132"/>
      <c r="Z124" s="132"/>
      <c r="AA124" s="132"/>
      <c r="AB124" s="132"/>
      <c r="AC124" s="132"/>
      <c r="AD124" s="132"/>
      <c r="AE124" s="132"/>
      <c r="AF124" s="132"/>
      <c r="AG124" s="132"/>
    </row>
    <row r="125" spans="1:33">
      <c r="A125" s="101" t="s">
        <v>2522</v>
      </c>
      <c r="B125" s="101" t="s">
        <v>4462</v>
      </c>
      <c r="C125" s="101" t="s">
        <v>4463</v>
      </c>
      <c r="D125" s="101" t="s">
        <v>2522</v>
      </c>
      <c r="E125" s="101" t="s">
        <v>4464</v>
      </c>
      <c r="F125" s="171" t="s">
        <v>4460</v>
      </c>
      <c r="G125" s="101" t="s">
        <v>4461</v>
      </c>
      <c r="H125" s="279">
        <f t="shared" si="1"/>
        <v>124</v>
      </c>
      <c r="I125" s="280"/>
      <c r="J125" s="280"/>
      <c r="K125" s="171"/>
      <c r="L125" s="132"/>
      <c r="M125" s="132"/>
      <c r="N125" s="132"/>
      <c r="O125" s="132"/>
      <c r="P125" s="132"/>
      <c r="Q125" s="132"/>
      <c r="R125" s="132"/>
      <c r="S125" s="132"/>
      <c r="T125" s="132"/>
      <c r="U125" s="132"/>
      <c r="V125" s="132"/>
      <c r="W125" s="132"/>
      <c r="X125" s="132"/>
      <c r="Y125" s="132"/>
      <c r="Z125" s="132"/>
      <c r="AA125" s="132"/>
      <c r="AB125" s="132"/>
      <c r="AC125" s="132"/>
      <c r="AD125" s="132"/>
      <c r="AE125" s="132"/>
      <c r="AF125" s="132"/>
      <c r="AG125" s="132"/>
    </row>
    <row r="126" spans="1:33">
      <c r="A126" s="283"/>
      <c r="B126" s="132"/>
      <c r="C126" s="284"/>
      <c r="D126" s="132"/>
      <c r="E126" s="284"/>
      <c r="F126" s="132"/>
      <c r="G126" s="284"/>
      <c r="H126" s="283"/>
      <c r="I126" s="285"/>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132"/>
      <c r="AG126" s="132"/>
    </row>
    <row r="127" spans="1:33">
      <c r="A127" s="283"/>
      <c r="B127" s="132"/>
      <c r="C127" s="284"/>
      <c r="D127" s="132"/>
      <c r="E127" s="284"/>
      <c r="F127" s="132"/>
      <c r="G127" s="284"/>
      <c r="H127" s="283"/>
      <c r="I127" s="285"/>
      <c r="J127" s="132"/>
      <c r="K127" s="132"/>
      <c r="L127" s="132"/>
      <c r="M127" s="132"/>
      <c r="N127" s="132"/>
      <c r="O127" s="132"/>
      <c r="P127" s="132"/>
      <c r="Q127" s="132"/>
      <c r="R127" s="132"/>
      <c r="S127" s="132"/>
      <c r="T127" s="132"/>
      <c r="U127" s="132"/>
      <c r="V127" s="132"/>
      <c r="W127" s="132"/>
      <c r="X127" s="132"/>
      <c r="Y127" s="132"/>
      <c r="Z127" s="132"/>
      <c r="AA127" s="132"/>
      <c r="AB127" s="132"/>
      <c r="AC127" s="132"/>
      <c r="AD127" s="132"/>
      <c r="AE127" s="132"/>
      <c r="AF127" s="132"/>
      <c r="AG127" s="132"/>
    </row>
    <row r="128" spans="1:33">
      <c r="A128" s="283"/>
      <c r="B128" s="132"/>
      <c r="C128" s="284"/>
      <c r="D128" s="132"/>
      <c r="E128" s="284"/>
      <c r="F128" s="132"/>
      <c r="G128" s="284"/>
      <c r="H128" s="283"/>
      <c r="I128" s="285"/>
      <c r="J128" s="132"/>
      <c r="K128" s="132"/>
      <c r="L128" s="132"/>
      <c r="M128" s="132"/>
      <c r="N128" s="132"/>
      <c r="O128" s="132"/>
      <c r="P128" s="132"/>
      <c r="Q128" s="132"/>
      <c r="R128" s="132"/>
      <c r="S128" s="132"/>
      <c r="T128" s="132"/>
      <c r="U128" s="132"/>
      <c r="V128" s="132"/>
      <c r="W128" s="132"/>
      <c r="X128" s="132"/>
      <c r="Y128" s="132"/>
      <c r="Z128" s="132"/>
      <c r="AA128" s="132"/>
      <c r="AB128" s="132"/>
      <c r="AC128" s="132"/>
      <c r="AD128" s="132"/>
      <c r="AE128" s="132"/>
      <c r="AF128" s="132"/>
      <c r="AG128" s="132"/>
    </row>
    <row r="129" spans="1:33">
      <c r="A129" s="283"/>
      <c r="B129" s="132"/>
      <c r="C129" s="284"/>
      <c r="D129" s="132"/>
      <c r="E129" s="284"/>
      <c r="F129" s="132"/>
      <c r="G129" s="284"/>
      <c r="H129" s="283"/>
      <c r="I129" s="285"/>
      <c r="J129" s="132"/>
      <c r="K129" s="132"/>
      <c r="L129" s="132"/>
      <c r="M129" s="132"/>
      <c r="N129" s="132"/>
      <c r="O129" s="132"/>
      <c r="P129" s="132"/>
      <c r="Q129" s="132"/>
      <c r="R129" s="132"/>
      <c r="S129" s="132"/>
      <c r="T129" s="132"/>
      <c r="U129" s="132"/>
      <c r="V129" s="132"/>
      <c r="W129" s="132"/>
      <c r="X129" s="132"/>
      <c r="Y129" s="132"/>
      <c r="Z129" s="132"/>
      <c r="AA129" s="132"/>
      <c r="AB129" s="132"/>
      <c r="AC129" s="132"/>
      <c r="AD129" s="132"/>
      <c r="AE129" s="132"/>
      <c r="AF129" s="132"/>
      <c r="AG129" s="132"/>
    </row>
    <row r="130" spans="1:33">
      <c r="A130" s="283"/>
      <c r="B130" s="132"/>
      <c r="C130" s="284"/>
      <c r="D130" s="132"/>
      <c r="E130" s="284"/>
      <c r="F130" s="132"/>
      <c r="G130" s="284"/>
      <c r="H130" s="283"/>
      <c r="I130" s="285"/>
      <c r="J130" s="132"/>
      <c r="K130" s="132"/>
      <c r="L130" s="132"/>
      <c r="M130" s="132"/>
      <c r="N130" s="132"/>
      <c r="O130" s="132"/>
      <c r="P130" s="132"/>
      <c r="Q130" s="132"/>
      <c r="R130" s="132"/>
      <c r="S130" s="132"/>
      <c r="T130" s="132"/>
      <c r="U130" s="132"/>
      <c r="V130" s="132"/>
      <c r="W130" s="132"/>
      <c r="X130" s="132"/>
      <c r="Y130" s="132"/>
      <c r="Z130" s="132"/>
      <c r="AA130" s="132"/>
      <c r="AB130" s="132"/>
      <c r="AC130" s="132"/>
      <c r="AD130" s="132"/>
      <c r="AE130" s="132"/>
      <c r="AF130" s="132"/>
      <c r="AG130" s="132"/>
    </row>
    <row r="131" spans="1:33">
      <c r="A131" s="283"/>
      <c r="B131" s="132"/>
      <c r="C131" s="284"/>
      <c r="D131" s="132"/>
      <c r="E131" s="284"/>
      <c r="F131" s="132"/>
      <c r="G131" s="284"/>
      <c r="H131" s="283"/>
      <c r="I131" s="285"/>
      <c r="J131" s="132"/>
      <c r="K131" s="132"/>
      <c r="L131" s="132"/>
      <c r="M131" s="132"/>
      <c r="N131" s="132"/>
      <c r="O131" s="132"/>
      <c r="P131" s="132"/>
      <c r="Q131" s="132"/>
      <c r="R131" s="132"/>
      <c r="S131" s="132"/>
      <c r="T131" s="132"/>
      <c r="U131" s="132"/>
      <c r="V131" s="132"/>
      <c r="W131" s="132"/>
      <c r="X131" s="132"/>
      <c r="Y131" s="132"/>
      <c r="Z131" s="132"/>
      <c r="AA131" s="132"/>
      <c r="AB131" s="132"/>
      <c r="AC131" s="132"/>
      <c r="AD131" s="132"/>
      <c r="AE131" s="132"/>
      <c r="AF131" s="132"/>
      <c r="AG131" s="132"/>
    </row>
    <row r="132" spans="1:33">
      <c r="A132" s="283"/>
      <c r="B132" s="132"/>
      <c r="C132" s="284"/>
      <c r="D132" s="132"/>
      <c r="E132" s="284"/>
      <c r="F132" s="132"/>
      <c r="G132" s="284"/>
      <c r="H132" s="283"/>
      <c r="I132" s="285"/>
      <c r="J132" s="132"/>
      <c r="K132" s="132"/>
      <c r="L132" s="132"/>
      <c r="M132" s="132"/>
      <c r="N132" s="132"/>
      <c r="O132" s="132"/>
      <c r="P132" s="132"/>
      <c r="Q132" s="132"/>
      <c r="R132" s="132"/>
      <c r="S132" s="132"/>
      <c r="T132" s="132"/>
      <c r="U132" s="132"/>
      <c r="V132" s="132"/>
      <c r="W132" s="132"/>
      <c r="X132" s="132"/>
      <c r="Y132" s="132"/>
      <c r="Z132" s="132"/>
      <c r="AA132" s="132"/>
      <c r="AB132" s="132"/>
      <c r="AC132" s="132"/>
      <c r="AD132" s="132"/>
      <c r="AE132" s="132"/>
      <c r="AF132" s="132"/>
      <c r="AG132" s="132"/>
    </row>
    <row r="133" spans="1:33">
      <c r="A133" s="283"/>
      <c r="B133" s="132"/>
      <c r="C133" s="284"/>
      <c r="D133" s="132"/>
      <c r="E133" s="284"/>
      <c r="F133" s="132"/>
      <c r="G133" s="284"/>
      <c r="H133" s="283"/>
      <c r="I133" s="285"/>
      <c r="J133" s="132"/>
      <c r="K133" s="132"/>
      <c r="L133" s="132"/>
      <c r="M133" s="132"/>
      <c r="N133" s="132"/>
      <c r="O133" s="132"/>
      <c r="P133" s="132"/>
      <c r="Q133" s="132"/>
      <c r="R133" s="132"/>
      <c r="S133" s="132"/>
      <c r="T133" s="132"/>
      <c r="U133" s="132"/>
      <c r="V133" s="132"/>
      <c r="W133" s="132"/>
      <c r="X133" s="132"/>
      <c r="Y133" s="132"/>
      <c r="Z133" s="132"/>
      <c r="AA133" s="132"/>
      <c r="AB133" s="132"/>
      <c r="AC133" s="132"/>
      <c r="AD133" s="132"/>
      <c r="AE133" s="132"/>
      <c r="AF133" s="132"/>
      <c r="AG133" s="132"/>
    </row>
    <row r="134" spans="1:33">
      <c r="A134" s="283"/>
      <c r="B134" s="132"/>
      <c r="C134" s="284"/>
      <c r="D134" s="132"/>
      <c r="E134" s="284"/>
      <c r="F134" s="132"/>
      <c r="G134" s="284"/>
      <c r="H134" s="283"/>
      <c r="I134" s="285"/>
      <c r="J134" s="132"/>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c r="AG134" s="132"/>
    </row>
    <row r="135" spans="1:33">
      <c r="A135" s="283"/>
      <c r="B135" s="132"/>
      <c r="C135" s="284"/>
      <c r="D135" s="132"/>
      <c r="E135" s="284"/>
      <c r="F135" s="132"/>
      <c r="G135" s="284"/>
      <c r="H135" s="283"/>
      <c r="I135" s="285"/>
      <c r="J135" s="132"/>
      <c r="K135" s="132"/>
      <c r="L135" s="132"/>
      <c r="M135" s="132"/>
      <c r="N135" s="132"/>
      <c r="O135" s="132"/>
      <c r="P135" s="132"/>
      <c r="Q135" s="132"/>
      <c r="R135" s="132"/>
      <c r="S135" s="132"/>
      <c r="T135" s="132"/>
      <c r="U135" s="132"/>
      <c r="V135" s="132"/>
      <c r="W135" s="132"/>
      <c r="X135" s="132"/>
      <c r="Y135" s="132"/>
      <c r="Z135" s="132"/>
      <c r="AA135" s="132"/>
      <c r="AB135" s="132"/>
      <c r="AC135" s="132"/>
      <c r="AD135" s="132"/>
      <c r="AE135" s="132"/>
      <c r="AF135" s="132"/>
      <c r="AG135" s="132"/>
    </row>
    <row r="136" spans="1:33">
      <c r="A136" s="283"/>
      <c r="B136" s="132"/>
      <c r="C136" s="284"/>
      <c r="D136" s="132"/>
      <c r="E136" s="284"/>
      <c r="F136" s="132"/>
      <c r="G136" s="284"/>
      <c r="H136" s="283"/>
      <c r="I136" s="285"/>
      <c r="J136" s="132"/>
      <c r="K136" s="132"/>
      <c r="L136" s="132"/>
      <c r="M136" s="132"/>
      <c r="N136" s="132"/>
      <c r="O136" s="132"/>
      <c r="P136" s="132"/>
      <c r="Q136" s="132"/>
      <c r="R136" s="132"/>
      <c r="S136" s="132"/>
      <c r="T136" s="132"/>
      <c r="U136" s="132"/>
      <c r="V136" s="132"/>
      <c r="W136" s="132"/>
      <c r="X136" s="132"/>
      <c r="Y136" s="132"/>
      <c r="Z136" s="132"/>
      <c r="AA136" s="132"/>
      <c r="AB136" s="132"/>
      <c r="AC136" s="132"/>
      <c r="AD136" s="132"/>
      <c r="AE136" s="132"/>
      <c r="AF136" s="132"/>
      <c r="AG136" s="132"/>
    </row>
    <row r="137" spans="1:33">
      <c r="A137" s="283"/>
      <c r="B137" s="132"/>
      <c r="C137" s="284"/>
      <c r="D137" s="132"/>
      <c r="E137" s="284"/>
      <c r="F137" s="132"/>
      <c r="G137" s="284"/>
      <c r="H137" s="283"/>
      <c r="I137" s="285"/>
      <c r="J137" s="132"/>
      <c r="K137" s="132"/>
      <c r="L137" s="132"/>
      <c r="M137" s="132"/>
      <c r="N137" s="132"/>
      <c r="O137" s="132"/>
      <c r="P137" s="132"/>
      <c r="Q137" s="132"/>
      <c r="R137" s="132"/>
      <c r="S137" s="132"/>
      <c r="T137" s="132"/>
      <c r="U137" s="132"/>
      <c r="V137" s="132"/>
      <c r="W137" s="132"/>
      <c r="X137" s="132"/>
      <c r="Y137" s="132"/>
      <c r="Z137" s="132"/>
      <c r="AA137" s="132"/>
      <c r="AB137" s="132"/>
      <c r="AC137" s="132"/>
      <c r="AD137" s="132"/>
      <c r="AE137" s="132"/>
      <c r="AF137" s="132"/>
      <c r="AG137" s="132"/>
    </row>
    <row r="138" spans="1:33">
      <c r="A138" s="283"/>
      <c r="B138" s="132"/>
      <c r="C138" s="284"/>
      <c r="D138" s="132"/>
      <c r="E138" s="284"/>
      <c r="F138" s="132"/>
      <c r="G138" s="284"/>
      <c r="H138" s="283"/>
      <c r="I138" s="285"/>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132"/>
      <c r="AG138" s="132"/>
    </row>
    <row r="139" spans="1:33">
      <c r="A139" s="283"/>
      <c r="B139" s="132"/>
      <c r="C139" s="284"/>
      <c r="D139" s="132"/>
      <c r="E139" s="284"/>
      <c r="F139" s="132"/>
      <c r="G139" s="284"/>
      <c r="H139" s="283"/>
      <c r="I139" s="285"/>
      <c r="J139" s="132"/>
      <c r="K139" s="132"/>
      <c r="L139" s="132"/>
      <c r="M139" s="132"/>
      <c r="N139" s="132"/>
      <c r="O139" s="132"/>
      <c r="P139" s="132"/>
      <c r="Q139" s="132"/>
      <c r="R139" s="132"/>
      <c r="S139" s="132"/>
      <c r="T139" s="132"/>
      <c r="U139" s="132"/>
      <c r="V139" s="132"/>
      <c r="W139" s="132"/>
      <c r="X139" s="132"/>
      <c r="Y139" s="132"/>
      <c r="Z139" s="132"/>
      <c r="AA139" s="132"/>
      <c r="AB139" s="132"/>
      <c r="AC139" s="132"/>
      <c r="AD139" s="132"/>
      <c r="AE139" s="132"/>
      <c r="AF139" s="132"/>
      <c r="AG139" s="132"/>
    </row>
    <row r="140" spans="1:33">
      <c r="A140" s="283"/>
      <c r="B140" s="132"/>
      <c r="C140" s="284"/>
      <c r="D140" s="132"/>
      <c r="E140" s="284"/>
      <c r="F140" s="132"/>
      <c r="G140" s="284"/>
      <c r="H140" s="283"/>
      <c r="I140" s="285"/>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132"/>
      <c r="AG140" s="132"/>
    </row>
    <row r="141" spans="1:33">
      <c r="A141" s="283"/>
      <c r="B141" s="132"/>
      <c r="C141" s="284"/>
      <c r="D141" s="132"/>
      <c r="E141" s="284"/>
      <c r="F141" s="132"/>
      <c r="G141" s="284"/>
      <c r="H141" s="283"/>
      <c r="I141" s="285"/>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132"/>
      <c r="AG141" s="132"/>
    </row>
    <row r="142" spans="1:33">
      <c r="A142" s="283"/>
      <c r="B142" s="132"/>
      <c r="C142" s="284"/>
      <c r="D142" s="132"/>
      <c r="E142" s="284"/>
      <c r="F142" s="132"/>
      <c r="G142" s="284"/>
      <c r="H142" s="283"/>
      <c r="I142" s="285"/>
      <c r="J142" s="132"/>
      <c r="K142" s="132"/>
      <c r="L142" s="132"/>
      <c r="M142" s="132"/>
      <c r="N142" s="132"/>
      <c r="O142" s="132"/>
      <c r="P142" s="132"/>
      <c r="Q142" s="132"/>
      <c r="R142" s="132"/>
      <c r="S142" s="132"/>
      <c r="T142" s="132"/>
      <c r="U142" s="132"/>
      <c r="V142" s="132"/>
      <c r="W142" s="132"/>
      <c r="X142" s="132"/>
      <c r="Y142" s="132"/>
      <c r="Z142" s="132"/>
      <c r="AA142" s="132"/>
      <c r="AB142" s="132"/>
      <c r="AC142" s="132"/>
      <c r="AD142" s="132"/>
      <c r="AE142" s="132"/>
      <c r="AF142" s="132"/>
      <c r="AG142" s="132"/>
    </row>
    <row r="143" spans="1:33">
      <c r="A143" s="283"/>
      <c r="B143" s="132"/>
      <c r="C143" s="284"/>
      <c r="D143" s="132"/>
      <c r="E143" s="284"/>
      <c r="F143" s="132"/>
      <c r="G143" s="284"/>
      <c r="H143" s="283"/>
      <c r="I143" s="285"/>
      <c r="J143" s="132"/>
      <c r="K143" s="132"/>
      <c r="L143" s="132"/>
      <c r="M143" s="132"/>
      <c r="N143" s="132"/>
      <c r="O143" s="132"/>
      <c r="P143" s="132"/>
      <c r="Q143" s="132"/>
      <c r="R143" s="132"/>
      <c r="S143" s="132"/>
      <c r="T143" s="132"/>
      <c r="U143" s="132"/>
      <c r="V143" s="132"/>
      <c r="W143" s="132"/>
      <c r="X143" s="132"/>
      <c r="Y143" s="132"/>
      <c r="Z143" s="132"/>
      <c r="AA143" s="132"/>
      <c r="AB143" s="132"/>
      <c r="AC143" s="132"/>
      <c r="AD143" s="132"/>
      <c r="AE143" s="132"/>
      <c r="AF143" s="132"/>
      <c r="AG143" s="132"/>
    </row>
    <row r="144" spans="1:33">
      <c r="A144" s="132"/>
      <c r="B144" s="132"/>
      <c r="C144" s="108"/>
      <c r="D144" s="132"/>
      <c r="E144" s="108"/>
      <c r="F144" s="132"/>
      <c r="G144" s="108"/>
      <c r="H144" s="132"/>
      <c r="I144" s="285"/>
      <c r="J144" s="285"/>
      <c r="K144" s="132"/>
      <c r="L144" s="132"/>
      <c r="M144" s="132"/>
      <c r="N144" s="132"/>
      <c r="O144" s="132"/>
      <c r="P144" s="132"/>
      <c r="Q144" s="132"/>
      <c r="R144" s="132"/>
      <c r="S144" s="132"/>
      <c r="T144" s="132"/>
      <c r="U144" s="132"/>
      <c r="V144" s="132"/>
      <c r="W144" s="132"/>
      <c r="X144" s="132"/>
      <c r="Y144" s="132"/>
      <c r="Z144" s="132"/>
      <c r="AA144" s="132"/>
      <c r="AB144" s="132"/>
      <c r="AC144" s="132"/>
      <c r="AD144" s="132"/>
      <c r="AE144" s="132"/>
      <c r="AF144" s="132"/>
      <c r="AG144" s="132"/>
    </row>
    <row r="145" spans="1:33">
      <c r="A145" s="132"/>
      <c r="B145" s="132"/>
      <c r="C145" s="108"/>
      <c r="D145" s="132"/>
      <c r="E145" s="108"/>
      <c r="F145" s="132"/>
      <c r="G145" s="108"/>
      <c r="H145" s="132"/>
      <c r="I145" s="285"/>
      <c r="J145" s="285"/>
      <c r="K145" s="132"/>
      <c r="L145" s="132"/>
      <c r="M145" s="132"/>
      <c r="N145" s="132"/>
      <c r="O145" s="132"/>
      <c r="P145" s="132"/>
      <c r="Q145" s="132"/>
      <c r="R145" s="132"/>
      <c r="S145" s="132"/>
      <c r="T145" s="132"/>
      <c r="U145" s="132"/>
      <c r="V145" s="132"/>
      <c r="W145" s="132"/>
      <c r="X145" s="132"/>
      <c r="Y145" s="132"/>
      <c r="Z145" s="132"/>
      <c r="AA145" s="132"/>
      <c r="AB145" s="132"/>
      <c r="AC145" s="132"/>
      <c r="AD145" s="132"/>
      <c r="AE145" s="132"/>
      <c r="AF145" s="132"/>
      <c r="AG145" s="132"/>
    </row>
    <row r="146" spans="1:33">
      <c r="A146" s="132"/>
      <c r="B146" s="132"/>
      <c r="C146" s="108"/>
      <c r="D146" s="132"/>
      <c r="E146" s="108"/>
      <c r="F146" s="132"/>
      <c r="G146" s="108"/>
      <c r="H146" s="132"/>
      <c r="I146" s="285"/>
      <c r="J146" s="285"/>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132"/>
      <c r="AG146" s="132"/>
    </row>
    <row r="147" spans="1:33">
      <c r="A147" s="132"/>
      <c r="B147" s="132"/>
      <c r="C147" s="108"/>
      <c r="D147" s="132"/>
      <c r="E147" s="108"/>
      <c r="F147" s="132"/>
      <c r="G147" s="108"/>
      <c r="H147" s="132"/>
      <c r="I147" s="285"/>
      <c r="J147" s="285"/>
      <c r="K147" s="132"/>
      <c r="L147" s="132"/>
      <c r="M147" s="132"/>
      <c r="N147" s="132"/>
      <c r="O147" s="132"/>
      <c r="P147" s="132"/>
      <c r="Q147" s="132"/>
      <c r="R147" s="132"/>
      <c r="S147" s="132"/>
      <c r="T147" s="132"/>
      <c r="U147" s="132"/>
      <c r="V147" s="132"/>
      <c r="W147" s="132"/>
      <c r="X147" s="132"/>
      <c r="Y147" s="132"/>
      <c r="Z147" s="132"/>
      <c r="AA147" s="132"/>
      <c r="AB147" s="132"/>
      <c r="AC147" s="132"/>
      <c r="AD147" s="132"/>
      <c r="AE147" s="132"/>
      <c r="AF147" s="132"/>
      <c r="AG147" s="132"/>
    </row>
    <row r="148" spans="1:33">
      <c r="A148" s="132"/>
      <c r="B148" s="132"/>
      <c r="C148" s="108"/>
      <c r="D148" s="132"/>
      <c r="E148" s="108"/>
      <c r="F148" s="132"/>
      <c r="G148" s="108"/>
      <c r="H148" s="132"/>
      <c r="I148" s="285"/>
      <c r="J148" s="285"/>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c r="AG148" s="132"/>
    </row>
    <row r="149" spans="1:33">
      <c r="A149" s="132"/>
      <c r="B149" s="132"/>
      <c r="C149" s="108"/>
      <c r="D149" s="132"/>
      <c r="E149" s="108"/>
      <c r="F149" s="132"/>
      <c r="G149" s="108"/>
      <c r="H149" s="132"/>
      <c r="I149" s="285"/>
      <c r="J149" s="285"/>
      <c r="K149" s="132"/>
      <c r="L149" s="132"/>
      <c r="M149" s="132"/>
      <c r="N149" s="132"/>
      <c r="O149" s="132"/>
      <c r="P149" s="132"/>
      <c r="Q149" s="132"/>
      <c r="R149" s="132"/>
      <c r="S149" s="132"/>
      <c r="T149" s="132"/>
      <c r="U149" s="132"/>
      <c r="V149" s="132"/>
      <c r="W149" s="132"/>
      <c r="X149" s="132"/>
      <c r="Y149" s="132"/>
      <c r="Z149" s="132"/>
      <c r="AA149" s="132"/>
      <c r="AB149" s="132"/>
      <c r="AC149" s="132"/>
      <c r="AD149" s="132"/>
      <c r="AE149" s="132"/>
      <c r="AF149" s="132"/>
      <c r="AG149" s="132"/>
    </row>
    <row r="150" spans="1:33">
      <c r="A150" s="132"/>
      <c r="B150" s="132"/>
      <c r="C150" s="108"/>
      <c r="D150" s="132"/>
      <c r="E150" s="108"/>
      <c r="F150" s="132"/>
      <c r="G150" s="108"/>
      <c r="H150" s="132"/>
      <c r="I150" s="285"/>
      <c r="J150" s="285"/>
      <c r="K150" s="132"/>
      <c r="L150" s="132"/>
      <c r="M150" s="132"/>
      <c r="N150" s="132"/>
      <c r="O150" s="132"/>
      <c r="P150" s="132"/>
      <c r="Q150" s="132"/>
      <c r="R150" s="132"/>
      <c r="S150" s="132"/>
      <c r="T150" s="132"/>
      <c r="U150" s="132"/>
      <c r="V150" s="132"/>
      <c r="W150" s="132"/>
      <c r="X150" s="132"/>
      <c r="Y150" s="132"/>
      <c r="Z150" s="132"/>
      <c r="AA150" s="132"/>
      <c r="AB150" s="132"/>
      <c r="AC150" s="132"/>
      <c r="AD150" s="132"/>
      <c r="AE150" s="132"/>
      <c r="AF150" s="132"/>
      <c r="AG150" s="132"/>
    </row>
    <row r="151" spans="1:33">
      <c r="A151" s="132"/>
      <c r="B151" s="132"/>
      <c r="C151" s="108"/>
      <c r="D151" s="132"/>
      <c r="E151" s="108"/>
      <c r="F151" s="132"/>
      <c r="G151" s="108"/>
      <c r="H151" s="132"/>
      <c r="I151" s="285"/>
      <c r="J151" s="285"/>
      <c r="K151" s="132"/>
      <c r="L151" s="132"/>
      <c r="M151" s="132"/>
      <c r="N151" s="132"/>
      <c r="O151" s="132"/>
      <c r="P151" s="132"/>
      <c r="Q151" s="132"/>
      <c r="R151" s="132"/>
      <c r="S151" s="132"/>
      <c r="T151" s="132"/>
      <c r="U151" s="132"/>
      <c r="V151" s="132"/>
      <c r="W151" s="132"/>
      <c r="X151" s="132"/>
      <c r="Y151" s="132"/>
      <c r="Z151" s="132"/>
      <c r="AA151" s="132"/>
      <c r="AB151" s="132"/>
      <c r="AC151" s="132"/>
      <c r="AD151" s="132"/>
      <c r="AE151" s="132"/>
      <c r="AF151" s="132"/>
      <c r="AG151" s="132"/>
    </row>
    <row r="152" spans="1:33">
      <c r="A152" s="132"/>
      <c r="B152" s="132"/>
      <c r="C152" s="108"/>
      <c r="D152" s="132"/>
      <c r="E152" s="108"/>
      <c r="F152" s="132"/>
      <c r="G152" s="108"/>
      <c r="H152" s="132"/>
      <c r="I152" s="285"/>
      <c r="J152" s="285"/>
      <c r="K152" s="132"/>
      <c r="L152" s="132"/>
      <c r="M152" s="132"/>
      <c r="N152" s="132"/>
      <c r="O152" s="132"/>
      <c r="P152" s="132"/>
      <c r="Q152" s="132"/>
      <c r="R152" s="132"/>
      <c r="S152" s="132"/>
      <c r="T152" s="132"/>
      <c r="U152" s="132"/>
      <c r="V152" s="132"/>
      <c r="W152" s="132"/>
      <c r="X152" s="132"/>
      <c r="Y152" s="132"/>
      <c r="Z152" s="132"/>
      <c r="AA152" s="132"/>
      <c r="AB152" s="132"/>
      <c r="AC152" s="132"/>
      <c r="AD152" s="132"/>
      <c r="AE152" s="132"/>
      <c r="AF152" s="132"/>
      <c r="AG152" s="132"/>
    </row>
    <row r="153" spans="1:33">
      <c r="A153" s="132"/>
      <c r="B153" s="132"/>
      <c r="C153" s="108"/>
      <c r="D153" s="132"/>
      <c r="E153" s="108"/>
      <c r="F153" s="132"/>
      <c r="G153" s="108"/>
      <c r="H153" s="132"/>
      <c r="I153" s="285"/>
      <c r="J153" s="285"/>
      <c r="K153" s="132"/>
      <c r="L153" s="132"/>
      <c r="M153" s="132"/>
      <c r="N153" s="132"/>
      <c r="O153" s="132"/>
      <c r="P153" s="132"/>
      <c r="Q153" s="132"/>
      <c r="R153" s="132"/>
      <c r="S153" s="132"/>
      <c r="T153" s="132"/>
      <c r="U153" s="132"/>
      <c r="V153" s="132"/>
      <c r="W153" s="132"/>
      <c r="X153" s="132"/>
      <c r="Y153" s="132"/>
      <c r="Z153" s="132"/>
      <c r="AA153" s="132"/>
      <c r="AB153" s="132"/>
      <c r="AC153" s="132"/>
      <c r="AD153" s="132"/>
      <c r="AE153" s="132"/>
      <c r="AF153" s="132"/>
      <c r="AG153" s="132"/>
    </row>
    <row r="154" spans="1:33">
      <c r="A154" s="132"/>
      <c r="B154" s="132"/>
      <c r="C154" s="108"/>
      <c r="D154" s="132"/>
      <c r="E154" s="108"/>
      <c r="F154" s="132"/>
      <c r="G154" s="108"/>
      <c r="H154" s="132"/>
      <c r="I154" s="285"/>
      <c r="J154" s="285"/>
      <c r="K154" s="132"/>
      <c r="L154" s="132"/>
      <c r="M154" s="132"/>
      <c r="N154" s="132"/>
      <c r="O154" s="132"/>
      <c r="P154" s="132"/>
      <c r="Q154" s="132"/>
      <c r="R154" s="132"/>
      <c r="S154" s="132"/>
      <c r="T154" s="132"/>
      <c r="U154" s="132"/>
      <c r="V154" s="132"/>
      <c r="W154" s="132"/>
      <c r="X154" s="132"/>
      <c r="Y154" s="132"/>
      <c r="Z154" s="132"/>
      <c r="AA154" s="132"/>
      <c r="AB154" s="132"/>
      <c r="AC154" s="132"/>
      <c r="AD154" s="132"/>
      <c r="AE154" s="132"/>
      <c r="AF154" s="132"/>
      <c r="AG154" s="132"/>
    </row>
    <row r="155" spans="1:33">
      <c r="A155" s="132"/>
      <c r="B155" s="132"/>
      <c r="C155" s="108"/>
      <c r="D155" s="132"/>
      <c r="E155" s="108"/>
      <c r="F155" s="132"/>
      <c r="G155" s="108"/>
      <c r="H155" s="132"/>
      <c r="I155" s="285"/>
      <c r="J155" s="285"/>
      <c r="K155" s="132"/>
      <c r="L155" s="132"/>
      <c r="M155" s="132"/>
      <c r="N155" s="132"/>
      <c r="O155" s="132"/>
      <c r="P155" s="132"/>
      <c r="Q155" s="132"/>
      <c r="R155" s="132"/>
      <c r="S155" s="132"/>
      <c r="T155" s="132"/>
      <c r="U155" s="132"/>
      <c r="V155" s="132"/>
      <c r="W155" s="132"/>
      <c r="X155" s="132"/>
      <c r="Y155" s="132"/>
      <c r="Z155" s="132"/>
      <c r="AA155" s="132"/>
      <c r="AB155" s="132"/>
      <c r="AC155" s="132"/>
      <c r="AD155" s="132"/>
      <c r="AE155" s="132"/>
      <c r="AF155" s="132"/>
      <c r="AG155" s="132"/>
    </row>
    <row r="156" spans="1:33">
      <c r="A156" s="132"/>
      <c r="B156" s="132"/>
      <c r="C156" s="108"/>
      <c r="D156" s="132"/>
      <c r="E156" s="108"/>
      <c r="F156" s="132"/>
      <c r="G156" s="108"/>
      <c r="H156" s="132"/>
      <c r="I156" s="285"/>
      <c r="J156" s="285"/>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132"/>
      <c r="AG156" s="132"/>
    </row>
    <row r="157" spans="1:33">
      <c r="A157" s="132"/>
      <c r="B157" s="132"/>
      <c r="C157" s="108"/>
      <c r="D157" s="132"/>
      <c r="E157" s="108"/>
      <c r="F157" s="132"/>
      <c r="G157" s="108"/>
      <c r="H157" s="132"/>
      <c r="I157" s="285"/>
      <c r="J157" s="285"/>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132"/>
      <c r="AG157" s="132"/>
    </row>
    <row r="158" spans="1:33">
      <c r="A158" s="132"/>
      <c r="B158" s="132"/>
      <c r="C158" s="108"/>
      <c r="D158" s="132"/>
      <c r="E158" s="108"/>
      <c r="F158" s="132"/>
      <c r="G158" s="108"/>
      <c r="H158" s="132"/>
      <c r="I158" s="285"/>
      <c r="J158" s="285"/>
      <c r="K158" s="132"/>
      <c r="L158" s="132"/>
      <c r="M158" s="132"/>
      <c r="N158" s="132"/>
      <c r="O158" s="132"/>
      <c r="P158" s="132"/>
      <c r="Q158" s="132"/>
      <c r="R158" s="132"/>
      <c r="S158" s="132"/>
      <c r="T158" s="132"/>
      <c r="U158" s="132"/>
      <c r="V158" s="132"/>
      <c r="W158" s="132"/>
      <c r="X158" s="132"/>
      <c r="Y158" s="132"/>
      <c r="Z158" s="132"/>
      <c r="AA158" s="132"/>
      <c r="AB158" s="132"/>
      <c r="AC158" s="132"/>
      <c r="AD158" s="132"/>
      <c r="AE158" s="132"/>
      <c r="AF158" s="132"/>
      <c r="AG158" s="132"/>
    </row>
    <row r="159" spans="1:33">
      <c r="A159" s="132"/>
      <c r="B159" s="132"/>
      <c r="C159" s="108"/>
      <c r="D159" s="132"/>
      <c r="E159" s="108"/>
      <c r="F159" s="132"/>
      <c r="G159" s="108"/>
      <c r="H159" s="132"/>
      <c r="I159" s="285"/>
      <c r="J159" s="285"/>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c r="AG159" s="132"/>
    </row>
    <row r="160" spans="1:33">
      <c r="A160" s="132"/>
      <c r="B160" s="132"/>
      <c r="C160" s="108"/>
      <c r="D160" s="132"/>
      <c r="E160" s="108"/>
      <c r="F160" s="132"/>
      <c r="G160" s="108"/>
      <c r="H160" s="132"/>
      <c r="I160" s="285"/>
      <c r="J160" s="285"/>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c r="AG160" s="132"/>
    </row>
    <row r="161" spans="1:33">
      <c r="A161" s="132"/>
      <c r="B161" s="132"/>
      <c r="C161" s="108"/>
      <c r="D161" s="132"/>
      <c r="E161" s="108"/>
      <c r="F161" s="132"/>
      <c r="G161" s="108"/>
      <c r="H161" s="132"/>
      <c r="I161" s="285"/>
      <c r="J161" s="285"/>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132"/>
      <c r="AG161" s="132"/>
    </row>
    <row r="162" spans="1:33">
      <c r="A162" s="132"/>
      <c r="B162" s="132"/>
      <c r="C162" s="108"/>
      <c r="D162" s="132"/>
      <c r="E162" s="108"/>
      <c r="F162" s="132"/>
      <c r="G162" s="108"/>
      <c r="H162" s="132"/>
      <c r="I162" s="285"/>
      <c r="J162" s="285"/>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132"/>
      <c r="AG162" s="132"/>
    </row>
    <row r="163" spans="1:33">
      <c r="A163" s="132"/>
      <c r="B163" s="132"/>
      <c r="C163" s="108"/>
      <c r="D163" s="132"/>
      <c r="E163" s="108"/>
      <c r="F163" s="132"/>
      <c r="G163" s="108"/>
      <c r="H163" s="132"/>
      <c r="I163" s="285"/>
      <c r="J163" s="285"/>
      <c r="K163" s="132"/>
      <c r="L163" s="132"/>
      <c r="M163" s="132"/>
      <c r="N163" s="132"/>
      <c r="O163" s="132"/>
      <c r="P163" s="132"/>
      <c r="Q163" s="132"/>
      <c r="R163" s="132"/>
      <c r="S163" s="132"/>
      <c r="T163" s="132"/>
      <c r="U163" s="132"/>
      <c r="V163" s="132"/>
      <c r="W163" s="132"/>
      <c r="X163" s="132"/>
      <c r="Y163" s="132"/>
      <c r="Z163" s="132"/>
      <c r="AA163" s="132"/>
      <c r="AB163" s="132"/>
      <c r="AC163" s="132"/>
      <c r="AD163" s="132"/>
      <c r="AE163" s="132"/>
      <c r="AF163" s="132"/>
      <c r="AG163" s="132"/>
    </row>
    <row r="164" spans="1:33">
      <c r="A164" s="132"/>
      <c r="B164" s="132"/>
      <c r="C164" s="108"/>
      <c r="D164" s="132"/>
      <c r="E164" s="108"/>
      <c r="F164" s="132"/>
      <c r="G164" s="108"/>
      <c r="H164" s="132"/>
      <c r="I164" s="285"/>
      <c r="J164" s="285"/>
      <c r="K164" s="132"/>
      <c r="L164" s="132"/>
      <c r="M164" s="132"/>
      <c r="N164" s="132"/>
      <c r="O164" s="132"/>
      <c r="P164" s="132"/>
      <c r="Q164" s="132"/>
      <c r="R164" s="132"/>
      <c r="S164" s="132"/>
      <c r="T164" s="132"/>
      <c r="U164" s="132"/>
      <c r="V164" s="132"/>
      <c r="W164" s="132"/>
      <c r="X164" s="132"/>
      <c r="Y164" s="132"/>
      <c r="Z164" s="132"/>
      <c r="AA164" s="132"/>
      <c r="AB164" s="132"/>
      <c r="AC164" s="132"/>
      <c r="AD164" s="132"/>
      <c r="AE164" s="132"/>
      <c r="AF164" s="132"/>
      <c r="AG164" s="132"/>
    </row>
    <row r="165" spans="1:33">
      <c r="A165" s="132"/>
      <c r="B165" s="132"/>
      <c r="C165" s="108"/>
      <c r="D165" s="132"/>
      <c r="E165" s="108"/>
      <c r="F165" s="132"/>
      <c r="G165" s="108"/>
      <c r="H165" s="132"/>
      <c r="I165" s="285"/>
      <c r="J165" s="285"/>
      <c r="K165" s="132"/>
      <c r="L165" s="132"/>
      <c r="M165" s="132"/>
      <c r="N165" s="132"/>
      <c r="O165" s="132"/>
      <c r="P165" s="132"/>
      <c r="Q165" s="132"/>
      <c r="R165" s="132"/>
      <c r="S165" s="132"/>
      <c r="T165" s="132"/>
      <c r="U165" s="132"/>
      <c r="V165" s="132"/>
      <c r="W165" s="132"/>
      <c r="X165" s="132"/>
      <c r="Y165" s="132"/>
      <c r="Z165" s="132"/>
      <c r="AA165" s="132"/>
      <c r="AB165" s="132"/>
      <c r="AC165" s="132"/>
      <c r="AD165" s="132"/>
      <c r="AE165" s="132"/>
      <c r="AF165" s="132"/>
      <c r="AG165" s="132"/>
    </row>
    <row r="166" spans="1:33">
      <c r="A166" s="132"/>
      <c r="B166" s="132"/>
      <c r="C166" s="108"/>
      <c r="D166" s="132"/>
      <c r="E166" s="108"/>
      <c r="F166" s="132"/>
      <c r="G166" s="108"/>
      <c r="H166" s="132"/>
      <c r="I166" s="285"/>
      <c r="J166" s="285"/>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c r="AG166" s="132"/>
    </row>
    <row r="167" spans="1:33">
      <c r="A167" s="132"/>
      <c r="B167" s="132"/>
      <c r="C167" s="108"/>
      <c r="D167" s="132"/>
      <c r="E167" s="108"/>
      <c r="F167" s="132"/>
      <c r="G167" s="108"/>
      <c r="H167" s="132"/>
      <c r="I167" s="285"/>
      <c r="J167" s="285"/>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2"/>
    </row>
    <row r="168" spans="1:33">
      <c r="A168" s="132"/>
      <c r="B168" s="132"/>
      <c r="C168" s="108"/>
      <c r="D168" s="132"/>
      <c r="E168" s="108"/>
      <c r="F168" s="132"/>
      <c r="G168" s="108"/>
      <c r="H168" s="132"/>
      <c r="I168" s="285"/>
      <c r="J168" s="285"/>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c r="AG168" s="132"/>
    </row>
    <row r="169" spans="1:33">
      <c r="A169" s="132"/>
      <c r="B169" s="132"/>
      <c r="C169" s="108"/>
      <c r="D169" s="132"/>
      <c r="E169" s="108"/>
      <c r="F169" s="132"/>
      <c r="G169" s="108"/>
      <c r="H169" s="132"/>
      <c r="I169" s="285"/>
      <c r="J169" s="285"/>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132"/>
    </row>
    <row r="170" spans="1:33">
      <c r="A170" s="132"/>
      <c r="B170" s="132"/>
      <c r="C170" s="108"/>
      <c r="D170" s="132"/>
      <c r="E170" s="108"/>
      <c r="F170" s="132"/>
      <c r="G170" s="108"/>
      <c r="H170" s="132"/>
      <c r="I170" s="285"/>
      <c r="J170" s="285"/>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132"/>
    </row>
    <row r="171" spans="1:33">
      <c r="A171" s="132"/>
      <c r="B171" s="132"/>
      <c r="C171" s="108"/>
      <c r="D171" s="132"/>
      <c r="E171" s="108"/>
      <c r="F171" s="132"/>
      <c r="G171" s="108"/>
      <c r="H171" s="132"/>
      <c r="I171" s="285"/>
      <c r="J171" s="285"/>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c r="AG171" s="132"/>
    </row>
    <row r="172" spans="1:33">
      <c r="A172" s="132"/>
      <c r="B172" s="132"/>
      <c r="C172" s="108"/>
      <c r="D172" s="132"/>
      <c r="E172" s="108"/>
      <c r="F172" s="132"/>
      <c r="G172" s="108"/>
      <c r="H172" s="132"/>
      <c r="I172" s="285"/>
      <c r="J172" s="285"/>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c r="AG172" s="132"/>
    </row>
    <row r="173" spans="1:33">
      <c r="A173" s="132"/>
      <c r="B173" s="132"/>
      <c r="C173" s="108"/>
      <c r="D173" s="132"/>
      <c r="E173" s="108"/>
      <c r="F173" s="132"/>
      <c r="G173" s="108"/>
      <c r="H173" s="132"/>
      <c r="I173" s="285"/>
      <c r="J173" s="285"/>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row>
    <row r="174" spans="1:33">
      <c r="A174" s="132"/>
      <c r="B174" s="132"/>
      <c r="C174" s="108"/>
      <c r="D174" s="132"/>
      <c r="E174" s="108"/>
      <c r="F174" s="132"/>
      <c r="G174" s="108"/>
      <c r="H174" s="132"/>
      <c r="I174" s="285"/>
      <c r="J174" s="285"/>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c r="AG174" s="132"/>
    </row>
    <row r="175" spans="1:33">
      <c r="A175" s="132"/>
      <c r="B175" s="132"/>
      <c r="C175" s="108"/>
      <c r="D175" s="132"/>
      <c r="E175" s="108"/>
      <c r="F175" s="132"/>
      <c r="G175" s="108"/>
      <c r="H175" s="132"/>
      <c r="I175" s="285"/>
      <c r="J175" s="285"/>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c r="AG175" s="132"/>
    </row>
    <row r="176" spans="1:33">
      <c r="A176" s="132"/>
      <c r="B176" s="132"/>
      <c r="C176" s="108"/>
      <c r="D176" s="132"/>
      <c r="E176" s="108"/>
      <c r="F176" s="132"/>
      <c r="G176" s="108"/>
      <c r="H176" s="132"/>
      <c r="I176" s="285"/>
      <c r="J176" s="285"/>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row>
    <row r="177" spans="1:33">
      <c r="A177" s="132"/>
      <c r="B177" s="132"/>
      <c r="C177" s="108"/>
      <c r="D177" s="132"/>
      <c r="E177" s="108"/>
      <c r="F177" s="132"/>
      <c r="G177" s="108"/>
      <c r="H177" s="132"/>
      <c r="I177" s="285"/>
      <c r="J177" s="285"/>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row>
    <row r="178" spans="1:33">
      <c r="A178" s="132"/>
      <c r="B178" s="132"/>
      <c r="C178" s="108"/>
      <c r="D178" s="132"/>
      <c r="E178" s="108"/>
      <c r="F178" s="132"/>
      <c r="G178" s="108"/>
      <c r="H178" s="132"/>
      <c r="I178" s="285"/>
      <c r="J178" s="285"/>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c r="AG178" s="132"/>
    </row>
    <row r="179" spans="1:33">
      <c r="A179" s="132"/>
      <c r="B179" s="132"/>
      <c r="C179" s="108"/>
      <c r="D179" s="132"/>
      <c r="E179" s="108"/>
      <c r="F179" s="132"/>
      <c r="G179" s="108"/>
      <c r="H179" s="132"/>
      <c r="I179" s="285"/>
      <c r="J179" s="285"/>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c r="AG179" s="132"/>
    </row>
    <row r="180" spans="1:33">
      <c r="A180" s="132"/>
      <c r="B180" s="132"/>
      <c r="C180" s="108"/>
      <c r="D180" s="132"/>
      <c r="E180" s="108"/>
      <c r="F180" s="132"/>
      <c r="G180" s="108"/>
      <c r="H180" s="132"/>
      <c r="I180" s="285"/>
      <c r="J180" s="285"/>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row>
    <row r="181" spans="1:33">
      <c r="A181" s="132"/>
      <c r="B181" s="132"/>
      <c r="C181" s="108"/>
      <c r="D181" s="132"/>
      <c r="E181" s="108"/>
      <c r="F181" s="132"/>
      <c r="G181" s="108"/>
      <c r="H181" s="132"/>
      <c r="I181" s="285"/>
      <c r="J181" s="285"/>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c r="AG181" s="132"/>
    </row>
    <row r="182" spans="1:33">
      <c r="A182" s="132"/>
      <c r="B182" s="132"/>
      <c r="C182" s="108"/>
      <c r="D182" s="132"/>
      <c r="E182" s="108"/>
      <c r="F182" s="132"/>
      <c r="G182" s="108"/>
      <c r="H182" s="132"/>
      <c r="I182" s="285"/>
      <c r="J182" s="285"/>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132"/>
    </row>
    <row r="183" spans="1:33">
      <c r="A183" s="132"/>
      <c r="B183" s="132"/>
      <c r="C183" s="108"/>
      <c r="D183" s="132"/>
      <c r="E183" s="108"/>
      <c r="F183" s="132"/>
      <c r="G183" s="108"/>
      <c r="H183" s="132"/>
      <c r="I183" s="285"/>
      <c r="J183" s="285"/>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row>
    <row r="184" spans="1:33">
      <c r="A184" s="132"/>
      <c r="B184" s="132"/>
      <c r="C184" s="108"/>
      <c r="D184" s="132"/>
      <c r="E184" s="108"/>
      <c r="F184" s="132"/>
      <c r="G184" s="108"/>
      <c r="H184" s="132"/>
      <c r="I184" s="285"/>
      <c r="J184" s="285"/>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c r="AG184" s="132"/>
    </row>
    <row r="185" spans="1:33">
      <c r="A185" s="132"/>
      <c r="B185" s="132"/>
      <c r="C185" s="108"/>
      <c r="D185" s="132"/>
      <c r="E185" s="108"/>
      <c r="F185" s="132"/>
      <c r="G185" s="108"/>
      <c r="H185" s="132"/>
      <c r="I185" s="285"/>
      <c r="J185" s="285"/>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c r="AG185" s="132"/>
    </row>
    <row r="186" spans="1:33">
      <c r="A186" s="132"/>
      <c r="B186" s="132"/>
      <c r="C186" s="108"/>
      <c r="D186" s="132"/>
      <c r="E186" s="108"/>
      <c r="F186" s="132"/>
      <c r="G186" s="108"/>
      <c r="H186" s="132"/>
      <c r="I186" s="285"/>
      <c r="J186" s="285"/>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c r="AG186" s="132"/>
    </row>
    <row r="187" spans="1:33">
      <c r="A187" s="132"/>
      <c r="B187" s="132"/>
      <c r="C187" s="108"/>
      <c r="D187" s="132"/>
      <c r="E187" s="108"/>
      <c r="F187" s="132"/>
      <c r="G187" s="108"/>
      <c r="H187" s="132"/>
      <c r="I187" s="285"/>
      <c r="J187" s="285"/>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c r="AG187" s="132"/>
    </row>
    <row r="188" spans="1:33">
      <c r="A188" s="132"/>
      <c r="B188" s="132"/>
      <c r="C188" s="108"/>
      <c r="D188" s="132"/>
      <c r="E188" s="108"/>
      <c r="F188" s="132"/>
      <c r="G188" s="108"/>
      <c r="H188" s="132"/>
      <c r="I188" s="285"/>
      <c r="J188" s="285"/>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32"/>
    </row>
    <row r="189" spans="1:33">
      <c r="A189" s="132"/>
      <c r="B189" s="132"/>
      <c r="C189" s="108"/>
      <c r="D189" s="132"/>
      <c r="E189" s="108"/>
      <c r="F189" s="132"/>
      <c r="G189" s="108"/>
      <c r="H189" s="132"/>
      <c r="I189" s="285"/>
      <c r="J189" s="285"/>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c r="AG189" s="132"/>
    </row>
    <row r="190" spans="1:33">
      <c r="A190" s="132"/>
      <c r="B190" s="132"/>
      <c r="C190" s="108"/>
      <c r="D190" s="132"/>
      <c r="E190" s="108"/>
      <c r="F190" s="132"/>
      <c r="G190" s="108"/>
      <c r="H190" s="132"/>
      <c r="I190" s="285"/>
      <c r="J190" s="285"/>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132"/>
    </row>
    <row r="191" spans="1:33">
      <c r="A191" s="132"/>
      <c r="B191" s="132"/>
      <c r="C191" s="108"/>
      <c r="D191" s="132"/>
      <c r="E191" s="108"/>
      <c r="F191" s="132"/>
      <c r="G191" s="108"/>
      <c r="H191" s="132"/>
      <c r="I191" s="285"/>
      <c r="J191" s="285"/>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row>
    <row r="192" spans="1:33">
      <c r="A192" s="132"/>
      <c r="B192" s="132"/>
      <c r="C192" s="108"/>
      <c r="D192" s="132"/>
      <c r="E192" s="108"/>
      <c r="F192" s="132"/>
      <c r="G192" s="108"/>
      <c r="H192" s="132"/>
      <c r="I192" s="285"/>
      <c r="J192" s="285"/>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c r="AG192" s="132"/>
    </row>
    <row r="193" spans="1:33">
      <c r="A193" s="132"/>
      <c r="B193" s="132"/>
      <c r="C193" s="108"/>
      <c r="D193" s="132"/>
      <c r="E193" s="108"/>
      <c r="F193" s="132"/>
      <c r="G193" s="108"/>
      <c r="H193" s="132"/>
      <c r="I193" s="285"/>
      <c r="J193" s="285"/>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c r="AG193" s="132"/>
    </row>
    <row r="194" spans="1:33">
      <c r="A194" s="132"/>
      <c r="B194" s="132"/>
      <c r="C194" s="108"/>
      <c r="D194" s="132"/>
      <c r="E194" s="108"/>
      <c r="F194" s="132"/>
      <c r="G194" s="108"/>
      <c r="H194" s="132"/>
      <c r="I194" s="285"/>
      <c r="J194" s="285"/>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132"/>
    </row>
    <row r="195" spans="1:33">
      <c r="A195" s="132"/>
      <c r="B195" s="132"/>
      <c r="C195" s="108"/>
      <c r="D195" s="132"/>
      <c r="E195" s="108"/>
      <c r="F195" s="132"/>
      <c r="G195" s="108"/>
      <c r="H195" s="132"/>
      <c r="I195" s="285"/>
      <c r="J195" s="285"/>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132"/>
    </row>
    <row r="196" spans="1:33">
      <c r="A196" s="132"/>
      <c r="B196" s="132"/>
      <c r="C196" s="108"/>
      <c r="D196" s="132"/>
      <c r="E196" s="108"/>
      <c r="F196" s="132"/>
      <c r="G196" s="108"/>
      <c r="H196" s="132"/>
      <c r="I196" s="285"/>
      <c r="J196" s="285"/>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row>
    <row r="197" spans="1:33">
      <c r="A197" s="132"/>
      <c r="B197" s="132"/>
      <c r="C197" s="108"/>
      <c r="D197" s="132"/>
      <c r="E197" s="108"/>
      <c r="F197" s="132"/>
      <c r="G197" s="108"/>
      <c r="H197" s="132"/>
      <c r="I197" s="285"/>
      <c r="J197" s="285"/>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2"/>
    </row>
    <row r="198" spans="1:33">
      <c r="A198" s="132"/>
      <c r="B198" s="132"/>
      <c r="C198" s="108"/>
      <c r="D198" s="132"/>
      <c r="E198" s="108"/>
      <c r="F198" s="132"/>
      <c r="G198" s="108"/>
      <c r="H198" s="132"/>
      <c r="I198" s="285"/>
      <c r="J198" s="285"/>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32"/>
    </row>
    <row r="199" spans="1:33">
      <c r="A199" s="132"/>
      <c r="B199" s="132"/>
      <c r="C199" s="108"/>
      <c r="D199" s="132"/>
      <c r="E199" s="108"/>
      <c r="F199" s="132"/>
      <c r="G199" s="108"/>
      <c r="H199" s="132"/>
      <c r="I199" s="285"/>
      <c r="J199" s="285"/>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2"/>
    </row>
    <row r="200" spans="1:33">
      <c r="A200" s="132"/>
      <c r="B200" s="132"/>
      <c r="C200" s="108"/>
      <c r="D200" s="132"/>
      <c r="E200" s="108"/>
      <c r="F200" s="132"/>
      <c r="G200" s="108"/>
      <c r="H200" s="132"/>
      <c r="I200" s="285"/>
      <c r="J200" s="285"/>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c r="AG200" s="132"/>
    </row>
    <row r="201" spans="1:33">
      <c r="A201" s="132"/>
      <c r="B201" s="132"/>
      <c r="C201" s="108"/>
      <c r="D201" s="132"/>
      <c r="E201" s="108"/>
      <c r="F201" s="132"/>
      <c r="G201" s="108"/>
      <c r="H201" s="132"/>
      <c r="I201" s="285"/>
      <c r="J201" s="285"/>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c r="AG201" s="132"/>
    </row>
    <row r="202" spans="1:33">
      <c r="A202" s="132"/>
      <c r="B202" s="132"/>
      <c r="C202" s="108"/>
      <c r="D202" s="132"/>
      <c r="E202" s="108"/>
      <c r="F202" s="132"/>
      <c r="G202" s="108"/>
      <c r="H202" s="132"/>
      <c r="I202" s="285"/>
      <c r="J202" s="285"/>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c r="AG202" s="132"/>
    </row>
    <row r="203" spans="1:33">
      <c r="A203" s="132"/>
      <c r="B203" s="132"/>
      <c r="C203" s="108"/>
      <c r="D203" s="132"/>
      <c r="E203" s="108"/>
      <c r="F203" s="132"/>
      <c r="G203" s="108"/>
      <c r="H203" s="132"/>
      <c r="I203" s="285"/>
      <c r="J203" s="285"/>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32"/>
    </row>
    <row r="204" spans="1:33">
      <c r="A204" s="132"/>
      <c r="B204" s="132"/>
      <c r="C204" s="108"/>
      <c r="D204" s="132"/>
      <c r="E204" s="108"/>
      <c r="F204" s="132"/>
      <c r="G204" s="108"/>
      <c r="H204" s="132"/>
      <c r="I204" s="285"/>
      <c r="J204" s="285"/>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c r="AG204" s="132"/>
    </row>
    <row r="205" spans="1:33">
      <c r="A205" s="132"/>
      <c r="B205" s="132"/>
      <c r="C205" s="108"/>
      <c r="D205" s="132"/>
      <c r="E205" s="108"/>
      <c r="F205" s="132"/>
      <c r="G205" s="108"/>
      <c r="H205" s="132"/>
      <c r="I205" s="285"/>
      <c r="J205" s="285"/>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c r="AG205" s="132"/>
    </row>
    <row r="206" spans="1:33">
      <c r="A206" s="132"/>
      <c r="B206" s="132"/>
      <c r="C206" s="108"/>
      <c r="D206" s="132"/>
      <c r="E206" s="108"/>
      <c r="F206" s="132"/>
      <c r="G206" s="108"/>
      <c r="H206" s="132"/>
      <c r="I206" s="285"/>
      <c r="J206" s="285"/>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c r="AG206" s="132"/>
    </row>
    <row r="207" spans="1:33">
      <c r="A207" s="132"/>
      <c r="B207" s="132"/>
      <c r="C207" s="108"/>
      <c r="D207" s="132"/>
      <c r="E207" s="108"/>
      <c r="F207" s="132"/>
      <c r="G207" s="108"/>
      <c r="H207" s="132"/>
      <c r="I207" s="285"/>
      <c r="J207" s="285"/>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c r="AG207" s="132"/>
    </row>
    <row r="208" spans="1:33">
      <c r="A208" s="132"/>
      <c r="B208" s="132"/>
      <c r="C208" s="108"/>
      <c r="D208" s="132"/>
      <c r="E208" s="108"/>
      <c r="F208" s="132"/>
      <c r="G208" s="108"/>
      <c r="H208" s="132"/>
      <c r="I208" s="285"/>
      <c r="J208" s="285"/>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row>
    <row r="209" spans="1:33">
      <c r="A209" s="132"/>
      <c r="B209" s="132"/>
      <c r="C209" s="108"/>
      <c r="D209" s="132"/>
      <c r="E209" s="108"/>
      <c r="F209" s="132"/>
      <c r="G209" s="108"/>
      <c r="H209" s="132"/>
      <c r="I209" s="285"/>
      <c r="J209" s="285"/>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c r="AG209" s="132"/>
    </row>
    <row r="210" spans="1:33">
      <c r="A210" s="132"/>
      <c r="B210" s="132"/>
      <c r="C210" s="108"/>
      <c r="D210" s="132"/>
      <c r="E210" s="108"/>
      <c r="F210" s="132"/>
      <c r="G210" s="108"/>
      <c r="H210" s="132"/>
      <c r="I210" s="285"/>
      <c r="J210" s="285"/>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32"/>
    </row>
    <row r="211" spans="1:33">
      <c r="A211" s="132"/>
      <c r="B211" s="132"/>
      <c r="C211" s="108"/>
      <c r="D211" s="132"/>
      <c r="E211" s="108"/>
      <c r="F211" s="132"/>
      <c r="G211" s="108"/>
      <c r="H211" s="132"/>
      <c r="I211" s="285"/>
      <c r="J211" s="285"/>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c r="AG211" s="132"/>
    </row>
    <row r="212" spans="1:33">
      <c r="A212" s="132"/>
      <c r="B212" s="132"/>
      <c r="C212" s="108"/>
      <c r="D212" s="132"/>
      <c r="E212" s="108"/>
      <c r="F212" s="132"/>
      <c r="G212" s="108"/>
      <c r="H212" s="132"/>
      <c r="I212" s="285"/>
      <c r="J212" s="285"/>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c r="AG212" s="132"/>
    </row>
    <row r="213" spans="1:33">
      <c r="A213" s="132"/>
      <c r="B213" s="132"/>
      <c r="C213" s="108"/>
      <c r="D213" s="132"/>
      <c r="E213" s="108"/>
      <c r="F213" s="132"/>
      <c r="G213" s="108"/>
      <c r="H213" s="132"/>
      <c r="I213" s="285"/>
      <c r="J213" s="285"/>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132"/>
    </row>
    <row r="214" spans="1:33">
      <c r="A214" s="132"/>
      <c r="B214" s="132"/>
      <c r="C214" s="108"/>
      <c r="D214" s="132"/>
      <c r="E214" s="108"/>
      <c r="F214" s="132"/>
      <c r="G214" s="108"/>
      <c r="H214" s="132"/>
      <c r="I214" s="285"/>
      <c r="J214" s="285"/>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c r="AG214" s="132"/>
    </row>
    <row r="215" spans="1:33">
      <c r="A215" s="132"/>
      <c r="B215" s="132"/>
      <c r="C215" s="108"/>
      <c r="D215" s="132"/>
      <c r="E215" s="108"/>
      <c r="F215" s="132"/>
      <c r="G215" s="108"/>
      <c r="H215" s="132"/>
      <c r="I215" s="285"/>
      <c r="J215" s="285"/>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c r="AG215" s="132"/>
    </row>
    <row r="216" spans="1:33">
      <c r="A216" s="132"/>
      <c r="B216" s="132"/>
      <c r="C216" s="108"/>
      <c r="D216" s="132"/>
      <c r="E216" s="108"/>
      <c r="F216" s="132"/>
      <c r="G216" s="108"/>
      <c r="H216" s="132"/>
      <c r="I216" s="285"/>
      <c r="J216" s="285"/>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c r="AG216" s="132"/>
    </row>
    <row r="217" spans="1:33">
      <c r="A217" s="132"/>
      <c r="B217" s="132"/>
      <c r="C217" s="108"/>
      <c r="D217" s="132"/>
      <c r="E217" s="108"/>
      <c r="F217" s="132"/>
      <c r="G217" s="108"/>
      <c r="H217" s="132"/>
      <c r="I217" s="285"/>
      <c r="J217" s="285"/>
      <c r="K217" s="132"/>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c r="AG217" s="132"/>
    </row>
    <row r="218" spans="1:33">
      <c r="A218" s="132"/>
      <c r="B218" s="132"/>
      <c r="C218" s="108"/>
      <c r="D218" s="132"/>
      <c r="E218" s="108"/>
      <c r="F218" s="132"/>
      <c r="G218" s="108"/>
      <c r="H218" s="132"/>
      <c r="I218" s="285"/>
      <c r="J218" s="285"/>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32"/>
    </row>
    <row r="219" spans="1:33">
      <c r="A219" s="132"/>
      <c r="B219" s="132"/>
      <c r="C219" s="108"/>
      <c r="D219" s="132"/>
      <c r="E219" s="108"/>
      <c r="F219" s="132"/>
      <c r="G219" s="108"/>
      <c r="H219" s="132"/>
      <c r="I219" s="285"/>
      <c r="J219" s="285"/>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c r="AG219" s="132"/>
    </row>
    <row r="220" spans="1:33">
      <c r="A220" s="132"/>
      <c r="B220" s="132"/>
      <c r="C220" s="108"/>
      <c r="D220" s="132"/>
      <c r="E220" s="108"/>
      <c r="F220" s="132"/>
      <c r="G220" s="108"/>
      <c r="H220" s="132"/>
      <c r="I220" s="285"/>
      <c r="J220" s="285"/>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c r="AG220" s="132"/>
    </row>
    <row r="221" spans="1:33">
      <c r="A221" s="132"/>
      <c r="B221" s="132"/>
      <c r="C221" s="108"/>
      <c r="D221" s="132"/>
      <c r="E221" s="108"/>
      <c r="F221" s="132"/>
      <c r="G221" s="108"/>
      <c r="H221" s="132"/>
      <c r="I221" s="285"/>
      <c r="J221" s="285"/>
      <c r="K221" s="132"/>
      <c r="L221" s="132"/>
      <c r="M221" s="132"/>
      <c r="N221" s="132"/>
      <c r="O221" s="132"/>
      <c r="P221" s="132"/>
      <c r="Q221" s="132"/>
      <c r="R221" s="132"/>
      <c r="S221" s="132"/>
      <c r="T221" s="132"/>
      <c r="U221" s="132"/>
      <c r="V221" s="132"/>
      <c r="W221" s="132"/>
      <c r="X221" s="132"/>
      <c r="Y221" s="132"/>
      <c r="Z221" s="132"/>
      <c r="AA221" s="132"/>
      <c r="AB221" s="132"/>
      <c r="AC221" s="132"/>
      <c r="AD221" s="132"/>
      <c r="AE221" s="132"/>
      <c r="AF221" s="132"/>
      <c r="AG221" s="132"/>
    </row>
    <row r="222" spans="1:33">
      <c r="A222" s="132"/>
      <c r="B222" s="132"/>
      <c r="C222" s="108"/>
      <c r="D222" s="132"/>
      <c r="E222" s="108"/>
      <c r="F222" s="132"/>
      <c r="G222" s="108"/>
      <c r="H222" s="132"/>
      <c r="I222" s="285"/>
      <c r="J222" s="285"/>
      <c r="K222" s="132"/>
      <c r="L222" s="132"/>
      <c r="M222" s="132"/>
      <c r="N222" s="132"/>
      <c r="O222" s="132"/>
      <c r="P222" s="132"/>
      <c r="Q222" s="132"/>
      <c r="R222" s="132"/>
      <c r="S222" s="132"/>
      <c r="T222" s="132"/>
      <c r="U222" s="132"/>
      <c r="V222" s="132"/>
      <c r="W222" s="132"/>
      <c r="X222" s="132"/>
      <c r="Y222" s="132"/>
      <c r="Z222" s="132"/>
      <c r="AA222" s="132"/>
      <c r="AB222" s="132"/>
      <c r="AC222" s="132"/>
      <c r="AD222" s="132"/>
      <c r="AE222" s="132"/>
      <c r="AF222" s="132"/>
      <c r="AG222" s="132"/>
    </row>
    <row r="223" spans="1:33">
      <c r="A223" s="132"/>
      <c r="B223" s="132"/>
      <c r="C223" s="108"/>
      <c r="D223" s="132"/>
      <c r="E223" s="108"/>
      <c r="F223" s="132"/>
      <c r="G223" s="108"/>
      <c r="H223" s="132"/>
      <c r="I223" s="285"/>
      <c r="J223" s="285"/>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132"/>
    </row>
    <row r="224" spans="1:33">
      <c r="A224" s="132"/>
      <c r="B224" s="132"/>
      <c r="C224" s="108"/>
      <c r="D224" s="132"/>
      <c r="E224" s="108"/>
      <c r="F224" s="132"/>
      <c r="G224" s="108"/>
      <c r="H224" s="132"/>
      <c r="I224" s="285"/>
      <c r="J224" s="285"/>
      <c r="K224" s="132"/>
      <c r="L224" s="132"/>
      <c r="M224" s="132"/>
      <c r="N224" s="132"/>
      <c r="O224" s="132"/>
      <c r="P224" s="132"/>
      <c r="Q224" s="132"/>
      <c r="R224" s="132"/>
      <c r="S224" s="132"/>
      <c r="T224" s="132"/>
      <c r="U224" s="132"/>
      <c r="V224" s="132"/>
      <c r="W224" s="132"/>
      <c r="X224" s="132"/>
      <c r="Y224" s="132"/>
      <c r="Z224" s="132"/>
      <c r="AA224" s="132"/>
      <c r="AB224" s="132"/>
      <c r="AC224" s="132"/>
      <c r="AD224" s="132"/>
      <c r="AE224" s="132"/>
      <c r="AF224" s="132"/>
      <c r="AG224" s="132"/>
    </row>
    <row r="225" spans="1:33">
      <c r="A225" s="132"/>
      <c r="B225" s="132"/>
      <c r="C225" s="108"/>
      <c r="D225" s="132"/>
      <c r="E225" s="108"/>
      <c r="F225" s="132"/>
      <c r="G225" s="108"/>
      <c r="H225" s="132"/>
      <c r="I225" s="285"/>
      <c r="J225" s="285"/>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c r="AG225" s="132"/>
    </row>
    <row r="226" spans="1:33">
      <c r="A226" s="132"/>
      <c r="B226" s="132"/>
      <c r="C226" s="108"/>
      <c r="D226" s="132"/>
      <c r="E226" s="108"/>
      <c r="F226" s="132"/>
      <c r="G226" s="108"/>
      <c r="H226" s="132"/>
      <c r="I226" s="285"/>
      <c r="J226" s="285"/>
      <c r="K226" s="132"/>
      <c r="L226" s="132"/>
      <c r="M226" s="132"/>
      <c r="N226" s="132"/>
      <c r="O226" s="132"/>
      <c r="P226" s="132"/>
      <c r="Q226" s="132"/>
      <c r="R226" s="132"/>
      <c r="S226" s="132"/>
      <c r="T226" s="132"/>
      <c r="U226" s="132"/>
      <c r="V226" s="132"/>
      <c r="W226" s="132"/>
      <c r="X226" s="132"/>
      <c r="Y226" s="132"/>
      <c r="Z226" s="132"/>
      <c r="AA226" s="132"/>
      <c r="AB226" s="132"/>
      <c r="AC226" s="132"/>
      <c r="AD226" s="132"/>
      <c r="AE226" s="132"/>
      <c r="AF226" s="132"/>
      <c r="AG226" s="132"/>
    </row>
    <row r="227" spans="1:33">
      <c r="A227" s="132"/>
      <c r="B227" s="132"/>
      <c r="C227" s="108"/>
      <c r="D227" s="132"/>
      <c r="E227" s="108"/>
      <c r="F227" s="132"/>
      <c r="G227" s="108"/>
      <c r="H227" s="132"/>
      <c r="I227" s="285"/>
      <c r="J227" s="285"/>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c r="AG227" s="132"/>
    </row>
    <row r="228" spans="1:33">
      <c r="A228" s="132"/>
      <c r="B228" s="132"/>
      <c r="C228" s="108"/>
      <c r="D228" s="132"/>
      <c r="E228" s="108"/>
      <c r="F228" s="132"/>
      <c r="G228" s="108"/>
      <c r="H228" s="132"/>
      <c r="I228" s="285"/>
      <c r="J228" s="285"/>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c r="AG228" s="132"/>
    </row>
    <row r="229" spans="1:33">
      <c r="A229" s="132"/>
      <c r="B229" s="132"/>
      <c r="C229" s="108"/>
      <c r="D229" s="132"/>
      <c r="E229" s="108"/>
      <c r="F229" s="132"/>
      <c r="G229" s="108"/>
      <c r="H229" s="132"/>
      <c r="I229" s="285"/>
      <c r="J229" s="285"/>
      <c r="K229" s="132"/>
      <c r="L229" s="132"/>
      <c r="M229" s="132"/>
      <c r="N229" s="132"/>
      <c r="O229" s="132"/>
      <c r="P229" s="132"/>
      <c r="Q229" s="132"/>
      <c r="R229" s="132"/>
      <c r="S229" s="132"/>
      <c r="T229" s="132"/>
      <c r="U229" s="132"/>
      <c r="V229" s="132"/>
      <c r="W229" s="132"/>
      <c r="X229" s="132"/>
      <c r="Y229" s="132"/>
      <c r="Z229" s="132"/>
      <c r="AA229" s="132"/>
      <c r="AB229" s="132"/>
      <c r="AC229" s="132"/>
      <c r="AD229" s="132"/>
      <c r="AE229" s="132"/>
      <c r="AF229" s="132"/>
      <c r="AG229" s="132"/>
    </row>
    <row r="230" spans="1:33">
      <c r="A230" s="132"/>
      <c r="B230" s="132"/>
      <c r="C230" s="108"/>
      <c r="D230" s="132"/>
      <c r="E230" s="108"/>
      <c r="F230" s="132"/>
      <c r="G230" s="108"/>
      <c r="H230" s="132"/>
      <c r="I230" s="285"/>
      <c r="J230" s="285"/>
      <c r="K230" s="132"/>
      <c r="L230" s="132"/>
      <c r="M230" s="132"/>
      <c r="N230" s="132"/>
      <c r="O230" s="132"/>
      <c r="P230" s="132"/>
      <c r="Q230" s="132"/>
      <c r="R230" s="132"/>
      <c r="S230" s="132"/>
      <c r="T230" s="132"/>
      <c r="U230" s="132"/>
      <c r="V230" s="132"/>
      <c r="W230" s="132"/>
      <c r="X230" s="132"/>
      <c r="Y230" s="132"/>
      <c r="Z230" s="132"/>
      <c r="AA230" s="132"/>
      <c r="AB230" s="132"/>
      <c r="AC230" s="132"/>
      <c r="AD230" s="132"/>
      <c r="AE230" s="132"/>
      <c r="AF230" s="132"/>
      <c r="AG230" s="132"/>
    </row>
    <row r="231" spans="1:33">
      <c r="A231" s="132"/>
      <c r="B231" s="132"/>
      <c r="C231" s="108"/>
      <c r="D231" s="132"/>
      <c r="E231" s="108"/>
      <c r="F231" s="132"/>
      <c r="G231" s="108"/>
      <c r="H231" s="132"/>
      <c r="I231" s="285"/>
      <c r="J231" s="285"/>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row>
    <row r="232" spans="1:33">
      <c r="A232" s="132"/>
      <c r="B232" s="132"/>
      <c r="C232" s="108"/>
      <c r="D232" s="132"/>
      <c r="E232" s="108"/>
      <c r="F232" s="132"/>
      <c r="G232" s="108"/>
      <c r="H232" s="132"/>
      <c r="I232" s="285"/>
      <c r="J232" s="285"/>
      <c r="K232" s="132"/>
      <c r="L232" s="132"/>
      <c r="M232" s="132"/>
      <c r="N232" s="132"/>
      <c r="O232" s="132"/>
      <c r="P232" s="132"/>
      <c r="Q232" s="132"/>
      <c r="R232" s="132"/>
      <c r="S232" s="132"/>
      <c r="T232" s="132"/>
      <c r="U232" s="132"/>
      <c r="V232" s="132"/>
      <c r="W232" s="132"/>
      <c r="X232" s="132"/>
      <c r="Y232" s="132"/>
      <c r="Z232" s="132"/>
      <c r="AA232" s="132"/>
      <c r="AB232" s="132"/>
      <c r="AC232" s="132"/>
      <c r="AD232" s="132"/>
      <c r="AE232" s="132"/>
      <c r="AF232" s="132"/>
      <c r="AG232" s="132"/>
    </row>
    <row r="233" spans="1:33">
      <c r="A233" s="132"/>
      <c r="B233" s="132"/>
      <c r="C233" s="108"/>
      <c r="D233" s="132"/>
      <c r="E233" s="108"/>
      <c r="F233" s="132"/>
      <c r="G233" s="108"/>
      <c r="H233" s="132"/>
      <c r="I233" s="285"/>
      <c r="J233" s="285"/>
      <c r="K233" s="132"/>
      <c r="L233" s="132"/>
      <c r="M233" s="132"/>
      <c r="N233" s="132"/>
      <c r="O233" s="132"/>
      <c r="P233" s="132"/>
      <c r="Q233" s="132"/>
      <c r="R233" s="132"/>
      <c r="S233" s="132"/>
      <c r="T233" s="132"/>
      <c r="U233" s="132"/>
      <c r="V233" s="132"/>
      <c r="W233" s="132"/>
      <c r="X233" s="132"/>
      <c r="Y233" s="132"/>
      <c r="Z233" s="132"/>
      <c r="AA233" s="132"/>
      <c r="AB233" s="132"/>
      <c r="AC233" s="132"/>
      <c r="AD233" s="132"/>
      <c r="AE233" s="132"/>
      <c r="AF233" s="132"/>
      <c r="AG233" s="132"/>
    </row>
    <row r="234" spans="1:33">
      <c r="A234" s="132"/>
      <c r="B234" s="132"/>
      <c r="C234" s="108"/>
      <c r="D234" s="132"/>
      <c r="E234" s="108"/>
      <c r="F234" s="132"/>
      <c r="G234" s="108"/>
      <c r="H234" s="132"/>
      <c r="I234" s="285"/>
      <c r="J234" s="285"/>
      <c r="K234" s="132"/>
      <c r="L234" s="132"/>
      <c r="M234" s="132"/>
      <c r="N234" s="132"/>
      <c r="O234" s="132"/>
      <c r="P234" s="132"/>
      <c r="Q234" s="132"/>
      <c r="R234" s="132"/>
      <c r="S234" s="132"/>
      <c r="T234" s="132"/>
      <c r="U234" s="132"/>
      <c r="V234" s="132"/>
      <c r="W234" s="132"/>
      <c r="X234" s="132"/>
      <c r="Y234" s="132"/>
      <c r="Z234" s="132"/>
      <c r="AA234" s="132"/>
      <c r="AB234" s="132"/>
      <c r="AC234" s="132"/>
      <c r="AD234" s="132"/>
      <c r="AE234" s="132"/>
      <c r="AF234" s="132"/>
      <c r="AG234" s="132"/>
    </row>
    <row r="235" spans="1:33">
      <c r="A235" s="132"/>
      <c r="B235" s="132"/>
      <c r="C235" s="108"/>
      <c r="D235" s="132"/>
      <c r="E235" s="108"/>
      <c r="F235" s="132"/>
      <c r="G235" s="108"/>
      <c r="H235" s="132"/>
      <c r="I235" s="285"/>
      <c r="J235" s="285"/>
      <c r="K235" s="132"/>
      <c r="L235" s="132"/>
      <c r="M235" s="132"/>
      <c r="N235" s="132"/>
      <c r="O235" s="132"/>
      <c r="P235" s="132"/>
      <c r="Q235" s="132"/>
      <c r="R235" s="132"/>
      <c r="S235" s="132"/>
      <c r="T235" s="132"/>
      <c r="U235" s="132"/>
      <c r="V235" s="132"/>
      <c r="W235" s="132"/>
      <c r="X235" s="132"/>
      <c r="Y235" s="132"/>
      <c r="Z235" s="132"/>
      <c r="AA235" s="132"/>
      <c r="AB235" s="132"/>
      <c r="AC235" s="132"/>
      <c r="AD235" s="132"/>
      <c r="AE235" s="132"/>
      <c r="AF235" s="132"/>
      <c r="AG235" s="132"/>
    </row>
    <row r="236" spans="1:33">
      <c r="A236" s="132"/>
      <c r="B236" s="132"/>
      <c r="C236" s="108"/>
      <c r="D236" s="132"/>
      <c r="E236" s="108"/>
      <c r="F236" s="132"/>
      <c r="G236" s="108"/>
      <c r="H236" s="132"/>
      <c r="I236" s="285"/>
      <c r="J236" s="285"/>
      <c r="K236" s="132"/>
      <c r="L236" s="132"/>
      <c r="M236" s="132"/>
      <c r="N236" s="132"/>
      <c r="O236" s="132"/>
      <c r="P236" s="132"/>
      <c r="Q236" s="132"/>
      <c r="R236" s="132"/>
      <c r="S236" s="132"/>
      <c r="T236" s="132"/>
      <c r="U236" s="132"/>
      <c r="V236" s="132"/>
      <c r="W236" s="132"/>
      <c r="X236" s="132"/>
      <c r="Y236" s="132"/>
      <c r="Z236" s="132"/>
      <c r="AA236" s="132"/>
      <c r="AB236" s="132"/>
      <c r="AC236" s="132"/>
      <c r="AD236" s="132"/>
      <c r="AE236" s="132"/>
      <c r="AF236" s="132"/>
      <c r="AG236" s="132"/>
    </row>
    <row r="237" spans="1:33">
      <c r="A237" s="132"/>
      <c r="B237" s="132"/>
      <c r="C237" s="108"/>
      <c r="D237" s="132"/>
      <c r="E237" s="108"/>
      <c r="F237" s="132"/>
      <c r="G237" s="108"/>
      <c r="H237" s="132"/>
      <c r="I237" s="285"/>
      <c r="J237" s="285"/>
      <c r="K237" s="132"/>
      <c r="L237" s="132"/>
      <c r="M237" s="132"/>
      <c r="N237" s="132"/>
      <c r="O237" s="132"/>
      <c r="P237" s="132"/>
      <c r="Q237" s="132"/>
      <c r="R237" s="132"/>
      <c r="S237" s="132"/>
      <c r="T237" s="132"/>
      <c r="U237" s="132"/>
      <c r="V237" s="132"/>
      <c r="W237" s="132"/>
      <c r="X237" s="132"/>
      <c r="Y237" s="132"/>
      <c r="Z237" s="132"/>
      <c r="AA237" s="132"/>
      <c r="AB237" s="132"/>
      <c r="AC237" s="132"/>
      <c r="AD237" s="132"/>
      <c r="AE237" s="132"/>
      <c r="AF237" s="132"/>
      <c r="AG237" s="132"/>
    </row>
    <row r="238" spans="1:33">
      <c r="A238" s="132"/>
      <c r="B238" s="132"/>
      <c r="C238" s="108"/>
      <c r="D238" s="132"/>
      <c r="E238" s="108"/>
      <c r="F238" s="132"/>
      <c r="G238" s="108"/>
      <c r="H238" s="132"/>
      <c r="I238" s="285"/>
      <c r="J238" s="285"/>
      <c r="K238" s="132"/>
      <c r="L238" s="132"/>
      <c r="M238" s="132"/>
      <c r="N238" s="132"/>
      <c r="O238" s="132"/>
      <c r="P238" s="132"/>
      <c r="Q238" s="132"/>
      <c r="R238" s="132"/>
      <c r="S238" s="132"/>
      <c r="T238" s="132"/>
      <c r="U238" s="132"/>
      <c r="V238" s="132"/>
      <c r="W238" s="132"/>
      <c r="X238" s="132"/>
      <c r="Y238" s="132"/>
      <c r="Z238" s="132"/>
      <c r="AA238" s="132"/>
      <c r="AB238" s="132"/>
      <c r="AC238" s="132"/>
      <c r="AD238" s="132"/>
      <c r="AE238" s="132"/>
      <c r="AF238" s="132"/>
      <c r="AG238" s="132"/>
    </row>
    <row r="239" spans="1:33">
      <c r="A239" s="132"/>
      <c r="B239" s="132"/>
      <c r="C239" s="108"/>
      <c r="D239" s="132"/>
      <c r="E239" s="108"/>
      <c r="F239" s="132"/>
      <c r="G239" s="108"/>
      <c r="H239" s="132"/>
      <c r="I239" s="285"/>
      <c r="J239" s="285"/>
      <c r="K239" s="132"/>
      <c r="L239" s="132"/>
      <c r="M239" s="132"/>
      <c r="N239" s="132"/>
      <c r="O239" s="132"/>
      <c r="P239" s="132"/>
      <c r="Q239" s="132"/>
      <c r="R239" s="132"/>
      <c r="S239" s="132"/>
      <c r="T239" s="132"/>
      <c r="U239" s="132"/>
      <c r="V239" s="132"/>
      <c r="W239" s="132"/>
      <c r="X239" s="132"/>
      <c r="Y239" s="132"/>
      <c r="Z239" s="132"/>
      <c r="AA239" s="132"/>
      <c r="AB239" s="132"/>
      <c r="AC239" s="132"/>
      <c r="AD239" s="132"/>
      <c r="AE239" s="132"/>
      <c r="AF239" s="132"/>
      <c r="AG239" s="132"/>
    </row>
    <row r="240" spans="1:33">
      <c r="A240" s="132"/>
      <c r="B240" s="132"/>
      <c r="C240" s="108"/>
      <c r="D240" s="132"/>
      <c r="E240" s="108"/>
      <c r="F240" s="132"/>
      <c r="G240" s="108"/>
      <c r="H240" s="132"/>
      <c r="I240" s="285"/>
      <c r="J240" s="285"/>
      <c r="K240" s="132"/>
      <c r="L240" s="132"/>
      <c r="M240" s="132"/>
      <c r="N240" s="132"/>
      <c r="O240" s="132"/>
      <c r="P240" s="132"/>
      <c r="Q240" s="132"/>
      <c r="R240" s="132"/>
      <c r="S240" s="132"/>
      <c r="T240" s="132"/>
      <c r="U240" s="132"/>
      <c r="V240" s="132"/>
      <c r="W240" s="132"/>
      <c r="X240" s="132"/>
      <c r="Y240" s="132"/>
      <c r="Z240" s="132"/>
      <c r="AA240" s="132"/>
      <c r="AB240" s="132"/>
      <c r="AC240" s="132"/>
      <c r="AD240" s="132"/>
      <c r="AE240" s="132"/>
      <c r="AF240" s="132"/>
      <c r="AG240" s="132"/>
    </row>
    <row r="241" spans="1:33">
      <c r="A241" s="132"/>
      <c r="B241" s="132"/>
      <c r="C241" s="108"/>
      <c r="D241" s="132"/>
      <c r="E241" s="108"/>
      <c r="F241" s="132"/>
      <c r="G241" s="108"/>
      <c r="H241" s="132"/>
      <c r="I241" s="285"/>
      <c r="J241" s="285"/>
      <c r="K241" s="132"/>
      <c r="L241" s="132"/>
      <c r="M241" s="132"/>
      <c r="N241" s="132"/>
      <c r="O241" s="132"/>
      <c r="P241" s="132"/>
      <c r="Q241" s="132"/>
      <c r="R241" s="132"/>
      <c r="S241" s="132"/>
      <c r="T241" s="132"/>
      <c r="U241" s="132"/>
      <c r="V241" s="132"/>
      <c r="W241" s="132"/>
      <c r="X241" s="132"/>
      <c r="Y241" s="132"/>
      <c r="Z241" s="132"/>
      <c r="AA241" s="132"/>
      <c r="AB241" s="132"/>
      <c r="AC241" s="132"/>
      <c r="AD241" s="132"/>
      <c r="AE241" s="132"/>
      <c r="AF241" s="132"/>
      <c r="AG241" s="132"/>
    </row>
    <row r="242" spans="1:33">
      <c r="A242" s="132"/>
      <c r="B242" s="132"/>
      <c r="C242" s="108"/>
      <c r="D242" s="132"/>
      <c r="E242" s="108"/>
      <c r="F242" s="132"/>
      <c r="G242" s="108"/>
      <c r="H242" s="132"/>
      <c r="I242" s="285"/>
      <c r="J242" s="285"/>
      <c r="K242" s="132"/>
      <c r="L242" s="132"/>
      <c r="M242" s="132"/>
      <c r="N242" s="132"/>
      <c r="O242" s="132"/>
      <c r="P242" s="132"/>
      <c r="Q242" s="132"/>
      <c r="R242" s="132"/>
      <c r="S242" s="132"/>
      <c r="T242" s="132"/>
      <c r="U242" s="132"/>
      <c r="V242" s="132"/>
      <c r="W242" s="132"/>
      <c r="X242" s="132"/>
      <c r="Y242" s="132"/>
      <c r="Z242" s="132"/>
      <c r="AA242" s="132"/>
      <c r="AB242" s="132"/>
      <c r="AC242" s="132"/>
      <c r="AD242" s="132"/>
      <c r="AE242" s="132"/>
      <c r="AF242" s="132"/>
      <c r="AG242" s="132"/>
    </row>
    <row r="243" spans="1:33">
      <c r="A243" s="132"/>
      <c r="B243" s="132"/>
      <c r="C243" s="108"/>
      <c r="D243" s="132"/>
      <c r="E243" s="108"/>
      <c r="F243" s="132"/>
      <c r="G243" s="108"/>
      <c r="H243" s="132"/>
      <c r="I243" s="285"/>
      <c r="J243" s="285"/>
      <c r="K243" s="132"/>
      <c r="L243" s="132"/>
      <c r="M243" s="132"/>
      <c r="N243" s="132"/>
      <c r="O243" s="132"/>
      <c r="P243" s="132"/>
      <c r="Q243" s="132"/>
      <c r="R243" s="132"/>
      <c r="S243" s="132"/>
      <c r="T243" s="132"/>
      <c r="U243" s="132"/>
      <c r="V243" s="132"/>
      <c r="W243" s="132"/>
      <c r="X243" s="132"/>
      <c r="Y243" s="132"/>
      <c r="Z243" s="132"/>
      <c r="AA243" s="132"/>
      <c r="AB243" s="132"/>
      <c r="AC243" s="132"/>
      <c r="AD243" s="132"/>
      <c r="AE243" s="132"/>
      <c r="AF243" s="132"/>
      <c r="AG243" s="132"/>
    </row>
    <row r="244" spans="1:33">
      <c r="A244" s="132"/>
      <c r="B244" s="132"/>
      <c r="C244" s="108"/>
      <c r="D244" s="132"/>
      <c r="E244" s="108"/>
      <c r="F244" s="132"/>
      <c r="G244" s="108"/>
      <c r="H244" s="132"/>
      <c r="I244" s="285"/>
      <c r="J244" s="285"/>
      <c r="K244" s="132"/>
      <c r="L244" s="132"/>
      <c r="M244" s="132"/>
      <c r="N244" s="132"/>
      <c r="O244" s="132"/>
      <c r="P244" s="132"/>
      <c r="Q244" s="132"/>
      <c r="R244" s="132"/>
      <c r="S244" s="132"/>
      <c r="T244" s="132"/>
      <c r="U244" s="132"/>
      <c r="V244" s="132"/>
      <c r="W244" s="132"/>
      <c r="X244" s="132"/>
      <c r="Y244" s="132"/>
      <c r="Z244" s="132"/>
      <c r="AA244" s="132"/>
      <c r="AB244" s="132"/>
      <c r="AC244" s="132"/>
      <c r="AD244" s="132"/>
      <c r="AE244" s="132"/>
      <c r="AF244" s="132"/>
      <c r="AG244" s="132"/>
    </row>
    <row r="245" spans="1:33">
      <c r="A245" s="132"/>
      <c r="B245" s="132"/>
      <c r="C245" s="108"/>
      <c r="D245" s="132"/>
      <c r="E245" s="108"/>
      <c r="F245" s="132"/>
      <c r="G245" s="108"/>
      <c r="H245" s="132"/>
      <c r="I245" s="285"/>
      <c r="J245" s="285"/>
      <c r="K245" s="132"/>
      <c r="L245" s="132"/>
      <c r="M245" s="132"/>
      <c r="N245" s="132"/>
      <c r="O245" s="132"/>
      <c r="P245" s="132"/>
      <c r="Q245" s="132"/>
      <c r="R245" s="132"/>
      <c r="S245" s="132"/>
      <c r="T245" s="132"/>
      <c r="U245" s="132"/>
      <c r="V245" s="132"/>
      <c r="W245" s="132"/>
      <c r="X245" s="132"/>
      <c r="Y245" s="132"/>
      <c r="Z245" s="132"/>
      <c r="AA245" s="132"/>
      <c r="AB245" s="132"/>
      <c r="AC245" s="132"/>
      <c r="AD245" s="132"/>
      <c r="AE245" s="132"/>
      <c r="AF245" s="132"/>
      <c r="AG245" s="132"/>
    </row>
    <row r="246" spans="1:33">
      <c r="A246" s="132"/>
      <c r="B246" s="132"/>
      <c r="C246" s="108"/>
      <c r="D246" s="132"/>
      <c r="E246" s="108"/>
      <c r="F246" s="132"/>
      <c r="G246" s="108"/>
      <c r="H246" s="132"/>
      <c r="I246" s="285"/>
      <c r="J246" s="285"/>
      <c r="K246" s="132"/>
      <c r="L246" s="132"/>
      <c r="M246" s="132"/>
      <c r="N246" s="132"/>
      <c r="O246" s="132"/>
      <c r="P246" s="132"/>
      <c r="Q246" s="132"/>
      <c r="R246" s="132"/>
      <c r="S246" s="132"/>
      <c r="T246" s="132"/>
      <c r="U246" s="132"/>
      <c r="V246" s="132"/>
      <c r="W246" s="132"/>
      <c r="X246" s="132"/>
      <c r="Y246" s="132"/>
      <c r="Z246" s="132"/>
      <c r="AA246" s="132"/>
      <c r="AB246" s="132"/>
      <c r="AC246" s="132"/>
      <c r="AD246" s="132"/>
      <c r="AE246" s="132"/>
      <c r="AF246" s="132"/>
      <c r="AG246" s="132"/>
    </row>
    <row r="247" spans="1:33">
      <c r="A247" s="132"/>
      <c r="B247" s="132"/>
      <c r="C247" s="108"/>
      <c r="D247" s="132"/>
      <c r="E247" s="108"/>
      <c r="F247" s="132"/>
      <c r="G247" s="108"/>
      <c r="H247" s="132"/>
      <c r="I247" s="285"/>
      <c r="J247" s="285"/>
      <c r="K247" s="132"/>
      <c r="L247" s="132"/>
      <c r="M247" s="132"/>
      <c r="N247" s="132"/>
      <c r="O247" s="132"/>
      <c r="P247" s="132"/>
      <c r="Q247" s="132"/>
      <c r="R247" s="132"/>
      <c r="S247" s="132"/>
      <c r="T247" s="132"/>
      <c r="U247" s="132"/>
      <c r="V247" s="132"/>
      <c r="W247" s="132"/>
      <c r="X247" s="132"/>
      <c r="Y247" s="132"/>
      <c r="Z247" s="132"/>
      <c r="AA247" s="132"/>
      <c r="AB247" s="132"/>
      <c r="AC247" s="132"/>
      <c r="AD247" s="132"/>
      <c r="AE247" s="132"/>
      <c r="AF247" s="132"/>
      <c r="AG247" s="132"/>
    </row>
    <row r="248" spans="1:33">
      <c r="A248" s="132"/>
      <c r="B248" s="132"/>
      <c r="C248" s="108"/>
      <c r="D248" s="132"/>
      <c r="E248" s="108"/>
      <c r="F248" s="132"/>
      <c r="G248" s="108"/>
      <c r="H248" s="132"/>
      <c r="I248" s="285"/>
      <c r="J248" s="285"/>
      <c r="K248" s="132"/>
      <c r="L248" s="132"/>
      <c r="M248" s="132"/>
      <c r="N248" s="132"/>
      <c r="O248" s="132"/>
      <c r="P248" s="132"/>
      <c r="Q248" s="132"/>
      <c r="R248" s="132"/>
      <c r="S248" s="132"/>
      <c r="T248" s="132"/>
      <c r="U248" s="132"/>
      <c r="V248" s="132"/>
      <c r="W248" s="132"/>
      <c r="X248" s="132"/>
      <c r="Y248" s="132"/>
      <c r="Z248" s="132"/>
      <c r="AA248" s="132"/>
      <c r="AB248" s="132"/>
      <c r="AC248" s="132"/>
      <c r="AD248" s="132"/>
      <c r="AE248" s="132"/>
      <c r="AF248" s="132"/>
      <c r="AG248" s="132"/>
    </row>
    <row r="249" spans="1:33">
      <c r="A249" s="132"/>
      <c r="B249" s="132"/>
      <c r="C249" s="108"/>
      <c r="D249" s="132"/>
      <c r="E249" s="108"/>
      <c r="F249" s="132"/>
      <c r="G249" s="108"/>
      <c r="H249" s="132"/>
      <c r="I249" s="285"/>
      <c r="J249" s="285"/>
      <c r="K249" s="132"/>
      <c r="L249" s="132"/>
      <c r="M249" s="132"/>
      <c r="N249" s="132"/>
      <c r="O249" s="132"/>
      <c r="P249" s="132"/>
      <c r="Q249" s="132"/>
      <c r="R249" s="132"/>
      <c r="S249" s="132"/>
      <c r="T249" s="132"/>
      <c r="U249" s="132"/>
      <c r="V249" s="132"/>
      <c r="W249" s="132"/>
      <c r="X249" s="132"/>
      <c r="Y249" s="132"/>
      <c r="Z249" s="132"/>
      <c r="AA249" s="132"/>
      <c r="AB249" s="132"/>
      <c r="AC249" s="132"/>
      <c r="AD249" s="132"/>
      <c r="AE249" s="132"/>
      <c r="AF249" s="132"/>
      <c r="AG249" s="132"/>
    </row>
    <row r="250" spans="1:33">
      <c r="A250" s="132"/>
      <c r="B250" s="132"/>
      <c r="C250" s="108"/>
      <c r="D250" s="132"/>
      <c r="E250" s="108"/>
      <c r="F250" s="132"/>
      <c r="G250" s="108"/>
      <c r="H250" s="132"/>
      <c r="I250" s="285"/>
      <c r="J250" s="285"/>
      <c r="K250" s="132"/>
      <c r="L250" s="132"/>
      <c r="M250" s="132"/>
      <c r="N250" s="132"/>
      <c r="O250" s="132"/>
      <c r="P250" s="132"/>
      <c r="Q250" s="132"/>
      <c r="R250" s="132"/>
      <c r="S250" s="132"/>
      <c r="T250" s="132"/>
      <c r="U250" s="132"/>
      <c r="V250" s="132"/>
      <c r="W250" s="132"/>
      <c r="X250" s="132"/>
      <c r="Y250" s="132"/>
      <c r="Z250" s="132"/>
      <c r="AA250" s="132"/>
      <c r="AB250" s="132"/>
      <c r="AC250" s="132"/>
      <c r="AD250" s="132"/>
      <c r="AE250" s="132"/>
      <c r="AF250" s="132"/>
      <c r="AG250" s="132"/>
    </row>
    <row r="251" spans="1:33">
      <c r="A251" s="132"/>
      <c r="B251" s="132"/>
      <c r="C251" s="108"/>
      <c r="D251" s="132"/>
      <c r="E251" s="108"/>
      <c r="F251" s="132"/>
      <c r="G251" s="108"/>
      <c r="H251" s="132"/>
      <c r="I251" s="285"/>
      <c r="J251" s="285"/>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c r="AG251" s="132"/>
    </row>
    <row r="252" spans="1:33">
      <c r="A252" s="132"/>
      <c r="B252" s="132"/>
      <c r="C252" s="108"/>
      <c r="D252" s="132"/>
      <c r="E252" s="108"/>
      <c r="F252" s="132"/>
      <c r="G252" s="108"/>
      <c r="H252" s="132"/>
      <c r="I252" s="285"/>
      <c r="J252" s="285"/>
      <c r="K252" s="132"/>
      <c r="L252" s="132"/>
      <c r="M252" s="132"/>
      <c r="N252" s="132"/>
      <c r="O252" s="132"/>
      <c r="P252" s="132"/>
      <c r="Q252" s="132"/>
      <c r="R252" s="132"/>
      <c r="S252" s="132"/>
      <c r="T252" s="132"/>
      <c r="U252" s="132"/>
      <c r="V252" s="132"/>
      <c r="W252" s="132"/>
      <c r="X252" s="132"/>
      <c r="Y252" s="132"/>
      <c r="Z252" s="132"/>
      <c r="AA252" s="132"/>
      <c r="AB252" s="132"/>
      <c r="AC252" s="132"/>
      <c r="AD252" s="132"/>
      <c r="AE252" s="132"/>
      <c r="AF252" s="132"/>
      <c r="AG252" s="132"/>
    </row>
    <row r="253" spans="1:33">
      <c r="A253" s="132"/>
      <c r="B253" s="132"/>
      <c r="C253" s="108"/>
      <c r="D253" s="132"/>
      <c r="E253" s="108"/>
      <c r="F253" s="132"/>
      <c r="G253" s="108"/>
      <c r="H253" s="132"/>
      <c r="I253" s="285"/>
      <c r="J253" s="285"/>
      <c r="K253" s="132"/>
      <c r="L253" s="132"/>
      <c r="M253" s="132"/>
      <c r="N253" s="132"/>
      <c r="O253" s="132"/>
      <c r="P253" s="132"/>
      <c r="Q253" s="132"/>
      <c r="R253" s="132"/>
      <c r="S253" s="132"/>
      <c r="T253" s="132"/>
      <c r="U253" s="132"/>
      <c r="V253" s="132"/>
      <c r="W253" s="132"/>
      <c r="X253" s="132"/>
      <c r="Y253" s="132"/>
      <c r="Z253" s="132"/>
      <c r="AA253" s="132"/>
      <c r="AB253" s="132"/>
      <c r="AC253" s="132"/>
      <c r="AD253" s="132"/>
      <c r="AE253" s="132"/>
      <c r="AF253" s="132"/>
      <c r="AG253" s="132"/>
    </row>
    <row r="254" spans="1:33">
      <c r="A254" s="132"/>
      <c r="B254" s="132"/>
      <c r="C254" s="108"/>
      <c r="D254" s="132"/>
      <c r="E254" s="108"/>
      <c r="F254" s="132"/>
      <c r="G254" s="108"/>
      <c r="H254" s="132"/>
      <c r="I254" s="285"/>
      <c r="J254" s="285"/>
      <c r="K254" s="132"/>
      <c r="L254" s="132"/>
      <c r="M254" s="132"/>
      <c r="N254" s="132"/>
      <c r="O254" s="132"/>
      <c r="P254" s="132"/>
      <c r="Q254" s="132"/>
      <c r="R254" s="132"/>
      <c r="S254" s="132"/>
      <c r="T254" s="132"/>
      <c r="U254" s="132"/>
      <c r="V254" s="132"/>
      <c r="W254" s="132"/>
      <c r="X254" s="132"/>
      <c r="Y254" s="132"/>
      <c r="Z254" s="132"/>
      <c r="AA254" s="132"/>
      <c r="AB254" s="132"/>
      <c r="AC254" s="132"/>
      <c r="AD254" s="132"/>
      <c r="AE254" s="132"/>
      <c r="AF254" s="132"/>
      <c r="AG254" s="132"/>
    </row>
    <row r="255" spans="1:33">
      <c r="A255" s="132"/>
      <c r="B255" s="132"/>
      <c r="C255" s="108"/>
      <c r="D255" s="132"/>
      <c r="E255" s="108"/>
      <c r="F255" s="132"/>
      <c r="G255" s="108"/>
      <c r="H255" s="132"/>
      <c r="I255" s="285"/>
      <c r="J255" s="285"/>
      <c r="K255" s="132"/>
      <c r="L255" s="132"/>
      <c r="M255" s="132"/>
      <c r="N255" s="132"/>
      <c r="O255" s="132"/>
      <c r="P255" s="132"/>
      <c r="Q255" s="132"/>
      <c r="R255" s="132"/>
      <c r="S255" s="132"/>
      <c r="T255" s="132"/>
      <c r="U255" s="132"/>
      <c r="V255" s="132"/>
      <c r="W255" s="132"/>
      <c r="X255" s="132"/>
      <c r="Y255" s="132"/>
      <c r="Z255" s="132"/>
      <c r="AA255" s="132"/>
      <c r="AB255" s="132"/>
      <c r="AC255" s="132"/>
      <c r="AD255" s="132"/>
      <c r="AE255" s="132"/>
      <c r="AF255" s="132"/>
      <c r="AG255" s="132"/>
    </row>
    <row r="256" spans="1:33">
      <c r="A256" s="132"/>
      <c r="B256" s="132"/>
      <c r="C256" s="108"/>
      <c r="D256" s="132"/>
      <c r="E256" s="108"/>
      <c r="F256" s="132"/>
      <c r="G256" s="108"/>
      <c r="H256" s="132"/>
      <c r="I256" s="285"/>
      <c r="J256" s="285"/>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row>
    <row r="257" spans="1:33">
      <c r="A257" s="132"/>
      <c r="B257" s="132"/>
      <c r="C257" s="108"/>
      <c r="D257" s="132"/>
      <c r="E257" s="108"/>
      <c r="F257" s="132"/>
      <c r="G257" s="108"/>
      <c r="H257" s="132"/>
      <c r="I257" s="285"/>
      <c r="J257" s="285"/>
      <c r="K257" s="132"/>
      <c r="L257" s="132"/>
      <c r="M257" s="132"/>
      <c r="N257" s="132"/>
      <c r="O257" s="132"/>
      <c r="P257" s="132"/>
      <c r="Q257" s="132"/>
      <c r="R257" s="132"/>
      <c r="S257" s="132"/>
      <c r="T257" s="132"/>
      <c r="U257" s="132"/>
      <c r="V257" s="132"/>
      <c r="W257" s="132"/>
      <c r="X257" s="132"/>
      <c r="Y257" s="132"/>
      <c r="Z257" s="132"/>
      <c r="AA257" s="132"/>
      <c r="AB257" s="132"/>
      <c r="AC257" s="132"/>
      <c r="AD257" s="132"/>
      <c r="AE257" s="132"/>
      <c r="AF257" s="132"/>
      <c r="AG257" s="132"/>
    </row>
    <row r="258" spans="1:33">
      <c r="A258" s="132"/>
      <c r="B258" s="132"/>
      <c r="C258" s="108"/>
      <c r="D258" s="132"/>
      <c r="E258" s="108"/>
      <c r="F258" s="132"/>
      <c r="G258" s="108"/>
      <c r="H258" s="132"/>
      <c r="I258" s="285"/>
      <c r="J258" s="285"/>
      <c r="K258" s="132"/>
      <c r="L258" s="132"/>
      <c r="M258" s="132"/>
      <c r="N258" s="132"/>
      <c r="O258" s="132"/>
      <c r="P258" s="132"/>
      <c r="Q258" s="132"/>
      <c r="R258" s="132"/>
      <c r="S258" s="132"/>
      <c r="T258" s="132"/>
      <c r="U258" s="132"/>
      <c r="V258" s="132"/>
      <c r="W258" s="132"/>
      <c r="X258" s="132"/>
      <c r="Y258" s="132"/>
      <c r="Z258" s="132"/>
      <c r="AA258" s="132"/>
      <c r="AB258" s="132"/>
      <c r="AC258" s="132"/>
      <c r="AD258" s="132"/>
      <c r="AE258" s="132"/>
      <c r="AF258" s="132"/>
      <c r="AG258" s="132"/>
    </row>
    <row r="259" spans="1:33">
      <c r="A259" s="132"/>
      <c r="B259" s="132"/>
      <c r="C259" s="108"/>
      <c r="D259" s="132"/>
      <c r="E259" s="108"/>
      <c r="F259" s="132"/>
      <c r="G259" s="108"/>
      <c r="H259" s="132"/>
      <c r="I259" s="285"/>
      <c r="J259" s="285"/>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c r="AG259" s="132"/>
    </row>
    <row r="260" spans="1:33">
      <c r="A260" s="132"/>
      <c r="B260" s="132"/>
      <c r="C260" s="108"/>
      <c r="D260" s="132"/>
      <c r="E260" s="108"/>
      <c r="F260" s="132"/>
      <c r="G260" s="108"/>
      <c r="H260" s="132"/>
      <c r="I260" s="285"/>
      <c r="J260" s="285"/>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row>
    <row r="261" spans="1:33">
      <c r="A261" s="132"/>
      <c r="B261" s="132"/>
      <c r="C261" s="108"/>
      <c r="D261" s="132"/>
      <c r="E261" s="108"/>
      <c r="F261" s="132"/>
      <c r="G261" s="108"/>
      <c r="H261" s="132"/>
      <c r="I261" s="285"/>
      <c r="J261" s="285"/>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row>
    <row r="262" spans="1:33">
      <c r="A262" s="132"/>
      <c r="B262" s="132"/>
      <c r="C262" s="108"/>
      <c r="D262" s="132"/>
      <c r="E262" s="108"/>
      <c r="F262" s="132"/>
      <c r="G262" s="108"/>
      <c r="H262" s="132"/>
      <c r="I262" s="285"/>
      <c r="J262" s="285"/>
      <c r="K262" s="132"/>
      <c r="L262" s="132"/>
      <c r="M262" s="132"/>
      <c r="N262" s="132"/>
      <c r="O262" s="132"/>
      <c r="P262" s="132"/>
      <c r="Q262" s="132"/>
      <c r="R262" s="132"/>
      <c r="S262" s="132"/>
      <c r="T262" s="132"/>
      <c r="U262" s="132"/>
      <c r="V262" s="132"/>
      <c r="W262" s="132"/>
      <c r="X262" s="132"/>
      <c r="Y262" s="132"/>
      <c r="Z262" s="132"/>
      <c r="AA262" s="132"/>
      <c r="AB262" s="132"/>
      <c r="AC262" s="132"/>
      <c r="AD262" s="132"/>
      <c r="AE262" s="132"/>
      <c r="AF262" s="132"/>
      <c r="AG262" s="132"/>
    </row>
    <row r="263" spans="1:33">
      <c r="A263" s="132"/>
      <c r="B263" s="132"/>
      <c r="C263" s="108"/>
      <c r="D263" s="132"/>
      <c r="E263" s="108"/>
      <c r="F263" s="132"/>
      <c r="G263" s="108"/>
      <c r="H263" s="132"/>
      <c r="I263" s="285"/>
      <c r="J263" s="285"/>
      <c r="K263" s="132"/>
      <c r="L263" s="132"/>
      <c r="M263" s="132"/>
      <c r="N263" s="132"/>
      <c r="O263" s="132"/>
      <c r="P263" s="132"/>
      <c r="Q263" s="132"/>
      <c r="R263" s="132"/>
      <c r="S263" s="132"/>
      <c r="T263" s="132"/>
      <c r="U263" s="132"/>
      <c r="V263" s="132"/>
      <c r="W263" s="132"/>
      <c r="X263" s="132"/>
      <c r="Y263" s="132"/>
      <c r="Z263" s="132"/>
      <c r="AA263" s="132"/>
      <c r="AB263" s="132"/>
      <c r="AC263" s="132"/>
      <c r="AD263" s="132"/>
      <c r="AE263" s="132"/>
      <c r="AF263" s="132"/>
      <c r="AG263" s="132"/>
    </row>
    <row r="264" spans="1:33">
      <c r="A264" s="132"/>
      <c r="B264" s="132"/>
      <c r="C264" s="108"/>
      <c r="D264" s="132"/>
      <c r="E264" s="108"/>
      <c r="F264" s="132"/>
      <c r="G264" s="108"/>
      <c r="H264" s="132"/>
      <c r="I264" s="285"/>
      <c r="J264" s="285"/>
      <c r="K264" s="132"/>
      <c r="L264" s="132"/>
      <c r="M264" s="132"/>
      <c r="N264" s="132"/>
      <c r="O264" s="132"/>
      <c r="P264" s="132"/>
      <c r="Q264" s="132"/>
      <c r="R264" s="132"/>
      <c r="S264" s="132"/>
      <c r="T264" s="132"/>
      <c r="U264" s="132"/>
      <c r="V264" s="132"/>
      <c r="W264" s="132"/>
      <c r="X264" s="132"/>
      <c r="Y264" s="132"/>
      <c r="Z264" s="132"/>
      <c r="AA264" s="132"/>
      <c r="AB264" s="132"/>
      <c r="AC264" s="132"/>
      <c r="AD264" s="132"/>
      <c r="AE264" s="132"/>
      <c r="AF264" s="132"/>
      <c r="AG264" s="132"/>
    </row>
    <row r="265" spans="1:33">
      <c r="A265" s="132"/>
      <c r="B265" s="132"/>
      <c r="C265" s="108"/>
      <c r="D265" s="132"/>
      <c r="E265" s="108"/>
      <c r="F265" s="132"/>
      <c r="G265" s="108"/>
      <c r="H265" s="132"/>
      <c r="I265" s="285"/>
      <c r="J265" s="285"/>
      <c r="K265" s="132"/>
      <c r="L265" s="132"/>
      <c r="M265" s="132"/>
      <c r="N265" s="132"/>
      <c r="O265" s="132"/>
      <c r="P265" s="132"/>
      <c r="Q265" s="132"/>
      <c r="R265" s="132"/>
      <c r="S265" s="132"/>
      <c r="T265" s="132"/>
      <c r="U265" s="132"/>
      <c r="V265" s="132"/>
      <c r="W265" s="132"/>
      <c r="X265" s="132"/>
      <c r="Y265" s="132"/>
      <c r="Z265" s="132"/>
      <c r="AA265" s="132"/>
      <c r="AB265" s="132"/>
      <c r="AC265" s="132"/>
      <c r="AD265" s="132"/>
      <c r="AE265" s="132"/>
      <c r="AF265" s="132"/>
      <c r="AG265" s="132"/>
    </row>
    <row r="266" spans="1:33">
      <c r="A266" s="132"/>
      <c r="B266" s="132"/>
      <c r="C266" s="108"/>
      <c r="D266" s="132"/>
      <c r="E266" s="108"/>
      <c r="F266" s="132"/>
      <c r="G266" s="108"/>
      <c r="H266" s="132"/>
      <c r="I266" s="285"/>
      <c r="J266" s="285"/>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c r="AG266" s="132"/>
    </row>
    <row r="267" spans="1:33">
      <c r="A267" s="132"/>
      <c r="B267" s="132"/>
      <c r="C267" s="108"/>
      <c r="D267" s="132"/>
      <c r="E267" s="108"/>
      <c r="F267" s="132"/>
      <c r="G267" s="108"/>
      <c r="H267" s="132"/>
      <c r="I267" s="285"/>
      <c r="J267" s="285"/>
      <c r="K267" s="132"/>
      <c r="L267" s="132"/>
      <c r="M267" s="132"/>
      <c r="N267" s="132"/>
      <c r="O267" s="132"/>
      <c r="P267" s="132"/>
      <c r="Q267" s="132"/>
      <c r="R267" s="132"/>
      <c r="S267" s="132"/>
      <c r="T267" s="132"/>
      <c r="U267" s="132"/>
      <c r="V267" s="132"/>
      <c r="W267" s="132"/>
      <c r="X267" s="132"/>
      <c r="Y267" s="132"/>
      <c r="Z267" s="132"/>
      <c r="AA267" s="132"/>
      <c r="AB267" s="132"/>
      <c r="AC267" s="132"/>
      <c r="AD267" s="132"/>
      <c r="AE267" s="132"/>
      <c r="AF267" s="132"/>
      <c r="AG267" s="132"/>
    </row>
    <row r="268" spans="1:33">
      <c r="A268" s="260"/>
      <c r="B268" s="260"/>
      <c r="C268" s="260"/>
      <c r="D268" s="260"/>
      <c r="E268" s="260"/>
      <c r="F268" s="260"/>
      <c r="G268" s="260"/>
      <c r="H268" s="260"/>
      <c r="I268" s="286"/>
      <c r="J268" s="286"/>
      <c r="K268" s="260"/>
      <c r="L268" s="260"/>
      <c r="M268" s="260"/>
      <c r="N268" s="260"/>
      <c r="O268" s="260"/>
      <c r="P268" s="260"/>
      <c r="Q268" s="260"/>
      <c r="R268" s="260"/>
      <c r="S268" s="260"/>
      <c r="T268" s="260"/>
      <c r="U268" s="260"/>
      <c r="V268" s="260"/>
      <c r="W268" s="260"/>
      <c r="X268" s="260"/>
      <c r="Y268" s="260"/>
      <c r="Z268" s="260"/>
      <c r="AA268" s="260"/>
      <c r="AB268" s="260"/>
      <c r="AC268" s="260"/>
      <c r="AD268" s="260"/>
      <c r="AE268" s="260"/>
      <c r="AF268" s="260"/>
      <c r="AG268" s="260"/>
    </row>
    <row r="269" spans="1:33">
      <c r="A269" s="260"/>
      <c r="B269" s="260"/>
      <c r="C269" s="260"/>
      <c r="D269" s="260"/>
      <c r="E269" s="260"/>
      <c r="F269" s="260"/>
      <c r="G269" s="260"/>
      <c r="H269" s="260"/>
      <c r="I269" s="286"/>
      <c r="J269" s="286"/>
      <c r="K269" s="260"/>
      <c r="L269" s="260"/>
      <c r="M269" s="260"/>
      <c r="N269" s="260"/>
      <c r="O269" s="260"/>
      <c r="P269" s="260"/>
      <c r="Q269" s="260"/>
      <c r="R269" s="260"/>
      <c r="S269" s="260"/>
      <c r="T269" s="260"/>
      <c r="U269" s="260"/>
      <c r="V269" s="260"/>
      <c r="W269" s="260"/>
      <c r="X269" s="260"/>
      <c r="Y269" s="260"/>
      <c r="Z269" s="260"/>
      <c r="AA269" s="260"/>
      <c r="AB269" s="260"/>
      <c r="AC269" s="260"/>
      <c r="AD269" s="260"/>
      <c r="AE269" s="260"/>
      <c r="AF269" s="260"/>
      <c r="AG269" s="260"/>
    </row>
    <row r="270" spans="1:33">
      <c r="A270" s="260"/>
      <c r="B270" s="260"/>
      <c r="C270" s="260"/>
      <c r="D270" s="260"/>
      <c r="E270" s="260"/>
      <c r="F270" s="260"/>
      <c r="G270" s="260"/>
      <c r="H270" s="260"/>
      <c r="I270" s="286"/>
      <c r="J270" s="286"/>
      <c r="K270" s="260"/>
      <c r="L270" s="260"/>
      <c r="M270" s="260"/>
      <c r="N270" s="260"/>
      <c r="O270" s="260"/>
      <c r="P270" s="260"/>
      <c r="Q270" s="260"/>
      <c r="R270" s="260"/>
      <c r="S270" s="260"/>
      <c r="T270" s="260"/>
      <c r="U270" s="260"/>
      <c r="V270" s="260"/>
      <c r="W270" s="260"/>
      <c r="X270" s="260"/>
      <c r="Y270" s="260"/>
      <c r="Z270" s="260"/>
      <c r="AA270" s="260"/>
      <c r="AB270" s="260"/>
      <c r="AC270" s="260"/>
      <c r="AD270" s="260"/>
      <c r="AE270" s="260"/>
      <c r="AF270" s="260"/>
      <c r="AG270" s="260"/>
    </row>
    <row r="271" spans="1:33">
      <c r="A271" s="260"/>
      <c r="B271" s="260"/>
      <c r="C271" s="260"/>
      <c r="D271" s="260"/>
      <c r="E271" s="260"/>
      <c r="F271" s="260"/>
      <c r="G271" s="260"/>
      <c r="H271" s="260"/>
      <c r="I271" s="286"/>
      <c r="J271" s="286"/>
      <c r="K271" s="260"/>
      <c r="L271" s="260"/>
      <c r="M271" s="260"/>
      <c r="N271" s="260"/>
      <c r="O271" s="260"/>
      <c r="P271" s="260"/>
      <c r="Q271" s="260"/>
      <c r="R271" s="260"/>
      <c r="S271" s="260"/>
      <c r="T271" s="260"/>
      <c r="U271" s="260"/>
      <c r="V271" s="260"/>
      <c r="W271" s="260"/>
      <c r="X271" s="260"/>
      <c r="Y271" s="260"/>
      <c r="Z271" s="260"/>
      <c r="AA271" s="260"/>
      <c r="AB271" s="260"/>
      <c r="AC271" s="260"/>
      <c r="AD271" s="260"/>
      <c r="AE271" s="260"/>
      <c r="AF271" s="260"/>
      <c r="AG271" s="260"/>
    </row>
    <row r="272" spans="1:33">
      <c r="A272" s="260"/>
      <c r="B272" s="260"/>
      <c r="C272" s="260"/>
      <c r="D272" s="260"/>
      <c r="E272" s="260"/>
      <c r="F272" s="260"/>
      <c r="G272" s="260"/>
      <c r="H272" s="260"/>
      <c r="I272" s="286"/>
      <c r="J272" s="286"/>
      <c r="K272" s="260"/>
      <c r="L272" s="260"/>
      <c r="M272" s="260"/>
      <c r="N272" s="260"/>
      <c r="O272" s="260"/>
      <c r="P272" s="260"/>
      <c r="Q272" s="260"/>
      <c r="R272" s="260"/>
      <c r="S272" s="260"/>
      <c r="T272" s="260"/>
      <c r="U272" s="260"/>
      <c r="V272" s="260"/>
      <c r="W272" s="260"/>
      <c r="X272" s="260"/>
      <c r="Y272" s="260"/>
      <c r="Z272" s="260"/>
      <c r="AA272" s="260"/>
      <c r="AB272" s="260"/>
      <c r="AC272" s="260"/>
      <c r="AD272" s="260"/>
      <c r="AE272" s="260"/>
      <c r="AF272" s="260"/>
      <c r="AG272" s="260"/>
    </row>
    <row r="273" spans="1:33">
      <c r="A273" s="260"/>
      <c r="B273" s="260"/>
      <c r="C273" s="260"/>
      <c r="D273" s="260"/>
      <c r="E273" s="260"/>
      <c r="F273" s="260"/>
      <c r="G273" s="260"/>
      <c r="H273" s="260"/>
      <c r="I273" s="286"/>
      <c r="J273" s="286"/>
      <c r="K273" s="260"/>
      <c r="L273" s="260"/>
      <c r="M273" s="260"/>
      <c r="N273" s="260"/>
      <c r="O273" s="260"/>
      <c r="P273" s="260"/>
      <c r="Q273" s="260"/>
      <c r="R273" s="260"/>
      <c r="S273" s="260"/>
      <c r="T273" s="260"/>
      <c r="U273" s="260"/>
      <c r="V273" s="260"/>
      <c r="W273" s="260"/>
      <c r="X273" s="260"/>
      <c r="Y273" s="260"/>
      <c r="Z273" s="260"/>
      <c r="AA273" s="260"/>
      <c r="AB273" s="260"/>
      <c r="AC273" s="260"/>
      <c r="AD273" s="260"/>
      <c r="AE273" s="260"/>
      <c r="AF273" s="260"/>
      <c r="AG273" s="260"/>
    </row>
    <row r="274" spans="1:33">
      <c r="A274" s="260"/>
      <c r="B274" s="260"/>
      <c r="C274" s="260"/>
      <c r="D274" s="260"/>
      <c r="E274" s="260"/>
      <c r="F274" s="260"/>
      <c r="G274" s="260"/>
      <c r="H274" s="260"/>
      <c r="I274" s="286"/>
      <c r="J274" s="286"/>
      <c r="K274" s="260"/>
      <c r="L274" s="260"/>
      <c r="M274" s="260"/>
      <c r="N274" s="260"/>
      <c r="O274" s="260"/>
      <c r="P274" s="260"/>
      <c r="Q274" s="260"/>
      <c r="R274" s="260"/>
      <c r="S274" s="260"/>
      <c r="T274" s="260"/>
      <c r="U274" s="260"/>
      <c r="V274" s="260"/>
      <c r="W274" s="260"/>
      <c r="X274" s="260"/>
      <c r="Y274" s="260"/>
      <c r="Z274" s="260"/>
      <c r="AA274" s="260"/>
      <c r="AB274" s="260"/>
      <c r="AC274" s="260"/>
      <c r="AD274" s="260"/>
      <c r="AE274" s="260"/>
      <c r="AF274" s="260"/>
      <c r="AG274" s="260"/>
    </row>
    <row r="275" spans="1:33">
      <c r="A275" s="260"/>
      <c r="B275" s="260"/>
      <c r="C275" s="260"/>
      <c r="D275" s="260"/>
      <c r="E275" s="260"/>
      <c r="F275" s="260"/>
      <c r="G275" s="260"/>
      <c r="H275" s="260"/>
      <c r="I275" s="286"/>
      <c r="J275" s="286"/>
      <c r="K275" s="260"/>
      <c r="L275" s="260"/>
      <c r="M275" s="260"/>
      <c r="N275" s="260"/>
      <c r="O275" s="260"/>
      <c r="P275" s="260"/>
      <c r="Q275" s="260"/>
      <c r="R275" s="260"/>
      <c r="S275" s="260"/>
      <c r="T275" s="260"/>
      <c r="U275" s="260"/>
      <c r="V275" s="260"/>
      <c r="W275" s="260"/>
      <c r="X275" s="260"/>
      <c r="Y275" s="260"/>
      <c r="Z275" s="260"/>
      <c r="AA275" s="260"/>
      <c r="AB275" s="260"/>
      <c r="AC275" s="260"/>
      <c r="AD275" s="260"/>
      <c r="AE275" s="260"/>
      <c r="AF275" s="260"/>
      <c r="AG275" s="260"/>
    </row>
    <row r="276" spans="1:33">
      <c r="A276" s="260"/>
      <c r="B276" s="260"/>
      <c r="C276" s="260"/>
      <c r="D276" s="260"/>
      <c r="E276" s="260"/>
      <c r="F276" s="260"/>
      <c r="G276" s="260"/>
      <c r="H276" s="260"/>
      <c r="I276" s="286"/>
      <c r="J276" s="286"/>
      <c r="K276" s="260"/>
      <c r="L276" s="260"/>
      <c r="M276" s="260"/>
      <c r="N276" s="260"/>
      <c r="O276" s="260"/>
      <c r="P276" s="260"/>
      <c r="Q276" s="260"/>
      <c r="R276" s="260"/>
      <c r="S276" s="260"/>
      <c r="T276" s="260"/>
      <c r="U276" s="260"/>
      <c r="V276" s="260"/>
      <c r="W276" s="260"/>
      <c r="X276" s="260"/>
      <c r="Y276" s="260"/>
      <c r="Z276" s="260"/>
      <c r="AA276" s="260"/>
      <c r="AB276" s="260"/>
      <c r="AC276" s="260"/>
      <c r="AD276" s="260"/>
      <c r="AE276" s="260"/>
      <c r="AF276" s="260"/>
      <c r="AG276" s="260"/>
    </row>
    <row r="277" spans="1:33">
      <c r="A277" s="260"/>
      <c r="B277" s="260"/>
      <c r="C277" s="260"/>
      <c r="D277" s="260"/>
      <c r="E277" s="260"/>
      <c r="F277" s="260"/>
      <c r="G277" s="260"/>
      <c r="H277" s="260"/>
      <c r="I277" s="286"/>
      <c r="J277" s="286"/>
      <c r="K277" s="260"/>
      <c r="L277" s="260"/>
      <c r="M277" s="260"/>
      <c r="N277" s="260"/>
      <c r="O277" s="260"/>
      <c r="P277" s="260"/>
      <c r="Q277" s="260"/>
      <c r="R277" s="260"/>
      <c r="S277" s="260"/>
      <c r="T277" s="260"/>
      <c r="U277" s="260"/>
      <c r="V277" s="260"/>
      <c r="W277" s="260"/>
      <c r="X277" s="260"/>
      <c r="Y277" s="260"/>
      <c r="Z277" s="260"/>
      <c r="AA277" s="260"/>
      <c r="AB277" s="260"/>
      <c r="AC277" s="260"/>
      <c r="AD277" s="260"/>
      <c r="AE277" s="260"/>
      <c r="AF277" s="260"/>
      <c r="AG277" s="260"/>
    </row>
    <row r="278" spans="1:33">
      <c r="A278" s="260"/>
      <c r="B278" s="260"/>
      <c r="C278" s="260"/>
      <c r="D278" s="260"/>
      <c r="E278" s="260"/>
      <c r="F278" s="260"/>
      <c r="G278" s="260"/>
      <c r="H278" s="260"/>
      <c r="I278" s="286"/>
      <c r="J278" s="286"/>
      <c r="K278" s="260"/>
      <c r="L278" s="260"/>
      <c r="M278" s="260"/>
      <c r="N278" s="260"/>
      <c r="O278" s="260"/>
      <c r="P278" s="260"/>
      <c r="Q278" s="260"/>
      <c r="R278" s="260"/>
      <c r="S278" s="260"/>
      <c r="T278" s="260"/>
      <c r="U278" s="260"/>
      <c r="V278" s="260"/>
      <c r="W278" s="260"/>
      <c r="X278" s="260"/>
      <c r="Y278" s="260"/>
      <c r="Z278" s="260"/>
      <c r="AA278" s="260"/>
      <c r="AB278" s="260"/>
      <c r="AC278" s="260"/>
      <c r="AD278" s="260"/>
      <c r="AE278" s="260"/>
      <c r="AF278" s="260"/>
      <c r="AG278" s="260"/>
    </row>
    <row r="279" spans="1:33">
      <c r="A279" s="108"/>
      <c r="B279" s="132"/>
      <c r="C279" s="108"/>
      <c r="D279" s="132"/>
      <c r="E279" s="108"/>
      <c r="F279" s="132"/>
      <c r="G279" s="132"/>
      <c r="H279" s="132"/>
      <c r="I279" s="285"/>
      <c r="J279" s="285"/>
      <c r="K279" s="132"/>
      <c r="L279" s="132"/>
      <c r="M279" s="132"/>
      <c r="N279" s="132"/>
      <c r="O279" s="132"/>
      <c r="P279" s="132"/>
      <c r="Q279" s="132"/>
      <c r="R279" s="132"/>
      <c r="S279" s="132"/>
      <c r="T279" s="132"/>
      <c r="U279" s="132"/>
      <c r="V279" s="132"/>
      <c r="W279" s="132"/>
      <c r="X279" s="132"/>
      <c r="Y279" s="132"/>
      <c r="Z279" s="132"/>
      <c r="AA279" s="132"/>
      <c r="AB279" s="132"/>
      <c r="AC279" s="132"/>
      <c r="AD279" s="132"/>
      <c r="AE279" s="132"/>
      <c r="AF279" s="132"/>
      <c r="AG279" s="132"/>
    </row>
    <row r="280" spans="1:33">
      <c r="A280" s="108"/>
      <c r="B280" s="132"/>
      <c r="C280" s="108"/>
      <c r="D280" s="132"/>
      <c r="E280" s="108"/>
      <c r="F280" s="132"/>
      <c r="G280" s="132"/>
      <c r="H280" s="132"/>
      <c r="I280" s="285"/>
      <c r="J280" s="285"/>
      <c r="K280" s="132"/>
      <c r="L280" s="132"/>
      <c r="M280" s="132"/>
      <c r="N280" s="132"/>
      <c r="O280" s="132"/>
      <c r="P280" s="132"/>
      <c r="Q280" s="132"/>
      <c r="R280" s="132"/>
      <c r="S280" s="132"/>
      <c r="T280" s="132"/>
      <c r="U280" s="132"/>
      <c r="V280" s="132"/>
      <c r="W280" s="132"/>
      <c r="X280" s="132"/>
      <c r="Y280" s="132"/>
      <c r="Z280" s="132"/>
      <c r="AA280" s="132"/>
      <c r="AB280" s="132"/>
      <c r="AC280" s="132"/>
      <c r="AD280" s="132"/>
      <c r="AE280" s="132"/>
      <c r="AF280" s="132"/>
      <c r="AG280" s="132"/>
    </row>
    <row r="281" spans="1:33">
      <c r="I281" s="287"/>
      <c r="J281" s="287"/>
    </row>
    <row r="282" spans="1:33">
      <c r="I282" s="287"/>
      <c r="J282" s="287"/>
    </row>
    <row r="283" spans="1:33">
      <c r="I283" s="287"/>
      <c r="J283" s="287"/>
    </row>
    <row r="284" spans="1:33">
      <c r="I284" s="287"/>
      <c r="J284" s="287"/>
    </row>
    <row r="285" spans="1:33">
      <c r="I285" s="287"/>
      <c r="J285" s="287"/>
    </row>
    <row r="286" spans="1:33">
      <c r="I286" s="287"/>
      <c r="J286" s="287"/>
    </row>
    <row r="287" spans="1:33">
      <c r="I287" s="287"/>
      <c r="J287" s="287"/>
    </row>
    <row r="288" spans="1:33">
      <c r="I288" s="287"/>
      <c r="J288" s="287"/>
    </row>
    <row r="289" spans="9:10">
      <c r="I289" s="287"/>
      <c r="J289" s="287"/>
    </row>
    <row r="290" spans="9:10">
      <c r="I290" s="287"/>
      <c r="J290" s="287"/>
    </row>
    <row r="291" spans="9:10">
      <c r="I291" s="287"/>
      <c r="J291" s="287"/>
    </row>
  </sheetData>
  <mergeCells count="2">
    <mergeCell ref="K68:K70"/>
    <mergeCell ref="K121:K123"/>
  </mergeCells>
  <dataValidations count="2">
    <dataValidation type="date" operator="between" showInputMessage="1" showErrorMessage="1" sqref="H$1:H$1048576 J144:J291"/>
    <dataValidation type="date" operator="between" allowBlank="1" showInputMessage="1" showErrorMessage="1" sqref="I2:I1048576"/>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3"/>
  <sheetViews>
    <sheetView workbookViewId="0">
      <pane ySplit="1" topLeftCell="A2" activePane="bottomLeft" state="frozen"/>
      <selection/>
      <selection pane="bottomLeft" activeCell="A1" sqref="A1"/>
    </sheetView>
  </sheetViews>
  <sheetFormatPr defaultColWidth="9" defaultRowHeight="16.8"/>
  <cols>
    <col min="1" max="1" width="31.5865384615385" customWidth="1"/>
    <col min="2" max="2" width="25.1634615384615" style="272" customWidth="1"/>
    <col min="3" max="3" width="31.5865384615385" customWidth="1"/>
    <col min="4" max="4" width="23.1634615384615" style="272" customWidth="1"/>
    <col min="5" max="5" width="22.6634615384615" customWidth="1"/>
    <col min="6" max="6" width="18.0865384615385" customWidth="1"/>
    <col min="7" max="7" width="16.6634615384615" customWidth="1"/>
  </cols>
  <sheetData>
    <row r="1" customFormat="1" spans="1:12">
      <c r="A1" t="s">
        <v>4465</v>
      </c>
      <c r="B1" s="272" t="s">
        <v>4466</v>
      </c>
      <c r="C1" t="s">
        <v>4465</v>
      </c>
      <c r="D1" s="272" t="s">
        <v>4467</v>
      </c>
      <c r="E1" t="s">
        <v>4468</v>
      </c>
      <c r="F1" t="s">
        <v>4469</v>
      </c>
      <c r="G1" t="s">
        <v>4470</v>
      </c>
      <c r="H1" t="s">
        <v>2766</v>
      </c>
      <c r="I1" t="s">
        <v>4471</v>
      </c>
      <c r="J1" t="s">
        <v>4472</v>
      </c>
      <c r="K1" t="s">
        <v>4473</v>
      </c>
      <c r="L1" t="s">
        <v>4474</v>
      </c>
    </row>
    <row r="2" customFormat="1" spans="1:12">
      <c r="A2" t="s">
        <v>4172</v>
      </c>
      <c r="B2" s="272" t="s">
        <v>3351</v>
      </c>
      <c r="C2" t="s">
        <v>4172</v>
      </c>
      <c r="D2" s="272" t="s">
        <v>4475</v>
      </c>
      <c r="E2" t="s">
        <v>4476</v>
      </c>
      <c r="F2" t="s">
        <v>4477</v>
      </c>
      <c r="G2">
        <v>0</v>
      </c>
      <c r="L2" t="s">
        <v>3351</v>
      </c>
    </row>
    <row r="3" customFormat="1" spans="1:12">
      <c r="A3" t="s">
        <v>662</v>
      </c>
      <c r="B3" s="272" t="s">
        <v>3352</v>
      </c>
      <c r="C3" t="s">
        <v>662</v>
      </c>
      <c r="D3" s="272" t="s">
        <v>4475</v>
      </c>
      <c r="E3" t="s">
        <v>4478</v>
      </c>
      <c r="F3" t="s">
        <v>4479</v>
      </c>
      <c r="G3">
        <v>2</v>
      </c>
      <c r="L3" t="s">
        <v>3351</v>
      </c>
    </row>
    <row r="4" customFormat="1" spans="1:12">
      <c r="A4" t="s">
        <v>4190</v>
      </c>
      <c r="B4" s="272" t="s">
        <v>3353</v>
      </c>
      <c r="C4" t="s">
        <v>4190</v>
      </c>
      <c r="D4" s="272" t="s">
        <v>4475</v>
      </c>
      <c r="E4" t="s">
        <v>4480</v>
      </c>
      <c r="F4" t="s">
        <v>4481</v>
      </c>
      <c r="G4">
        <v>3</v>
      </c>
      <c r="L4" t="s">
        <v>3351</v>
      </c>
    </row>
    <row r="5" customFormat="1" spans="1:12">
      <c r="A5" t="s">
        <v>1508</v>
      </c>
      <c r="B5" s="272" t="s">
        <v>3365</v>
      </c>
      <c r="C5" t="s">
        <v>1508</v>
      </c>
      <c r="D5" s="272" t="s">
        <v>4475</v>
      </c>
      <c r="E5" t="s">
        <v>4482</v>
      </c>
      <c r="F5" t="s">
        <v>4483</v>
      </c>
      <c r="G5">
        <v>4</v>
      </c>
      <c r="L5" t="s">
        <v>3351</v>
      </c>
    </row>
    <row r="6" customFormat="1" spans="1:12">
      <c r="A6" t="s">
        <v>1560</v>
      </c>
      <c r="B6" s="272" t="s">
        <v>3370</v>
      </c>
      <c r="C6" t="s">
        <v>1560</v>
      </c>
      <c r="D6" s="272" t="s">
        <v>4475</v>
      </c>
      <c r="E6" t="s">
        <v>4484</v>
      </c>
      <c r="F6" t="s">
        <v>4485</v>
      </c>
      <c r="G6">
        <v>8</v>
      </c>
      <c r="L6" t="s">
        <v>3351</v>
      </c>
    </row>
    <row r="7" customFormat="1" spans="1:12">
      <c r="A7" t="s">
        <v>4227</v>
      </c>
      <c r="B7" s="272" t="s">
        <v>3371</v>
      </c>
      <c r="C7" t="s">
        <v>4227</v>
      </c>
      <c r="D7" s="272" t="s">
        <v>4475</v>
      </c>
      <c r="E7" t="s">
        <v>4486</v>
      </c>
      <c r="F7" t="s">
        <v>4487</v>
      </c>
      <c r="G7">
        <v>5</v>
      </c>
      <c r="L7" t="s">
        <v>3351</v>
      </c>
    </row>
    <row r="8" customFormat="1" spans="1:12">
      <c r="A8" t="s">
        <v>4407</v>
      </c>
      <c r="B8" s="272" t="s">
        <v>4488</v>
      </c>
      <c r="C8" t="s">
        <v>4407</v>
      </c>
      <c r="D8" s="272" t="s">
        <v>4475</v>
      </c>
      <c r="E8" t="s">
        <v>4489</v>
      </c>
      <c r="F8" t="s">
        <v>4490</v>
      </c>
      <c r="G8">
        <v>14</v>
      </c>
      <c r="L8" t="s">
        <v>3351</v>
      </c>
    </row>
    <row r="9" customFormat="1" spans="1:12">
      <c r="A9" t="s">
        <v>4491</v>
      </c>
      <c r="B9" s="272" t="s">
        <v>4492</v>
      </c>
      <c r="C9" t="s">
        <v>4491</v>
      </c>
      <c r="D9" s="272" t="s">
        <v>4475</v>
      </c>
      <c r="E9" t="s">
        <v>4493</v>
      </c>
      <c r="F9" t="s">
        <v>4494</v>
      </c>
      <c r="G9">
        <v>13</v>
      </c>
      <c r="L9" t="s">
        <v>3351</v>
      </c>
    </row>
    <row r="10" customFormat="1" spans="1:12">
      <c r="A10" s="273" t="s">
        <v>2770</v>
      </c>
      <c r="B10" s="272" t="s">
        <v>4495</v>
      </c>
      <c r="C10" s="273" t="s">
        <v>2770</v>
      </c>
      <c r="D10" s="272" t="s">
        <v>4475</v>
      </c>
      <c r="E10" t="s">
        <v>4496</v>
      </c>
      <c r="F10" t="s">
        <v>4497</v>
      </c>
      <c r="G10">
        <v>21</v>
      </c>
      <c r="L10" t="s">
        <v>3351</v>
      </c>
    </row>
    <row r="11" customFormat="1" spans="1:12">
      <c r="A11" t="s">
        <v>4498</v>
      </c>
      <c r="B11" s="272" t="s">
        <v>4499</v>
      </c>
      <c r="C11" t="s">
        <v>4498</v>
      </c>
      <c r="D11" s="272" t="s">
        <v>4475</v>
      </c>
      <c r="E11" t="s">
        <v>4500</v>
      </c>
      <c r="F11" t="s">
        <v>4501</v>
      </c>
      <c r="G11">
        <v>16</v>
      </c>
      <c r="L11" t="s">
        <v>3351</v>
      </c>
    </row>
    <row r="12" customFormat="1" spans="1:12">
      <c r="A12" t="s">
        <v>4247</v>
      </c>
      <c r="B12" s="272" t="s">
        <v>4502</v>
      </c>
      <c r="C12" t="s">
        <v>4247</v>
      </c>
      <c r="D12" s="272" t="s">
        <v>4475</v>
      </c>
      <c r="E12" t="s">
        <v>4503</v>
      </c>
      <c r="F12" t="s">
        <v>4504</v>
      </c>
      <c r="G12">
        <v>7</v>
      </c>
      <c r="L12" t="s">
        <v>3351</v>
      </c>
    </row>
    <row r="13" customFormat="1" spans="1:12">
      <c r="A13" t="s">
        <v>4505</v>
      </c>
      <c r="B13" s="272" t="s">
        <v>4506</v>
      </c>
      <c r="C13" t="s">
        <v>4505</v>
      </c>
      <c r="D13" s="272" t="s">
        <v>4475</v>
      </c>
      <c r="E13" t="s">
        <v>4507</v>
      </c>
      <c r="F13" t="s">
        <v>4508</v>
      </c>
      <c r="G13">
        <v>22</v>
      </c>
      <c r="L13" t="s">
        <v>3351</v>
      </c>
    </row>
    <row r="14" customFormat="1" spans="1:12">
      <c r="A14" t="s">
        <v>4509</v>
      </c>
      <c r="B14" s="272" t="s">
        <v>4510</v>
      </c>
      <c r="C14" t="s">
        <v>4509</v>
      </c>
      <c r="D14" s="272" t="s">
        <v>4475</v>
      </c>
      <c r="E14" t="s">
        <v>4511</v>
      </c>
      <c r="F14" t="s">
        <v>4512</v>
      </c>
      <c r="G14">
        <v>23</v>
      </c>
      <c r="L14" t="s">
        <v>3351</v>
      </c>
    </row>
    <row r="15" customFormat="1" spans="1:12">
      <c r="A15" t="s">
        <v>4513</v>
      </c>
      <c r="B15" s="272" t="s">
        <v>4514</v>
      </c>
      <c r="C15" t="s">
        <v>4513</v>
      </c>
      <c r="D15" s="272" t="s">
        <v>4475</v>
      </c>
      <c r="E15" t="s">
        <v>4515</v>
      </c>
      <c r="F15" t="s">
        <v>4516</v>
      </c>
      <c r="G15">
        <v>24</v>
      </c>
      <c r="L15" t="s">
        <v>3351</v>
      </c>
    </row>
    <row r="16" customFormat="1" spans="1:12">
      <c r="A16" t="s">
        <v>4517</v>
      </c>
      <c r="B16" s="272" t="s">
        <v>4518</v>
      </c>
      <c r="C16" t="s">
        <v>4517</v>
      </c>
      <c r="D16" s="272" t="s">
        <v>4475</v>
      </c>
      <c r="E16" t="s">
        <v>4519</v>
      </c>
      <c r="F16" t="s">
        <v>4520</v>
      </c>
      <c r="G16">
        <v>27</v>
      </c>
      <c r="L16" t="s">
        <v>3351</v>
      </c>
    </row>
    <row r="17" customFormat="1" spans="1:12">
      <c r="A17" t="s">
        <v>4521</v>
      </c>
      <c r="B17" s="272" t="s">
        <v>4522</v>
      </c>
      <c r="C17" t="s">
        <v>4521</v>
      </c>
      <c r="D17" s="272" t="s">
        <v>4475</v>
      </c>
      <c r="E17" t="s">
        <v>4523</v>
      </c>
      <c r="F17" t="s">
        <v>4523</v>
      </c>
      <c r="G17">
        <v>29</v>
      </c>
      <c r="L17" t="s">
        <v>3351</v>
      </c>
    </row>
    <row r="18" customFormat="1" spans="1:12">
      <c r="A18" t="s">
        <v>2625</v>
      </c>
      <c r="B18" s="272" t="s">
        <v>4524</v>
      </c>
      <c r="C18" t="s">
        <v>2625</v>
      </c>
      <c r="D18" s="272" t="s">
        <v>4475</v>
      </c>
      <c r="E18" t="s">
        <v>4525</v>
      </c>
      <c r="F18" t="s">
        <v>4526</v>
      </c>
      <c r="G18">
        <v>28</v>
      </c>
      <c r="L18" t="s">
        <v>3351</v>
      </c>
    </row>
    <row r="19" customFormat="1" spans="1:12">
      <c r="A19" t="s">
        <v>2650</v>
      </c>
      <c r="B19" s="272" t="s">
        <v>4527</v>
      </c>
      <c r="C19" t="s">
        <v>2650</v>
      </c>
      <c r="D19" s="272" t="s">
        <v>4475</v>
      </c>
      <c r="E19" t="s">
        <v>4528</v>
      </c>
      <c r="F19" t="s">
        <v>4529</v>
      </c>
      <c r="G19">
        <v>31</v>
      </c>
      <c r="L19" t="s">
        <v>3351</v>
      </c>
    </row>
    <row r="20" customFormat="1" spans="1:12">
      <c r="A20" t="s">
        <v>4530</v>
      </c>
      <c r="B20" s="272" t="s">
        <v>4531</v>
      </c>
      <c r="C20" t="s">
        <v>4530</v>
      </c>
      <c r="D20" s="272" t="s">
        <v>4475</v>
      </c>
      <c r="E20" t="s">
        <v>4532</v>
      </c>
      <c r="F20" t="s">
        <v>4533</v>
      </c>
      <c r="G20">
        <v>20</v>
      </c>
      <c r="L20" t="s">
        <v>3351</v>
      </c>
    </row>
    <row r="21" customFormat="1" spans="1:12">
      <c r="A21" t="s">
        <v>4534</v>
      </c>
      <c r="B21" s="272" t="s">
        <v>4535</v>
      </c>
      <c r="C21" t="s">
        <v>4534</v>
      </c>
      <c r="D21" s="272" t="s">
        <v>4475</v>
      </c>
      <c r="E21" t="s">
        <v>4536</v>
      </c>
      <c r="F21" t="s">
        <v>4537</v>
      </c>
      <c r="G21">
        <v>9</v>
      </c>
      <c r="L21" t="s">
        <v>3351</v>
      </c>
    </row>
    <row r="22" customFormat="1" spans="1:12">
      <c r="A22" t="s">
        <v>4337</v>
      </c>
      <c r="B22" s="272" t="s">
        <v>4538</v>
      </c>
      <c r="C22" t="s">
        <v>4337</v>
      </c>
      <c r="D22" s="272" t="s">
        <v>4475</v>
      </c>
      <c r="E22" t="s">
        <v>4539</v>
      </c>
      <c r="F22" t="s">
        <v>4540</v>
      </c>
      <c r="G22">
        <v>15</v>
      </c>
      <c r="L22" t="s">
        <v>3351</v>
      </c>
    </row>
    <row r="23" customFormat="1" spans="1:12">
      <c r="A23" t="s">
        <v>4451</v>
      </c>
      <c r="B23" s="272" t="s">
        <v>4541</v>
      </c>
      <c r="C23" t="s">
        <v>4451</v>
      </c>
      <c r="D23" s="272" t="s">
        <v>4475</v>
      </c>
      <c r="E23" t="s">
        <v>4542</v>
      </c>
      <c r="F23" t="s">
        <v>4543</v>
      </c>
      <c r="G23">
        <v>18</v>
      </c>
      <c r="L23" t="s">
        <v>3351</v>
      </c>
    </row>
    <row r="24" customFormat="1" spans="1:12">
      <c r="A24" s="273" t="s">
        <v>2716</v>
      </c>
      <c r="B24" s="272" t="s">
        <v>4544</v>
      </c>
      <c r="C24" s="273" t="s">
        <v>2716</v>
      </c>
      <c r="D24" s="272" t="s">
        <v>4475</v>
      </c>
      <c r="E24" t="s">
        <v>4545</v>
      </c>
      <c r="F24" t="s">
        <v>4546</v>
      </c>
      <c r="G24">
        <v>33</v>
      </c>
      <c r="L24" t="s">
        <v>3351</v>
      </c>
    </row>
    <row r="25" customFormat="1" spans="1:12">
      <c r="A25" t="s">
        <v>4547</v>
      </c>
      <c r="B25" s="272" t="s">
        <v>4548</v>
      </c>
      <c r="C25" t="s">
        <v>4547</v>
      </c>
      <c r="D25" s="272" t="s">
        <v>4475</v>
      </c>
      <c r="E25" t="s">
        <v>4549</v>
      </c>
      <c r="F25" t="s">
        <v>4550</v>
      </c>
      <c r="G25">
        <v>19</v>
      </c>
      <c r="L25" t="s">
        <v>3351</v>
      </c>
    </row>
    <row r="26" customFormat="1" spans="1:12">
      <c r="A26" t="s">
        <v>4551</v>
      </c>
      <c r="B26" s="272" t="s">
        <v>4552</v>
      </c>
      <c r="C26" t="s">
        <v>4551</v>
      </c>
      <c r="D26" s="272" t="s">
        <v>4475</v>
      </c>
      <c r="E26" t="s">
        <v>4553</v>
      </c>
      <c r="G26">
        <v>6</v>
      </c>
      <c r="L26" t="s">
        <v>3351</v>
      </c>
    </row>
    <row r="27" customFormat="1" spans="1:12">
      <c r="A27" t="s">
        <v>4554</v>
      </c>
      <c r="B27" s="272" t="s">
        <v>4555</v>
      </c>
      <c r="C27" t="s">
        <v>4554</v>
      </c>
      <c r="D27" s="272" t="s">
        <v>4475</v>
      </c>
      <c r="E27" t="s">
        <v>4556</v>
      </c>
      <c r="F27" t="s">
        <v>4529</v>
      </c>
      <c r="G27">
        <v>32</v>
      </c>
      <c r="L27" t="s">
        <v>3351</v>
      </c>
    </row>
    <row r="28" customFormat="1" spans="1:12">
      <c r="A28" t="s">
        <v>4557</v>
      </c>
      <c r="B28" s="272" t="s">
        <v>4558</v>
      </c>
      <c r="C28" t="s">
        <v>4557</v>
      </c>
      <c r="D28" s="272" t="s">
        <v>4475</v>
      </c>
      <c r="E28" t="s">
        <v>4559</v>
      </c>
      <c r="F28" t="s">
        <v>4560</v>
      </c>
      <c r="G28">
        <v>25</v>
      </c>
      <c r="L28" t="s">
        <v>3351</v>
      </c>
    </row>
    <row r="29" customFormat="1" spans="1:12">
      <c r="A29" t="s">
        <v>4561</v>
      </c>
      <c r="B29" s="272" t="s">
        <v>4562</v>
      </c>
      <c r="C29" t="s">
        <v>4561</v>
      </c>
      <c r="D29" s="272" t="s">
        <v>4475</v>
      </c>
      <c r="E29" t="s">
        <v>4563</v>
      </c>
      <c r="F29" t="s">
        <v>4564</v>
      </c>
      <c r="G29">
        <v>11</v>
      </c>
      <c r="L29" t="s">
        <v>3351</v>
      </c>
    </row>
    <row r="30" customFormat="1" spans="1:12">
      <c r="A30" t="s">
        <v>4565</v>
      </c>
      <c r="B30" s="272" t="s">
        <v>4566</v>
      </c>
      <c r="C30" t="s">
        <v>4565</v>
      </c>
      <c r="D30" s="272" t="s">
        <v>4475</v>
      </c>
      <c r="E30" t="s">
        <v>4567</v>
      </c>
      <c r="F30" t="s">
        <v>4568</v>
      </c>
      <c r="G30">
        <v>10</v>
      </c>
      <c r="L30" t="s">
        <v>3351</v>
      </c>
    </row>
    <row r="31" customFormat="1" spans="1:12">
      <c r="A31" t="s">
        <v>4569</v>
      </c>
      <c r="B31" s="272" t="s">
        <v>4570</v>
      </c>
      <c r="C31" t="s">
        <v>4569</v>
      </c>
      <c r="D31" s="272" t="s">
        <v>4475</v>
      </c>
      <c r="E31" t="s">
        <v>4571</v>
      </c>
      <c r="F31" t="s">
        <v>4572</v>
      </c>
      <c r="G31">
        <v>26</v>
      </c>
      <c r="L31" t="s">
        <v>3351</v>
      </c>
    </row>
    <row r="32" customFormat="1" spans="1:12">
      <c r="A32" t="s">
        <v>4573</v>
      </c>
      <c r="B32" s="272" t="s">
        <v>4574</v>
      </c>
      <c r="C32" t="s">
        <v>4573</v>
      </c>
      <c r="D32" s="272" t="s">
        <v>4475</v>
      </c>
      <c r="E32" t="s">
        <v>4575</v>
      </c>
      <c r="F32" t="s">
        <v>4576</v>
      </c>
      <c r="G32">
        <v>35</v>
      </c>
      <c r="L32" t="s">
        <v>3351</v>
      </c>
    </row>
    <row r="33" customFormat="1" spans="1:12">
      <c r="A33" t="s">
        <v>4577</v>
      </c>
      <c r="B33" s="272" t="s">
        <v>4578</v>
      </c>
      <c r="C33" t="s">
        <v>4577</v>
      </c>
      <c r="D33" s="272" t="s">
        <v>4475</v>
      </c>
      <c r="E33" t="s">
        <v>4523</v>
      </c>
      <c r="F33" t="s">
        <v>4579</v>
      </c>
      <c r="G33">
        <v>36</v>
      </c>
      <c r="L33" t="s">
        <v>3351</v>
      </c>
    </row>
    <row r="34" customFormat="1" spans="1:12">
      <c r="A34" t="s">
        <v>2730</v>
      </c>
      <c r="B34" s="272" t="s">
        <v>4580</v>
      </c>
      <c r="C34" t="s">
        <v>2730</v>
      </c>
      <c r="D34" s="272" t="s">
        <v>4475</v>
      </c>
      <c r="E34" t="s">
        <v>4581</v>
      </c>
      <c r="F34" t="s">
        <v>4582</v>
      </c>
      <c r="G34">
        <v>34</v>
      </c>
      <c r="L34" t="s">
        <v>3351</v>
      </c>
    </row>
    <row r="35" customFormat="1" spans="1:12">
      <c r="A35" t="s">
        <v>4583</v>
      </c>
      <c r="B35" s="272" t="s">
        <v>4584</v>
      </c>
      <c r="C35" t="s">
        <v>4583</v>
      </c>
      <c r="D35" s="272" t="s">
        <v>4475</v>
      </c>
      <c r="E35" t="s">
        <v>4585</v>
      </c>
      <c r="F35" t="s">
        <v>4586</v>
      </c>
      <c r="G35">
        <v>37</v>
      </c>
      <c r="L35" t="s">
        <v>3351</v>
      </c>
    </row>
    <row r="36" customFormat="1" spans="1:12">
      <c r="A36" t="s">
        <v>4587</v>
      </c>
      <c r="B36" s="272" t="s">
        <v>4588</v>
      </c>
      <c r="C36" t="s">
        <v>4587</v>
      </c>
      <c r="D36" s="272" t="s">
        <v>4475</v>
      </c>
      <c r="E36" t="s">
        <v>4589</v>
      </c>
      <c r="F36" t="s">
        <v>4590</v>
      </c>
      <c r="G36">
        <v>38</v>
      </c>
      <c r="L36" t="s">
        <v>3351</v>
      </c>
    </row>
    <row r="37" customFormat="1" spans="1:12">
      <c r="A37" t="s">
        <v>4591</v>
      </c>
      <c r="B37" s="272" t="s">
        <v>4592</v>
      </c>
      <c r="C37" t="s">
        <v>4591</v>
      </c>
      <c r="D37" s="272" t="s">
        <v>4475</v>
      </c>
      <c r="E37" t="s">
        <v>4593</v>
      </c>
      <c r="F37" t="s">
        <v>4594</v>
      </c>
      <c r="G37">
        <v>39</v>
      </c>
      <c r="L37" t="s">
        <v>3351</v>
      </c>
    </row>
    <row r="38" customFormat="1" spans="1:12">
      <c r="A38" t="s">
        <v>1237</v>
      </c>
      <c r="B38" s="272" t="s">
        <v>4595</v>
      </c>
      <c r="C38" t="s">
        <v>1237</v>
      </c>
      <c r="D38" s="272" t="s">
        <v>4475</v>
      </c>
      <c r="E38" t="s">
        <v>4596</v>
      </c>
      <c r="F38" t="s">
        <v>4597</v>
      </c>
      <c r="G38">
        <v>40</v>
      </c>
      <c r="L38" t="s">
        <v>3351</v>
      </c>
    </row>
    <row r="39" customFormat="1" spans="1:12">
      <c r="A39" t="s">
        <v>4598</v>
      </c>
      <c r="B39" s="272" t="s">
        <v>4599</v>
      </c>
      <c r="C39" t="s">
        <v>4598</v>
      </c>
      <c r="D39" s="272" t="s">
        <v>4475</v>
      </c>
      <c r="E39" t="s">
        <v>4600</v>
      </c>
      <c r="F39" t="s">
        <v>4601</v>
      </c>
      <c r="G39">
        <v>41</v>
      </c>
      <c r="L39" t="s">
        <v>3351</v>
      </c>
    </row>
    <row r="40" customFormat="1" spans="1:12">
      <c r="A40" t="s">
        <v>4602</v>
      </c>
      <c r="B40" s="272" t="s">
        <v>4603</v>
      </c>
      <c r="C40" t="s">
        <v>4602</v>
      </c>
      <c r="D40" s="272" t="s">
        <v>4475</v>
      </c>
      <c r="E40" t="s">
        <v>4604</v>
      </c>
      <c r="F40" t="s">
        <v>4605</v>
      </c>
      <c r="G40">
        <v>42</v>
      </c>
      <c r="L40" t="s">
        <v>3351</v>
      </c>
    </row>
    <row r="41" customFormat="1" spans="1:12">
      <c r="A41" t="s">
        <v>4606</v>
      </c>
      <c r="B41" s="272" t="s">
        <v>4607</v>
      </c>
      <c r="C41" t="s">
        <v>4606</v>
      </c>
      <c r="D41" s="272" t="s">
        <v>4475</v>
      </c>
      <c r="E41" t="s">
        <v>4608</v>
      </c>
      <c r="F41" t="s">
        <v>4609</v>
      </c>
      <c r="G41">
        <v>43</v>
      </c>
      <c r="L41" t="s">
        <v>3351</v>
      </c>
    </row>
    <row r="42" customFormat="1" spans="1:12">
      <c r="A42" t="s">
        <v>4610</v>
      </c>
      <c r="B42" s="272" t="s">
        <v>4611</v>
      </c>
      <c r="C42" t="s">
        <v>4610</v>
      </c>
      <c r="D42" s="272" t="s">
        <v>4475</v>
      </c>
      <c r="E42" t="s">
        <v>4612</v>
      </c>
      <c r="F42" t="s">
        <v>4613</v>
      </c>
      <c r="G42">
        <v>30</v>
      </c>
      <c r="L42" t="s">
        <v>3351</v>
      </c>
    </row>
    <row r="43" customFormat="1" spans="1:12">
      <c r="A43" t="s">
        <v>4614</v>
      </c>
      <c r="B43" s="272" t="s">
        <v>4615</v>
      </c>
      <c r="C43" t="s">
        <v>4614</v>
      </c>
      <c r="D43" s="272" t="s">
        <v>4475</v>
      </c>
      <c r="E43" t="s">
        <v>4616</v>
      </c>
      <c r="F43" t="s">
        <v>4617</v>
      </c>
      <c r="G43">
        <v>44</v>
      </c>
      <c r="L43" t="s">
        <v>3351</v>
      </c>
    </row>
    <row r="44" customFormat="1" spans="1:12">
      <c r="A44" t="s">
        <v>4618</v>
      </c>
      <c r="B44" s="272" t="s">
        <v>4619</v>
      </c>
      <c r="C44" t="s">
        <v>4618</v>
      </c>
      <c r="D44" s="272" t="s">
        <v>4475</v>
      </c>
      <c r="E44" t="s">
        <v>4620</v>
      </c>
      <c r="F44" t="s">
        <v>4621</v>
      </c>
      <c r="G44">
        <v>45</v>
      </c>
      <c r="L44" t="s">
        <v>3351</v>
      </c>
    </row>
    <row r="45" customFormat="1" spans="1:12">
      <c r="A45" t="s">
        <v>4622</v>
      </c>
      <c r="B45" s="272" t="s">
        <v>4623</v>
      </c>
      <c r="C45" t="s">
        <v>4622</v>
      </c>
      <c r="D45" s="272" t="s">
        <v>4475</v>
      </c>
      <c r="E45" t="s">
        <v>4624</v>
      </c>
      <c r="F45" t="s">
        <v>4625</v>
      </c>
      <c r="G45">
        <v>46</v>
      </c>
      <c r="L45" t="s">
        <v>3351</v>
      </c>
    </row>
    <row r="46" customFormat="1" spans="1:12">
      <c r="A46" t="s">
        <v>4626</v>
      </c>
      <c r="B46" s="272" t="s">
        <v>4627</v>
      </c>
      <c r="C46" t="s">
        <v>4626</v>
      </c>
      <c r="D46" s="272" t="s">
        <v>4475</v>
      </c>
      <c r="E46" t="s">
        <v>4628</v>
      </c>
      <c r="F46" t="s">
        <v>4629</v>
      </c>
      <c r="G46">
        <v>47</v>
      </c>
      <c r="L46" t="s">
        <v>3351</v>
      </c>
    </row>
    <row r="47" customFormat="1" spans="1:12">
      <c r="A47" t="s">
        <v>4630</v>
      </c>
      <c r="B47" s="272" t="s">
        <v>4631</v>
      </c>
      <c r="C47" t="s">
        <v>4630</v>
      </c>
      <c r="D47" s="272" t="s">
        <v>4475</v>
      </c>
      <c r="E47" t="s">
        <v>4632</v>
      </c>
      <c r="F47" t="s">
        <v>4633</v>
      </c>
      <c r="G47">
        <v>12</v>
      </c>
      <c r="L47" t="s">
        <v>3351</v>
      </c>
    </row>
    <row r="48" customFormat="1" spans="1:12">
      <c r="A48" t="s">
        <v>4634</v>
      </c>
      <c r="B48" s="272" t="s">
        <v>4635</v>
      </c>
      <c r="C48" t="s">
        <v>4634</v>
      </c>
      <c r="D48" s="272" t="s">
        <v>4475</v>
      </c>
      <c r="E48" t="s">
        <v>4636</v>
      </c>
      <c r="F48" t="s">
        <v>4637</v>
      </c>
      <c r="G48">
        <v>48</v>
      </c>
      <c r="L48" t="s">
        <v>3351</v>
      </c>
    </row>
    <row r="49" customFormat="1" spans="1:12">
      <c r="A49" t="s">
        <v>4638</v>
      </c>
      <c r="B49" s="272" t="s">
        <v>4639</v>
      </c>
      <c r="C49" t="s">
        <v>4638</v>
      </c>
      <c r="D49" s="272" t="s">
        <v>4475</v>
      </c>
      <c r="E49" t="s">
        <v>4640</v>
      </c>
      <c r="F49" t="s">
        <v>4641</v>
      </c>
      <c r="G49">
        <v>17</v>
      </c>
      <c r="L49" t="s">
        <v>3351</v>
      </c>
    </row>
    <row r="50" customFormat="1" spans="1:12">
      <c r="A50" t="s">
        <v>4642</v>
      </c>
      <c r="B50" s="272" t="s">
        <v>4643</v>
      </c>
      <c r="C50" t="s">
        <v>4642</v>
      </c>
      <c r="D50" s="272" t="s">
        <v>4475</v>
      </c>
      <c r="E50" t="s">
        <v>4644</v>
      </c>
      <c r="F50" t="s">
        <v>4645</v>
      </c>
      <c r="G50">
        <v>49</v>
      </c>
      <c r="L50" t="s">
        <v>3351</v>
      </c>
    </row>
    <row r="51" customFormat="1" spans="1:12">
      <c r="A51" t="s">
        <v>4646</v>
      </c>
      <c r="B51" s="272" t="s">
        <v>4647</v>
      </c>
      <c r="C51" t="s">
        <v>4646</v>
      </c>
      <c r="D51" s="272" t="s">
        <v>4475</v>
      </c>
      <c r="E51" t="s">
        <v>4648</v>
      </c>
      <c r="F51" t="s">
        <v>4649</v>
      </c>
      <c r="G51">
        <v>50</v>
      </c>
      <c r="L51" t="s">
        <v>3351</v>
      </c>
    </row>
    <row r="52" customFormat="1" spans="1:12">
      <c r="A52" t="s">
        <v>4650</v>
      </c>
      <c r="B52" s="272" t="s">
        <v>4651</v>
      </c>
      <c r="C52" t="s">
        <v>4650</v>
      </c>
      <c r="D52" s="272" t="s">
        <v>4475</v>
      </c>
      <c r="E52" t="s">
        <v>4652</v>
      </c>
      <c r="F52" t="s">
        <v>4653</v>
      </c>
      <c r="G52">
        <v>51</v>
      </c>
      <c r="L52" t="s">
        <v>3351</v>
      </c>
    </row>
    <row r="53" customFormat="1" spans="1:12">
      <c r="A53" t="s">
        <v>4654</v>
      </c>
      <c r="B53" s="272" t="s">
        <v>4655</v>
      </c>
      <c r="C53" t="s">
        <v>4654</v>
      </c>
      <c r="D53" s="272" t="s">
        <v>4475</v>
      </c>
      <c r="E53" t="s">
        <v>4656</v>
      </c>
      <c r="F53" t="s">
        <v>4657</v>
      </c>
      <c r="G53">
        <v>52</v>
      </c>
      <c r="L53" t="s">
        <v>3351</v>
      </c>
    </row>
    <row r="54" customFormat="1" spans="1:12">
      <c r="A54" t="s">
        <v>4658</v>
      </c>
      <c r="B54" s="272" t="s">
        <v>4659</v>
      </c>
      <c r="C54" t="s">
        <v>4658</v>
      </c>
      <c r="D54" s="272" t="s">
        <v>4475</v>
      </c>
      <c r="E54" t="s">
        <v>4660</v>
      </c>
      <c r="F54" t="s">
        <v>4661</v>
      </c>
      <c r="G54">
        <v>53</v>
      </c>
      <c r="L54" t="s">
        <v>3351</v>
      </c>
    </row>
    <row r="55" customFormat="1" spans="1:12">
      <c r="A55" t="s">
        <v>4662</v>
      </c>
      <c r="B55" s="272" t="s">
        <v>4663</v>
      </c>
      <c r="C55" t="s">
        <v>4662</v>
      </c>
      <c r="D55" s="272" t="s">
        <v>4475</v>
      </c>
      <c r="E55" t="s">
        <v>4664</v>
      </c>
      <c r="F55" t="s">
        <v>4665</v>
      </c>
      <c r="G55">
        <v>54</v>
      </c>
      <c r="L55" t="s">
        <v>3351</v>
      </c>
    </row>
    <row r="56" customFormat="1" spans="1:12">
      <c r="A56" t="s">
        <v>4666</v>
      </c>
      <c r="B56" s="272" t="s">
        <v>4667</v>
      </c>
      <c r="C56" t="s">
        <v>4666</v>
      </c>
      <c r="D56" s="272" t="s">
        <v>4475</v>
      </c>
      <c r="E56" t="s">
        <v>4668</v>
      </c>
      <c r="F56" t="s">
        <v>4669</v>
      </c>
      <c r="G56">
        <v>55</v>
      </c>
      <c r="L56" t="s">
        <v>3351</v>
      </c>
    </row>
    <row r="57" customFormat="1" spans="1:12">
      <c r="A57" s="273" t="s">
        <v>563</v>
      </c>
      <c r="B57" s="272" t="s">
        <v>4670</v>
      </c>
      <c r="C57" s="273" t="s">
        <v>563</v>
      </c>
      <c r="D57" s="272" t="s">
        <v>3351</v>
      </c>
      <c r="E57" t="s">
        <v>4671</v>
      </c>
      <c r="F57" t="s">
        <v>4672</v>
      </c>
      <c r="G57">
        <v>0</v>
      </c>
      <c r="L57" t="s">
        <v>3351</v>
      </c>
    </row>
    <row r="58" customFormat="1" spans="1:12">
      <c r="A58" t="s">
        <v>238</v>
      </c>
      <c r="B58" s="272" t="s">
        <v>4673</v>
      </c>
      <c r="C58" t="s">
        <v>238</v>
      </c>
      <c r="D58" s="272" t="s">
        <v>3351</v>
      </c>
      <c r="E58" t="s">
        <v>4671</v>
      </c>
      <c r="F58" t="s">
        <v>4674</v>
      </c>
      <c r="G58">
        <v>1</v>
      </c>
      <c r="L58" t="s">
        <v>3351</v>
      </c>
    </row>
    <row r="59" customFormat="1" spans="1:12">
      <c r="A59" t="s">
        <v>4675</v>
      </c>
      <c r="B59" s="272" t="s">
        <v>4676</v>
      </c>
      <c r="C59" t="s">
        <v>4675</v>
      </c>
      <c r="D59" s="272" t="s">
        <v>3351</v>
      </c>
      <c r="E59" t="s">
        <v>4677</v>
      </c>
      <c r="F59" t="s">
        <v>4678</v>
      </c>
      <c r="G59">
        <v>2</v>
      </c>
      <c r="L59" t="s">
        <v>3351</v>
      </c>
    </row>
    <row r="60" customFormat="1" spans="1:12">
      <c r="A60" t="s">
        <v>662</v>
      </c>
      <c r="B60" s="272" t="s">
        <v>4679</v>
      </c>
      <c r="C60" t="s">
        <v>662</v>
      </c>
      <c r="D60" s="272" t="s">
        <v>3352</v>
      </c>
      <c r="E60" t="s">
        <v>4478</v>
      </c>
      <c r="F60" t="s">
        <v>4479</v>
      </c>
      <c r="G60">
        <v>0</v>
      </c>
      <c r="L60" t="s">
        <v>3351</v>
      </c>
    </row>
    <row r="61" customFormat="1" spans="1:12">
      <c r="A61" t="s">
        <v>4680</v>
      </c>
      <c r="B61" s="272" t="s">
        <v>4681</v>
      </c>
      <c r="C61" t="s">
        <v>4680</v>
      </c>
      <c r="D61" s="272" t="s">
        <v>3352</v>
      </c>
      <c r="E61" t="s">
        <v>4682</v>
      </c>
      <c r="F61" t="s">
        <v>4683</v>
      </c>
      <c r="G61">
        <v>1</v>
      </c>
      <c r="L61" t="s">
        <v>3351</v>
      </c>
    </row>
    <row r="62" customFormat="1" spans="1:12">
      <c r="A62" s="273" t="s">
        <v>923</v>
      </c>
      <c r="B62" s="272" t="s">
        <v>4684</v>
      </c>
      <c r="C62" s="273" t="s">
        <v>923</v>
      </c>
      <c r="D62" s="272" t="s">
        <v>3352</v>
      </c>
      <c r="E62" t="s">
        <v>4685</v>
      </c>
      <c r="F62" t="s">
        <v>4686</v>
      </c>
      <c r="G62">
        <v>3</v>
      </c>
      <c r="L62" t="s">
        <v>3351</v>
      </c>
    </row>
    <row r="63" customFormat="1" spans="1:12">
      <c r="A63" s="273" t="s">
        <v>1016</v>
      </c>
      <c r="B63" s="272" t="s">
        <v>4687</v>
      </c>
      <c r="C63" s="273" t="s">
        <v>1016</v>
      </c>
      <c r="D63" s="272" t="s">
        <v>3352</v>
      </c>
      <c r="E63" t="s">
        <v>4688</v>
      </c>
      <c r="F63" t="s">
        <v>4689</v>
      </c>
      <c r="G63">
        <v>4</v>
      </c>
      <c r="L63" t="s">
        <v>3351</v>
      </c>
    </row>
    <row r="64" customFormat="1" spans="1:12">
      <c r="A64" t="s">
        <v>4690</v>
      </c>
      <c r="B64" s="272" t="s">
        <v>4691</v>
      </c>
      <c r="C64" t="s">
        <v>4690</v>
      </c>
      <c r="D64" s="272" t="s">
        <v>3352</v>
      </c>
      <c r="E64" t="s">
        <v>4692</v>
      </c>
      <c r="F64" t="s">
        <v>4693</v>
      </c>
      <c r="G64">
        <v>5</v>
      </c>
      <c r="L64" t="s">
        <v>3351</v>
      </c>
    </row>
    <row r="65" customFormat="1" spans="1:12">
      <c r="A65" t="s">
        <v>4694</v>
      </c>
      <c r="B65" s="272" t="s">
        <v>4695</v>
      </c>
      <c r="C65" t="s">
        <v>4694</v>
      </c>
      <c r="D65" s="272" t="s">
        <v>3352</v>
      </c>
      <c r="E65" t="s">
        <v>4696</v>
      </c>
      <c r="F65" t="s">
        <v>4697</v>
      </c>
      <c r="G65">
        <v>2</v>
      </c>
      <c r="L65" t="s">
        <v>3351</v>
      </c>
    </row>
    <row r="66" customFormat="1" spans="1:12">
      <c r="A66" t="s">
        <v>1057</v>
      </c>
      <c r="B66" s="272" t="s">
        <v>4698</v>
      </c>
      <c r="C66" t="s">
        <v>1057</v>
      </c>
      <c r="D66" s="272" t="s">
        <v>3353</v>
      </c>
      <c r="E66" t="s">
        <v>4699</v>
      </c>
      <c r="F66" t="s">
        <v>4700</v>
      </c>
      <c r="G66">
        <v>14</v>
      </c>
      <c r="L66" t="s">
        <v>3351</v>
      </c>
    </row>
    <row r="67" customFormat="1" spans="1:12">
      <c r="A67" t="s">
        <v>1096</v>
      </c>
      <c r="B67" s="272" t="s">
        <v>4701</v>
      </c>
      <c r="C67" t="s">
        <v>1096</v>
      </c>
      <c r="D67" s="272" t="s">
        <v>3353</v>
      </c>
      <c r="E67" t="s">
        <v>4702</v>
      </c>
      <c r="F67" t="s">
        <v>4703</v>
      </c>
      <c r="G67">
        <v>15</v>
      </c>
      <c r="L67" t="s">
        <v>3351</v>
      </c>
    </row>
    <row r="68" customFormat="1" spans="1:12">
      <c r="A68" t="s">
        <v>4704</v>
      </c>
      <c r="B68" s="272" t="s">
        <v>4705</v>
      </c>
      <c r="C68" t="s">
        <v>4704</v>
      </c>
      <c r="D68" s="272">
        <v>3</v>
      </c>
      <c r="E68" t="s">
        <v>4706</v>
      </c>
      <c r="F68" t="s">
        <v>4707</v>
      </c>
      <c r="G68">
        <v>16</v>
      </c>
      <c r="L68" t="s">
        <v>3351</v>
      </c>
    </row>
    <row r="69" customFormat="1" spans="1:12">
      <c r="A69" t="s">
        <v>4708</v>
      </c>
      <c r="B69" s="272" t="s">
        <v>4709</v>
      </c>
      <c r="C69" t="s">
        <v>4708</v>
      </c>
      <c r="D69" s="272" t="s">
        <v>3353</v>
      </c>
      <c r="E69" t="s">
        <v>4710</v>
      </c>
      <c r="F69" t="s">
        <v>4711</v>
      </c>
      <c r="G69">
        <v>17</v>
      </c>
      <c r="L69" t="s">
        <v>3351</v>
      </c>
    </row>
    <row r="70" customFormat="1" spans="1:12">
      <c r="A70" s="273" t="s">
        <v>1138</v>
      </c>
      <c r="B70" s="272" t="s">
        <v>4712</v>
      </c>
      <c r="C70" s="273" t="s">
        <v>1138</v>
      </c>
      <c r="D70" s="272" t="s">
        <v>3353</v>
      </c>
      <c r="E70" t="s">
        <v>4713</v>
      </c>
      <c r="F70" t="s">
        <v>4714</v>
      </c>
      <c r="G70">
        <v>18</v>
      </c>
      <c r="L70" t="s">
        <v>3351</v>
      </c>
    </row>
    <row r="71" customFormat="1" spans="1:12">
      <c r="A71" t="s">
        <v>1171</v>
      </c>
      <c r="B71" s="272" t="s">
        <v>4715</v>
      </c>
      <c r="C71" t="s">
        <v>1171</v>
      </c>
      <c r="D71" s="272" t="s">
        <v>3353</v>
      </c>
      <c r="E71" t="s">
        <v>4716</v>
      </c>
      <c r="F71" t="s">
        <v>4717</v>
      </c>
      <c r="G71">
        <v>19</v>
      </c>
      <c r="L71" t="s">
        <v>3351</v>
      </c>
    </row>
    <row r="72" customFormat="1" spans="1:12">
      <c r="A72" t="s">
        <v>1214</v>
      </c>
      <c r="B72" s="272" t="s">
        <v>4718</v>
      </c>
      <c r="C72" t="s">
        <v>1214</v>
      </c>
      <c r="D72" s="272" t="s">
        <v>3353</v>
      </c>
      <c r="E72" t="s">
        <v>4719</v>
      </c>
      <c r="F72" t="s">
        <v>4720</v>
      </c>
      <c r="G72">
        <v>20</v>
      </c>
      <c r="L72" t="s">
        <v>3351</v>
      </c>
    </row>
    <row r="73" customFormat="1" spans="1:12">
      <c r="A73" t="s">
        <v>1224</v>
      </c>
      <c r="B73" s="272" t="s">
        <v>4721</v>
      </c>
      <c r="C73" t="s">
        <v>1224</v>
      </c>
      <c r="D73" s="272" t="s">
        <v>3353</v>
      </c>
      <c r="E73" t="s">
        <v>4722</v>
      </c>
      <c r="F73" t="s">
        <v>4723</v>
      </c>
      <c r="G73">
        <v>21</v>
      </c>
      <c r="L73" t="s">
        <v>3351</v>
      </c>
    </row>
    <row r="74" customFormat="1" spans="1:12">
      <c r="A74" t="s">
        <v>1239</v>
      </c>
      <c r="B74" s="272" t="s">
        <v>4724</v>
      </c>
      <c r="C74" t="s">
        <v>1239</v>
      </c>
      <c r="D74" s="272" t="s">
        <v>3353</v>
      </c>
      <c r="E74" t="s">
        <v>4725</v>
      </c>
      <c r="F74" t="s">
        <v>4726</v>
      </c>
      <c r="G74">
        <v>22</v>
      </c>
      <c r="L74" t="s">
        <v>3351</v>
      </c>
    </row>
    <row r="75" customFormat="1" spans="1:12">
      <c r="A75" t="s">
        <v>4727</v>
      </c>
      <c r="B75" s="272" t="s">
        <v>4728</v>
      </c>
      <c r="C75" t="s">
        <v>4727</v>
      </c>
      <c r="D75" s="272" t="s">
        <v>3353</v>
      </c>
      <c r="E75" t="s">
        <v>4729</v>
      </c>
      <c r="F75" t="s">
        <v>4730</v>
      </c>
      <c r="G75">
        <v>149</v>
      </c>
      <c r="L75" t="s">
        <v>3351</v>
      </c>
    </row>
    <row r="76" customFormat="1" spans="1:12">
      <c r="A76" t="s">
        <v>1322</v>
      </c>
      <c r="B76" s="272" t="s">
        <v>4731</v>
      </c>
      <c r="C76" t="s">
        <v>1322</v>
      </c>
      <c r="D76" s="272" t="s">
        <v>3353</v>
      </c>
      <c r="E76" t="s">
        <v>4732</v>
      </c>
      <c r="F76" t="s">
        <v>4720</v>
      </c>
      <c r="G76">
        <v>151</v>
      </c>
      <c r="L76" t="s">
        <v>3351</v>
      </c>
    </row>
    <row r="77" customFormat="1" spans="1:12">
      <c r="A77" t="s">
        <v>1403</v>
      </c>
      <c r="B77" s="272" t="s">
        <v>4733</v>
      </c>
      <c r="C77" t="s">
        <v>1403</v>
      </c>
      <c r="D77" s="272" t="s">
        <v>3353</v>
      </c>
      <c r="E77" t="s">
        <v>4734</v>
      </c>
      <c r="F77" t="s">
        <v>4735</v>
      </c>
      <c r="G77">
        <v>152</v>
      </c>
      <c r="L77" t="s">
        <v>3351</v>
      </c>
    </row>
    <row r="78" customFormat="1" spans="1:12">
      <c r="A78" t="s">
        <v>1423</v>
      </c>
      <c r="B78" s="272" t="s">
        <v>4736</v>
      </c>
      <c r="C78" t="s">
        <v>1423</v>
      </c>
      <c r="D78" s="272" t="s">
        <v>3353</v>
      </c>
      <c r="E78" t="s">
        <v>4737</v>
      </c>
      <c r="F78" t="s">
        <v>4738</v>
      </c>
      <c r="G78">
        <v>153</v>
      </c>
      <c r="L78" t="s">
        <v>3351</v>
      </c>
    </row>
    <row r="79" customFormat="1" spans="1:12">
      <c r="A79" t="s">
        <v>1778</v>
      </c>
      <c r="B79" s="272" t="s">
        <v>4739</v>
      </c>
      <c r="C79" t="s">
        <v>1778</v>
      </c>
      <c r="D79" s="272" t="s">
        <v>3353</v>
      </c>
      <c r="E79" t="s">
        <v>4740</v>
      </c>
      <c r="F79" t="s">
        <v>4741</v>
      </c>
      <c r="G79">
        <v>200</v>
      </c>
      <c r="L79" t="s">
        <v>3351</v>
      </c>
    </row>
    <row r="80" customFormat="1" spans="1:12">
      <c r="A80" t="s">
        <v>4742</v>
      </c>
      <c r="B80" s="272" t="s">
        <v>4743</v>
      </c>
      <c r="C80" t="s">
        <v>4742</v>
      </c>
      <c r="D80" s="272" t="s">
        <v>3353</v>
      </c>
      <c r="E80" t="s">
        <v>4744</v>
      </c>
      <c r="F80" t="s">
        <v>4745</v>
      </c>
      <c r="G80">
        <v>265</v>
      </c>
      <c r="L80" t="s">
        <v>3351</v>
      </c>
    </row>
    <row r="81" customFormat="1" spans="1:12">
      <c r="A81" s="273" t="s">
        <v>1720</v>
      </c>
      <c r="B81" s="272">
        <v>316</v>
      </c>
      <c r="C81" s="273" t="s">
        <v>1720</v>
      </c>
      <c r="D81" s="272" t="s">
        <v>3353</v>
      </c>
      <c r="E81" t="s">
        <v>4746</v>
      </c>
      <c r="F81" t="s">
        <v>4747</v>
      </c>
      <c r="G81">
        <v>284</v>
      </c>
      <c r="L81" t="s">
        <v>3351</v>
      </c>
    </row>
    <row r="82" customFormat="1" spans="1:12">
      <c r="A82" t="s">
        <v>4748</v>
      </c>
      <c r="B82" s="272" t="s">
        <v>4749</v>
      </c>
      <c r="C82" t="s">
        <v>4748</v>
      </c>
      <c r="D82" s="272" t="s">
        <v>3353</v>
      </c>
      <c r="E82" t="s">
        <v>4750</v>
      </c>
      <c r="F82" t="s">
        <v>4751</v>
      </c>
      <c r="G82">
        <v>297</v>
      </c>
      <c r="L82" t="s">
        <v>3351</v>
      </c>
    </row>
    <row r="83" customFormat="1" spans="1:12">
      <c r="A83" t="s">
        <v>4752</v>
      </c>
      <c r="B83" s="272" t="s">
        <v>4753</v>
      </c>
      <c r="C83" t="s">
        <v>4752</v>
      </c>
      <c r="D83" s="272" t="s">
        <v>3353</v>
      </c>
      <c r="E83" t="s">
        <v>4754</v>
      </c>
      <c r="F83" t="s">
        <v>4755</v>
      </c>
      <c r="G83">
        <v>301</v>
      </c>
      <c r="L83" t="s">
        <v>3351</v>
      </c>
    </row>
    <row r="84" customFormat="1" spans="1:12">
      <c r="A84" t="s">
        <v>1508</v>
      </c>
      <c r="B84" s="272" t="s">
        <v>4756</v>
      </c>
      <c r="C84" t="s">
        <v>1508</v>
      </c>
      <c r="D84" s="272" t="s">
        <v>3365</v>
      </c>
      <c r="E84" t="s">
        <v>4482</v>
      </c>
      <c r="F84" t="s">
        <v>4483</v>
      </c>
      <c r="G84">
        <v>0</v>
      </c>
      <c r="L84" t="s">
        <v>3351</v>
      </c>
    </row>
    <row r="85" customFormat="1" spans="1:12">
      <c r="A85" t="s">
        <v>1123</v>
      </c>
      <c r="B85" s="272" t="s">
        <v>4757</v>
      </c>
      <c r="C85" t="s">
        <v>1123</v>
      </c>
      <c r="D85" s="272" t="s">
        <v>3365</v>
      </c>
      <c r="E85" t="s">
        <v>4758</v>
      </c>
      <c r="F85" t="s">
        <v>4758</v>
      </c>
      <c r="G85">
        <v>1</v>
      </c>
      <c r="L85" t="s">
        <v>3351</v>
      </c>
    </row>
    <row r="86" customFormat="1" spans="1:12">
      <c r="A86" t="s">
        <v>4759</v>
      </c>
      <c r="B86" s="272" t="s">
        <v>4760</v>
      </c>
      <c r="C86" t="s">
        <v>4759</v>
      </c>
      <c r="D86" s="272" t="s">
        <v>3365</v>
      </c>
      <c r="E86" t="s">
        <v>4761</v>
      </c>
      <c r="F86" t="s">
        <v>4762</v>
      </c>
      <c r="G86">
        <v>3</v>
      </c>
      <c r="L86" t="s">
        <v>3351</v>
      </c>
    </row>
    <row r="87" customFormat="1" spans="1:12">
      <c r="A87" t="s">
        <v>4763</v>
      </c>
      <c r="B87" s="272" t="s">
        <v>4764</v>
      </c>
      <c r="C87" t="s">
        <v>4763</v>
      </c>
      <c r="D87" s="272" t="s">
        <v>3365</v>
      </c>
      <c r="E87" t="s">
        <v>4765</v>
      </c>
      <c r="F87" t="s">
        <v>4766</v>
      </c>
      <c r="G87">
        <v>2</v>
      </c>
      <c r="L87" t="s">
        <v>3351</v>
      </c>
    </row>
    <row r="88" customFormat="1" spans="1:12">
      <c r="A88" t="s">
        <v>4767</v>
      </c>
      <c r="B88" s="272" t="s">
        <v>4768</v>
      </c>
      <c r="C88" t="s">
        <v>4767</v>
      </c>
      <c r="D88" s="272" t="s">
        <v>3365</v>
      </c>
      <c r="E88" t="s">
        <v>4769</v>
      </c>
      <c r="F88" t="s">
        <v>4770</v>
      </c>
      <c r="G88">
        <v>204</v>
      </c>
      <c r="L88" t="s">
        <v>3351</v>
      </c>
    </row>
    <row r="89" customFormat="1" spans="1:12">
      <c r="A89" t="s">
        <v>4771</v>
      </c>
      <c r="B89" s="272" t="s">
        <v>4772</v>
      </c>
      <c r="C89" t="s">
        <v>4771</v>
      </c>
      <c r="D89" s="272" t="s">
        <v>3365</v>
      </c>
      <c r="E89" t="s">
        <v>4773</v>
      </c>
      <c r="F89" t="s">
        <v>4774</v>
      </c>
      <c r="G89">
        <v>288</v>
      </c>
      <c r="L89" t="s">
        <v>3351</v>
      </c>
    </row>
    <row r="90" customFormat="1" spans="1:12">
      <c r="A90" t="s">
        <v>1576</v>
      </c>
      <c r="B90" s="272" t="s">
        <v>4775</v>
      </c>
      <c r="C90" t="s">
        <v>1576</v>
      </c>
      <c r="D90" s="272" t="s">
        <v>3370</v>
      </c>
      <c r="E90" t="s">
        <v>4776</v>
      </c>
      <c r="F90" t="s">
        <v>4777</v>
      </c>
      <c r="G90">
        <v>68</v>
      </c>
      <c r="L90" t="s">
        <v>3351</v>
      </c>
    </row>
    <row r="91" customFormat="1" spans="1:12">
      <c r="A91" t="s">
        <v>1560</v>
      </c>
      <c r="B91" s="272" t="s">
        <v>4778</v>
      </c>
      <c r="C91" t="s">
        <v>1560</v>
      </c>
      <c r="D91" s="272" t="s">
        <v>3370</v>
      </c>
      <c r="E91" t="s">
        <v>4484</v>
      </c>
      <c r="F91" t="s">
        <v>4485</v>
      </c>
      <c r="G91">
        <v>67</v>
      </c>
      <c r="L91" t="s">
        <v>3351</v>
      </c>
    </row>
    <row r="92" s="271" customFormat="1" spans="1:12">
      <c r="A92" s="271" t="s">
        <v>1571</v>
      </c>
      <c r="B92" s="274">
        <v>503</v>
      </c>
      <c r="C92" s="271" t="s">
        <v>1571</v>
      </c>
      <c r="D92" s="274">
        <v>5</v>
      </c>
      <c r="E92" s="271" t="s">
        <v>4779</v>
      </c>
      <c r="F92" s="271" t="s">
        <v>4779</v>
      </c>
      <c r="G92" s="271">
        <v>67</v>
      </c>
      <c r="H92" s="271"/>
      <c r="I92" s="271"/>
      <c r="J92" s="271"/>
      <c r="K92" s="271"/>
      <c r="L92" s="271">
        <v>1</v>
      </c>
    </row>
    <row r="93" customFormat="1" spans="1:12">
      <c r="A93" t="s">
        <v>4780</v>
      </c>
      <c r="B93" s="272">
        <v>505</v>
      </c>
      <c r="C93" t="s">
        <v>4780</v>
      </c>
      <c r="D93" s="272" t="s">
        <v>3370</v>
      </c>
      <c r="E93" t="s">
        <v>4781</v>
      </c>
      <c r="F93" t="s">
        <v>4782</v>
      </c>
      <c r="G93">
        <v>167</v>
      </c>
      <c r="L93" t="s">
        <v>3351</v>
      </c>
    </row>
    <row r="94" customFormat="1" spans="1:12">
      <c r="A94" t="s">
        <v>4783</v>
      </c>
      <c r="B94" s="272" t="s">
        <v>4784</v>
      </c>
      <c r="C94" t="s">
        <v>4783</v>
      </c>
      <c r="D94" s="272" t="s">
        <v>3370</v>
      </c>
      <c r="E94" t="s">
        <v>4785</v>
      </c>
      <c r="F94" t="s">
        <v>4786</v>
      </c>
      <c r="G94">
        <v>289</v>
      </c>
      <c r="L94" t="s">
        <v>3351</v>
      </c>
    </row>
    <row r="95" s="271" customFormat="1" spans="1:12">
      <c r="A95" s="271" t="s">
        <v>1450</v>
      </c>
      <c r="B95" s="274">
        <v>506</v>
      </c>
      <c r="C95" s="271" t="s">
        <v>1450</v>
      </c>
      <c r="D95" s="274">
        <v>5</v>
      </c>
      <c r="E95" s="271" t="s">
        <v>4787</v>
      </c>
      <c r="F95" s="271" t="s">
        <v>4787</v>
      </c>
      <c r="G95" s="271">
        <v>1</v>
      </c>
      <c r="H95" s="271"/>
      <c r="I95" s="271"/>
      <c r="J95" s="271"/>
      <c r="K95" s="271"/>
      <c r="L95" s="271">
        <v>1</v>
      </c>
    </row>
    <row r="96" customFormat="1" spans="1:12">
      <c r="A96" s="273" t="s">
        <v>1720</v>
      </c>
      <c r="B96" s="272" t="s">
        <v>4788</v>
      </c>
      <c r="C96" s="273" t="s">
        <v>1720</v>
      </c>
      <c r="D96" s="272" t="s">
        <v>3371</v>
      </c>
      <c r="E96" t="s">
        <v>4746</v>
      </c>
      <c r="F96" t="s">
        <v>4747</v>
      </c>
      <c r="G96">
        <v>34</v>
      </c>
      <c r="L96" t="s">
        <v>3351</v>
      </c>
    </row>
    <row r="97" customFormat="1" spans="1:12">
      <c r="A97" t="s">
        <v>1778</v>
      </c>
      <c r="B97" s="272" t="s">
        <v>4789</v>
      </c>
      <c r="C97" t="s">
        <v>1778</v>
      </c>
      <c r="D97" s="272" t="s">
        <v>3371</v>
      </c>
      <c r="E97" t="s">
        <v>4740</v>
      </c>
      <c r="F97" t="s">
        <v>4741</v>
      </c>
      <c r="G97">
        <v>35</v>
      </c>
      <c r="L97" t="s">
        <v>3351</v>
      </c>
    </row>
    <row r="98" customFormat="1" spans="1:12">
      <c r="A98" t="s">
        <v>1423</v>
      </c>
      <c r="B98" s="272" t="s">
        <v>4790</v>
      </c>
      <c r="C98" t="s">
        <v>1423</v>
      </c>
      <c r="D98" s="272" t="s">
        <v>3371</v>
      </c>
      <c r="E98" t="s">
        <v>4737</v>
      </c>
      <c r="F98" t="s">
        <v>4738</v>
      </c>
      <c r="G98">
        <v>36</v>
      </c>
      <c r="L98" t="s">
        <v>3351</v>
      </c>
    </row>
    <row r="99" customFormat="1" spans="1:12">
      <c r="A99" s="273" t="s">
        <v>1582</v>
      </c>
      <c r="B99" s="272" t="s">
        <v>4791</v>
      </c>
      <c r="C99" s="273" t="s">
        <v>1582</v>
      </c>
      <c r="D99" s="272" t="s">
        <v>3371</v>
      </c>
      <c r="E99" t="s">
        <v>4792</v>
      </c>
      <c r="F99" t="s">
        <v>4793</v>
      </c>
      <c r="G99">
        <v>37</v>
      </c>
      <c r="L99" t="s">
        <v>3351</v>
      </c>
    </row>
    <row r="100" customFormat="1" spans="1:12">
      <c r="A100" s="273" t="s">
        <v>2133</v>
      </c>
      <c r="B100" s="272" t="s">
        <v>4794</v>
      </c>
      <c r="C100" s="273" t="s">
        <v>2133</v>
      </c>
      <c r="D100" s="272" t="s">
        <v>3371</v>
      </c>
      <c r="E100" t="s">
        <v>4795</v>
      </c>
      <c r="F100" t="s">
        <v>4796</v>
      </c>
      <c r="G100">
        <v>38</v>
      </c>
      <c r="L100" t="s">
        <v>3351</v>
      </c>
    </row>
    <row r="101" customFormat="1" spans="1:12">
      <c r="A101" t="s">
        <v>2009</v>
      </c>
      <c r="B101" s="272" t="s">
        <v>4797</v>
      </c>
      <c r="C101" t="s">
        <v>2009</v>
      </c>
      <c r="D101" s="272" t="s">
        <v>3371</v>
      </c>
      <c r="E101" t="s">
        <v>4798</v>
      </c>
      <c r="F101" t="s">
        <v>4799</v>
      </c>
      <c r="G101">
        <v>39</v>
      </c>
      <c r="L101" t="s">
        <v>3351</v>
      </c>
    </row>
    <row r="102" customFormat="1" spans="1:12">
      <c r="A102" t="s">
        <v>4800</v>
      </c>
      <c r="B102" s="272" t="s">
        <v>4801</v>
      </c>
      <c r="C102" t="s">
        <v>4800</v>
      </c>
      <c r="D102" s="272" t="s">
        <v>3371</v>
      </c>
      <c r="E102" t="s">
        <v>4802</v>
      </c>
      <c r="F102" t="s">
        <v>4803</v>
      </c>
      <c r="G102">
        <v>40</v>
      </c>
      <c r="L102" t="s">
        <v>3351</v>
      </c>
    </row>
    <row r="103" customFormat="1" spans="1:12">
      <c r="A103" s="273" t="s">
        <v>2111</v>
      </c>
      <c r="B103" s="272" t="s">
        <v>4804</v>
      </c>
      <c r="C103" s="273" t="s">
        <v>2111</v>
      </c>
      <c r="D103" s="272" t="s">
        <v>3371</v>
      </c>
      <c r="E103" t="s">
        <v>4805</v>
      </c>
      <c r="F103" t="s">
        <v>4806</v>
      </c>
      <c r="G103">
        <v>41</v>
      </c>
      <c r="L103" t="s">
        <v>3351</v>
      </c>
    </row>
    <row r="104" customFormat="1" spans="1:12">
      <c r="A104" t="s">
        <v>4807</v>
      </c>
      <c r="B104" s="272" t="s">
        <v>4808</v>
      </c>
      <c r="C104" t="s">
        <v>4807</v>
      </c>
      <c r="D104" s="272" t="s">
        <v>3371</v>
      </c>
      <c r="E104" t="s">
        <v>4809</v>
      </c>
      <c r="F104" t="s">
        <v>4810</v>
      </c>
      <c r="G104">
        <v>42</v>
      </c>
      <c r="L104" t="s">
        <v>3351</v>
      </c>
    </row>
    <row r="105" customFormat="1" spans="1:12">
      <c r="A105" t="s">
        <v>4811</v>
      </c>
      <c r="B105" s="272" t="s">
        <v>4812</v>
      </c>
      <c r="C105" t="s">
        <v>4811</v>
      </c>
      <c r="D105" s="272" t="s">
        <v>3371</v>
      </c>
      <c r="E105" t="s">
        <v>4813</v>
      </c>
      <c r="F105" t="s">
        <v>4814</v>
      </c>
      <c r="G105">
        <v>140</v>
      </c>
      <c r="L105" t="s">
        <v>3351</v>
      </c>
    </row>
    <row r="106" customFormat="1" spans="1:12">
      <c r="A106" t="s">
        <v>4815</v>
      </c>
      <c r="B106" s="272" t="s">
        <v>4816</v>
      </c>
      <c r="C106" t="s">
        <v>4815</v>
      </c>
      <c r="D106" s="272" t="s">
        <v>3371</v>
      </c>
      <c r="E106" t="s">
        <v>4817</v>
      </c>
      <c r="F106" t="s">
        <v>4818</v>
      </c>
      <c r="G106">
        <v>147</v>
      </c>
      <c r="L106" t="s">
        <v>3351</v>
      </c>
    </row>
    <row r="107" customFormat="1" spans="1:12">
      <c r="A107" t="s">
        <v>4819</v>
      </c>
      <c r="B107" s="272" t="s">
        <v>4820</v>
      </c>
      <c r="C107" t="s">
        <v>4819</v>
      </c>
      <c r="D107" s="272" t="s">
        <v>3371</v>
      </c>
      <c r="E107" t="s">
        <v>4821</v>
      </c>
      <c r="F107" t="s">
        <v>4822</v>
      </c>
      <c r="G107">
        <v>157</v>
      </c>
      <c r="L107" t="s">
        <v>3351</v>
      </c>
    </row>
    <row r="108" customFormat="1" spans="1:12">
      <c r="A108" t="s">
        <v>4823</v>
      </c>
      <c r="B108" s="272" t="s">
        <v>4824</v>
      </c>
      <c r="C108" t="s">
        <v>4823</v>
      </c>
      <c r="D108" s="272" t="s">
        <v>3371</v>
      </c>
      <c r="E108" t="s">
        <v>4825</v>
      </c>
      <c r="F108" t="s">
        <v>4826</v>
      </c>
      <c r="G108">
        <v>164</v>
      </c>
      <c r="L108" t="s">
        <v>3351</v>
      </c>
    </row>
    <row r="109" customFormat="1" spans="1:12">
      <c r="A109" t="s">
        <v>4827</v>
      </c>
      <c r="B109" s="272" t="s">
        <v>4828</v>
      </c>
      <c r="C109" t="s">
        <v>4827</v>
      </c>
      <c r="D109" s="272" t="s">
        <v>3371</v>
      </c>
      <c r="E109" t="s">
        <v>4829</v>
      </c>
      <c r="F109" t="s">
        <v>4830</v>
      </c>
      <c r="G109">
        <v>184</v>
      </c>
      <c r="L109" t="s">
        <v>3351</v>
      </c>
    </row>
    <row r="110" customFormat="1" spans="1:12">
      <c r="A110" t="s">
        <v>4831</v>
      </c>
      <c r="B110" s="272" t="s">
        <v>4832</v>
      </c>
      <c r="C110" t="s">
        <v>4831</v>
      </c>
      <c r="D110" s="272" t="s">
        <v>3371</v>
      </c>
      <c r="E110" t="s">
        <v>4833</v>
      </c>
      <c r="F110" t="s">
        <v>4834</v>
      </c>
      <c r="G110">
        <v>275</v>
      </c>
      <c r="L110" t="s">
        <v>3351</v>
      </c>
    </row>
    <row r="111" customFormat="1" spans="1:12">
      <c r="A111" t="s">
        <v>4835</v>
      </c>
      <c r="B111" s="272" t="s">
        <v>4836</v>
      </c>
      <c r="C111" t="s">
        <v>4835</v>
      </c>
      <c r="D111" s="272" t="s">
        <v>3371</v>
      </c>
      <c r="E111" t="s">
        <v>4837</v>
      </c>
      <c r="F111" t="s">
        <v>4838</v>
      </c>
      <c r="G111">
        <v>282</v>
      </c>
      <c r="L111" t="s">
        <v>3351</v>
      </c>
    </row>
    <row r="112" customFormat="1" spans="1:12">
      <c r="A112" s="273" t="s">
        <v>3434</v>
      </c>
      <c r="B112" s="272" t="s">
        <v>4839</v>
      </c>
      <c r="C112" s="273" t="s">
        <v>3434</v>
      </c>
      <c r="D112" s="272" t="s">
        <v>4488</v>
      </c>
      <c r="E112" t="s">
        <v>4840</v>
      </c>
      <c r="F112" t="s">
        <v>4841</v>
      </c>
      <c r="G112">
        <v>44</v>
      </c>
      <c r="L112" t="s">
        <v>3351</v>
      </c>
    </row>
    <row r="113" customFormat="1" spans="1:12">
      <c r="A113" s="273" t="s">
        <v>3605</v>
      </c>
      <c r="B113" s="272" t="s">
        <v>4842</v>
      </c>
      <c r="C113" s="273" t="s">
        <v>3605</v>
      </c>
      <c r="D113" s="272" t="s">
        <v>4488</v>
      </c>
      <c r="E113" t="s">
        <v>4843</v>
      </c>
      <c r="F113" t="s">
        <v>4844</v>
      </c>
      <c r="G113">
        <v>45</v>
      </c>
      <c r="L113" t="s">
        <v>3351</v>
      </c>
    </row>
    <row r="114" customFormat="1" spans="1:12">
      <c r="A114" t="s">
        <v>4845</v>
      </c>
      <c r="B114" s="272" t="s">
        <v>4846</v>
      </c>
      <c r="C114" t="s">
        <v>4845</v>
      </c>
      <c r="D114" s="272" t="s">
        <v>4488</v>
      </c>
      <c r="E114" t="s">
        <v>4847</v>
      </c>
      <c r="F114" t="s">
        <v>4847</v>
      </c>
      <c r="G114">
        <v>1</v>
      </c>
      <c r="L114" t="s">
        <v>3351</v>
      </c>
    </row>
    <row r="115" s="271" customFormat="1" spans="1:12">
      <c r="A115" s="271" t="s">
        <v>3538</v>
      </c>
      <c r="B115" s="274">
        <v>804</v>
      </c>
      <c r="C115" s="271" t="s">
        <v>3538</v>
      </c>
      <c r="D115" s="274">
        <v>8</v>
      </c>
      <c r="E115" s="271" t="s">
        <v>4848</v>
      </c>
      <c r="F115" s="271" t="s">
        <v>4848</v>
      </c>
      <c r="G115" s="271">
        <v>1</v>
      </c>
      <c r="H115" s="271"/>
      <c r="I115" s="271"/>
      <c r="J115" s="271"/>
      <c r="K115" s="271"/>
      <c r="L115" s="271">
        <v>1</v>
      </c>
    </row>
    <row r="116" customFormat="1" spans="1:12">
      <c r="A116" t="s">
        <v>4849</v>
      </c>
      <c r="B116" s="272" t="s">
        <v>4850</v>
      </c>
      <c r="C116" t="s">
        <v>4849</v>
      </c>
      <c r="D116" s="272" t="s">
        <v>4488</v>
      </c>
      <c r="E116" t="s">
        <v>4851</v>
      </c>
      <c r="F116" t="s">
        <v>4851</v>
      </c>
      <c r="G116">
        <v>1</v>
      </c>
      <c r="L116" t="s">
        <v>3351</v>
      </c>
    </row>
    <row r="117" customFormat="1" spans="1:12">
      <c r="A117" t="s">
        <v>4852</v>
      </c>
      <c r="B117" s="272" t="s">
        <v>4853</v>
      </c>
      <c r="C117" t="s">
        <v>4852</v>
      </c>
      <c r="D117" s="272" t="s">
        <v>4488</v>
      </c>
      <c r="E117" t="s">
        <v>4854</v>
      </c>
      <c r="F117" t="s">
        <v>4854</v>
      </c>
      <c r="G117">
        <v>1</v>
      </c>
      <c r="L117" t="s">
        <v>3351</v>
      </c>
    </row>
    <row r="118" customFormat="1" spans="1:12">
      <c r="A118" t="s">
        <v>4855</v>
      </c>
      <c r="B118" s="272" t="s">
        <v>4856</v>
      </c>
      <c r="C118" t="s">
        <v>4855</v>
      </c>
      <c r="D118" s="272" t="s">
        <v>4488</v>
      </c>
      <c r="E118" t="s">
        <v>4857</v>
      </c>
      <c r="F118" t="s">
        <v>4858</v>
      </c>
      <c r="G118">
        <v>176</v>
      </c>
      <c r="L118" t="s">
        <v>3351</v>
      </c>
    </row>
    <row r="119" customFormat="1" spans="1:12">
      <c r="A119" t="s">
        <v>4859</v>
      </c>
      <c r="B119" s="272" t="s">
        <v>4860</v>
      </c>
      <c r="C119" t="s">
        <v>4859</v>
      </c>
      <c r="D119" s="272" t="s">
        <v>4488</v>
      </c>
      <c r="E119" t="s">
        <v>4861</v>
      </c>
      <c r="F119" t="s">
        <v>4862</v>
      </c>
      <c r="G119">
        <v>193</v>
      </c>
      <c r="L119" t="s">
        <v>3351</v>
      </c>
    </row>
    <row r="120" customFormat="1" spans="1:12">
      <c r="A120" t="s">
        <v>4863</v>
      </c>
      <c r="B120" s="272" t="s">
        <v>4864</v>
      </c>
      <c r="C120" t="s">
        <v>4863</v>
      </c>
      <c r="D120" s="272" t="s">
        <v>4488</v>
      </c>
      <c r="E120" t="s">
        <v>4865</v>
      </c>
      <c r="F120" t="s">
        <v>4866</v>
      </c>
      <c r="G120">
        <v>194</v>
      </c>
      <c r="L120" t="s">
        <v>3351</v>
      </c>
    </row>
    <row r="121" customFormat="1" spans="1:12">
      <c r="A121" t="s">
        <v>4867</v>
      </c>
      <c r="B121" s="272" t="s">
        <v>4868</v>
      </c>
      <c r="C121" t="s">
        <v>4867</v>
      </c>
      <c r="D121" s="272" t="s">
        <v>4488</v>
      </c>
      <c r="E121" t="s">
        <v>4869</v>
      </c>
      <c r="F121" t="s">
        <v>4870</v>
      </c>
      <c r="G121">
        <v>197</v>
      </c>
      <c r="L121" t="s">
        <v>3351</v>
      </c>
    </row>
    <row r="122" customFormat="1" spans="1:12">
      <c r="A122" t="s">
        <v>4871</v>
      </c>
      <c r="B122" s="272" t="s">
        <v>4872</v>
      </c>
      <c r="C122" t="s">
        <v>4871</v>
      </c>
      <c r="D122" s="272" t="s">
        <v>4488</v>
      </c>
      <c r="E122" t="s">
        <v>4873</v>
      </c>
      <c r="F122" t="s">
        <v>4874</v>
      </c>
      <c r="G122">
        <v>198</v>
      </c>
      <c r="L122" t="s">
        <v>3351</v>
      </c>
    </row>
    <row r="123" customFormat="1" spans="1:12">
      <c r="A123" t="s">
        <v>4875</v>
      </c>
      <c r="B123" s="272" t="s">
        <v>4876</v>
      </c>
      <c r="C123" t="s">
        <v>4875</v>
      </c>
      <c r="D123" s="272" t="s">
        <v>4488</v>
      </c>
      <c r="E123" t="s">
        <v>4877</v>
      </c>
      <c r="F123" t="s">
        <v>4878</v>
      </c>
      <c r="G123">
        <v>199</v>
      </c>
      <c r="L123" t="s">
        <v>3351</v>
      </c>
    </row>
    <row r="124" customFormat="1" spans="1:12">
      <c r="A124" t="s">
        <v>4879</v>
      </c>
      <c r="B124" s="272" t="s">
        <v>4880</v>
      </c>
      <c r="C124" t="s">
        <v>4879</v>
      </c>
      <c r="D124" s="272" t="s">
        <v>4488</v>
      </c>
      <c r="E124" t="s">
        <v>4881</v>
      </c>
      <c r="F124" t="s">
        <v>4882</v>
      </c>
      <c r="G124">
        <v>258</v>
      </c>
      <c r="L124" t="s">
        <v>3351</v>
      </c>
    </row>
    <row r="125" customFormat="1" spans="1:12">
      <c r="A125" t="s">
        <v>4883</v>
      </c>
      <c r="B125" s="272" t="s">
        <v>4884</v>
      </c>
      <c r="C125" t="s">
        <v>4883</v>
      </c>
      <c r="D125" s="272" t="s">
        <v>4488</v>
      </c>
      <c r="E125" t="s">
        <v>4885</v>
      </c>
      <c r="F125" t="s">
        <v>4886</v>
      </c>
      <c r="G125">
        <v>259</v>
      </c>
      <c r="L125" t="s">
        <v>3351</v>
      </c>
    </row>
    <row r="126" customFormat="1" spans="1:12">
      <c r="A126" t="s">
        <v>4887</v>
      </c>
      <c r="B126" s="272" t="s">
        <v>4888</v>
      </c>
      <c r="C126" t="s">
        <v>4887</v>
      </c>
      <c r="D126" s="272" t="s">
        <v>4488</v>
      </c>
      <c r="E126" t="s">
        <v>4889</v>
      </c>
      <c r="F126" t="s">
        <v>4890</v>
      </c>
      <c r="G126">
        <v>260</v>
      </c>
      <c r="L126" t="s">
        <v>3351</v>
      </c>
    </row>
    <row r="127" customFormat="1" spans="1:12">
      <c r="A127" t="s">
        <v>4891</v>
      </c>
      <c r="B127" s="272" t="s">
        <v>4892</v>
      </c>
      <c r="C127" t="s">
        <v>4891</v>
      </c>
      <c r="D127" s="272" t="s">
        <v>4488</v>
      </c>
      <c r="E127" t="s">
        <v>4893</v>
      </c>
      <c r="F127" t="s">
        <v>4894</v>
      </c>
      <c r="G127">
        <v>261</v>
      </c>
      <c r="L127" t="s">
        <v>3351</v>
      </c>
    </row>
    <row r="128" customFormat="1" spans="1:12">
      <c r="A128" t="s">
        <v>4895</v>
      </c>
      <c r="B128" s="272" t="s">
        <v>4896</v>
      </c>
      <c r="C128" t="s">
        <v>4895</v>
      </c>
      <c r="D128" s="272" t="s">
        <v>4488</v>
      </c>
      <c r="E128" t="s">
        <v>4897</v>
      </c>
      <c r="F128" t="s">
        <v>4898</v>
      </c>
      <c r="G128">
        <v>262</v>
      </c>
      <c r="L128" t="s">
        <v>3351</v>
      </c>
    </row>
    <row r="129" customFormat="1" spans="1:12">
      <c r="A129" t="s">
        <v>4899</v>
      </c>
      <c r="B129" s="272" t="s">
        <v>4900</v>
      </c>
      <c r="C129" t="s">
        <v>4899</v>
      </c>
      <c r="D129" s="272" t="s">
        <v>4488</v>
      </c>
      <c r="E129" t="s">
        <v>4901</v>
      </c>
      <c r="F129" t="s">
        <v>4902</v>
      </c>
      <c r="G129">
        <v>263</v>
      </c>
      <c r="L129" t="s">
        <v>3351</v>
      </c>
    </row>
    <row r="130" customFormat="1" spans="1:12">
      <c r="A130" t="s">
        <v>4903</v>
      </c>
      <c r="B130" s="272" t="s">
        <v>4904</v>
      </c>
      <c r="C130" t="s">
        <v>4903</v>
      </c>
      <c r="D130" s="272" t="s">
        <v>4492</v>
      </c>
      <c r="E130" t="s">
        <v>4905</v>
      </c>
      <c r="F130" t="s">
        <v>4906</v>
      </c>
      <c r="G130">
        <v>2</v>
      </c>
      <c r="L130" t="s">
        <v>3351</v>
      </c>
    </row>
    <row r="131" customFormat="1" spans="1:12">
      <c r="A131" t="s">
        <v>4907</v>
      </c>
      <c r="B131" s="272" t="s">
        <v>4908</v>
      </c>
      <c r="C131" t="s">
        <v>4907</v>
      </c>
      <c r="D131" s="272" t="s">
        <v>4492</v>
      </c>
      <c r="E131" t="s">
        <v>4909</v>
      </c>
      <c r="F131" t="s">
        <v>4910</v>
      </c>
      <c r="G131">
        <v>3</v>
      </c>
      <c r="L131" t="s">
        <v>3351</v>
      </c>
    </row>
    <row r="132" customFormat="1" spans="1:12">
      <c r="A132" t="s">
        <v>4911</v>
      </c>
      <c r="B132" s="272" t="s">
        <v>4912</v>
      </c>
      <c r="C132" t="s">
        <v>4911</v>
      </c>
      <c r="D132" s="272" t="s">
        <v>4495</v>
      </c>
      <c r="E132" t="s">
        <v>4913</v>
      </c>
      <c r="F132" t="s">
        <v>4914</v>
      </c>
      <c r="G132">
        <v>6</v>
      </c>
      <c r="L132" t="s">
        <v>3351</v>
      </c>
    </row>
    <row r="133" customFormat="1" spans="1:12">
      <c r="A133" t="s">
        <v>4915</v>
      </c>
      <c r="B133" s="272" t="s">
        <v>4916</v>
      </c>
      <c r="C133" t="s">
        <v>4915</v>
      </c>
      <c r="D133" s="272" t="s">
        <v>4495</v>
      </c>
      <c r="E133" t="s">
        <v>4917</v>
      </c>
      <c r="F133" t="s">
        <v>4918</v>
      </c>
      <c r="G133">
        <v>7</v>
      </c>
      <c r="L133" t="s">
        <v>3351</v>
      </c>
    </row>
    <row r="134" customFormat="1" spans="1:12">
      <c r="A134" t="s">
        <v>4498</v>
      </c>
      <c r="B134" s="272" t="s">
        <v>4919</v>
      </c>
      <c r="C134" t="s">
        <v>4498</v>
      </c>
      <c r="D134" s="272" t="s">
        <v>4499</v>
      </c>
      <c r="E134" t="s">
        <v>4500</v>
      </c>
      <c r="F134" t="s">
        <v>4501</v>
      </c>
      <c r="G134">
        <v>47</v>
      </c>
      <c r="L134" t="s">
        <v>3351</v>
      </c>
    </row>
    <row r="135" customFormat="1" spans="1:12">
      <c r="A135" t="s">
        <v>2313</v>
      </c>
      <c r="B135" s="272" t="s">
        <v>4920</v>
      </c>
      <c r="C135" t="s">
        <v>2313</v>
      </c>
      <c r="D135" s="272" t="s">
        <v>4502</v>
      </c>
      <c r="E135" t="s">
        <v>4921</v>
      </c>
      <c r="F135" t="s">
        <v>4922</v>
      </c>
      <c r="G135">
        <v>1</v>
      </c>
      <c r="L135" t="s">
        <v>3351</v>
      </c>
    </row>
    <row r="136" customFormat="1" spans="1:12">
      <c r="A136" s="273" t="s">
        <v>2332</v>
      </c>
      <c r="B136" s="272" t="s">
        <v>4923</v>
      </c>
      <c r="C136" s="273" t="s">
        <v>2332</v>
      </c>
      <c r="D136" s="272" t="s">
        <v>4502</v>
      </c>
      <c r="E136" t="s">
        <v>4924</v>
      </c>
      <c r="F136" t="s">
        <v>4925</v>
      </c>
      <c r="G136">
        <v>2</v>
      </c>
      <c r="L136" t="s">
        <v>3351</v>
      </c>
    </row>
    <row r="137" customFormat="1" spans="1:12">
      <c r="A137" t="s">
        <v>2409</v>
      </c>
      <c r="B137" s="272" t="s">
        <v>4926</v>
      </c>
      <c r="C137" t="s">
        <v>2409</v>
      </c>
      <c r="D137" s="272" t="s">
        <v>4502</v>
      </c>
      <c r="E137" t="s">
        <v>4927</v>
      </c>
      <c r="F137" t="s">
        <v>4928</v>
      </c>
      <c r="G137">
        <v>3</v>
      </c>
      <c r="L137" t="s">
        <v>3351</v>
      </c>
    </row>
    <row r="138" customFormat="1" spans="1:12">
      <c r="A138" t="s">
        <v>4929</v>
      </c>
      <c r="B138" s="272" t="s">
        <v>4930</v>
      </c>
      <c r="C138" t="s">
        <v>4929</v>
      </c>
      <c r="D138" s="272" t="s">
        <v>4502</v>
      </c>
      <c r="E138" t="s">
        <v>4931</v>
      </c>
      <c r="F138" t="s">
        <v>4932</v>
      </c>
      <c r="G138">
        <v>4</v>
      </c>
      <c r="L138" t="s">
        <v>3351</v>
      </c>
    </row>
    <row r="139" customFormat="1" spans="1:12">
      <c r="A139" t="s">
        <v>4933</v>
      </c>
      <c r="B139" s="272" t="s">
        <v>4934</v>
      </c>
      <c r="C139" t="s">
        <v>4933</v>
      </c>
      <c r="D139" s="272" t="s">
        <v>4502</v>
      </c>
      <c r="E139" t="s">
        <v>4935</v>
      </c>
      <c r="F139" t="s">
        <v>4936</v>
      </c>
      <c r="G139">
        <v>5</v>
      </c>
      <c r="L139" t="s">
        <v>3351</v>
      </c>
    </row>
    <row r="140" customFormat="1" spans="1:12">
      <c r="A140" s="273" t="s">
        <v>2397</v>
      </c>
      <c r="B140" s="272" t="s">
        <v>4937</v>
      </c>
      <c r="C140" s="273" t="s">
        <v>2397</v>
      </c>
      <c r="D140" s="272" t="s">
        <v>4502</v>
      </c>
      <c r="E140" t="s">
        <v>4938</v>
      </c>
      <c r="F140" t="s">
        <v>4939</v>
      </c>
      <c r="G140">
        <v>6</v>
      </c>
      <c r="L140" t="s">
        <v>3351</v>
      </c>
    </row>
    <row r="141" customFormat="1" spans="1:12">
      <c r="A141" t="s">
        <v>4940</v>
      </c>
      <c r="B141" s="272" t="s">
        <v>4941</v>
      </c>
      <c r="C141" t="s">
        <v>4940</v>
      </c>
      <c r="D141" s="272" t="s">
        <v>4502</v>
      </c>
      <c r="E141" t="s">
        <v>4942</v>
      </c>
      <c r="F141" t="s">
        <v>4943</v>
      </c>
      <c r="G141">
        <v>7</v>
      </c>
      <c r="L141" t="s">
        <v>3351</v>
      </c>
    </row>
    <row r="142" customFormat="1" spans="1:12">
      <c r="A142" s="273" t="s">
        <v>2374</v>
      </c>
      <c r="B142" s="272" t="s">
        <v>4944</v>
      </c>
      <c r="C142" s="273" t="s">
        <v>2374</v>
      </c>
      <c r="D142" s="272" t="s">
        <v>4502</v>
      </c>
      <c r="E142" t="s">
        <v>4945</v>
      </c>
      <c r="F142" t="s">
        <v>4946</v>
      </c>
      <c r="G142">
        <v>8</v>
      </c>
      <c r="L142" t="s">
        <v>3351</v>
      </c>
    </row>
    <row r="143" s="271" customFormat="1" spans="1:12">
      <c r="A143" s="271" t="s">
        <v>2344</v>
      </c>
      <c r="B143" s="274" t="s">
        <v>4947</v>
      </c>
      <c r="C143" s="271" t="s">
        <v>2344</v>
      </c>
      <c r="D143" s="274" t="s">
        <v>4502</v>
      </c>
      <c r="E143" s="271" t="s">
        <v>4948</v>
      </c>
      <c r="F143" s="271" t="s">
        <v>4949</v>
      </c>
      <c r="G143" s="271">
        <v>9</v>
      </c>
      <c r="H143" s="271"/>
      <c r="I143" s="271"/>
      <c r="J143" s="271"/>
      <c r="K143" s="271"/>
      <c r="L143" s="271" t="s">
        <v>3351</v>
      </c>
    </row>
    <row r="144" customFormat="1" spans="1:12">
      <c r="A144" t="s">
        <v>4950</v>
      </c>
      <c r="B144" s="272" t="s">
        <v>4951</v>
      </c>
      <c r="C144" t="s">
        <v>4950</v>
      </c>
      <c r="D144" s="272" t="s">
        <v>4502</v>
      </c>
      <c r="E144" t="s">
        <v>4952</v>
      </c>
      <c r="F144" t="s">
        <v>4953</v>
      </c>
      <c r="G144">
        <v>10</v>
      </c>
      <c r="L144" t="s">
        <v>3351</v>
      </c>
    </row>
    <row r="145" customFormat="1" spans="1:12">
      <c r="A145" t="s">
        <v>4954</v>
      </c>
      <c r="B145" s="272" t="s">
        <v>4955</v>
      </c>
      <c r="C145" t="s">
        <v>4954</v>
      </c>
      <c r="D145" s="272" t="s">
        <v>4502</v>
      </c>
      <c r="E145" t="s">
        <v>4956</v>
      </c>
      <c r="F145" t="s">
        <v>4957</v>
      </c>
      <c r="G145">
        <v>0</v>
      </c>
      <c r="L145" t="s">
        <v>3351</v>
      </c>
    </row>
    <row r="146" customFormat="1" spans="1:12">
      <c r="A146" t="s">
        <v>4958</v>
      </c>
      <c r="B146" s="272" t="s">
        <v>4959</v>
      </c>
      <c r="C146" t="s">
        <v>4958</v>
      </c>
      <c r="D146" s="272" t="s">
        <v>4502</v>
      </c>
      <c r="E146" t="s">
        <v>4960</v>
      </c>
      <c r="F146" t="s">
        <v>4961</v>
      </c>
      <c r="G146">
        <v>189</v>
      </c>
      <c r="L146" t="s">
        <v>3351</v>
      </c>
    </row>
    <row r="147" customFormat="1" spans="1:12">
      <c r="A147" t="s">
        <v>4962</v>
      </c>
      <c r="B147" s="272" t="s">
        <v>4963</v>
      </c>
      <c r="C147" t="s">
        <v>4962</v>
      </c>
      <c r="D147" s="272" t="s">
        <v>4502</v>
      </c>
      <c r="E147" t="s">
        <v>4945</v>
      </c>
      <c r="F147" t="s">
        <v>4964</v>
      </c>
      <c r="G147">
        <v>195</v>
      </c>
      <c r="L147" t="s">
        <v>3351</v>
      </c>
    </row>
    <row r="148" customFormat="1" spans="1:12">
      <c r="A148" t="s">
        <v>4965</v>
      </c>
      <c r="B148" s="272" t="s">
        <v>4966</v>
      </c>
      <c r="C148" t="s">
        <v>4965</v>
      </c>
      <c r="D148" s="272" t="s">
        <v>4502</v>
      </c>
      <c r="E148" t="s">
        <v>4967</v>
      </c>
      <c r="F148" t="s">
        <v>4968</v>
      </c>
      <c r="G148">
        <v>257</v>
      </c>
      <c r="L148" t="s">
        <v>3351</v>
      </c>
    </row>
    <row r="149" customFormat="1" spans="1:12">
      <c r="A149" t="s">
        <v>4969</v>
      </c>
      <c r="B149" s="272" t="s">
        <v>4970</v>
      </c>
      <c r="C149" t="s">
        <v>4969</v>
      </c>
      <c r="D149" s="272" t="s">
        <v>4502</v>
      </c>
      <c r="E149" t="s">
        <v>4971</v>
      </c>
      <c r="F149" t="s">
        <v>4972</v>
      </c>
      <c r="G149">
        <v>264</v>
      </c>
      <c r="L149" t="s">
        <v>3351</v>
      </c>
    </row>
    <row r="150" customFormat="1" spans="1:12">
      <c r="A150" t="s">
        <v>4973</v>
      </c>
      <c r="B150" s="272" t="s">
        <v>4974</v>
      </c>
      <c r="C150" t="s">
        <v>4973</v>
      </c>
      <c r="D150" s="272" t="s">
        <v>4502</v>
      </c>
      <c r="E150" t="s">
        <v>4975</v>
      </c>
      <c r="F150" t="s">
        <v>4976</v>
      </c>
      <c r="G150">
        <v>270</v>
      </c>
      <c r="L150" t="s">
        <v>3351</v>
      </c>
    </row>
    <row r="151" customFormat="1" spans="1:12">
      <c r="A151" t="s">
        <v>4977</v>
      </c>
      <c r="B151" s="272" t="s">
        <v>4978</v>
      </c>
      <c r="C151" t="s">
        <v>4977</v>
      </c>
      <c r="D151" s="272" t="s">
        <v>4502</v>
      </c>
      <c r="E151" t="s">
        <v>4979</v>
      </c>
      <c r="F151" t="s">
        <v>4980</v>
      </c>
      <c r="G151">
        <v>307</v>
      </c>
      <c r="L151" t="s">
        <v>3351</v>
      </c>
    </row>
    <row r="152" customFormat="1" spans="1:12">
      <c r="A152" t="s">
        <v>4981</v>
      </c>
      <c r="B152" s="272" t="s">
        <v>4982</v>
      </c>
      <c r="C152" t="s">
        <v>4981</v>
      </c>
      <c r="D152" s="272" t="s">
        <v>4506</v>
      </c>
      <c r="E152" t="s">
        <v>4983</v>
      </c>
      <c r="F152" t="s">
        <v>4984</v>
      </c>
      <c r="G152">
        <v>72</v>
      </c>
      <c r="L152" t="s">
        <v>3351</v>
      </c>
    </row>
    <row r="153" customFormat="1" spans="1:12">
      <c r="A153" t="s">
        <v>4985</v>
      </c>
      <c r="B153" s="272" t="s">
        <v>4986</v>
      </c>
      <c r="C153" t="s">
        <v>4985</v>
      </c>
      <c r="D153" s="272" t="s">
        <v>4510</v>
      </c>
      <c r="E153" t="s">
        <v>4987</v>
      </c>
      <c r="F153" t="s">
        <v>4988</v>
      </c>
      <c r="G153">
        <v>74</v>
      </c>
      <c r="L153" t="s">
        <v>3351</v>
      </c>
    </row>
    <row r="154" customFormat="1" spans="1:12">
      <c r="A154" t="s">
        <v>4989</v>
      </c>
      <c r="B154" s="272" t="s">
        <v>4990</v>
      </c>
      <c r="C154" t="s">
        <v>4989</v>
      </c>
      <c r="D154" s="272" t="s">
        <v>4510</v>
      </c>
      <c r="E154" t="s">
        <v>4991</v>
      </c>
      <c r="F154" t="s">
        <v>4992</v>
      </c>
      <c r="G154">
        <v>75</v>
      </c>
      <c r="L154" t="s">
        <v>3351</v>
      </c>
    </row>
    <row r="155" customFormat="1" spans="1:12">
      <c r="A155" t="s">
        <v>4513</v>
      </c>
      <c r="B155" s="272" t="s">
        <v>4993</v>
      </c>
      <c r="C155" t="s">
        <v>4513</v>
      </c>
      <c r="D155" s="272" t="s">
        <v>4514</v>
      </c>
      <c r="E155" t="s">
        <v>4515</v>
      </c>
      <c r="F155" t="s">
        <v>4516</v>
      </c>
      <c r="G155">
        <v>77</v>
      </c>
      <c r="L155" t="s">
        <v>3351</v>
      </c>
    </row>
    <row r="156" customFormat="1" spans="1:12">
      <c r="A156" t="s">
        <v>4517</v>
      </c>
      <c r="B156" s="272" t="s">
        <v>4994</v>
      </c>
      <c r="C156" t="s">
        <v>4517</v>
      </c>
      <c r="D156" s="272" t="s">
        <v>4518</v>
      </c>
      <c r="E156" t="s">
        <v>4519</v>
      </c>
      <c r="F156" t="s">
        <v>4520</v>
      </c>
      <c r="G156">
        <v>82</v>
      </c>
      <c r="L156" t="s">
        <v>3351</v>
      </c>
    </row>
    <row r="157" customFormat="1" spans="1:12">
      <c r="A157" t="s">
        <v>4995</v>
      </c>
      <c r="B157" s="272" t="s">
        <v>4996</v>
      </c>
      <c r="C157" t="s">
        <v>4995</v>
      </c>
      <c r="D157" s="272" t="s">
        <v>4518</v>
      </c>
      <c r="E157" t="s">
        <v>4997</v>
      </c>
      <c r="F157" t="s">
        <v>4998</v>
      </c>
      <c r="G157">
        <v>148</v>
      </c>
      <c r="L157" t="s">
        <v>3351</v>
      </c>
    </row>
    <row r="158" customFormat="1" spans="1:12">
      <c r="A158" t="s">
        <v>4521</v>
      </c>
      <c r="B158" s="272" t="s">
        <v>4999</v>
      </c>
      <c r="C158" t="s">
        <v>4521</v>
      </c>
      <c r="D158" s="272" t="s">
        <v>4522</v>
      </c>
      <c r="E158" t="s">
        <v>4523</v>
      </c>
      <c r="F158" t="s">
        <v>4523</v>
      </c>
      <c r="G158">
        <v>102</v>
      </c>
      <c r="L158" t="s">
        <v>3351</v>
      </c>
    </row>
    <row r="159" customFormat="1" spans="1:12">
      <c r="A159" t="s">
        <v>5000</v>
      </c>
      <c r="B159" s="272" t="s">
        <v>5001</v>
      </c>
      <c r="C159" t="s">
        <v>5000</v>
      </c>
      <c r="D159" s="272" t="s">
        <v>4522</v>
      </c>
      <c r="E159" t="s">
        <v>5002</v>
      </c>
      <c r="F159" t="s">
        <v>5003</v>
      </c>
      <c r="G159">
        <v>103</v>
      </c>
      <c r="L159" t="s">
        <v>3351</v>
      </c>
    </row>
    <row r="160" customFormat="1" spans="1:12">
      <c r="A160" t="s">
        <v>5004</v>
      </c>
      <c r="B160" s="272" t="s">
        <v>5005</v>
      </c>
      <c r="C160" t="s">
        <v>5004</v>
      </c>
      <c r="D160" s="272" t="s">
        <v>4522</v>
      </c>
      <c r="E160" t="s">
        <v>4539</v>
      </c>
      <c r="F160" t="s">
        <v>5006</v>
      </c>
      <c r="G160">
        <v>104</v>
      </c>
      <c r="L160" t="s">
        <v>3351</v>
      </c>
    </row>
    <row r="161" customFormat="1" spans="1:12">
      <c r="A161" t="s">
        <v>5007</v>
      </c>
      <c r="B161" s="272" t="s">
        <v>5008</v>
      </c>
      <c r="C161" t="s">
        <v>5007</v>
      </c>
      <c r="D161" s="272" t="s">
        <v>4522</v>
      </c>
      <c r="E161" t="s">
        <v>5009</v>
      </c>
      <c r="F161" t="s">
        <v>4579</v>
      </c>
      <c r="G161">
        <v>105</v>
      </c>
      <c r="L161" t="s">
        <v>3351</v>
      </c>
    </row>
    <row r="162" customFormat="1" spans="1:12">
      <c r="A162" t="s">
        <v>5010</v>
      </c>
      <c r="B162" s="272" t="s">
        <v>5011</v>
      </c>
      <c r="C162" t="s">
        <v>5010</v>
      </c>
      <c r="D162" s="272" t="s">
        <v>4522</v>
      </c>
      <c r="E162" t="s">
        <v>5012</v>
      </c>
      <c r="F162" t="s">
        <v>5013</v>
      </c>
      <c r="G162">
        <v>106</v>
      </c>
      <c r="L162" t="s">
        <v>3351</v>
      </c>
    </row>
    <row r="163" customFormat="1" spans="1:12">
      <c r="A163" t="s">
        <v>5014</v>
      </c>
      <c r="B163" s="272" t="s">
        <v>5015</v>
      </c>
      <c r="C163" t="s">
        <v>5014</v>
      </c>
      <c r="D163" s="272" t="s">
        <v>4522</v>
      </c>
      <c r="E163" t="s">
        <v>5016</v>
      </c>
      <c r="F163" t="s">
        <v>5017</v>
      </c>
      <c r="G163">
        <v>107</v>
      </c>
      <c r="L163" t="s">
        <v>3351</v>
      </c>
    </row>
    <row r="164" customFormat="1" spans="1:12">
      <c r="A164" t="s">
        <v>5018</v>
      </c>
      <c r="B164" s="272" t="s">
        <v>5019</v>
      </c>
      <c r="C164" t="s">
        <v>5018</v>
      </c>
      <c r="D164" s="272" t="s">
        <v>4522</v>
      </c>
      <c r="E164" t="s">
        <v>5020</v>
      </c>
      <c r="F164" t="s">
        <v>5021</v>
      </c>
      <c r="G164">
        <v>281</v>
      </c>
      <c r="L164" t="s">
        <v>3351</v>
      </c>
    </row>
    <row r="165" customFormat="1" spans="1:12">
      <c r="A165" t="s">
        <v>2625</v>
      </c>
      <c r="B165" s="272" t="s">
        <v>5022</v>
      </c>
      <c r="C165" t="s">
        <v>2625</v>
      </c>
      <c r="D165" s="272" t="s">
        <v>4524</v>
      </c>
      <c r="E165" t="s">
        <v>4525</v>
      </c>
      <c r="F165" t="s">
        <v>4526</v>
      </c>
      <c r="G165">
        <v>87</v>
      </c>
      <c r="L165" t="s">
        <v>3351</v>
      </c>
    </row>
    <row r="166" customFormat="1" spans="1:12">
      <c r="A166" t="s">
        <v>5023</v>
      </c>
      <c r="B166" s="272" t="s">
        <v>5024</v>
      </c>
      <c r="C166" t="s">
        <v>5023</v>
      </c>
      <c r="D166" s="272" t="s">
        <v>4524</v>
      </c>
      <c r="E166" t="s">
        <v>5025</v>
      </c>
      <c r="F166" t="s">
        <v>5026</v>
      </c>
      <c r="G166">
        <v>88</v>
      </c>
      <c r="L166" t="s">
        <v>3351</v>
      </c>
    </row>
    <row r="167" customFormat="1" spans="1:12">
      <c r="A167" t="s">
        <v>5027</v>
      </c>
      <c r="B167" s="272" t="s">
        <v>5028</v>
      </c>
      <c r="C167" t="s">
        <v>5027</v>
      </c>
      <c r="D167" s="272" t="s">
        <v>4524</v>
      </c>
      <c r="E167" t="s">
        <v>4489</v>
      </c>
      <c r="F167" t="s">
        <v>5029</v>
      </c>
      <c r="G167">
        <v>89</v>
      </c>
      <c r="L167" t="s">
        <v>3351</v>
      </c>
    </row>
    <row r="168" customFormat="1" spans="1:12">
      <c r="A168" t="s">
        <v>5030</v>
      </c>
      <c r="B168" s="272" t="s">
        <v>5031</v>
      </c>
      <c r="C168" t="s">
        <v>5030</v>
      </c>
      <c r="D168" s="272" t="s">
        <v>4524</v>
      </c>
      <c r="E168" t="s">
        <v>5032</v>
      </c>
      <c r="F168" t="s">
        <v>5033</v>
      </c>
      <c r="G168">
        <v>90</v>
      </c>
      <c r="L168" t="s">
        <v>3351</v>
      </c>
    </row>
    <row r="169" customFormat="1" spans="1:12">
      <c r="A169" t="s">
        <v>5034</v>
      </c>
      <c r="B169" s="272" t="s">
        <v>5035</v>
      </c>
      <c r="C169" t="s">
        <v>5034</v>
      </c>
      <c r="D169" s="272" t="s">
        <v>4524</v>
      </c>
      <c r="E169" t="s">
        <v>5036</v>
      </c>
      <c r="F169" t="s">
        <v>5037</v>
      </c>
      <c r="G169">
        <v>91</v>
      </c>
      <c r="L169" t="s">
        <v>3351</v>
      </c>
    </row>
    <row r="170" customFormat="1" spans="1:12">
      <c r="A170" t="s">
        <v>5038</v>
      </c>
      <c r="B170" s="272" t="s">
        <v>5039</v>
      </c>
      <c r="C170" t="s">
        <v>5038</v>
      </c>
      <c r="D170" s="272" t="s">
        <v>4524</v>
      </c>
      <c r="E170" t="s">
        <v>5040</v>
      </c>
      <c r="F170" t="s">
        <v>5041</v>
      </c>
      <c r="G170">
        <v>92</v>
      </c>
      <c r="L170" t="s">
        <v>3351</v>
      </c>
    </row>
    <row r="171" customFormat="1" spans="1:12">
      <c r="A171" t="s">
        <v>5042</v>
      </c>
      <c r="B171" s="272" t="s">
        <v>5043</v>
      </c>
      <c r="C171" t="s">
        <v>5042</v>
      </c>
      <c r="D171" s="272" t="s">
        <v>4524</v>
      </c>
      <c r="E171" t="s">
        <v>5044</v>
      </c>
      <c r="F171" t="s">
        <v>5045</v>
      </c>
      <c r="G171">
        <v>158</v>
      </c>
      <c r="L171" t="s">
        <v>3351</v>
      </c>
    </row>
    <row r="172" customFormat="1" spans="1:12">
      <c r="A172" t="s">
        <v>5046</v>
      </c>
      <c r="B172" s="272" t="s">
        <v>5047</v>
      </c>
      <c r="C172" t="s">
        <v>5046</v>
      </c>
      <c r="D172" s="272" t="s">
        <v>4531</v>
      </c>
      <c r="E172" t="s">
        <v>5048</v>
      </c>
      <c r="F172" t="s">
        <v>5049</v>
      </c>
      <c r="G172">
        <v>1</v>
      </c>
      <c r="L172" t="s">
        <v>3351</v>
      </c>
    </row>
    <row r="173" customFormat="1" spans="1:12">
      <c r="A173" s="273" t="s">
        <v>3653</v>
      </c>
      <c r="B173" s="272" t="s">
        <v>5050</v>
      </c>
      <c r="C173" s="273" t="s">
        <v>3653</v>
      </c>
      <c r="D173" s="272" t="s">
        <v>4531</v>
      </c>
      <c r="E173" t="s">
        <v>5051</v>
      </c>
      <c r="F173" t="s">
        <v>5052</v>
      </c>
      <c r="G173">
        <v>0</v>
      </c>
      <c r="L173" t="s">
        <v>3351</v>
      </c>
    </row>
    <row r="174" customFormat="1" spans="1:12">
      <c r="A174" t="s">
        <v>5053</v>
      </c>
      <c r="B174" s="272" t="s">
        <v>5054</v>
      </c>
      <c r="C174" t="s">
        <v>5053</v>
      </c>
      <c r="D174" s="272" t="s">
        <v>4535</v>
      </c>
      <c r="E174" t="s">
        <v>5055</v>
      </c>
      <c r="F174" t="s">
        <v>5056</v>
      </c>
      <c r="G174">
        <v>84</v>
      </c>
      <c r="L174" t="s">
        <v>3351</v>
      </c>
    </row>
    <row r="175" customFormat="1" spans="1:12">
      <c r="A175" t="s">
        <v>5057</v>
      </c>
      <c r="B175" s="272" t="s">
        <v>5058</v>
      </c>
      <c r="C175" t="s">
        <v>5057</v>
      </c>
      <c r="D175" s="272" t="s">
        <v>4535</v>
      </c>
      <c r="E175" t="s">
        <v>5059</v>
      </c>
      <c r="F175" t="s">
        <v>5060</v>
      </c>
      <c r="G175">
        <v>85</v>
      </c>
      <c r="L175" t="s">
        <v>3351</v>
      </c>
    </row>
    <row r="176" customFormat="1" spans="1:12">
      <c r="A176" t="s">
        <v>5061</v>
      </c>
      <c r="B176" s="272" t="s">
        <v>5062</v>
      </c>
      <c r="C176" t="s">
        <v>5061</v>
      </c>
      <c r="D176" s="272" t="s">
        <v>4535</v>
      </c>
      <c r="E176" t="s">
        <v>5063</v>
      </c>
      <c r="F176" t="s">
        <v>5064</v>
      </c>
      <c r="G176">
        <v>168</v>
      </c>
      <c r="L176" t="s">
        <v>3351</v>
      </c>
    </row>
    <row r="177" customFormat="1" spans="1:12">
      <c r="A177" t="s">
        <v>5065</v>
      </c>
      <c r="B177" s="272" t="s">
        <v>5066</v>
      </c>
      <c r="C177" t="s">
        <v>5065</v>
      </c>
      <c r="D177" s="272" t="s">
        <v>4538</v>
      </c>
      <c r="E177" t="s">
        <v>5067</v>
      </c>
      <c r="F177" t="s">
        <v>5068</v>
      </c>
      <c r="G177">
        <v>49</v>
      </c>
      <c r="L177" t="s">
        <v>3351</v>
      </c>
    </row>
    <row r="178" customFormat="1" spans="1:12">
      <c r="A178" t="s">
        <v>5069</v>
      </c>
      <c r="B178" s="272" t="s">
        <v>5070</v>
      </c>
      <c r="C178" t="s">
        <v>5069</v>
      </c>
      <c r="D178" s="272" t="s">
        <v>4538</v>
      </c>
      <c r="E178" t="s">
        <v>5071</v>
      </c>
      <c r="F178" t="s">
        <v>5072</v>
      </c>
      <c r="G178">
        <v>50</v>
      </c>
      <c r="L178" t="s">
        <v>3351</v>
      </c>
    </row>
    <row r="179" customFormat="1" spans="1:12">
      <c r="A179" s="273" t="s">
        <v>3388</v>
      </c>
      <c r="B179" s="272" t="s">
        <v>5073</v>
      </c>
      <c r="C179" s="273" t="s">
        <v>3388</v>
      </c>
      <c r="D179" s="272" t="s">
        <v>4538</v>
      </c>
      <c r="E179" t="s">
        <v>5074</v>
      </c>
      <c r="F179" t="s">
        <v>5075</v>
      </c>
      <c r="G179">
        <v>51</v>
      </c>
      <c r="L179" t="s">
        <v>3351</v>
      </c>
    </row>
    <row r="180" customFormat="1" spans="1:12">
      <c r="A180" t="s">
        <v>5076</v>
      </c>
      <c r="B180" s="272" t="s">
        <v>5077</v>
      </c>
      <c r="C180" t="s">
        <v>5076</v>
      </c>
      <c r="D180" s="272" t="s">
        <v>4538</v>
      </c>
      <c r="E180" t="s">
        <v>5078</v>
      </c>
      <c r="F180" t="s">
        <v>5079</v>
      </c>
      <c r="G180">
        <v>52</v>
      </c>
      <c r="L180" t="s">
        <v>3351</v>
      </c>
    </row>
    <row r="181" customFormat="1" spans="1:12">
      <c r="A181" t="s">
        <v>5080</v>
      </c>
      <c r="B181" s="272" t="s">
        <v>5081</v>
      </c>
      <c r="C181" t="s">
        <v>5080</v>
      </c>
      <c r="D181" s="272" t="s">
        <v>4538</v>
      </c>
      <c r="E181" t="s">
        <v>5082</v>
      </c>
      <c r="F181" t="s">
        <v>5083</v>
      </c>
      <c r="G181">
        <v>53</v>
      </c>
      <c r="L181" t="s">
        <v>3351</v>
      </c>
    </row>
    <row r="182" customFormat="1" spans="1:12">
      <c r="A182" t="s">
        <v>5084</v>
      </c>
      <c r="B182" s="272" t="s">
        <v>5085</v>
      </c>
      <c r="C182" t="s">
        <v>5084</v>
      </c>
      <c r="D182" s="272" t="s">
        <v>4538</v>
      </c>
      <c r="E182" t="s">
        <v>5086</v>
      </c>
      <c r="F182" t="s">
        <v>5087</v>
      </c>
      <c r="G182">
        <v>54</v>
      </c>
      <c r="L182" t="s">
        <v>3351</v>
      </c>
    </row>
    <row r="183" customFormat="1" spans="1:12">
      <c r="A183" t="s">
        <v>5088</v>
      </c>
      <c r="B183" s="272" t="s">
        <v>5089</v>
      </c>
      <c r="C183" t="s">
        <v>5088</v>
      </c>
      <c r="D183" s="272" t="s">
        <v>4538</v>
      </c>
      <c r="E183" t="s">
        <v>5090</v>
      </c>
      <c r="F183" t="s">
        <v>5091</v>
      </c>
      <c r="G183">
        <v>2</v>
      </c>
      <c r="L183" t="s">
        <v>3351</v>
      </c>
    </row>
    <row r="184" customFormat="1" spans="1:12">
      <c r="A184" t="s">
        <v>5092</v>
      </c>
      <c r="B184" s="272" t="s">
        <v>5093</v>
      </c>
      <c r="C184" t="s">
        <v>5092</v>
      </c>
      <c r="D184" s="272" t="s">
        <v>4538</v>
      </c>
      <c r="E184" t="s">
        <v>5094</v>
      </c>
      <c r="F184" t="s">
        <v>5095</v>
      </c>
      <c r="G184">
        <v>2</v>
      </c>
      <c r="L184" t="s">
        <v>3351</v>
      </c>
    </row>
    <row r="185" customFormat="1" spans="1:12">
      <c r="A185" t="s">
        <v>5096</v>
      </c>
      <c r="B185" s="272" t="s">
        <v>5097</v>
      </c>
      <c r="C185" t="s">
        <v>5096</v>
      </c>
      <c r="D185" s="272" t="s">
        <v>4538</v>
      </c>
      <c r="E185" t="s">
        <v>5098</v>
      </c>
      <c r="F185" t="s">
        <v>5099</v>
      </c>
      <c r="G185">
        <v>2</v>
      </c>
      <c r="L185" t="s">
        <v>3351</v>
      </c>
    </row>
    <row r="186" customFormat="1" spans="1:12">
      <c r="A186" t="s">
        <v>5100</v>
      </c>
      <c r="B186" s="272" t="s">
        <v>5101</v>
      </c>
      <c r="C186" t="s">
        <v>5100</v>
      </c>
      <c r="D186" s="272" t="s">
        <v>4538</v>
      </c>
      <c r="E186" t="s">
        <v>4847</v>
      </c>
      <c r="F186" t="s">
        <v>4847</v>
      </c>
      <c r="G186">
        <v>1</v>
      </c>
      <c r="L186" t="s">
        <v>3351</v>
      </c>
    </row>
    <row r="187" customFormat="1" spans="1:12">
      <c r="A187" t="s">
        <v>5102</v>
      </c>
      <c r="B187" s="272" t="s">
        <v>5103</v>
      </c>
      <c r="C187" t="s">
        <v>5102</v>
      </c>
      <c r="D187" s="272" t="s">
        <v>4538</v>
      </c>
      <c r="E187" t="s">
        <v>5104</v>
      </c>
      <c r="F187" t="s">
        <v>5105</v>
      </c>
      <c r="G187">
        <v>55</v>
      </c>
      <c r="L187" t="s">
        <v>3351</v>
      </c>
    </row>
    <row r="188" customFormat="1" spans="1:12">
      <c r="A188" t="s">
        <v>5106</v>
      </c>
      <c r="B188" s="272" t="s">
        <v>5107</v>
      </c>
      <c r="C188" t="s">
        <v>5106</v>
      </c>
      <c r="D188" s="272" t="s">
        <v>4538</v>
      </c>
      <c r="E188" t="s">
        <v>5108</v>
      </c>
      <c r="F188" t="s">
        <v>5109</v>
      </c>
      <c r="G188">
        <v>125</v>
      </c>
      <c r="L188" t="s">
        <v>3351</v>
      </c>
    </row>
    <row r="189" customFormat="1" spans="1:12">
      <c r="A189" t="s">
        <v>5110</v>
      </c>
      <c r="B189" s="272" t="s">
        <v>5111</v>
      </c>
      <c r="C189" t="s">
        <v>5110</v>
      </c>
      <c r="D189" s="272" t="s">
        <v>4538</v>
      </c>
      <c r="E189" t="s">
        <v>5112</v>
      </c>
      <c r="F189" t="s">
        <v>5113</v>
      </c>
      <c r="G189">
        <v>142</v>
      </c>
      <c r="L189" t="s">
        <v>3351</v>
      </c>
    </row>
    <row r="190" customFormat="1" spans="1:12">
      <c r="A190" t="s">
        <v>5114</v>
      </c>
      <c r="B190" s="272" t="s">
        <v>5115</v>
      </c>
      <c r="C190" t="s">
        <v>5114</v>
      </c>
      <c r="D190" s="272" t="s">
        <v>4538</v>
      </c>
      <c r="E190" t="s">
        <v>5116</v>
      </c>
      <c r="F190" t="s">
        <v>5117</v>
      </c>
      <c r="G190">
        <v>173</v>
      </c>
      <c r="L190" t="s">
        <v>3351</v>
      </c>
    </row>
    <row r="191" customFormat="1" spans="1:12">
      <c r="A191" t="s">
        <v>5118</v>
      </c>
      <c r="B191" s="272" t="s">
        <v>5119</v>
      </c>
      <c r="C191" t="s">
        <v>5118</v>
      </c>
      <c r="D191" s="272" t="s">
        <v>4538</v>
      </c>
      <c r="E191" t="s">
        <v>5120</v>
      </c>
      <c r="F191" t="s">
        <v>5121</v>
      </c>
      <c r="G191">
        <v>174</v>
      </c>
      <c r="L191" t="s">
        <v>3351</v>
      </c>
    </row>
    <row r="192" customFormat="1" spans="1:12">
      <c r="A192" t="s">
        <v>5122</v>
      </c>
      <c r="B192" s="272" t="s">
        <v>5123</v>
      </c>
      <c r="C192" t="s">
        <v>5122</v>
      </c>
      <c r="D192" s="272" t="s">
        <v>4538</v>
      </c>
      <c r="E192" t="s">
        <v>5124</v>
      </c>
      <c r="F192" t="s">
        <v>5125</v>
      </c>
      <c r="G192">
        <v>203</v>
      </c>
      <c r="L192" t="s">
        <v>3351</v>
      </c>
    </row>
    <row r="193" customFormat="1" spans="1:12">
      <c r="A193" t="s">
        <v>5126</v>
      </c>
      <c r="B193" s="272" t="s">
        <v>5127</v>
      </c>
      <c r="C193" t="s">
        <v>5126</v>
      </c>
      <c r="D193" s="272" t="s">
        <v>4538</v>
      </c>
      <c r="E193" t="s">
        <v>5128</v>
      </c>
      <c r="F193" t="s">
        <v>5129</v>
      </c>
      <c r="G193">
        <v>269</v>
      </c>
      <c r="L193" t="s">
        <v>3351</v>
      </c>
    </row>
    <row r="194" customFormat="1" spans="1:12">
      <c r="A194" t="s">
        <v>5130</v>
      </c>
      <c r="B194" s="272" t="s">
        <v>5131</v>
      </c>
      <c r="C194" t="s">
        <v>5130</v>
      </c>
      <c r="D194" s="272" t="s">
        <v>4538</v>
      </c>
      <c r="E194" t="s">
        <v>5132</v>
      </c>
      <c r="F194" t="s">
        <v>5133</v>
      </c>
      <c r="G194">
        <v>271</v>
      </c>
      <c r="L194" t="s">
        <v>3351</v>
      </c>
    </row>
    <row r="195" customFormat="1" spans="1:12">
      <c r="A195" t="s">
        <v>5004</v>
      </c>
      <c r="B195" s="272" t="s">
        <v>5134</v>
      </c>
      <c r="C195" t="s">
        <v>5004</v>
      </c>
      <c r="D195" s="272" t="s">
        <v>4538</v>
      </c>
      <c r="E195" t="s">
        <v>4539</v>
      </c>
      <c r="F195" t="s">
        <v>5006</v>
      </c>
      <c r="G195">
        <v>272</v>
      </c>
      <c r="L195" t="s">
        <v>3351</v>
      </c>
    </row>
    <row r="196" customFormat="1" spans="1:12">
      <c r="A196" t="s">
        <v>5135</v>
      </c>
      <c r="B196" s="272" t="s">
        <v>5136</v>
      </c>
      <c r="C196" t="s">
        <v>5135</v>
      </c>
      <c r="D196" s="272" t="s">
        <v>4538</v>
      </c>
      <c r="E196" t="s">
        <v>5137</v>
      </c>
      <c r="F196" t="s">
        <v>5138</v>
      </c>
      <c r="G196">
        <v>273</v>
      </c>
      <c r="L196" t="s">
        <v>3351</v>
      </c>
    </row>
    <row r="197" customFormat="1" spans="1:12">
      <c r="A197" t="s">
        <v>5139</v>
      </c>
      <c r="B197" s="272" t="s">
        <v>5140</v>
      </c>
      <c r="C197" t="s">
        <v>5139</v>
      </c>
      <c r="D197" s="272" t="s">
        <v>4538</v>
      </c>
      <c r="E197" t="s">
        <v>5141</v>
      </c>
      <c r="F197" t="s">
        <v>5142</v>
      </c>
      <c r="G197">
        <v>274</v>
      </c>
      <c r="L197" t="s">
        <v>3351</v>
      </c>
    </row>
    <row r="198" customFormat="1" spans="1:12">
      <c r="A198" t="s">
        <v>5143</v>
      </c>
      <c r="B198" s="272" t="s">
        <v>5144</v>
      </c>
      <c r="C198" t="s">
        <v>5143</v>
      </c>
      <c r="D198" s="272" t="s">
        <v>4538</v>
      </c>
      <c r="E198" t="s">
        <v>5145</v>
      </c>
      <c r="F198" t="s">
        <v>5146</v>
      </c>
      <c r="G198">
        <v>300</v>
      </c>
      <c r="L198" t="s">
        <v>3351</v>
      </c>
    </row>
    <row r="199" customFormat="1" spans="1:12">
      <c r="A199" s="273" t="s">
        <v>1790</v>
      </c>
      <c r="B199" s="272" t="s">
        <v>5147</v>
      </c>
      <c r="C199" s="273" t="s">
        <v>1790</v>
      </c>
      <c r="D199" s="272" t="s">
        <v>4541</v>
      </c>
      <c r="E199" t="s">
        <v>4833</v>
      </c>
      <c r="F199" t="s">
        <v>4834</v>
      </c>
      <c r="G199">
        <v>0</v>
      </c>
      <c r="L199" t="s">
        <v>3351</v>
      </c>
    </row>
    <row r="200" customFormat="1" spans="1:12">
      <c r="A200" t="s">
        <v>5148</v>
      </c>
      <c r="B200" s="272" t="s">
        <v>5149</v>
      </c>
      <c r="C200" t="s">
        <v>5148</v>
      </c>
      <c r="D200" s="272" t="s">
        <v>4541</v>
      </c>
      <c r="E200" t="s">
        <v>5150</v>
      </c>
      <c r="F200" t="s">
        <v>5151</v>
      </c>
      <c r="G200">
        <v>1</v>
      </c>
      <c r="L200" t="s">
        <v>3351</v>
      </c>
    </row>
    <row r="201" customFormat="1" spans="1:12">
      <c r="A201" t="s">
        <v>5152</v>
      </c>
      <c r="B201" s="272" t="s">
        <v>5153</v>
      </c>
      <c r="C201" t="s">
        <v>5152</v>
      </c>
      <c r="D201" s="272" t="s">
        <v>4541</v>
      </c>
      <c r="E201" t="s">
        <v>5154</v>
      </c>
      <c r="F201" t="s">
        <v>5155</v>
      </c>
      <c r="G201">
        <v>2</v>
      </c>
      <c r="L201" t="s">
        <v>3351</v>
      </c>
    </row>
    <row r="202" customFormat="1" spans="1:12">
      <c r="A202" t="s">
        <v>5156</v>
      </c>
      <c r="B202" s="272" t="s">
        <v>5157</v>
      </c>
      <c r="C202" t="s">
        <v>5156</v>
      </c>
      <c r="D202" s="272" t="s">
        <v>4541</v>
      </c>
      <c r="E202" t="s">
        <v>5158</v>
      </c>
      <c r="F202" t="s">
        <v>5159</v>
      </c>
      <c r="G202">
        <v>3</v>
      </c>
      <c r="L202" t="s">
        <v>3351</v>
      </c>
    </row>
    <row r="203" customFormat="1" spans="1:12">
      <c r="A203" t="s">
        <v>3549</v>
      </c>
      <c r="B203" s="272" t="s">
        <v>5160</v>
      </c>
      <c r="C203" t="s">
        <v>3549</v>
      </c>
      <c r="D203" s="272" t="s">
        <v>4541</v>
      </c>
      <c r="E203" t="s">
        <v>5161</v>
      </c>
      <c r="F203" t="s">
        <v>5162</v>
      </c>
      <c r="G203">
        <v>4</v>
      </c>
      <c r="L203" t="s">
        <v>3351</v>
      </c>
    </row>
    <row r="204" customFormat="1" spans="1:12">
      <c r="A204" t="s">
        <v>3814</v>
      </c>
      <c r="B204" s="272" t="s">
        <v>5163</v>
      </c>
      <c r="C204" t="s">
        <v>3814</v>
      </c>
      <c r="D204" s="272" t="s">
        <v>4541</v>
      </c>
      <c r="E204" t="s">
        <v>5164</v>
      </c>
      <c r="F204" t="s">
        <v>5165</v>
      </c>
      <c r="G204">
        <v>5</v>
      </c>
      <c r="L204" t="s">
        <v>3351</v>
      </c>
    </row>
    <row r="205" customFormat="1" spans="1:12">
      <c r="A205" t="s">
        <v>5166</v>
      </c>
      <c r="B205" s="272" t="s">
        <v>5167</v>
      </c>
      <c r="C205" t="s">
        <v>5166</v>
      </c>
      <c r="D205" s="272" t="s">
        <v>4541</v>
      </c>
      <c r="E205" t="s">
        <v>5168</v>
      </c>
      <c r="F205" t="s">
        <v>5169</v>
      </c>
      <c r="G205">
        <v>6</v>
      </c>
      <c r="L205" t="s">
        <v>3351</v>
      </c>
    </row>
    <row r="206" customFormat="1" spans="1:12">
      <c r="A206" t="s">
        <v>3941</v>
      </c>
      <c r="B206" s="272" t="s">
        <v>5170</v>
      </c>
      <c r="C206" t="s">
        <v>3941</v>
      </c>
      <c r="D206" s="272" t="s">
        <v>4541</v>
      </c>
      <c r="E206" t="s">
        <v>5171</v>
      </c>
      <c r="F206" t="s">
        <v>5172</v>
      </c>
      <c r="G206">
        <v>7</v>
      </c>
      <c r="L206" t="s">
        <v>3351</v>
      </c>
    </row>
    <row r="207" customFormat="1" spans="1:12">
      <c r="A207" t="s">
        <v>4133</v>
      </c>
      <c r="B207" s="272" t="s">
        <v>5173</v>
      </c>
      <c r="C207" t="s">
        <v>4133</v>
      </c>
      <c r="D207" s="272" t="s">
        <v>4541</v>
      </c>
      <c r="E207" t="s">
        <v>5174</v>
      </c>
      <c r="F207" t="s">
        <v>5175</v>
      </c>
      <c r="G207">
        <v>8</v>
      </c>
      <c r="L207" t="s">
        <v>3351</v>
      </c>
    </row>
    <row r="208" customFormat="1" spans="1:12">
      <c r="A208" t="s">
        <v>5176</v>
      </c>
      <c r="B208" s="272" t="s">
        <v>5177</v>
      </c>
      <c r="C208" t="s">
        <v>5176</v>
      </c>
      <c r="D208" s="272" t="s">
        <v>4541</v>
      </c>
      <c r="E208" t="s">
        <v>5178</v>
      </c>
      <c r="F208" t="s">
        <v>5179</v>
      </c>
      <c r="G208">
        <v>9</v>
      </c>
      <c r="L208" t="s">
        <v>3351</v>
      </c>
    </row>
    <row r="209" customFormat="1" spans="1:12">
      <c r="A209" t="s">
        <v>4451</v>
      </c>
      <c r="B209" s="272" t="s">
        <v>5180</v>
      </c>
      <c r="C209" t="s">
        <v>4451</v>
      </c>
      <c r="D209" s="272" t="s">
        <v>4541</v>
      </c>
      <c r="E209" t="s">
        <v>4542</v>
      </c>
      <c r="F209" t="s">
        <v>4543</v>
      </c>
      <c r="G209">
        <v>10</v>
      </c>
      <c r="L209" t="s">
        <v>3351</v>
      </c>
    </row>
    <row r="210" customFormat="1" spans="1:12">
      <c r="A210" t="s">
        <v>5181</v>
      </c>
      <c r="B210" s="272" t="s">
        <v>5182</v>
      </c>
      <c r="C210" t="s">
        <v>5181</v>
      </c>
      <c r="D210" s="272" t="s">
        <v>4541</v>
      </c>
      <c r="E210" t="s">
        <v>5183</v>
      </c>
      <c r="F210" t="s">
        <v>5184</v>
      </c>
      <c r="G210">
        <v>12</v>
      </c>
      <c r="L210" t="s">
        <v>3351</v>
      </c>
    </row>
    <row r="211" customFormat="1" spans="1:12">
      <c r="A211" t="s">
        <v>5185</v>
      </c>
      <c r="B211" s="272" t="s">
        <v>5186</v>
      </c>
      <c r="C211" t="s">
        <v>5185</v>
      </c>
      <c r="D211" s="272" t="s">
        <v>4541</v>
      </c>
      <c r="E211" t="s">
        <v>5187</v>
      </c>
      <c r="F211" t="s">
        <v>5188</v>
      </c>
      <c r="G211">
        <v>13</v>
      </c>
      <c r="L211" t="s">
        <v>3351</v>
      </c>
    </row>
    <row r="212" customFormat="1" spans="1:12">
      <c r="A212" t="s">
        <v>5189</v>
      </c>
      <c r="B212" s="272" t="s">
        <v>5190</v>
      </c>
      <c r="C212" t="s">
        <v>5189</v>
      </c>
      <c r="D212" s="272" t="s">
        <v>4541</v>
      </c>
      <c r="E212" t="s">
        <v>5191</v>
      </c>
      <c r="F212" t="s">
        <v>5192</v>
      </c>
      <c r="G212">
        <v>177</v>
      </c>
      <c r="L212" t="s">
        <v>3351</v>
      </c>
    </row>
    <row r="213" customFormat="1" spans="1:12">
      <c r="A213" t="s">
        <v>5193</v>
      </c>
      <c r="B213" s="272" t="s">
        <v>5194</v>
      </c>
      <c r="C213" t="s">
        <v>5193</v>
      </c>
      <c r="D213" s="272" t="s">
        <v>4541</v>
      </c>
      <c r="E213" t="s">
        <v>5195</v>
      </c>
      <c r="F213" t="s">
        <v>5196</v>
      </c>
      <c r="G213">
        <v>178</v>
      </c>
      <c r="L213" t="s">
        <v>3351</v>
      </c>
    </row>
    <row r="214" customFormat="1" spans="1:12">
      <c r="A214" t="s">
        <v>5197</v>
      </c>
      <c r="B214" s="272" t="s">
        <v>5198</v>
      </c>
      <c r="C214" t="s">
        <v>5197</v>
      </c>
      <c r="D214" s="272" t="s">
        <v>4541</v>
      </c>
      <c r="E214" t="s">
        <v>5199</v>
      </c>
      <c r="F214" t="s">
        <v>5200</v>
      </c>
      <c r="G214">
        <v>179</v>
      </c>
      <c r="L214" t="s">
        <v>3351</v>
      </c>
    </row>
    <row r="215" customFormat="1" spans="1:12">
      <c r="A215" t="s">
        <v>5201</v>
      </c>
      <c r="B215" s="272" t="s">
        <v>5202</v>
      </c>
      <c r="C215" t="s">
        <v>5201</v>
      </c>
      <c r="D215" s="272" t="s">
        <v>4541</v>
      </c>
      <c r="E215" t="s">
        <v>5203</v>
      </c>
      <c r="F215" t="s">
        <v>5204</v>
      </c>
      <c r="G215">
        <v>188</v>
      </c>
      <c r="L215" t="s">
        <v>3351</v>
      </c>
    </row>
    <row r="216" customFormat="1" spans="1:12">
      <c r="A216" t="s">
        <v>5205</v>
      </c>
      <c r="B216" s="272" t="s">
        <v>5206</v>
      </c>
      <c r="C216" t="s">
        <v>5205</v>
      </c>
      <c r="D216" s="272" t="s">
        <v>4541</v>
      </c>
      <c r="E216" t="s">
        <v>5207</v>
      </c>
      <c r="F216" t="s">
        <v>5208</v>
      </c>
      <c r="G216">
        <v>196</v>
      </c>
      <c r="L216" t="s">
        <v>3351</v>
      </c>
    </row>
    <row r="217" customFormat="1" spans="1:12">
      <c r="A217" t="s">
        <v>5209</v>
      </c>
      <c r="B217" s="272" t="s">
        <v>5210</v>
      </c>
      <c r="C217" t="s">
        <v>5209</v>
      </c>
      <c r="D217" s="272" t="s">
        <v>4541</v>
      </c>
      <c r="E217" t="s">
        <v>5211</v>
      </c>
      <c r="F217" t="s">
        <v>5212</v>
      </c>
      <c r="G217">
        <v>205</v>
      </c>
      <c r="L217" t="s">
        <v>3351</v>
      </c>
    </row>
    <row r="218" customFormat="1" spans="1:12">
      <c r="A218" t="s">
        <v>5213</v>
      </c>
      <c r="B218" s="272" t="s">
        <v>5214</v>
      </c>
      <c r="C218" t="s">
        <v>5213</v>
      </c>
      <c r="D218" s="272" t="s">
        <v>4541</v>
      </c>
      <c r="E218" t="s">
        <v>5215</v>
      </c>
      <c r="F218" t="s">
        <v>5216</v>
      </c>
      <c r="G218">
        <v>266</v>
      </c>
      <c r="L218" t="s">
        <v>3351</v>
      </c>
    </row>
    <row r="219" customFormat="1" spans="1:12">
      <c r="A219" t="s">
        <v>5217</v>
      </c>
      <c r="B219" s="272" t="s">
        <v>5218</v>
      </c>
      <c r="C219" t="s">
        <v>5217</v>
      </c>
      <c r="D219" s="272" t="s">
        <v>4541</v>
      </c>
      <c r="E219" t="s">
        <v>5219</v>
      </c>
      <c r="F219" t="s">
        <v>5220</v>
      </c>
      <c r="G219">
        <v>267</v>
      </c>
      <c r="L219" t="s">
        <v>3351</v>
      </c>
    </row>
    <row r="220" customFormat="1" spans="1:12">
      <c r="A220" t="s">
        <v>5221</v>
      </c>
      <c r="B220" s="272" t="s">
        <v>5222</v>
      </c>
      <c r="C220" t="s">
        <v>5221</v>
      </c>
      <c r="D220" s="272" t="s">
        <v>4541</v>
      </c>
      <c r="E220" t="s">
        <v>5223</v>
      </c>
      <c r="F220" t="s">
        <v>5224</v>
      </c>
      <c r="G220">
        <v>268</v>
      </c>
      <c r="L220" t="s">
        <v>3351</v>
      </c>
    </row>
    <row r="221" customFormat="1" spans="1:12">
      <c r="A221" t="s">
        <v>5225</v>
      </c>
      <c r="B221" s="272" t="s">
        <v>5226</v>
      </c>
      <c r="C221" t="s">
        <v>5225</v>
      </c>
      <c r="D221" s="272" t="s">
        <v>4541</v>
      </c>
      <c r="E221" t="s">
        <v>5227</v>
      </c>
      <c r="F221" t="s">
        <v>5228</v>
      </c>
      <c r="G221">
        <v>291</v>
      </c>
      <c r="L221" t="s">
        <v>3351</v>
      </c>
    </row>
    <row r="222" customFormat="1" spans="1:12">
      <c r="A222" t="s">
        <v>5229</v>
      </c>
      <c r="B222" s="272" t="s">
        <v>5230</v>
      </c>
      <c r="C222" t="s">
        <v>5229</v>
      </c>
      <c r="D222" s="272" t="s">
        <v>4541</v>
      </c>
      <c r="E222" t="s">
        <v>5231</v>
      </c>
      <c r="F222" t="s">
        <v>5232</v>
      </c>
      <c r="G222">
        <v>292</v>
      </c>
      <c r="L222" t="s">
        <v>3351</v>
      </c>
    </row>
    <row r="223" customFormat="1" spans="1:12">
      <c r="A223" t="s">
        <v>5233</v>
      </c>
      <c r="B223" s="272" t="s">
        <v>5234</v>
      </c>
      <c r="C223" t="s">
        <v>5233</v>
      </c>
      <c r="D223" s="272" t="s">
        <v>4541</v>
      </c>
      <c r="E223" t="s">
        <v>5235</v>
      </c>
      <c r="F223" t="s">
        <v>5236</v>
      </c>
      <c r="G223">
        <v>293</v>
      </c>
      <c r="L223" t="s">
        <v>3351</v>
      </c>
    </row>
    <row r="224" customFormat="1" spans="1:12">
      <c r="A224" t="s">
        <v>5237</v>
      </c>
      <c r="B224" s="272" t="s">
        <v>5238</v>
      </c>
      <c r="C224" t="s">
        <v>5237</v>
      </c>
      <c r="D224" s="272" t="s">
        <v>4541</v>
      </c>
      <c r="E224" t="s">
        <v>5239</v>
      </c>
      <c r="F224" t="s">
        <v>5240</v>
      </c>
      <c r="G224">
        <v>294</v>
      </c>
      <c r="L224" t="s">
        <v>3351</v>
      </c>
    </row>
    <row r="225" customFormat="1" spans="1:12">
      <c r="A225" t="s">
        <v>5241</v>
      </c>
      <c r="B225" s="272" t="s">
        <v>5242</v>
      </c>
      <c r="C225" t="s">
        <v>5241</v>
      </c>
      <c r="D225" s="272" t="s">
        <v>4548</v>
      </c>
      <c r="E225" t="s">
        <v>5243</v>
      </c>
      <c r="F225" t="s">
        <v>5243</v>
      </c>
      <c r="G225">
        <v>98</v>
      </c>
      <c r="L225" t="s">
        <v>3351</v>
      </c>
    </row>
    <row r="226" customFormat="1" spans="1:12">
      <c r="A226" t="s">
        <v>5244</v>
      </c>
      <c r="B226" s="272" t="s">
        <v>5245</v>
      </c>
      <c r="C226" t="s">
        <v>5244</v>
      </c>
      <c r="D226" s="272" t="s">
        <v>4548</v>
      </c>
      <c r="E226" t="s">
        <v>5246</v>
      </c>
      <c r="F226" t="s">
        <v>5246</v>
      </c>
      <c r="G226">
        <v>99</v>
      </c>
      <c r="L226" t="s">
        <v>3351</v>
      </c>
    </row>
    <row r="227" customFormat="1" spans="1:12">
      <c r="A227" t="s">
        <v>5247</v>
      </c>
      <c r="B227" s="272" t="s">
        <v>5248</v>
      </c>
      <c r="C227" t="s">
        <v>5247</v>
      </c>
      <c r="D227" s="272" t="s">
        <v>4558</v>
      </c>
      <c r="E227" t="s">
        <v>5249</v>
      </c>
      <c r="F227" t="s">
        <v>5250</v>
      </c>
      <c r="G227">
        <v>109</v>
      </c>
      <c r="L227" t="s">
        <v>3351</v>
      </c>
    </row>
    <row r="228" customFormat="1" spans="1:12">
      <c r="A228" t="s">
        <v>5251</v>
      </c>
      <c r="B228" s="272" t="s">
        <v>5252</v>
      </c>
      <c r="C228" t="s">
        <v>5251</v>
      </c>
      <c r="D228" s="272" t="s">
        <v>4558</v>
      </c>
      <c r="E228" t="s">
        <v>5253</v>
      </c>
      <c r="F228" t="s">
        <v>5254</v>
      </c>
      <c r="G228">
        <v>110</v>
      </c>
      <c r="L228" t="s">
        <v>3351</v>
      </c>
    </row>
    <row r="229" customFormat="1" spans="1:12">
      <c r="A229" t="s">
        <v>5255</v>
      </c>
      <c r="B229" s="272" t="s">
        <v>5256</v>
      </c>
      <c r="C229" t="s">
        <v>5255</v>
      </c>
      <c r="D229" s="272" t="s">
        <v>4558</v>
      </c>
      <c r="E229" t="s">
        <v>5257</v>
      </c>
      <c r="F229" t="s">
        <v>5258</v>
      </c>
      <c r="G229">
        <v>111</v>
      </c>
      <c r="L229" t="s">
        <v>3351</v>
      </c>
    </row>
    <row r="230" customFormat="1" spans="1:12">
      <c r="A230" t="s">
        <v>5259</v>
      </c>
      <c r="B230" s="272" t="s">
        <v>5260</v>
      </c>
      <c r="C230" t="s">
        <v>5259</v>
      </c>
      <c r="D230" s="272" t="s">
        <v>4558</v>
      </c>
      <c r="E230" t="s">
        <v>5261</v>
      </c>
      <c r="F230" t="s">
        <v>5262</v>
      </c>
      <c r="G230">
        <v>112</v>
      </c>
      <c r="L230" t="s">
        <v>3351</v>
      </c>
    </row>
    <row r="231" customFormat="1" spans="1:12">
      <c r="A231" t="s">
        <v>5263</v>
      </c>
      <c r="B231" s="272" t="s">
        <v>5264</v>
      </c>
      <c r="C231" t="s">
        <v>5263</v>
      </c>
      <c r="D231" s="272" t="s">
        <v>4558</v>
      </c>
      <c r="E231" t="s">
        <v>5265</v>
      </c>
      <c r="F231" t="s">
        <v>5266</v>
      </c>
      <c r="G231">
        <v>113</v>
      </c>
      <c r="L231" t="s">
        <v>3351</v>
      </c>
    </row>
    <row r="232" customFormat="1" spans="1:12">
      <c r="A232" t="s">
        <v>5267</v>
      </c>
      <c r="B232" s="272" t="s">
        <v>5268</v>
      </c>
      <c r="C232" t="s">
        <v>5267</v>
      </c>
      <c r="D232" s="272" t="s">
        <v>4558</v>
      </c>
      <c r="E232" t="s">
        <v>5269</v>
      </c>
      <c r="F232" t="s">
        <v>5270</v>
      </c>
      <c r="G232">
        <v>114</v>
      </c>
      <c r="L232" t="s">
        <v>3351</v>
      </c>
    </row>
    <row r="233" customFormat="1" spans="1:12">
      <c r="A233" t="s">
        <v>5271</v>
      </c>
      <c r="B233" s="272" t="s">
        <v>5272</v>
      </c>
      <c r="C233" t="s">
        <v>5271</v>
      </c>
      <c r="D233" s="272" t="s">
        <v>4558</v>
      </c>
      <c r="E233" t="s">
        <v>5271</v>
      </c>
      <c r="F233" t="s">
        <v>5271</v>
      </c>
      <c r="G233">
        <v>115</v>
      </c>
      <c r="L233" t="s">
        <v>3351</v>
      </c>
    </row>
    <row r="234" customFormat="1" spans="1:12">
      <c r="A234" t="s">
        <v>5273</v>
      </c>
      <c r="B234" s="272" t="s">
        <v>5274</v>
      </c>
      <c r="C234" t="s">
        <v>5273</v>
      </c>
      <c r="D234" s="272" t="s">
        <v>4558</v>
      </c>
      <c r="E234" t="s">
        <v>5275</v>
      </c>
      <c r="F234" t="s">
        <v>5276</v>
      </c>
      <c r="G234">
        <v>116</v>
      </c>
      <c r="L234" t="s">
        <v>3351</v>
      </c>
    </row>
    <row r="235" customFormat="1" spans="1:12">
      <c r="A235" t="s">
        <v>5277</v>
      </c>
      <c r="B235" s="272" t="s">
        <v>5278</v>
      </c>
      <c r="C235" t="s">
        <v>5277</v>
      </c>
      <c r="D235" s="272" t="s">
        <v>4558</v>
      </c>
      <c r="E235" t="s">
        <v>5279</v>
      </c>
      <c r="F235" t="s">
        <v>5280</v>
      </c>
      <c r="G235">
        <v>117</v>
      </c>
      <c r="L235" t="s">
        <v>3351</v>
      </c>
    </row>
    <row r="236" customFormat="1" spans="1:12">
      <c r="A236" t="s">
        <v>5281</v>
      </c>
      <c r="B236" s="272" t="s">
        <v>5282</v>
      </c>
      <c r="C236" t="s">
        <v>5281</v>
      </c>
      <c r="D236" s="272" t="s">
        <v>4558</v>
      </c>
      <c r="E236" t="s">
        <v>5283</v>
      </c>
      <c r="F236" t="s">
        <v>5284</v>
      </c>
      <c r="G236">
        <v>118</v>
      </c>
      <c r="L236" t="s">
        <v>3351</v>
      </c>
    </row>
    <row r="237" customFormat="1" spans="1:12">
      <c r="A237" t="s">
        <v>5285</v>
      </c>
      <c r="B237" s="272" t="s">
        <v>5286</v>
      </c>
      <c r="C237" t="s">
        <v>5285</v>
      </c>
      <c r="D237" s="272" t="s">
        <v>4558</v>
      </c>
      <c r="E237" t="s">
        <v>5287</v>
      </c>
      <c r="F237" t="s">
        <v>5288</v>
      </c>
      <c r="G237">
        <v>139</v>
      </c>
      <c r="L237" t="s">
        <v>3351</v>
      </c>
    </row>
    <row r="238" customFormat="1" spans="1:12">
      <c r="A238" t="s">
        <v>5289</v>
      </c>
      <c r="B238" s="272" t="s">
        <v>5290</v>
      </c>
      <c r="C238" t="s">
        <v>5289</v>
      </c>
      <c r="D238" s="272" t="s">
        <v>4558</v>
      </c>
      <c r="E238" t="s">
        <v>5291</v>
      </c>
      <c r="F238" t="s">
        <v>5292</v>
      </c>
      <c r="G238">
        <v>175</v>
      </c>
      <c r="L238" t="s">
        <v>3351</v>
      </c>
    </row>
    <row r="239" customFormat="1" spans="1:12">
      <c r="A239" t="s">
        <v>5293</v>
      </c>
      <c r="B239" s="272" t="s">
        <v>5294</v>
      </c>
      <c r="C239" t="s">
        <v>5293</v>
      </c>
      <c r="D239" s="272" t="s">
        <v>4558</v>
      </c>
      <c r="E239" t="s">
        <v>5293</v>
      </c>
      <c r="F239" t="s">
        <v>5293</v>
      </c>
      <c r="G239">
        <v>283</v>
      </c>
      <c r="L239" t="s">
        <v>3351</v>
      </c>
    </row>
    <row r="240" customFormat="1" spans="1:12">
      <c r="A240" t="s">
        <v>5295</v>
      </c>
      <c r="B240" s="272" t="s">
        <v>5296</v>
      </c>
      <c r="C240" t="s">
        <v>5295</v>
      </c>
      <c r="D240" s="272" t="s">
        <v>4562</v>
      </c>
      <c r="E240" t="s">
        <v>5297</v>
      </c>
      <c r="F240" t="s">
        <v>5298</v>
      </c>
      <c r="G240">
        <v>169</v>
      </c>
      <c r="L240" t="s">
        <v>3351</v>
      </c>
    </row>
    <row r="241" customFormat="1" spans="1:12">
      <c r="A241" t="s">
        <v>5299</v>
      </c>
      <c r="B241" s="272" t="s">
        <v>5300</v>
      </c>
      <c r="C241" t="s">
        <v>5299</v>
      </c>
      <c r="D241" s="272" t="s">
        <v>4566</v>
      </c>
      <c r="E241" t="s">
        <v>5301</v>
      </c>
      <c r="F241" t="s">
        <v>5302</v>
      </c>
      <c r="G241">
        <v>0</v>
      </c>
      <c r="L241" t="s">
        <v>3351</v>
      </c>
    </row>
    <row r="242" customFormat="1" spans="1:12">
      <c r="A242" t="s">
        <v>4565</v>
      </c>
      <c r="B242" s="272" t="s">
        <v>5303</v>
      </c>
      <c r="C242" t="s">
        <v>4565</v>
      </c>
      <c r="D242" s="272" t="s">
        <v>4566</v>
      </c>
      <c r="E242" t="s">
        <v>4567</v>
      </c>
      <c r="F242" t="s">
        <v>4568</v>
      </c>
      <c r="G242">
        <v>2</v>
      </c>
      <c r="L242" t="s">
        <v>3351</v>
      </c>
    </row>
    <row r="243" customFormat="1" spans="1:12">
      <c r="A243" t="s">
        <v>5304</v>
      </c>
      <c r="B243" s="272" t="s">
        <v>5305</v>
      </c>
      <c r="C243" t="s">
        <v>5304</v>
      </c>
      <c r="D243" s="272" t="s">
        <v>4566</v>
      </c>
      <c r="E243" t="s">
        <v>5306</v>
      </c>
      <c r="F243" t="s">
        <v>5307</v>
      </c>
      <c r="G243">
        <v>1</v>
      </c>
      <c r="L243" t="s">
        <v>3351</v>
      </c>
    </row>
    <row r="244" customFormat="1" spans="1:12">
      <c r="A244" t="s">
        <v>5308</v>
      </c>
      <c r="B244" s="272" t="s">
        <v>5309</v>
      </c>
      <c r="C244" t="s">
        <v>5308</v>
      </c>
      <c r="D244" s="272" t="s">
        <v>4566</v>
      </c>
      <c r="E244" t="s">
        <v>5310</v>
      </c>
      <c r="F244" t="s">
        <v>5311</v>
      </c>
      <c r="G244">
        <v>180</v>
      </c>
      <c r="L244" t="s">
        <v>3351</v>
      </c>
    </row>
    <row r="245" customFormat="1" spans="1:12">
      <c r="A245" t="s">
        <v>5312</v>
      </c>
      <c r="B245" s="272" t="s">
        <v>5313</v>
      </c>
      <c r="C245" t="s">
        <v>5312</v>
      </c>
      <c r="D245" s="272" t="s">
        <v>4566</v>
      </c>
      <c r="E245" t="s">
        <v>5314</v>
      </c>
      <c r="F245" t="s">
        <v>5315</v>
      </c>
      <c r="G245">
        <v>185</v>
      </c>
      <c r="L245" t="s">
        <v>3351</v>
      </c>
    </row>
    <row r="246" customFormat="1" spans="1:12">
      <c r="A246" t="s">
        <v>5316</v>
      </c>
      <c r="B246" s="272" t="s">
        <v>5317</v>
      </c>
      <c r="C246" t="s">
        <v>5316</v>
      </c>
      <c r="D246" s="272" t="s">
        <v>4566</v>
      </c>
      <c r="E246" t="s">
        <v>5318</v>
      </c>
      <c r="F246" t="s">
        <v>5319</v>
      </c>
      <c r="G246">
        <v>190</v>
      </c>
      <c r="L246" t="s">
        <v>3351</v>
      </c>
    </row>
    <row r="247" customFormat="1" spans="1:12">
      <c r="A247" t="s">
        <v>5320</v>
      </c>
      <c r="B247" s="272" t="s">
        <v>5321</v>
      </c>
      <c r="C247" t="s">
        <v>5320</v>
      </c>
      <c r="D247" s="272" t="s">
        <v>4566</v>
      </c>
      <c r="E247" t="s">
        <v>5322</v>
      </c>
      <c r="F247" t="s">
        <v>5323</v>
      </c>
      <c r="G247">
        <v>191</v>
      </c>
      <c r="L247" t="s">
        <v>3351</v>
      </c>
    </row>
    <row r="248" customFormat="1" spans="1:12">
      <c r="A248" t="s">
        <v>5324</v>
      </c>
      <c r="B248" s="272" t="s">
        <v>5325</v>
      </c>
      <c r="C248" t="s">
        <v>5324</v>
      </c>
      <c r="D248" s="272" t="s">
        <v>4566</v>
      </c>
      <c r="E248" t="s">
        <v>5326</v>
      </c>
      <c r="F248" t="s">
        <v>5327</v>
      </c>
      <c r="G248">
        <v>192</v>
      </c>
      <c r="L248" t="s">
        <v>3351</v>
      </c>
    </row>
    <row r="249" customFormat="1" spans="1:12">
      <c r="A249" t="s">
        <v>5328</v>
      </c>
      <c r="B249" s="272" t="s">
        <v>5329</v>
      </c>
      <c r="C249" t="s">
        <v>5328</v>
      </c>
      <c r="D249" s="272" t="s">
        <v>4570</v>
      </c>
      <c r="E249" t="s">
        <v>5330</v>
      </c>
      <c r="F249" t="s">
        <v>5331</v>
      </c>
      <c r="G249">
        <v>119</v>
      </c>
      <c r="L249" t="s">
        <v>3351</v>
      </c>
    </row>
    <row r="250" customFormat="1" spans="1:12">
      <c r="A250" t="s">
        <v>5332</v>
      </c>
      <c r="B250" s="272" t="s">
        <v>5333</v>
      </c>
      <c r="C250" t="s">
        <v>5332</v>
      </c>
      <c r="D250" s="272" t="s">
        <v>4570</v>
      </c>
      <c r="E250" t="s">
        <v>5334</v>
      </c>
      <c r="F250" t="s">
        <v>4494</v>
      </c>
      <c r="G250">
        <v>120</v>
      </c>
      <c r="L250" t="s">
        <v>3351</v>
      </c>
    </row>
    <row r="251" customFormat="1" spans="1:12">
      <c r="A251" t="s">
        <v>5335</v>
      </c>
      <c r="B251" s="272" t="s">
        <v>5336</v>
      </c>
      <c r="C251" t="s">
        <v>5335</v>
      </c>
      <c r="D251" s="272" t="s">
        <v>4570</v>
      </c>
      <c r="E251" t="s">
        <v>5337</v>
      </c>
      <c r="F251" t="s">
        <v>5338</v>
      </c>
      <c r="G251">
        <v>121</v>
      </c>
      <c r="L251" t="s">
        <v>3351</v>
      </c>
    </row>
    <row r="252" customFormat="1" spans="1:12">
      <c r="A252" t="s">
        <v>5339</v>
      </c>
      <c r="B252" s="272" t="s">
        <v>5340</v>
      </c>
      <c r="C252" t="s">
        <v>5339</v>
      </c>
      <c r="D252" s="272" t="s">
        <v>4570</v>
      </c>
      <c r="E252" t="s">
        <v>5341</v>
      </c>
      <c r="F252" t="s">
        <v>5342</v>
      </c>
      <c r="G252">
        <v>122</v>
      </c>
      <c r="L252" t="s">
        <v>3351</v>
      </c>
    </row>
    <row r="253" customFormat="1" spans="1:12">
      <c r="A253" t="s">
        <v>5343</v>
      </c>
      <c r="B253" s="272" t="s">
        <v>5344</v>
      </c>
      <c r="C253" t="s">
        <v>5343</v>
      </c>
      <c r="D253" s="272" t="s">
        <v>4570</v>
      </c>
      <c r="E253" t="s">
        <v>5345</v>
      </c>
      <c r="F253" t="s">
        <v>5346</v>
      </c>
      <c r="G253">
        <v>136</v>
      </c>
      <c r="L253" t="s">
        <v>3351</v>
      </c>
    </row>
    <row r="254" customFormat="1" spans="1:12">
      <c r="A254" t="s">
        <v>5347</v>
      </c>
      <c r="B254" s="272" t="s">
        <v>5348</v>
      </c>
      <c r="C254" t="s">
        <v>5347</v>
      </c>
      <c r="D254" s="272" t="s">
        <v>4570</v>
      </c>
      <c r="E254" t="s">
        <v>5349</v>
      </c>
      <c r="F254" t="s">
        <v>5350</v>
      </c>
      <c r="G254">
        <v>286</v>
      </c>
      <c r="L254" t="s">
        <v>3351</v>
      </c>
    </row>
    <row r="255" customFormat="1" spans="1:12">
      <c r="A255" t="s">
        <v>5351</v>
      </c>
      <c r="B255" s="272" t="s">
        <v>5352</v>
      </c>
      <c r="C255" t="s">
        <v>5351</v>
      </c>
      <c r="D255" s="272" t="s">
        <v>4570</v>
      </c>
      <c r="E255" t="s">
        <v>5353</v>
      </c>
      <c r="F255" t="s">
        <v>5354</v>
      </c>
      <c r="G255">
        <v>287</v>
      </c>
      <c r="L255" t="s">
        <v>3351</v>
      </c>
    </row>
    <row r="256" customFormat="1" spans="1:12">
      <c r="A256" t="s">
        <v>5355</v>
      </c>
      <c r="B256" s="272" t="s">
        <v>5356</v>
      </c>
      <c r="C256" t="s">
        <v>5355</v>
      </c>
      <c r="D256" s="272" t="s">
        <v>4574</v>
      </c>
      <c r="E256" t="s">
        <v>5357</v>
      </c>
      <c r="F256" t="s">
        <v>5358</v>
      </c>
      <c r="G256">
        <v>5</v>
      </c>
      <c r="L256" t="s">
        <v>3351</v>
      </c>
    </row>
    <row r="257" customFormat="1" spans="1:12">
      <c r="A257" t="s">
        <v>5359</v>
      </c>
      <c r="B257" s="272" t="s">
        <v>5360</v>
      </c>
      <c r="C257" t="s">
        <v>5359</v>
      </c>
      <c r="D257" s="272" t="s">
        <v>4574</v>
      </c>
      <c r="E257" t="s">
        <v>5361</v>
      </c>
      <c r="F257" t="s">
        <v>5362</v>
      </c>
      <c r="G257">
        <v>6</v>
      </c>
      <c r="L257" t="s">
        <v>3351</v>
      </c>
    </row>
    <row r="258" customFormat="1" spans="1:12">
      <c r="A258" t="s">
        <v>5363</v>
      </c>
      <c r="B258" s="272" t="s">
        <v>5364</v>
      </c>
      <c r="C258" t="s">
        <v>5363</v>
      </c>
      <c r="D258" s="272" t="s">
        <v>4574</v>
      </c>
      <c r="E258" t="s">
        <v>5365</v>
      </c>
      <c r="F258" t="s">
        <v>5366</v>
      </c>
      <c r="G258">
        <v>0</v>
      </c>
      <c r="L258" t="s">
        <v>3351</v>
      </c>
    </row>
    <row r="259" customFormat="1" spans="1:12">
      <c r="A259" t="s">
        <v>5367</v>
      </c>
      <c r="B259" s="272" t="s">
        <v>5368</v>
      </c>
      <c r="C259" t="s">
        <v>5367</v>
      </c>
      <c r="D259" s="272" t="s">
        <v>4574</v>
      </c>
      <c r="E259" t="s">
        <v>5369</v>
      </c>
      <c r="F259" t="s">
        <v>5370</v>
      </c>
      <c r="G259">
        <v>1</v>
      </c>
      <c r="L259" t="s">
        <v>3351</v>
      </c>
    </row>
    <row r="260" customFormat="1" spans="1:12">
      <c r="A260" t="s">
        <v>5371</v>
      </c>
      <c r="B260" s="272" t="s">
        <v>5372</v>
      </c>
      <c r="C260" t="s">
        <v>5371</v>
      </c>
      <c r="D260" s="272" t="s">
        <v>4574</v>
      </c>
      <c r="E260" t="s">
        <v>5373</v>
      </c>
      <c r="F260" t="s">
        <v>5374</v>
      </c>
      <c r="G260">
        <v>4</v>
      </c>
      <c r="L260" t="s">
        <v>3351</v>
      </c>
    </row>
    <row r="261" customFormat="1" spans="1:12">
      <c r="A261" t="s">
        <v>5375</v>
      </c>
      <c r="B261" s="272" t="s">
        <v>5376</v>
      </c>
      <c r="C261" t="s">
        <v>5375</v>
      </c>
      <c r="D261" s="272" t="s">
        <v>4574</v>
      </c>
      <c r="E261" t="s">
        <v>5377</v>
      </c>
      <c r="F261" t="s">
        <v>5378</v>
      </c>
      <c r="G261">
        <v>2</v>
      </c>
      <c r="L261" t="s">
        <v>3351</v>
      </c>
    </row>
    <row r="262" customFormat="1" spans="1:12">
      <c r="A262" t="s">
        <v>5379</v>
      </c>
      <c r="B262" s="272" t="s">
        <v>5380</v>
      </c>
      <c r="C262" t="s">
        <v>5379</v>
      </c>
      <c r="D262" s="272" t="s">
        <v>4574</v>
      </c>
      <c r="E262" t="s">
        <v>5377</v>
      </c>
      <c r="F262" t="s">
        <v>5381</v>
      </c>
      <c r="G262">
        <v>3</v>
      </c>
      <c r="L262" t="s">
        <v>3351</v>
      </c>
    </row>
    <row r="263" customFormat="1" spans="1:12">
      <c r="A263" t="s">
        <v>4577</v>
      </c>
      <c r="B263" s="272" t="s">
        <v>5382</v>
      </c>
      <c r="C263" t="s">
        <v>4577</v>
      </c>
      <c r="D263" s="272" t="s">
        <v>4578</v>
      </c>
      <c r="E263" t="s">
        <v>4523</v>
      </c>
      <c r="F263" t="s">
        <v>4579</v>
      </c>
      <c r="G263">
        <v>127</v>
      </c>
      <c r="L263" t="s">
        <v>3351</v>
      </c>
    </row>
    <row r="264" customFormat="1" spans="1:12">
      <c r="A264" t="s">
        <v>5000</v>
      </c>
      <c r="B264" s="272" t="s">
        <v>5383</v>
      </c>
      <c r="C264" t="s">
        <v>5000</v>
      </c>
      <c r="D264" s="272" t="s">
        <v>4578</v>
      </c>
      <c r="E264" t="s">
        <v>5002</v>
      </c>
      <c r="F264" t="s">
        <v>5003</v>
      </c>
      <c r="G264">
        <v>128</v>
      </c>
      <c r="L264" t="s">
        <v>3351</v>
      </c>
    </row>
    <row r="265" customFormat="1" spans="1:12">
      <c r="A265" t="s">
        <v>5004</v>
      </c>
      <c r="B265" s="272" t="s">
        <v>5384</v>
      </c>
      <c r="C265" t="s">
        <v>5004</v>
      </c>
      <c r="D265" s="272" t="s">
        <v>4578</v>
      </c>
      <c r="E265" t="s">
        <v>4539</v>
      </c>
      <c r="F265" t="s">
        <v>5006</v>
      </c>
      <c r="G265">
        <v>129</v>
      </c>
      <c r="L265" t="s">
        <v>3351</v>
      </c>
    </row>
    <row r="266" customFormat="1" spans="1:12">
      <c r="A266" t="s">
        <v>5007</v>
      </c>
      <c r="B266" s="272" t="s">
        <v>5385</v>
      </c>
      <c r="C266" t="s">
        <v>5007</v>
      </c>
      <c r="D266" s="272" t="s">
        <v>4578</v>
      </c>
      <c r="E266" t="s">
        <v>5009</v>
      </c>
      <c r="F266" t="s">
        <v>4579</v>
      </c>
      <c r="G266">
        <v>130</v>
      </c>
      <c r="L266" t="s">
        <v>3351</v>
      </c>
    </row>
    <row r="267" customFormat="1" spans="1:12">
      <c r="A267" t="s">
        <v>5010</v>
      </c>
      <c r="B267" s="272" t="s">
        <v>5386</v>
      </c>
      <c r="C267" t="s">
        <v>5010</v>
      </c>
      <c r="D267" s="272" t="s">
        <v>4578</v>
      </c>
      <c r="E267" t="s">
        <v>5012</v>
      </c>
      <c r="F267" t="s">
        <v>5013</v>
      </c>
      <c r="G267">
        <v>131</v>
      </c>
      <c r="L267" t="s">
        <v>3351</v>
      </c>
    </row>
    <row r="268" customFormat="1" spans="1:12">
      <c r="A268" t="s">
        <v>5014</v>
      </c>
      <c r="B268" s="272" t="s">
        <v>5387</v>
      </c>
      <c r="C268" t="s">
        <v>5014</v>
      </c>
      <c r="D268" s="272" t="s">
        <v>4578</v>
      </c>
      <c r="E268" t="s">
        <v>5016</v>
      </c>
      <c r="F268" t="s">
        <v>5017</v>
      </c>
      <c r="G268">
        <v>132</v>
      </c>
      <c r="L268" t="s">
        <v>3351</v>
      </c>
    </row>
    <row r="269" customFormat="1" spans="1:12">
      <c r="A269" t="s">
        <v>5388</v>
      </c>
      <c r="B269" s="272" t="s">
        <v>5389</v>
      </c>
      <c r="C269" t="s">
        <v>5388</v>
      </c>
      <c r="D269" s="272" t="s">
        <v>4584</v>
      </c>
      <c r="E269" t="s">
        <v>5390</v>
      </c>
      <c r="F269" t="s">
        <v>5391</v>
      </c>
      <c r="G269">
        <v>165</v>
      </c>
      <c r="L269" t="s">
        <v>3351</v>
      </c>
    </row>
    <row r="270" customFormat="1" spans="1:12">
      <c r="A270" t="s">
        <v>5392</v>
      </c>
      <c r="B270" s="272" t="s">
        <v>5393</v>
      </c>
      <c r="C270" t="s">
        <v>5392</v>
      </c>
      <c r="D270" s="272" t="s">
        <v>4584</v>
      </c>
      <c r="E270" t="s">
        <v>5394</v>
      </c>
      <c r="F270" t="s">
        <v>5395</v>
      </c>
      <c r="G270">
        <v>166</v>
      </c>
      <c r="L270" t="s">
        <v>3351</v>
      </c>
    </row>
    <row r="271" customFormat="1" spans="1:12">
      <c r="A271" t="s">
        <v>5396</v>
      </c>
      <c r="B271" s="272" t="s">
        <v>5397</v>
      </c>
      <c r="C271" t="s">
        <v>5396</v>
      </c>
      <c r="D271" s="272" t="s">
        <v>4588</v>
      </c>
      <c r="E271" t="s">
        <v>5398</v>
      </c>
      <c r="F271" t="s">
        <v>5399</v>
      </c>
      <c r="G271">
        <v>220</v>
      </c>
      <c r="L271" t="s">
        <v>3351</v>
      </c>
    </row>
    <row r="272" customFormat="1" spans="1:12">
      <c r="A272" t="s">
        <v>5400</v>
      </c>
      <c r="B272" s="272" t="s">
        <v>5401</v>
      </c>
      <c r="C272" t="s">
        <v>5400</v>
      </c>
      <c r="D272" s="272" t="s">
        <v>4588</v>
      </c>
      <c r="E272" t="s">
        <v>5402</v>
      </c>
      <c r="F272" t="s">
        <v>5403</v>
      </c>
      <c r="G272">
        <v>230</v>
      </c>
      <c r="L272" t="s">
        <v>3351</v>
      </c>
    </row>
    <row r="273" customFormat="1" spans="1:12">
      <c r="A273" t="s">
        <v>2625</v>
      </c>
      <c r="B273" s="272" t="s">
        <v>5404</v>
      </c>
      <c r="C273" t="s">
        <v>2625</v>
      </c>
      <c r="D273" s="272" t="s">
        <v>4588</v>
      </c>
      <c r="E273" t="s">
        <v>5287</v>
      </c>
      <c r="F273" t="s">
        <v>5288</v>
      </c>
      <c r="G273">
        <v>239</v>
      </c>
      <c r="L273" t="s">
        <v>3351</v>
      </c>
    </row>
    <row r="274" customFormat="1" spans="1:12">
      <c r="A274" s="273" t="s">
        <v>2522</v>
      </c>
      <c r="B274" s="272" t="s">
        <v>5405</v>
      </c>
      <c r="C274" s="273" t="s">
        <v>2522</v>
      </c>
      <c r="D274" s="272" t="s">
        <v>4588</v>
      </c>
      <c r="E274" t="s">
        <v>5406</v>
      </c>
      <c r="F274" t="s">
        <v>5249</v>
      </c>
      <c r="G274">
        <v>242</v>
      </c>
      <c r="L274" t="s">
        <v>3351</v>
      </c>
    </row>
    <row r="275" customFormat="1" spans="1:12">
      <c r="A275" s="273" t="s">
        <v>2417</v>
      </c>
      <c r="B275" s="272" t="s">
        <v>5407</v>
      </c>
      <c r="C275" s="273" t="s">
        <v>2417</v>
      </c>
      <c r="D275" s="272" t="s">
        <v>4588</v>
      </c>
      <c r="E275" t="s">
        <v>5291</v>
      </c>
      <c r="F275" t="s">
        <v>5292</v>
      </c>
      <c r="G275">
        <v>249</v>
      </c>
      <c r="L275" t="s">
        <v>3351</v>
      </c>
    </row>
    <row r="276" customFormat="1" spans="1:12">
      <c r="A276" t="s">
        <v>5408</v>
      </c>
      <c r="B276" s="272" t="s">
        <v>5409</v>
      </c>
      <c r="C276" t="s">
        <v>5408</v>
      </c>
      <c r="D276" s="272" t="s">
        <v>4588</v>
      </c>
      <c r="E276" t="s">
        <v>5283</v>
      </c>
      <c r="F276" t="s">
        <v>5410</v>
      </c>
      <c r="G276">
        <v>256</v>
      </c>
      <c r="L276" t="s">
        <v>3351</v>
      </c>
    </row>
    <row r="277" customFormat="1" spans="1:12">
      <c r="A277" t="s">
        <v>5411</v>
      </c>
      <c r="B277" s="272" t="s">
        <v>5412</v>
      </c>
      <c r="C277" t="s">
        <v>5411</v>
      </c>
      <c r="D277" s="272" t="s">
        <v>4592</v>
      </c>
      <c r="E277" t="s">
        <v>5413</v>
      </c>
      <c r="F277" t="s">
        <v>5414</v>
      </c>
      <c r="G277">
        <v>144</v>
      </c>
      <c r="L277" t="s">
        <v>3351</v>
      </c>
    </row>
    <row r="278" customFormat="1" spans="1:12">
      <c r="A278" t="s">
        <v>5415</v>
      </c>
      <c r="B278" s="272" t="s">
        <v>5416</v>
      </c>
      <c r="C278" t="s">
        <v>5415</v>
      </c>
      <c r="D278" s="272" t="s">
        <v>4592</v>
      </c>
      <c r="E278" t="s">
        <v>5417</v>
      </c>
      <c r="F278" t="s">
        <v>5418</v>
      </c>
      <c r="G278">
        <v>145</v>
      </c>
      <c r="L278" t="s">
        <v>3351</v>
      </c>
    </row>
    <row r="279" customFormat="1" spans="1:12">
      <c r="A279" t="s">
        <v>5419</v>
      </c>
      <c r="B279" s="272" t="s">
        <v>5420</v>
      </c>
      <c r="C279" t="s">
        <v>5419</v>
      </c>
      <c r="D279" s="272" t="s">
        <v>4592</v>
      </c>
      <c r="E279" t="s">
        <v>5421</v>
      </c>
      <c r="F279" t="s">
        <v>5422</v>
      </c>
      <c r="G279">
        <v>146</v>
      </c>
      <c r="L279" t="s">
        <v>3351</v>
      </c>
    </row>
    <row r="280" customFormat="1" spans="1:12">
      <c r="A280" t="s">
        <v>5423</v>
      </c>
      <c r="B280" s="272" t="s">
        <v>5424</v>
      </c>
      <c r="C280" t="s">
        <v>5423</v>
      </c>
      <c r="D280" s="272" t="s">
        <v>4599</v>
      </c>
      <c r="E280" t="s">
        <v>5425</v>
      </c>
      <c r="F280" t="s">
        <v>5426</v>
      </c>
      <c r="G280">
        <v>162</v>
      </c>
      <c r="L280" t="s">
        <v>3351</v>
      </c>
    </row>
    <row r="281" customFormat="1" spans="1:12">
      <c r="A281" t="s">
        <v>4598</v>
      </c>
      <c r="B281" s="272" t="s">
        <v>5427</v>
      </c>
      <c r="C281" t="s">
        <v>4598</v>
      </c>
      <c r="D281" s="272" t="s">
        <v>4599</v>
      </c>
      <c r="E281" t="s">
        <v>4600</v>
      </c>
      <c r="F281" t="s">
        <v>4601</v>
      </c>
      <c r="G281">
        <v>305</v>
      </c>
      <c r="L281" t="s">
        <v>3351</v>
      </c>
    </row>
    <row r="282" customFormat="1" spans="1:12">
      <c r="A282" t="s">
        <v>5428</v>
      </c>
      <c r="B282" s="272" t="s">
        <v>5429</v>
      </c>
      <c r="C282" t="s">
        <v>5428</v>
      </c>
      <c r="D282" s="272" t="s">
        <v>4603</v>
      </c>
      <c r="E282" t="s">
        <v>5430</v>
      </c>
      <c r="F282" t="s">
        <v>5431</v>
      </c>
      <c r="G282">
        <v>161</v>
      </c>
      <c r="L282" t="s">
        <v>3351</v>
      </c>
    </row>
    <row r="283" customFormat="1" spans="1:12">
      <c r="A283" t="s">
        <v>5432</v>
      </c>
      <c r="B283" s="272" t="s">
        <v>5433</v>
      </c>
      <c r="C283" t="s">
        <v>5432</v>
      </c>
      <c r="D283" s="272" t="s">
        <v>4631</v>
      </c>
      <c r="E283" t="s">
        <v>5434</v>
      </c>
      <c r="F283" t="s">
        <v>5435</v>
      </c>
      <c r="G283">
        <v>186</v>
      </c>
      <c r="L283" t="s">
        <v>3351</v>
      </c>
    </row>
    <row r="284" customFormat="1" spans="1:12">
      <c r="A284" t="s">
        <v>5436</v>
      </c>
      <c r="B284" s="272" t="s">
        <v>5437</v>
      </c>
      <c r="C284" t="s">
        <v>5436</v>
      </c>
      <c r="D284" s="272" t="s">
        <v>4631</v>
      </c>
      <c r="E284" t="s">
        <v>5438</v>
      </c>
      <c r="F284" t="s">
        <v>5439</v>
      </c>
      <c r="G284">
        <v>187</v>
      </c>
      <c r="L284" t="s">
        <v>3351</v>
      </c>
    </row>
    <row r="285" customFormat="1" spans="1:12">
      <c r="A285" t="s">
        <v>1057</v>
      </c>
      <c r="B285" s="272" t="s">
        <v>5440</v>
      </c>
      <c r="C285" t="s">
        <v>1057</v>
      </c>
      <c r="D285" s="272" t="s">
        <v>4643</v>
      </c>
      <c r="E285" t="s">
        <v>4699</v>
      </c>
      <c r="F285" t="s">
        <v>4700</v>
      </c>
      <c r="G285">
        <v>207</v>
      </c>
      <c r="L285" t="s">
        <v>3351</v>
      </c>
    </row>
    <row r="286" customFormat="1" spans="1:12">
      <c r="A286" t="s">
        <v>1096</v>
      </c>
      <c r="B286" s="272" t="s">
        <v>5441</v>
      </c>
      <c r="C286" t="s">
        <v>1096</v>
      </c>
      <c r="D286" s="272" t="s">
        <v>4643</v>
      </c>
      <c r="E286" t="s">
        <v>4702</v>
      </c>
      <c r="F286" t="s">
        <v>4703</v>
      </c>
      <c r="G286">
        <v>208</v>
      </c>
      <c r="L286" t="s">
        <v>3351</v>
      </c>
    </row>
    <row r="287" customFormat="1" spans="1:12">
      <c r="A287" t="s">
        <v>4704</v>
      </c>
      <c r="B287" s="272" t="s">
        <v>5442</v>
      </c>
      <c r="C287" t="s">
        <v>4704</v>
      </c>
      <c r="D287" s="272" t="s">
        <v>4643</v>
      </c>
      <c r="E287" t="s">
        <v>4706</v>
      </c>
      <c r="F287" t="s">
        <v>4707</v>
      </c>
      <c r="G287">
        <v>209</v>
      </c>
      <c r="L287" t="s">
        <v>3351</v>
      </c>
    </row>
    <row r="288" s="271" customFormat="1" spans="1:12">
      <c r="A288" s="271" t="s">
        <v>1125</v>
      </c>
      <c r="B288" s="274" t="s">
        <v>5443</v>
      </c>
      <c r="C288" s="271" t="s">
        <v>1125</v>
      </c>
      <c r="D288" s="274" t="s">
        <v>4643</v>
      </c>
      <c r="E288" s="271" t="s">
        <v>5444</v>
      </c>
      <c r="F288" s="271" t="s">
        <v>5445</v>
      </c>
      <c r="G288" s="271">
        <v>210</v>
      </c>
      <c r="H288" s="271"/>
      <c r="I288" s="271"/>
      <c r="J288" s="271"/>
      <c r="K288" s="271"/>
      <c r="L288" s="271" t="s">
        <v>3351</v>
      </c>
    </row>
    <row r="289" customFormat="1" spans="1:12">
      <c r="A289" s="273" t="s">
        <v>1138</v>
      </c>
      <c r="B289" s="272" t="s">
        <v>5446</v>
      </c>
      <c r="C289" s="273" t="s">
        <v>1138</v>
      </c>
      <c r="D289" s="272" t="s">
        <v>4643</v>
      </c>
      <c r="E289" t="s">
        <v>4713</v>
      </c>
      <c r="F289" t="s">
        <v>4714</v>
      </c>
      <c r="G289">
        <v>211</v>
      </c>
      <c r="L289" t="s">
        <v>3351</v>
      </c>
    </row>
    <row r="290" customFormat="1" spans="1:12">
      <c r="A290" t="s">
        <v>1171</v>
      </c>
      <c r="B290" s="272" t="s">
        <v>5447</v>
      </c>
      <c r="C290" t="s">
        <v>1171</v>
      </c>
      <c r="D290" s="272" t="s">
        <v>4643</v>
      </c>
      <c r="E290" t="s">
        <v>4716</v>
      </c>
      <c r="F290" t="s">
        <v>4717</v>
      </c>
      <c r="G290">
        <v>212</v>
      </c>
      <c r="L290" t="s">
        <v>3351</v>
      </c>
    </row>
    <row r="291" customFormat="1" spans="1:12">
      <c r="A291" t="s">
        <v>1214</v>
      </c>
      <c r="B291" s="272" t="s">
        <v>5448</v>
      </c>
      <c r="C291" t="s">
        <v>1214</v>
      </c>
      <c r="D291" s="272" t="s">
        <v>4643</v>
      </c>
      <c r="E291" t="s">
        <v>4719</v>
      </c>
      <c r="F291" t="s">
        <v>4720</v>
      </c>
      <c r="G291">
        <v>213</v>
      </c>
      <c r="L291" t="s">
        <v>3351</v>
      </c>
    </row>
    <row r="292" customFormat="1" spans="1:12">
      <c r="A292" t="s">
        <v>1224</v>
      </c>
      <c r="B292" s="272" t="s">
        <v>5449</v>
      </c>
      <c r="C292" t="s">
        <v>1224</v>
      </c>
      <c r="D292" s="272" t="s">
        <v>4643</v>
      </c>
      <c r="E292" t="s">
        <v>4722</v>
      </c>
      <c r="F292" t="s">
        <v>4723</v>
      </c>
      <c r="G292">
        <v>214</v>
      </c>
      <c r="L292" t="s">
        <v>3351</v>
      </c>
    </row>
    <row r="293" customFormat="1" spans="1:12">
      <c r="A293" t="s">
        <v>1239</v>
      </c>
      <c r="B293" s="272" t="s">
        <v>5450</v>
      </c>
      <c r="C293" t="s">
        <v>1239</v>
      </c>
      <c r="D293" s="272" t="s">
        <v>4643</v>
      </c>
      <c r="E293" t="s">
        <v>4725</v>
      </c>
      <c r="F293" t="s">
        <v>4726</v>
      </c>
      <c r="G293">
        <v>215</v>
      </c>
      <c r="L293" t="s">
        <v>3351</v>
      </c>
    </row>
    <row r="294" customFormat="1" spans="1:12">
      <c r="A294" t="s">
        <v>4727</v>
      </c>
      <c r="B294" s="272" t="s">
        <v>5451</v>
      </c>
      <c r="C294" t="s">
        <v>4727</v>
      </c>
      <c r="D294" s="272" t="s">
        <v>4643</v>
      </c>
      <c r="E294" t="s">
        <v>4729</v>
      </c>
      <c r="F294" t="s">
        <v>4730</v>
      </c>
      <c r="G294">
        <v>216</v>
      </c>
      <c r="L294" t="s">
        <v>3351</v>
      </c>
    </row>
    <row r="295" customFormat="1" spans="1:12">
      <c r="A295" t="s">
        <v>1322</v>
      </c>
      <c r="B295" s="272" t="s">
        <v>5452</v>
      </c>
      <c r="C295" t="s">
        <v>1322</v>
      </c>
      <c r="D295" s="272" t="s">
        <v>4643</v>
      </c>
      <c r="E295" t="s">
        <v>4732</v>
      </c>
      <c r="F295" t="s">
        <v>4720</v>
      </c>
      <c r="G295">
        <v>217</v>
      </c>
      <c r="L295" t="s">
        <v>3351</v>
      </c>
    </row>
    <row r="296" customFormat="1" spans="1:12">
      <c r="A296" t="s">
        <v>1403</v>
      </c>
      <c r="B296" s="272" t="s">
        <v>5453</v>
      </c>
      <c r="C296" t="s">
        <v>1403</v>
      </c>
      <c r="D296" s="272" t="s">
        <v>4643</v>
      </c>
      <c r="E296" t="s">
        <v>4734</v>
      </c>
      <c r="F296" t="s">
        <v>4735</v>
      </c>
      <c r="G296">
        <v>218</v>
      </c>
      <c r="L296" t="s">
        <v>3351</v>
      </c>
    </row>
    <row r="297" customFormat="1" spans="1:12">
      <c r="A297" t="s">
        <v>1423</v>
      </c>
      <c r="B297" s="272" t="s">
        <v>5454</v>
      </c>
      <c r="C297" t="s">
        <v>1423</v>
      </c>
      <c r="D297" s="272" t="s">
        <v>4643</v>
      </c>
      <c r="E297" t="s">
        <v>4737</v>
      </c>
      <c r="F297" t="s">
        <v>4738</v>
      </c>
      <c r="G297">
        <v>219</v>
      </c>
      <c r="L297" t="s">
        <v>3351</v>
      </c>
    </row>
    <row r="298" customFormat="1" spans="1:12">
      <c r="A298" t="s">
        <v>5455</v>
      </c>
      <c r="B298" s="272" t="s">
        <v>5456</v>
      </c>
      <c r="C298" t="s">
        <v>5455</v>
      </c>
      <c r="D298" s="272" t="s">
        <v>4643</v>
      </c>
      <c r="E298" t="s">
        <v>5457</v>
      </c>
      <c r="F298" t="s">
        <v>5458</v>
      </c>
      <c r="G298">
        <v>299</v>
      </c>
      <c r="L298" t="s">
        <v>3351</v>
      </c>
    </row>
    <row r="299" customFormat="1" spans="1:12">
      <c r="A299" t="s">
        <v>5459</v>
      </c>
      <c r="B299" s="272" t="s">
        <v>5460</v>
      </c>
      <c r="C299" t="s">
        <v>5459</v>
      </c>
      <c r="D299" s="272" t="s">
        <v>4488</v>
      </c>
      <c r="E299" t="s">
        <v>5461</v>
      </c>
      <c r="F299" t="s">
        <v>5462</v>
      </c>
      <c r="G299">
        <v>295</v>
      </c>
      <c r="L299" t="s">
        <v>3351</v>
      </c>
    </row>
    <row r="300" customFormat="1" spans="1:12">
      <c r="A300" t="s">
        <v>5463</v>
      </c>
      <c r="B300" s="272" t="s">
        <v>5464</v>
      </c>
      <c r="C300" t="s">
        <v>5463</v>
      </c>
      <c r="D300" s="272" t="s">
        <v>4728</v>
      </c>
      <c r="E300" t="s">
        <v>5465</v>
      </c>
      <c r="F300" t="s">
        <v>5466</v>
      </c>
      <c r="G300">
        <v>150</v>
      </c>
      <c r="L300" t="s">
        <v>3351</v>
      </c>
    </row>
    <row r="301" customFormat="1" spans="1:12">
      <c r="A301" t="s">
        <v>5467</v>
      </c>
      <c r="B301" s="272" t="s">
        <v>5468</v>
      </c>
      <c r="C301" t="s">
        <v>5467</v>
      </c>
      <c r="D301" s="272" t="s">
        <v>5153</v>
      </c>
      <c r="E301" t="s">
        <v>5469</v>
      </c>
      <c r="F301" t="s">
        <v>5470</v>
      </c>
      <c r="G301">
        <v>91</v>
      </c>
      <c r="L301" t="s">
        <v>3351</v>
      </c>
    </row>
    <row r="302" customFormat="1" spans="1:12">
      <c r="A302" t="s">
        <v>5471</v>
      </c>
      <c r="B302" s="272" t="s">
        <v>5472</v>
      </c>
      <c r="C302" t="s">
        <v>5471</v>
      </c>
      <c r="D302" s="272" t="s">
        <v>5153</v>
      </c>
      <c r="E302" t="s">
        <v>5473</v>
      </c>
      <c r="F302" t="s">
        <v>5474</v>
      </c>
      <c r="G302">
        <v>92</v>
      </c>
      <c r="L302" t="s">
        <v>3351</v>
      </c>
    </row>
    <row r="303" customFormat="1" spans="1:12">
      <c r="A303" s="273" t="s">
        <v>1138</v>
      </c>
      <c r="B303" s="272" t="s">
        <v>5475</v>
      </c>
      <c r="C303" s="273" t="s">
        <v>1138</v>
      </c>
      <c r="D303" s="272" t="s">
        <v>4647</v>
      </c>
      <c r="E303" t="s">
        <v>4713</v>
      </c>
      <c r="F303" t="s">
        <v>4714</v>
      </c>
      <c r="G303">
        <v>277</v>
      </c>
      <c r="L303" t="s">
        <v>3351</v>
      </c>
    </row>
    <row r="304" customFormat="1" spans="1:12">
      <c r="A304" s="273" t="s">
        <v>1720</v>
      </c>
      <c r="B304" s="272" t="s">
        <v>5476</v>
      </c>
      <c r="C304" s="273" t="s">
        <v>1720</v>
      </c>
      <c r="D304" s="272" t="s">
        <v>4647</v>
      </c>
      <c r="E304" t="s">
        <v>4746</v>
      </c>
      <c r="F304" t="s">
        <v>4747</v>
      </c>
      <c r="G304">
        <v>278</v>
      </c>
      <c r="L304" t="s">
        <v>3351</v>
      </c>
    </row>
    <row r="305" customFormat="1" spans="1:12">
      <c r="A305" t="s">
        <v>1403</v>
      </c>
      <c r="B305" s="272" t="s">
        <v>5477</v>
      </c>
      <c r="C305" t="s">
        <v>1403</v>
      </c>
      <c r="D305" s="272" t="s">
        <v>4647</v>
      </c>
      <c r="E305" t="s">
        <v>4734</v>
      </c>
      <c r="F305" t="s">
        <v>4735</v>
      </c>
      <c r="G305">
        <v>279</v>
      </c>
      <c r="L305" t="s">
        <v>3351</v>
      </c>
    </row>
    <row r="306" customFormat="1" spans="1:12">
      <c r="A306" t="s">
        <v>5478</v>
      </c>
      <c r="B306" s="272" t="s">
        <v>5479</v>
      </c>
      <c r="C306" t="s">
        <v>5478</v>
      </c>
      <c r="D306" s="272" t="s">
        <v>4647</v>
      </c>
      <c r="E306" t="s">
        <v>5480</v>
      </c>
      <c r="F306" t="s">
        <v>5481</v>
      </c>
      <c r="G306">
        <v>280</v>
      </c>
      <c r="L306" t="s">
        <v>3351</v>
      </c>
    </row>
    <row r="307" customFormat="1" spans="1:12">
      <c r="A307" t="s">
        <v>5482</v>
      </c>
      <c r="B307" s="272" t="s">
        <v>5483</v>
      </c>
      <c r="C307" t="s">
        <v>5482</v>
      </c>
      <c r="D307" s="272" t="s">
        <v>5397</v>
      </c>
      <c r="E307" t="s">
        <v>5484</v>
      </c>
      <c r="F307" t="s">
        <v>5485</v>
      </c>
      <c r="G307">
        <v>221</v>
      </c>
      <c r="L307" t="s">
        <v>3351</v>
      </c>
    </row>
    <row r="308" customFormat="1" spans="1:12">
      <c r="A308" t="s">
        <v>662</v>
      </c>
      <c r="B308" s="272" t="s">
        <v>5486</v>
      </c>
      <c r="C308" t="s">
        <v>662</v>
      </c>
      <c r="D308" s="272" t="s">
        <v>5397</v>
      </c>
      <c r="E308" t="s">
        <v>4478</v>
      </c>
      <c r="F308" t="s">
        <v>4479</v>
      </c>
      <c r="G308">
        <v>222</v>
      </c>
      <c r="L308" t="s">
        <v>3351</v>
      </c>
    </row>
    <row r="309" customFormat="1" spans="1:12">
      <c r="A309" t="s">
        <v>4190</v>
      </c>
      <c r="B309" s="272" t="s">
        <v>5487</v>
      </c>
      <c r="C309" t="s">
        <v>4190</v>
      </c>
      <c r="D309" s="272" t="s">
        <v>5397</v>
      </c>
      <c r="E309" t="s">
        <v>4480</v>
      </c>
      <c r="F309" t="s">
        <v>4481</v>
      </c>
      <c r="G309">
        <v>223</v>
      </c>
      <c r="L309" t="s">
        <v>3351</v>
      </c>
    </row>
    <row r="310" customFormat="1" spans="1:12">
      <c r="A310" t="s">
        <v>1508</v>
      </c>
      <c r="B310" s="272" t="s">
        <v>5488</v>
      </c>
      <c r="C310" t="s">
        <v>1508</v>
      </c>
      <c r="D310" s="272" t="s">
        <v>5397</v>
      </c>
      <c r="E310" t="s">
        <v>4482</v>
      </c>
      <c r="F310" t="s">
        <v>4483</v>
      </c>
      <c r="G310">
        <v>224</v>
      </c>
      <c r="L310" t="s">
        <v>3351</v>
      </c>
    </row>
    <row r="311" customFormat="1" spans="1:12">
      <c r="A311" t="s">
        <v>1560</v>
      </c>
      <c r="B311" s="272">
        <v>430105</v>
      </c>
      <c r="C311" t="s">
        <v>1560</v>
      </c>
      <c r="D311" s="272" t="s">
        <v>5397</v>
      </c>
      <c r="E311" t="s">
        <v>4484</v>
      </c>
      <c r="F311" t="s">
        <v>4485</v>
      </c>
      <c r="G311">
        <v>225</v>
      </c>
      <c r="L311" t="s">
        <v>3351</v>
      </c>
    </row>
    <row r="312" customFormat="1" spans="1:12">
      <c r="A312" t="s">
        <v>5489</v>
      </c>
      <c r="B312" s="272" t="s">
        <v>5490</v>
      </c>
      <c r="C312" t="s">
        <v>5489</v>
      </c>
      <c r="D312" s="272" t="s">
        <v>5397</v>
      </c>
      <c r="E312" t="s">
        <v>5491</v>
      </c>
      <c r="F312" t="s">
        <v>5492</v>
      </c>
      <c r="G312">
        <v>226</v>
      </c>
      <c r="L312" t="s">
        <v>3351</v>
      </c>
    </row>
    <row r="313" customFormat="1" spans="1:12">
      <c r="A313" t="s">
        <v>5493</v>
      </c>
      <c r="B313" s="272" t="s">
        <v>5494</v>
      </c>
      <c r="C313" t="s">
        <v>5493</v>
      </c>
      <c r="D313" s="272" t="s">
        <v>5397</v>
      </c>
      <c r="E313" t="s">
        <v>5495</v>
      </c>
      <c r="F313" t="s">
        <v>5496</v>
      </c>
      <c r="G313">
        <v>227</v>
      </c>
      <c r="L313" t="s">
        <v>3351</v>
      </c>
    </row>
    <row r="314" customFormat="1" spans="1:12">
      <c r="A314" t="s">
        <v>4551</v>
      </c>
      <c r="B314" s="272" t="s">
        <v>5497</v>
      </c>
      <c r="C314" t="s">
        <v>4551</v>
      </c>
      <c r="D314" s="272" t="s">
        <v>5397</v>
      </c>
      <c r="E314" t="s">
        <v>4553</v>
      </c>
      <c r="F314" t="s">
        <v>5498</v>
      </c>
      <c r="G314">
        <v>228</v>
      </c>
      <c r="L314" t="s">
        <v>3351</v>
      </c>
    </row>
    <row r="315" customFormat="1" spans="1:12">
      <c r="A315" t="s">
        <v>4565</v>
      </c>
      <c r="B315" s="272" t="s">
        <v>5499</v>
      </c>
      <c r="C315" t="s">
        <v>4565</v>
      </c>
      <c r="D315" s="272" t="s">
        <v>5397</v>
      </c>
      <c r="E315" t="s">
        <v>4567</v>
      </c>
      <c r="F315" t="s">
        <v>4568</v>
      </c>
      <c r="G315">
        <v>229</v>
      </c>
      <c r="L315" t="s">
        <v>3351</v>
      </c>
    </row>
    <row r="316" customFormat="1" spans="1:12">
      <c r="A316" t="s">
        <v>4630</v>
      </c>
      <c r="B316" s="272" t="s">
        <v>5500</v>
      </c>
      <c r="C316" t="s">
        <v>4630</v>
      </c>
      <c r="D316" s="272" t="s">
        <v>5401</v>
      </c>
      <c r="E316" t="s">
        <v>4632</v>
      </c>
      <c r="F316" t="s">
        <v>4633</v>
      </c>
      <c r="G316">
        <v>231</v>
      </c>
      <c r="L316" t="s">
        <v>3351</v>
      </c>
    </row>
    <row r="317" customFormat="1" spans="1:12">
      <c r="A317" t="s">
        <v>4491</v>
      </c>
      <c r="B317" s="272" t="s">
        <v>5501</v>
      </c>
      <c r="C317" t="s">
        <v>4491</v>
      </c>
      <c r="D317" s="272" t="s">
        <v>5401</v>
      </c>
      <c r="E317" t="s">
        <v>4493</v>
      </c>
      <c r="F317" t="s">
        <v>4494</v>
      </c>
      <c r="G317">
        <v>232</v>
      </c>
      <c r="L317" t="s">
        <v>3351</v>
      </c>
    </row>
    <row r="318" customFormat="1" spans="1:12">
      <c r="A318" t="s">
        <v>4407</v>
      </c>
      <c r="B318" s="272" t="s">
        <v>5502</v>
      </c>
      <c r="C318" t="s">
        <v>4407</v>
      </c>
      <c r="D318" s="272" t="s">
        <v>5401</v>
      </c>
      <c r="E318" t="s">
        <v>4489</v>
      </c>
      <c r="F318" t="s">
        <v>4490</v>
      </c>
      <c r="G318">
        <v>233</v>
      </c>
      <c r="L318" t="s">
        <v>3351</v>
      </c>
    </row>
    <row r="319" customFormat="1" spans="1:12">
      <c r="A319" t="s">
        <v>5503</v>
      </c>
      <c r="B319" s="272" t="s">
        <v>5504</v>
      </c>
      <c r="C319" t="s">
        <v>5503</v>
      </c>
      <c r="D319" s="272" t="s">
        <v>5401</v>
      </c>
      <c r="E319" t="s">
        <v>5505</v>
      </c>
      <c r="F319" t="s">
        <v>5506</v>
      </c>
      <c r="G319">
        <v>234</v>
      </c>
      <c r="L319" t="s">
        <v>3351</v>
      </c>
    </row>
    <row r="320" customFormat="1" spans="1:12">
      <c r="A320" t="s">
        <v>5201</v>
      </c>
      <c r="B320" s="272" t="s">
        <v>5507</v>
      </c>
      <c r="C320" t="s">
        <v>5201</v>
      </c>
      <c r="D320" s="272" t="s">
        <v>5401</v>
      </c>
      <c r="E320" t="s">
        <v>5203</v>
      </c>
      <c r="F320" t="s">
        <v>5204</v>
      </c>
      <c r="G320">
        <v>235</v>
      </c>
      <c r="L320" t="s">
        <v>3351</v>
      </c>
    </row>
    <row r="321" customFormat="1" spans="1:12">
      <c r="A321" t="s">
        <v>4451</v>
      </c>
      <c r="B321" s="272" t="s">
        <v>5508</v>
      </c>
      <c r="C321" t="s">
        <v>4451</v>
      </c>
      <c r="D321" s="272" t="s">
        <v>5401</v>
      </c>
      <c r="E321" t="s">
        <v>4542</v>
      </c>
      <c r="F321" t="s">
        <v>4543</v>
      </c>
      <c r="G321">
        <v>236</v>
      </c>
      <c r="L321" t="s">
        <v>3351</v>
      </c>
    </row>
    <row r="322" customFormat="1" spans="1:12">
      <c r="A322" t="s">
        <v>5509</v>
      </c>
      <c r="B322" s="272" t="s">
        <v>5510</v>
      </c>
      <c r="C322" t="s">
        <v>5509</v>
      </c>
      <c r="D322" s="272" t="s">
        <v>5401</v>
      </c>
      <c r="E322" t="s">
        <v>5511</v>
      </c>
      <c r="F322" t="s">
        <v>5512</v>
      </c>
      <c r="G322">
        <v>237</v>
      </c>
      <c r="L322" t="s">
        <v>3351</v>
      </c>
    </row>
    <row r="323" customFormat="1" spans="1:12">
      <c r="A323" t="s">
        <v>4498</v>
      </c>
      <c r="B323" s="272" t="s">
        <v>5513</v>
      </c>
      <c r="C323" t="s">
        <v>4498</v>
      </c>
      <c r="D323" s="272" t="s">
        <v>5401</v>
      </c>
      <c r="E323" t="s">
        <v>4500</v>
      </c>
      <c r="F323" t="s">
        <v>4501</v>
      </c>
      <c r="G323">
        <v>238</v>
      </c>
      <c r="L323" t="s">
        <v>3351</v>
      </c>
    </row>
    <row r="324" customFormat="1" spans="1:12">
      <c r="A324" t="s">
        <v>2625</v>
      </c>
      <c r="B324" s="272" t="s">
        <v>5514</v>
      </c>
      <c r="C324" t="s">
        <v>2625</v>
      </c>
      <c r="D324" s="272" t="s">
        <v>5404</v>
      </c>
      <c r="E324" t="s">
        <v>4525</v>
      </c>
      <c r="F324" t="s">
        <v>4526</v>
      </c>
      <c r="G324">
        <v>240</v>
      </c>
      <c r="L324" t="s">
        <v>3351</v>
      </c>
    </row>
    <row r="325" customFormat="1" spans="1:12">
      <c r="A325" t="s">
        <v>4521</v>
      </c>
      <c r="B325" s="272" t="s">
        <v>5515</v>
      </c>
      <c r="C325" t="s">
        <v>4521</v>
      </c>
      <c r="D325" s="272" t="s">
        <v>5404</v>
      </c>
      <c r="E325" t="s">
        <v>4523</v>
      </c>
      <c r="F325" t="s">
        <v>5516</v>
      </c>
      <c r="G325">
        <v>241</v>
      </c>
      <c r="L325" t="s">
        <v>3351</v>
      </c>
    </row>
    <row r="326" customFormat="1" spans="1:12">
      <c r="A326" t="s">
        <v>5251</v>
      </c>
      <c r="B326" s="272" t="s">
        <v>5517</v>
      </c>
      <c r="C326" t="s">
        <v>5251</v>
      </c>
      <c r="D326" s="272" t="s">
        <v>5405</v>
      </c>
      <c r="E326" t="s">
        <v>5253</v>
      </c>
      <c r="F326" t="s">
        <v>5254</v>
      </c>
      <c r="G326">
        <v>243</v>
      </c>
      <c r="L326" t="s">
        <v>3351</v>
      </c>
    </row>
    <row r="327" customFormat="1" spans="1:12">
      <c r="A327" t="s">
        <v>5518</v>
      </c>
      <c r="B327" s="272" t="s">
        <v>5519</v>
      </c>
      <c r="C327" t="s">
        <v>5518</v>
      </c>
      <c r="D327" s="272" t="s">
        <v>5405</v>
      </c>
      <c r="E327" t="s">
        <v>5520</v>
      </c>
      <c r="F327" t="s">
        <v>5521</v>
      </c>
      <c r="G327">
        <v>244</v>
      </c>
      <c r="L327" t="s">
        <v>3351</v>
      </c>
    </row>
    <row r="328" customFormat="1" spans="1:12">
      <c r="A328" t="s">
        <v>5263</v>
      </c>
      <c r="B328" s="272" t="s">
        <v>5522</v>
      </c>
      <c r="C328" t="s">
        <v>5263</v>
      </c>
      <c r="D328" s="272" t="s">
        <v>5405</v>
      </c>
      <c r="E328" t="s">
        <v>5265</v>
      </c>
      <c r="F328" t="s">
        <v>5266</v>
      </c>
      <c r="G328">
        <v>245</v>
      </c>
      <c r="L328" t="s">
        <v>3351</v>
      </c>
    </row>
    <row r="329" customFormat="1" spans="1:12">
      <c r="A329" t="s">
        <v>5523</v>
      </c>
      <c r="B329" s="272" t="s">
        <v>5524</v>
      </c>
      <c r="C329" t="s">
        <v>5523</v>
      </c>
      <c r="D329" s="272" t="s">
        <v>5405</v>
      </c>
      <c r="E329" t="s">
        <v>5266</v>
      </c>
      <c r="F329" t="s">
        <v>5525</v>
      </c>
      <c r="G329">
        <v>246</v>
      </c>
      <c r="L329" t="s">
        <v>3351</v>
      </c>
    </row>
    <row r="330" customFormat="1" spans="1:12">
      <c r="A330" t="s">
        <v>5259</v>
      </c>
      <c r="B330" s="272" t="s">
        <v>5526</v>
      </c>
      <c r="C330" t="s">
        <v>5259</v>
      </c>
      <c r="D330" s="272" t="s">
        <v>5405</v>
      </c>
      <c r="E330" t="s">
        <v>5261</v>
      </c>
      <c r="F330" t="s">
        <v>5262</v>
      </c>
      <c r="G330">
        <v>247</v>
      </c>
      <c r="L330" t="s">
        <v>3351</v>
      </c>
    </row>
    <row r="331" customFormat="1" spans="1:12">
      <c r="A331" t="s">
        <v>5527</v>
      </c>
      <c r="B331" s="272" t="s">
        <v>5528</v>
      </c>
      <c r="C331" t="s">
        <v>5527</v>
      </c>
      <c r="D331" s="272" t="s">
        <v>5405</v>
      </c>
      <c r="E331" t="s">
        <v>5283</v>
      </c>
      <c r="F331" t="s">
        <v>5410</v>
      </c>
      <c r="G331">
        <v>248</v>
      </c>
      <c r="L331" t="s">
        <v>3351</v>
      </c>
    </row>
    <row r="332" customFormat="1" spans="1:12">
      <c r="A332" t="s">
        <v>5529</v>
      </c>
      <c r="B332" s="272" t="s">
        <v>5530</v>
      </c>
      <c r="C332" t="s">
        <v>5529</v>
      </c>
      <c r="D332" s="272" t="s">
        <v>5407</v>
      </c>
      <c r="E332" t="s">
        <v>5531</v>
      </c>
      <c r="F332" t="s">
        <v>5532</v>
      </c>
      <c r="G332">
        <v>250</v>
      </c>
      <c r="L332" t="s">
        <v>3351</v>
      </c>
    </row>
    <row r="333" customFormat="1" spans="1:12">
      <c r="A333" t="s">
        <v>5533</v>
      </c>
      <c r="B333" s="272" t="s">
        <v>5534</v>
      </c>
      <c r="C333" t="s">
        <v>5533</v>
      </c>
      <c r="D333" s="272" t="s">
        <v>5407</v>
      </c>
      <c r="E333" t="s">
        <v>5535</v>
      </c>
      <c r="F333" t="s">
        <v>5536</v>
      </c>
      <c r="G333">
        <v>251</v>
      </c>
      <c r="L333" t="s">
        <v>3351</v>
      </c>
    </row>
    <row r="334" customFormat="1" spans="1:12">
      <c r="A334" t="s">
        <v>5537</v>
      </c>
      <c r="B334" s="272" t="s">
        <v>5538</v>
      </c>
      <c r="C334" t="s">
        <v>5537</v>
      </c>
      <c r="D334" s="272" t="s">
        <v>5407</v>
      </c>
      <c r="E334" t="s">
        <v>5539</v>
      </c>
      <c r="F334" t="s">
        <v>5540</v>
      </c>
      <c r="G334">
        <v>252</v>
      </c>
      <c r="L334" t="s">
        <v>3351</v>
      </c>
    </row>
    <row r="335" customFormat="1" spans="1:12">
      <c r="A335" t="s">
        <v>5541</v>
      </c>
      <c r="B335" s="272" t="s">
        <v>5542</v>
      </c>
      <c r="C335" t="s">
        <v>5541</v>
      </c>
      <c r="D335" s="272" t="s">
        <v>5407</v>
      </c>
      <c r="E335" t="s">
        <v>5543</v>
      </c>
      <c r="F335" t="s">
        <v>5544</v>
      </c>
      <c r="G335">
        <v>253</v>
      </c>
      <c r="L335" t="s">
        <v>3351</v>
      </c>
    </row>
    <row r="336" customFormat="1" spans="1:12">
      <c r="A336" t="s">
        <v>5545</v>
      </c>
      <c r="B336" s="272" t="s">
        <v>5546</v>
      </c>
      <c r="C336" t="s">
        <v>5545</v>
      </c>
      <c r="D336" s="272" t="s">
        <v>5407</v>
      </c>
      <c r="E336" t="s">
        <v>5547</v>
      </c>
      <c r="F336" t="s">
        <v>5548</v>
      </c>
      <c r="G336">
        <v>254</v>
      </c>
      <c r="L336" t="s">
        <v>3351</v>
      </c>
    </row>
    <row r="337" customFormat="1" spans="1:12">
      <c r="A337" t="s">
        <v>5527</v>
      </c>
      <c r="B337" s="272" t="s">
        <v>5549</v>
      </c>
      <c r="C337" t="s">
        <v>5527</v>
      </c>
      <c r="D337" s="272" t="s">
        <v>5407</v>
      </c>
      <c r="E337" t="s">
        <v>5283</v>
      </c>
      <c r="F337" t="s">
        <v>5410</v>
      </c>
      <c r="G337">
        <v>255</v>
      </c>
      <c r="L337" t="s">
        <v>3351</v>
      </c>
    </row>
    <row r="338" customFormat="1" spans="1:12">
      <c r="A338" s="275" t="s">
        <v>16</v>
      </c>
      <c r="B338" s="272"/>
      <c r="C338" s="275" t="s">
        <v>16</v>
      </c>
      <c r="D338" s="272"/>
    </row>
    <row r="339" customFormat="1" spans="1:12">
      <c r="A339" s="275" t="s">
        <v>76</v>
      </c>
      <c r="B339" s="272"/>
      <c r="C339" s="275" t="s">
        <v>76</v>
      </c>
      <c r="D339" s="272"/>
    </row>
    <row r="340" customFormat="1" spans="1:12">
      <c r="A340" s="275" t="s">
        <v>131</v>
      </c>
      <c r="B340" s="272"/>
      <c r="C340" s="275" t="s">
        <v>131</v>
      </c>
      <c r="D340" s="272"/>
    </row>
    <row r="341" customFormat="1" spans="1:12">
      <c r="A341" s="275" t="s">
        <v>5550</v>
      </c>
      <c r="B341" s="272"/>
      <c r="C341" s="275" t="s">
        <v>5550</v>
      </c>
      <c r="D341" s="272"/>
    </row>
    <row r="342" customFormat="1" spans="1:12">
      <c r="A342" s="275" t="s">
        <v>2867</v>
      </c>
      <c r="B342" s="272"/>
      <c r="C342" s="275" t="s">
        <v>2867</v>
      </c>
      <c r="D342" s="272"/>
    </row>
    <row r="343" customFormat="1" spans="1:12">
      <c r="A343" s="275" t="s">
        <v>5551</v>
      </c>
      <c r="B343" s="272"/>
      <c r="C343" s="275" t="s">
        <v>5551</v>
      </c>
      <c r="D343" s="272"/>
    </row>
  </sheetData>
  <autoFilter xmlns:etc="http://www.wps.cn/officeDocument/2017/etCustomData" ref="A1:Z343"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AI平台数据元(排序备份)"/>
  <dimension ref="A1:AF1656"/>
  <sheetViews>
    <sheetView workbookViewId="0">
      <pane topLeftCell="A1" activePane="bottomRight" state="frozen"/>
      <selection activeCell="A1" sqref="A1"/>
    </sheetView>
  </sheetViews>
  <sheetFormatPr defaultColWidth="14" defaultRowHeight="18" customHeight="1"/>
  <cols>
    <col min="1" max="1" width="15.8846153846154" style="245" customWidth="1"/>
    <col min="2" max="2" width="16.3365384615385" style="44" customWidth="1"/>
    <col min="3" max="3" width="15.8846153846154" style="246" customWidth="1"/>
    <col min="4" max="5" width="22.5673076923077" style="44" customWidth="1"/>
    <col min="6" max="6" width="11.4038461538462" style="246" customWidth="1"/>
    <col min="7" max="7" width="29.9615384615385" style="44" customWidth="1"/>
    <col min="8" max="8" width="24.0288461538462" style="44" customWidth="1"/>
    <col min="9" max="9" width="24.0288461538462" style="247" customWidth="1"/>
    <col min="10" max="11" width="24.0288461538462" style="44" customWidth="1"/>
    <col min="12" max="12" width="16.3173076923077" style="246" customWidth="1"/>
    <col min="13" max="13" width="9.22115384615385" style="44" customWidth="1"/>
  </cols>
  <sheetData>
    <row r="1" ht="31" spans="1:13">
      <c r="A1" s="248" t="s">
        <v>4168</v>
      </c>
      <c r="B1" s="45" t="s">
        <v>4167</v>
      </c>
      <c r="C1" s="249" t="e">
        <f>VLOOKUP(D1,#REF!,2,0)</f>
        <v>#REF!</v>
      </c>
      <c r="D1" s="29" t="s">
        <v>16</v>
      </c>
      <c r="E1" s="18" t="e">
        <f>VLOOKUP(C1,数据集标准分类!E:F,2,0)</f>
        <v>#REF!</v>
      </c>
      <c r="F1" s="29" t="e">
        <f>VLOOKUP(D1,数据集标准分类!G:H,2,0)</f>
        <v>#N/A</v>
      </c>
      <c r="G1" s="29" t="s">
        <v>5552</v>
      </c>
      <c r="H1" s="29" t="s">
        <v>18</v>
      </c>
      <c r="I1" s="29" t="s">
        <v>19</v>
      </c>
      <c r="J1" s="29" t="s">
        <v>20</v>
      </c>
      <c r="K1" s="29" t="s">
        <v>21</v>
      </c>
      <c r="L1" s="250">
        <v>1</v>
      </c>
      <c r="M1" s="251"/>
    </row>
    <row r="2" ht="31" spans="1:13">
      <c r="A2" s="248" t="s">
        <v>4168</v>
      </c>
      <c r="B2" s="45" t="s">
        <v>4167</v>
      </c>
      <c r="C2" s="249" t="e">
        <f>VLOOKUP(D2,#REF!,2,0)</f>
        <v>#REF!</v>
      </c>
      <c r="D2" s="29" t="s">
        <v>16</v>
      </c>
      <c r="E2" s="18" t="e">
        <f>VLOOKUP(C2,数据集标准分类!E:F,2,0)</f>
        <v>#REF!</v>
      </c>
      <c r="F2" s="29" t="e">
        <f>VLOOKUP(D2,数据集标准分类!G:H,2,0)</f>
        <v>#N/A</v>
      </c>
      <c r="G2" s="29" t="s">
        <v>22</v>
      </c>
      <c r="H2" s="29" t="s">
        <v>23</v>
      </c>
      <c r="I2" s="29" t="s">
        <v>24</v>
      </c>
      <c r="J2" s="29" t="s">
        <v>25</v>
      </c>
      <c r="K2" s="29" t="s">
        <v>26</v>
      </c>
      <c r="L2" s="250">
        <v>2</v>
      </c>
      <c r="M2" s="251"/>
    </row>
    <row r="3" ht="31" spans="1:13">
      <c r="A3" s="248" t="s">
        <v>4168</v>
      </c>
      <c r="B3" s="45" t="s">
        <v>4167</v>
      </c>
      <c r="C3" s="249" t="e">
        <f>VLOOKUP(D3,#REF!,2,0)</f>
        <v>#REF!</v>
      </c>
      <c r="D3" s="29" t="s">
        <v>16</v>
      </c>
      <c r="E3" s="18" t="e">
        <f>VLOOKUP(C3,数据集标准分类!E:F,2,0)</f>
        <v>#REF!</v>
      </c>
      <c r="F3" s="29" t="e">
        <f>VLOOKUP(D3,数据集标准分类!G:H,2,0)</f>
        <v>#N/A</v>
      </c>
      <c r="G3" s="29" t="s">
        <v>27</v>
      </c>
      <c r="H3" s="29" t="s">
        <v>28</v>
      </c>
      <c r="I3" s="29" t="s">
        <v>29</v>
      </c>
      <c r="J3" s="29" t="s">
        <v>30</v>
      </c>
      <c r="K3" s="29" t="s">
        <v>31</v>
      </c>
      <c r="L3" s="250">
        <v>3</v>
      </c>
      <c r="M3" s="251"/>
    </row>
    <row r="4" ht="61" spans="1:13">
      <c r="A4" s="248" t="s">
        <v>4168</v>
      </c>
      <c r="B4" s="45" t="s">
        <v>4167</v>
      </c>
      <c r="C4" s="249" t="e">
        <f>VLOOKUP(D4,#REF!,2,0)</f>
        <v>#REF!</v>
      </c>
      <c r="D4" s="29" t="s">
        <v>16</v>
      </c>
      <c r="E4" s="18" t="e">
        <f>VLOOKUP(C4,数据集标准分类!E:F,2,0)</f>
        <v>#REF!</v>
      </c>
      <c r="F4" s="29" t="e">
        <f>VLOOKUP(D4,数据集标准分类!G:H,2,0)</f>
        <v>#N/A</v>
      </c>
      <c r="G4" s="29" t="s">
        <v>32</v>
      </c>
      <c r="H4" s="29" t="s">
        <v>33</v>
      </c>
      <c r="I4" s="29" t="s">
        <v>33</v>
      </c>
      <c r="J4" s="29" t="s">
        <v>34</v>
      </c>
      <c r="K4" s="29" t="s">
        <v>35</v>
      </c>
      <c r="L4" s="250">
        <v>4</v>
      </c>
      <c r="M4" s="251"/>
    </row>
    <row r="5" ht="76" spans="1:13">
      <c r="A5" s="248" t="s">
        <v>4168</v>
      </c>
      <c r="B5" s="45" t="s">
        <v>4167</v>
      </c>
      <c r="C5" s="249" t="e">
        <f>VLOOKUP(D5,#REF!,2,0)</f>
        <v>#REF!</v>
      </c>
      <c r="D5" s="29" t="s">
        <v>16</v>
      </c>
      <c r="E5" s="18" t="e">
        <f>VLOOKUP(C5,数据集标准分类!E:F,2,0)</f>
        <v>#REF!</v>
      </c>
      <c r="F5" s="29" t="e">
        <f>VLOOKUP(D5,数据集标准分类!G:H,2,0)</f>
        <v>#N/A</v>
      </c>
      <c r="G5" s="29" t="s">
        <v>36</v>
      </c>
      <c r="H5" s="29" t="s">
        <v>37</v>
      </c>
      <c r="I5" s="29" t="s">
        <v>38</v>
      </c>
      <c r="J5" s="29" t="s">
        <v>39</v>
      </c>
      <c r="K5" s="29" t="s">
        <v>40</v>
      </c>
      <c r="L5" s="250">
        <v>5</v>
      </c>
      <c r="M5" s="251"/>
    </row>
    <row r="6" ht="31" spans="1:13">
      <c r="A6" s="248" t="s">
        <v>4168</v>
      </c>
      <c r="B6" s="45" t="s">
        <v>4167</v>
      </c>
      <c r="C6" s="249" t="e">
        <f>VLOOKUP(D6,#REF!,2,0)</f>
        <v>#REF!</v>
      </c>
      <c r="D6" s="29" t="s">
        <v>16</v>
      </c>
      <c r="E6" s="18" t="e">
        <f>VLOOKUP(C6,数据集标准分类!E:F,2,0)</f>
        <v>#REF!</v>
      </c>
      <c r="F6" s="29" t="e">
        <f>VLOOKUP(D6,数据集标准分类!G:H,2,0)</f>
        <v>#N/A</v>
      </c>
      <c r="G6" s="29" t="s">
        <v>41</v>
      </c>
      <c r="H6" s="29" t="s">
        <v>42</v>
      </c>
      <c r="I6" s="29" t="s">
        <v>43</v>
      </c>
      <c r="J6" s="29" t="s">
        <v>44</v>
      </c>
      <c r="K6" s="29" t="s">
        <v>45</v>
      </c>
      <c r="L6" s="250">
        <v>6</v>
      </c>
      <c r="M6" s="251"/>
    </row>
    <row r="7" ht="76" spans="1:13">
      <c r="A7" s="248" t="s">
        <v>4168</v>
      </c>
      <c r="B7" s="45" t="s">
        <v>4167</v>
      </c>
      <c r="C7" s="249" t="e">
        <f>VLOOKUP(D7,#REF!,2,0)</f>
        <v>#REF!</v>
      </c>
      <c r="D7" s="29" t="s">
        <v>16</v>
      </c>
      <c r="E7" s="18" t="e">
        <f>VLOOKUP(C7,数据集标准分类!E:F,2,0)</f>
        <v>#REF!</v>
      </c>
      <c r="F7" s="29" t="e">
        <f>VLOOKUP(D7,数据集标准分类!G:H,2,0)</f>
        <v>#N/A</v>
      </c>
      <c r="G7" s="29" t="s">
        <v>46</v>
      </c>
      <c r="H7" s="29" t="s">
        <v>47</v>
      </c>
      <c r="I7" s="29" t="s">
        <v>48</v>
      </c>
      <c r="J7" s="29" t="s">
        <v>49</v>
      </c>
      <c r="K7" s="29" t="s">
        <v>50</v>
      </c>
      <c r="L7" s="250">
        <v>7</v>
      </c>
      <c r="M7" s="251"/>
    </row>
    <row r="8" ht="31" spans="1:13">
      <c r="A8" s="248" t="s">
        <v>4168</v>
      </c>
      <c r="B8" s="45" t="s">
        <v>4167</v>
      </c>
      <c r="C8" s="249" t="e">
        <f>VLOOKUP(D8,#REF!,2,0)</f>
        <v>#REF!</v>
      </c>
      <c r="D8" s="29" t="s">
        <v>16</v>
      </c>
      <c r="E8" s="18" t="e">
        <f>VLOOKUP(C8,数据集标准分类!E:F,2,0)</f>
        <v>#REF!</v>
      </c>
      <c r="F8" s="29" t="e">
        <f>VLOOKUP(D8,数据集标准分类!G:H,2,0)</f>
        <v>#N/A</v>
      </c>
      <c r="G8" s="29" t="s">
        <v>51</v>
      </c>
      <c r="H8" s="29" t="s">
        <v>52</v>
      </c>
      <c r="I8" s="29" t="s">
        <v>53</v>
      </c>
      <c r="J8" s="29" t="s">
        <v>54</v>
      </c>
      <c r="K8" s="29" t="s">
        <v>55</v>
      </c>
      <c r="L8" s="250">
        <v>8</v>
      </c>
      <c r="M8" s="251"/>
    </row>
    <row r="9" ht="31" spans="1:13">
      <c r="A9" s="248" t="s">
        <v>4168</v>
      </c>
      <c r="B9" s="45" t="s">
        <v>4167</v>
      </c>
      <c r="C9" s="249" t="e">
        <f>VLOOKUP(D9,#REF!,2,0)</f>
        <v>#REF!</v>
      </c>
      <c r="D9" s="29" t="s">
        <v>16</v>
      </c>
      <c r="E9" s="18" t="e">
        <f>VLOOKUP(C9,数据集标准分类!E:F,2,0)</f>
        <v>#REF!</v>
      </c>
      <c r="F9" s="29" t="e">
        <f>VLOOKUP(D9,数据集标准分类!G:H,2,0)</f>
        <v>#N/A</v>
      </c>
      <c r="G9" s="29" t="s">
        <v>56</v>
      </c>
      <c r="H9" s="29" t="s">
        <v>57</v>
      </c>
      <c r="I9" s="29" t="s">
        <v>58</v>
      </c>
      <c r="J9" s="29" t="s">
        <v>59</v>
      </c>
      <c r="K9" s="29" t="s">
        <v>60</v>
      </c>
      <c r="L9" s="250">
        <v>9</v>
      </c>
      <c r="M9" s="251"/>
    </row>
    <row r="10" ht="31" spans="1:13">
      <c r="A10" s="248" t="s">
        <v>4168</v>
      </c>
      <c r="B10" s="45" t="s">
        <v>4167</v>
      </c>
      <c r="C10" s="249" t="e">
        <f>VLOOKUP(D10,#REF!,2,0)</f>
        <v>#REF!</v>
      </c>
      <c r="D10" s="29" t="s">
        <v>16</v>
      </c>
      <c r="E10" s="18" t="e">
        <f>VLOOKUP(C10,数据集标准分类!E:F,2,0)</f>
        <v>#REF!</v>
      </c>
      <c r="F10" s="29" t="e">
        <f>VLOOKUP(D10,数据集标准分类!G:H,2,0)</f>
        <v>#N/A</v>
      </c>
      <c r="G10" s="29" t="s">
        <v>61</v>
      </c>
      <c r="H10" s="29" t="s">
        <v>62</v>
      </c>
      <c r="I10" s="29" t="s">
        <v>63</v>
      </c>
      <c r="J10" s="29" t="s">
        <v>64</v>
      </c>
      <c r="K10" s="29" t="s">
        <v>65</v>
      </c>
      <c r="L10" s="250">
        <v>10</v>
      </c>
      <c r="M10" s="251"/>
    </row>
    <row r="11" ht="46" spans="1:13">
      <c r="A11" s="248" t="s">
        <v>4168</v>
      </c>
      <c r="B11" s="45" t="s">
        <v>4167</v>
      </c>
      <c r="C11" s="249" t="e">
        <f>VLOOKUP(D11,#REF!,2,0)</f>
        <v>#REF!</v>
      </c>
      <c r="D11" s="29" t="s">
        <v>16</v>
      </c>
      <c r="E11" s="18" t="e">
        <f>VLOOKUP(C11,数据集标准分类!E:F,2,0)</f>
        <v>#REF!</v>
      </c>
      <c r="F11" s="29" t="e">
        <f>VLOOKUP(D11,数据集标准分类!G:H,2,0)</f>
        <v>#N/A</v>
      </c>
      <c r="G11" s="65" t="s">
        <v>66</v>
      </c>
      <c r="H11" s="29" t="s">
        <v>67</v>
      </c>
      <c r="I11" s="29" t="s">
        <v>68</v>
      </c>
      <c r="J11" s="29" t="s">
        <v>69</v>
      </c>
      <c r="K11" s="29" t="s">
        <v>70</v>
      </c>
      <c r="L11" s="250">
        <v>11</v>
      </c>
      <c r="M11" s="251"/>
    </row>
    <row r="12" ht="46" spans="1:13">
      <c r="A12" s="248" t="s">
        <v>4168</v>
      </c>
      <c r="B12" s="45" t="s">
        <v>4167</v>
      </c>
      <c r="C12" s="249" t="e">
        <f>VLOOKUP(D12,#REF!,2,0)</f>
        <v>#REF!</v>
      </c>
      <c r="D12" s="29" t="s">
        <v>16</v>
      </c>
      <c r="E12" s="18" t="e">
        <f>VLOOKUP(C12,数据集标准分类!E:F,2,0)</f>
        <v>#REF!</v>
      </c>
      <c r="F12" s="29" t="e">
        <f>VLOOKUP(D12,数据集标准分类!G:H,2,0)</f>
        <v>#N/A</v>
      </c>
      <c r="G12" s="29" t="s">
        <v>71</v>
      </c>
      <c r="H12" s="29" t="s">
        <v>72</v>
      </c>
      <c r="I12" s="29" t="s">
        <v>73</v>
      </c>
      <c r="J12" s="29" t="s">
        <v>74</v>
      </c>
      <c r="K12" s="29" t="s">
        <v>75</v>
      </c>
      <c r="L12" s="250">
        <v>12</v>
      </c>
      <c r="M12" s="251"/>
    </row>
    <row r="13" ht="61" spans="1:13">
      <c r="A13" s="248" t="s">
        <v>4168</v>
      </c>
      <c r="B13" s="45" t="s">
        <v>4167</v>
      </c>
      <c r="C13" s="249" t="e">
        <f>VLOOKUP(D13,#REF!,2,0)</f>
        <v>#REF!</v>
      </c>
      <c r="D13" s="29" t="s">
        <v>76</v>
      </c>
      <c r="E13" s="18" t="e">
        <f>VLOOKUP(C13,数据集标准分类!E:F,2,0)</f>
        <v>#REF!</v>
      </c>
      <c r="F13" s="29" t="e">
        <f>VLOOKUP(D13,数据集标准分类!G:H,2,0)</f>
        <v>#N/A</v>
      </c>
      <c r="G13" s="29" t="s">
        <v>77</v>
      </c>
      <c r="H13" s="29" t="s">
        <v>78</v>
      </c>
      <c r="I13" s="29" t="s">
        <v>79</v>
      </c>
      <c r="J13" s="29" t="s">
        <v>80</v>
      </c>
      <c r="K13" s="29" t="s">
        <v>81</v>
      </c>
      <c r="L13" s="250">
        <v>1</v>
      </c>
      <c r="M13" s="251"/>
    </row>
    <row r="14" ht="46" spans="1:13">
      <c r="A14" s="248" t="s">
        <v>4168</v>
      </c>
      <c r="B14" s="45" t="s">
        <v>4167</v>
      </c>
      <c r="C14" s="249" t="e">
        <f>VLOOKUP(D14,#REF!,2,0)</f>
        <v>#REF!</v>
      </c>
      <c r="D14" s="29" t="s">
        <v>76</v>
      </c>
      <c r="E14" s="18" t="e">
        <f>VLOOKUP(C14,数据集标准分类!E:F,2,0)</f>
        <v>#REF!</v>
      </c>
      <c r="F14" s="29" t="e">
        <f>VLOOKUP(D14,数据集标准分类!G:H,2,0)</f>
        <v>#N/A</v>
      </c>
      <c r="G14" s="29" t="s">
        <v>82</v>
      </c>
      <c r="H14" s="29" t="s">
        <v>83</v>
      </c>
      <c r="I14" s="29" t="s">
        <v>84</v>
      </c>
      <c r="J14" s="29" t="s">
        <v>85</v>
      </c>
      <c r="K14" s="29" t="s">
        <v>86</v>
      </c>
      <c r="L14" s="250">
        <v>2</v>
      </c>
      <c r="M14" s="251"/>
    </row>
    <row r="15" ht="31" spans="1:13">
      <c r="A15" s="248" t="s">
        <v>4168</v>
      </c>
      <c r="B15" s="45" t="s">
        <v>4167</v>
      </c>
      <c r="C15" s="249" t="e">
        <f>VLOOKUP(D15,#REF!,2,0)</f>
        <v>#REF!</v>
      </c>
      <c r="D15" s="29" t="s">
        <v>76</v>
      </c>
      <c r="E15" s="18" t="e">
        <f>VLOOKUP(C15,数据集标准分类!E:F,2,0)</f>
        <v>#REF!</v>
      </c>
      <c r="F15" s="29" t="e">
        <f>VLOOKUP(D15,数据集标准分类!G:H,2,0)</f>
        <v>#N/A</v>
      </c>
      <c r="G15" s="29" t="s">
        <v>87</v>
      </c>
      <c r="H15" s="29" t="s">
        <v>88</v>
      </c>
      <c r="I15" s="29" t="s">
        <v>89</v>
      </c>
      <c r="J15" s="29" t="s">
        <v>90</v>
      </c>
      <c r="K15" s="29" t="s">
        <v>91</v>
      </c>
      <c r="L15" s="250">
        <v>3</v>
      </c>
      <c r="M15" s="251"/>
    </row>
    <row r="16" ht="46" spans="1:13">
      <c r="A16" s="248" t="s">
        <v>4168</v>
      </c>
      <c r="B16" s="45" t="s">
        <v>4167</v>
      </c>
      <c r="C16" s="249" t="e">
        <f>VLOOKUP(D16,#REF!,2,0)</f>
        <v>#REF!</v>
      </c>
      <c r="D16" s="29" t="s">
        <v>76</v>
      </c>
      <c r="E16" s="18" t="e">
        <f>VLOOKUP(C16,数据集标准分类!E:F,2,0)</f>
        <v>#REF!</v>
      </c>
      <c r="F16" s="29" t="e">
        <f>VLOOKUP(D16,数据集标准分类!G:H,2,0)</f>
        <v>#N/A</v>
      </c>
      <c r="G16" s="29" t="s">
        <v>92</v>
      </c>
      <c r="H16" s="29" t="s">
        <v>93</v>
      </c>
      <c r="I16" s="29" t="s">
        <v>94</v>
      </c>
      <c r="J16" s="29" t="s">
        <v>95</v>
      </c>
      <c r="K16" s="29" t="s">
        <v>96</v>
      </c>
      <c r="L16" s="250">
        <v>4</v>
      </c>
      <c r="M16" s="251"/>
    </row>
    <row r="17" ht="31" spans="1:13">
      <c r="A17" s="248" t="s">
        <v>4168</v>
      </c>
      <c r="B17" s="45" t="s">
        <v>4167</v>
      </c>
      <c r="C17" s="249" t="e">
        <f>VLOOKUP(D17,#REF!,2,0)</f>
        <v>#REF!</v>
      </c>
      <c r="D17" s="29" t="s">
        <v>76</v>
      </c>
      <c r="E17" s="18" t="e">
        <f>VLOOKUP(C17,数据集标准分类!E:F,2,0)</f>
        <v>#REF!</v>
      </c>
      <c r="F17" s="29" t="e">
        <f>VLOOKUP(D17,数据集标准分类!G:H,2,0)</f>
        <v>#N/A</v>
      </c>
      <c r="G17" s="29" t="s">
        <v>97</v>
      </c>
      <c r="H17" s="29" t="s">
        <v>98</v>
      </c>
      <c r="I17" s="29" t="s">
        <v>99</v>
      </c>
      <c r="J17" s="29" t="s">
        <v>100</v>
      </c>
      <c r="K17" s="29" t="s">
        <v>101</v>
      </c>
      <c r="L17" s="250">
        <v>5</v>
      </c>
      <c r="M17" s="251"/>
    </row>
    <row r="18" ht="31" spans="1:13">
      <c r="A18" s="248" t="s">
        <v>4168</v>
      </c>
      <c r="B18" s="45" t="s">
        <v>4167</v>
      </c>
      <c r="C18" s="249" t="e">
        <f>VLOOKUP(D18,#REF!,2,0)</f>
        <v>#REF!</v>
      </c>
      <c r="D18" s="29" t="s">
        <v>76</v>
      </c>
      <c r="E18" s="18" t="e">
        <f>VLOOKUP(C18,数据集标准分类!E:F,2,0)</f>
        <v>#REF!</v>
      </c>
      <c r="F18" s="29" t="e">
        <f>VLOOKUP(D18,数据集标准分类!G:H,2,0)</f>
        <v>#N/A</v>
      </c>
      <c r="G18" s="29" t="s">
        <v>102</v>
      </c>
      <c r="H18" s="29" t="s">
        <v>103</v>
      </c>
      <c r="I18" s="29" t="s">
        <v>104</v>
      </c>
      <c r="J18" s="29" t="s">
        <v>105</v>
      </c>
      <c r="K18" s="29" t="s">
        <v>106</v>
      </c>
      <c r="L18" s="250">
        <v>6</v>
      </c>
      <c r="M18" s="251"/>
    </row>
    <row r="19" ht="31" spans="1:13">
      <c r="A19" s="248" t="s">
        <v>4168</v>
      </c>
      <c r="B19" s="45" t="s">
        <v>4167</v>
      </c>
      <c r="C19" s="249" t="e">
        <f>VLOOKUP(D19,#REF!,2,0)</f>
        <v>#REF!</v>
      </c>
      <c r="D19" s="29" t="s">
        <v>76</v>
      </c>
      <c r="E19" s="18" t="e">
        <f>VLOOKUP(C19,数据集标准分类!E:F,2,0)</f>
        <v>#REF!</v>
      </c>
      <c r="F19" s="29" t="e">
        <f>VLOOKUP(D19,数据集标准分类!G:H,2,0)</f>
        <v>#N/A</v>
      </c>
      <c r="G19" s="29" t="s">
        <v>107</v>
      </c>
      <c r="H19" s="29" t="s">
        <v>108</v>
      </c>
      <c r="I19" s="29" t="s">
        <v>109</v>
      </c>
      <c r="J19" s="29" t="s">
        <v>110</v>
      </c>
      <c r="K19" s="29" t="s">
        <v>111</v>
      </c>
      <c r="L19" s="250">
        <v>7</v>
      </c>
      <c r="M19" s="251"/>
    </row>
    <row r="20" ht="31" spans="1:13">
      <c r="A20" s="248" t="s">
        <v>4168</v>
      </c>
      <c r="B20" s="45" t="s">
        <v>4167</v>
      </c>
      <c r="C20" s="249" t="e">
        <f>VLOOKUP(D20,#REF!,2,0)</f>
        <v>#REF!</v>
      </c>
      <c r="D20" s="29" t="s">
        <v>76</v>
      </c>
      <c r="E20" s="18" t="e">
        <f>VLOOKUP(C20,数据集标准分类!E:F,2,0)</f>
        <v>#REF!</v>
      </c>
      <c r="F20" s="29" t="e">
        <f>VLOOKUP(D20,数据集标准分类!G:H,2,0)</f>
        <v>#N/A</v>
      </c>
      <c r="G20" s="29" t="s">
        <v>112</v>
      </c>
      <c r="H20" s="29" t="s">
        <v>113</v>
      </c>
      <c r="I20" s="29" t="s">
        <v>114</v>
      </c>
      <c r="J20" s="29" t="s">
        <v>115</v>
      </c>
      <c r="K20" s="29" t="s">
        <v>116</v>
      </c>
      <c r="L20" s="250">
        <v>8</v>
      </c>
      <c r="M20" s="251"/>
    </row>
    <row r="21" ht="16.8" spans="1:13">
      <c r="A21" s="248" t="s">
        <v>4168</v>
      </c>
      <c r="B21" s="45" t="s">
        <v>4167</v>
      </c>
      <c r="C21" s="249" t="e">
        <f>VLOOKUP(D21,#REF!,2,0)</f>
        <v>#REF!</v>
      </c>
      <c r="D21" s="29" t="s">
        <v>76</v>
      </c>
      <c r="E21" s="18" t="e">
        <f>VLOOKUP(C21,数据集标准分类!E:F,2,0)</f>
        <v>#REF!</v>
      </c>
      <c r="F21" s="29" t="e">
        <f>VLOOKUP(D21,数据集标准分类!G:H,2,0)</f>
        <v>#N/A</v>
      </c>
      <c r="G21" s="29" t="s">
        <v>117</v>
      </c>
      <c r="H21" s="29" t="s">
        <v>118</v>
      </c>
      <c r="I21" s="29" t="s">
        <v>119</v>
      </c>
      <c r="J21" s="29" t="s">
        <v>120</v>
      </c>
      <c r="K21" s="29" t="s">
        <v>121</v>
      </c>
      <c r="L21" s="250">
        <v>9</v>
      </c>
      <c r="M21" s="251"/>
    </row>
    <row r="22" ht="16.8" spans="1:13">
      <c r="A22" s="248" t="s">
        <v>4168</v>
      </c>
      <c r="B22" s="45" t="s">
        <v>4167</v>
      </c>
      <c r="C22" s="249" t="e">
        <f>VLOOKUP(D22,#REF!,2,0)</f>
        <v>#REF!</v>
      </c>
      <c r="D22" s="29" t="s">
        <v>76</v>
      </c>
      <c r="E22" s="18" t="e">
        <f>VLOOKUP(C22,数据集标准分类!E:F,2,0)</f>
        <v>#REF!</v>
      </c>
      <c r="F22" s="29" t="e">
        <f>VLOOKUP(D22,数据集标准分类!G:H,2,0)</f>
        <v>#N/A</v>
      </c>
      <c r="G22" s="29" t="s">
        <v>122</v>
      </c>
      <c r="H22" s="29" t="s">
        <v>123</v>
      </c>
      <c r="I22" s="29" t="s">
        <v>123</v>
      </c>
      <c r="J22" s="29" t="s">
        <v>124</v>
      </c>
      <c r="K22" s="29" t="s">
        <v>125</v>
      </c>
      <c r="L22" s="250">
        <v>10</v>
      </c>
      <c r="M22" s="251"/>
    </row>
    <row r="23" ht="46" spans="1:13">
      <c r="A23" s="248" t="s">
        <v>4168</v>
      </c>
      <c r="B23" s="45" t="s">
        <v>4167</v>
      </c>
      <c r="C23" s="249" t="e">
        <f>VLOOKUP(D23,#REF!,2,0)</f>
        <v>#REF!</v>
      </c>
      <c r="D23" s="29" t="s">
        <v>76</v>
      </c>
      <c r="E23" s="18" t="e">
        <f>VLOOKUP(C23,数据集标准分类!E:F,2,0)</f>
        <v>#REF!</v>
      </c>
      <c r="F23" s="29" t="e">
        <f>VLOOKUP(D23,数据集标准分类!G:H,2,0)</f>
        <v>#N/A</v>
      </c>
      <c r="G23" s="29" t="s">
        <v>126</v>
      </c>
      <c r="H23" s="29" t="s">
        <v>127</v>
      </c>
      <c r="I23" s="29" t="s">
        <v>128</v>
      </c>
      <c r="J23" s="29" t="s">
        <v>129</v>
      </c>
      <c r="K23" s="29" t="s">
        <v>130</v>
      </c>
      <c r="L23" s="250">
        <v>11</v>
      </c>
      <c r="M23" s="251"/>
    </row>
    <row r="24" ht="46" spans="1:13">
      <c r="A24" s="248" t="s">
        <v>4168</v>
      </c>
      <c r="B24" s="45" t="s">
        <v>4167</v>
      </c>
      <c r="C24" s="249" t="e">
        <f>VLOOKUP(D24,#REF!,2,0)</f>
        <v>#REF!</v>
      </c>
      <c r="D24" s="29" t="s">
        <v>131</v>
      </c>
      <c r="E24" s="18" t="e">
        <f>VLOOKUP(C24,数据集标准分类!E:F,2,0)</f>
        <v>#REF!</v>
      </c>
      <c r="F24" s="29" t="e">
        <f>VLOOKUP(D24,数据集标准分类!G:H,2,0)</f>
        <v>#N/A</v>
      </c>
      <c r="G24" s="29" t="s">
        <v>132</v>
      </c>
      <c r="H24" s="29" t="s">
        <v>133</v>
      </c>
      <c r="I24" s="29" t="s">
        <v>134</v>
      </c>
      <c r="J24" s="29" t="s">
        <v>135</v>
      </c>
      <c r="K24" s="29" t="s">
        <v>136</v>
      </c>
      <c r="L24" s="250">
        <v>1</v>
      </c>
      <c r="M24" s="251"/>
    </row>
    <row r="25" ht="16.8" spans="1:13">
      <c r="A25" s="248" t="s">
        <v>4168</v>
      </c>
      <c r="B25" s="45" t="s">
        <v>4167</v>
      </c>
      <c r="C25" s="249" t="e">
        <f>VLOOKUP(D25,#REF!,2,0)</f>
        <v>#REF!</v>
      </c>
      <c r="D25" s="29" t="s">
        <v>131</v>
      </c>
      <c r="E25" s="18" t="e">
        <f>VLOOKUP(C25,数据集标准分类!E:F,2,0)</f>
        <v>#REF!</v>
      </c>
      <c r="F25" s="29" t="e">
        <f>VLOOKUP(D25,数据集标准分类!G:H,2,0)</f>
        <v>#N/A</v>
      </c>
      <c r="G25" s="29" t="s">
        <v>137</v>
      </c>
      <c r="H25" s="29" t="s">
        <v>138</v>
      </c>
      <c r="I25" s="29" t="s">
        <v>139</v>
      </c>
      <c r="J25" s="29" t="s">
        <v>140</v>
      </c>
      <c r="K25" s="29" t="s">
        <v>141</v>
      </c>
      <c r="L25" s="250">
        <v>2</v>
      </c>
      <c r="M25" s="251"/>
    </row>
    <row r="26" customHeight="1" spans="1:13">
      <c r="A26" s="248" t="s">
        <v>4168</v>
      </c>
      <c r="B26" s="45" t="s">
        <v>4167</v>
      </c>
      <c r="C26" s="249" t="e">
        <f>VLOOKUP(D26,#REF!,2,0)</f>
        <v>#REF!</v>
      </c>
      <c r="D26" s="29" t="s">
        <v>131</v>
      </c>
      <c r="E26" s="18" t="e">
        <f>VLOOKUP(C26,数据集标准分类!E:F,2,0)</f>
        <v>#REF!</v>
      </c>
      <c r="F26" s="29" t="e">
        <f>VLOOKUP(D26,数据集标准分类!G:H,2,0)</f>
        <v>#N/A</v>
      </c>
      <c r="G26" s="29" t="s">
        <v>142</v>
      </c>
      <c r="H26" s="29" t="s">
        <v>143</v>
      </c>
      <c r="I26" s="29" t="s">
        <v>144</v>
      </c>
      <c r="J26" s="29" t="s">
        <v>145</v>
      </c>
      <c r="K26" s="29" t="s">
        <v>146</v>
      </c>
      <c r="L26" s="250">
        <v>3</v>
      </c>
      <c r="M26" s="251"/>
    </row>
    <row r="27" ht="46" spans="1:13">
      <c r="A27" s="248" t="s">
        <v>4168</v>
      </c>
      <c r="B27" s="45" t="s">
        <v>4167</v>
      </c>
      <c r="C27" s="249" t="e">
        <f>VLOOKUP(D27,#REF!,2,0)</f>
        <v>#REF!</v>
      </c>
      <c r="D27" s="29" t="s">
        <v>131</v>
      </c>
      <c r="E27" s="18" t="e">
        <f>VLOOKUP(C27,数据集标准分类!E:F,2,0)</f>
        <v>#REF!</v>
      </c>
      <c r="F27" s="29" t="e">
        <f>VLOOKUP(D27,数据集标准分类!G:H,2,0)</f>
        <v>#N/A</v>
      </c>
      <c r="G27" s="29" t="s">
        <v>147</v>
      </c>
      <c r="H27" s="29" t="s">
        <v>148</v>
      </c>
      <c r="I27" s="29" t="s">
        <v>149</v>
      </c>
      <c r="J27" s="29" t="s">
        <v>150</v>
      </c>
      <c r="K27" s="29" t="s">
        <v>151</v>
      </c>
      <c r="L27" s="250">
        <v>4</v>
      </c>
      <c r="M27" s="251"/>
    </row>
    <row r="28" ht="46" spans="1:13">
      <c r="A28" s="248" t="s">
        <v>4168</v>
      </c>
      <c r="B28" s="45" t="s">
        <v>4167</v>
      </c>
      <c r="C28" s="249" t="e">
        <f>VLOOKUP(D28,#REF!,2,0)</f>
        <v>#REF!</v>
      </c>
      <c r="D28" s="29" t="s">
        <v>131</v>
      </c>
      <c r="E28" s="18" t="e">
        <f>VLOOKUP(C28,数据集标准分类!E:F,2,0)</f>
        <v>#REF!</v>
      </c>
      <c r="F28" s="29" t="e">
        <f>VLOOKUP(D28,数据集标准分类!G:H,2,0)</f>
        <v>#N/A</v>
      </c>
      <c r="G28" s="29" t="s">
        <v>152</v>
      </c>
      <c r="H28" s="29" t="s">
        <v>153</v>
      </c>
      <c r="I28" s="29" t="s">
        <v>154</v>
      </c>
      <c r="J28" s="29" t="s">
        <v>155</v>
      </c>
      <c r="K28" s="29" t="s">
        <v>156</v>
      </c>
      <c r="L28" s="250">
        <v>5</v>
      </c>
      <c r="M28" s="251"/>
    </row>
    <row r="29" ht="46" spans="1:13">
      <c r="A29" s="248" t="s">
        <v>4168</v>
      </c>
      <c r="B29" s="45" t="s">
        <v>4167</v>
      </c>
      <c r="C29" s="249" t="e">
        <f>VLOOKUP(D29,#REF!,2,0)</f>
        <v>#REF!</v>
      </c>
      <c r="D29" s="29" t="s">
        <v>131</v>
      </c>
      <c r="E29" s="18" t="e">
        <f>VLOOKUP(C29,数据集标准分类!E:F,2,0)</f>
        <v>#REF!</v>
      </c>
      <c r="F29" s="29" t="e">
        <f>VLOOKUP(D29,数据集标准分类!G:H,2,0)</f>
        <v>#N/A</v>
      </c>
      <c r="G29" s="29" t="s">
        <v>157</v>
      </c>
      <c r="H29" s="29" t="s">
        <v>158</v>
      </c>
      <c r="I29" s="29" t="s">
        <v>159</v>
      </c>
      <c r="J29" s="29" t="s">
        <v>160</v>
      </c>
      <c r="K29" s="29" t="s">
        <v>161</v>
      </c>
      <c r="L29" s="250">
        <v>6</v>
      </c>
      <c r="M29" s="251"/>
    </row>
    <row r="30" ht="46" spans="1:13">
      <c r="A30" s="248" t="s">
        <v>4168</v>
      </c>
      <c r="B30" s="45" t="s">
        <v>4167</v>
      </c>
      <c r="C30" s="249" t="e">
        <f>VLOOKUP(D30,#REF!,2,0)</f>
        <v>#REF!</v>
      </c>
      <c r="D30" s="29" t="s">
        <v>131</v>
      </c>
      <c r="E30" s="18" t="e">
        <f>VLOOKUP(C30,数据集标准分类!E:F,2,0)</f>
        <v>#REF!</v>
      </c>
      <c r="F30" s="29" t="e">
        <f>VLOOKUP(D30,数据集标准分类!G:H,2,0)</f>
        <v>#N/A</v>
      </c>
      <c r="G30" s="29" t="s">
        <v>162</v>
      </c>
      <c r="H30" s="29" t="s">
        <v>163</v>
      </c>
      <c r="I30" s="29" t="s">
        <v>164</v>
      </c>
      <c r="J30" s="29" t="s">
        <v>165</v>
      </c>
      <c r="K30" s="29" t="s">
        <v>166</v>
      </c>
      <c r="L30" s="250">
        <v>7</v>
      </c>
      <c r="M30" s="251"/>
    </row>
    <row r="31" ht="46" spans="1:13">
      <c r="A31" s="248" t="s">
        <v>4168</v>
      </c>
      <c r="B31" s="45" t="s">
        <v>4167</v>
      </c>
      <c r="C31" s="249" t="e">
        <f>VLOOKUP(D31,#REF!,2,0)</f>
        <v>#REF!</v>
      </c>
      <c r="D31" s="29" t="s">
        <v>131</v>
      </c>
      <c r="E31" s="18" t="e">
        <f>VLOOKUP(C31,数据集标准分类!E:F,2,0)</f>
        <v>#REF!</v>
      </c>
      <c r="F31" s="29" t="e">
        <f>VLOOKUP(D31,数据集标准分类!G:H,2,0)</f>
        <v>#N/A</v>
      </c>
      <c r="G31" s="29" t="s">
        <v>167</v>
      </c>
      <c r="H31" s="29" t="s">
        <v>168</v>
      </c>
      <c r="I31" s="29" t="s">
        <v>169</v>
      </c>
      <c r="J31" s="29" t="s">
        <v>170</v>
      </c>
      <c r="K31" s="29" t="s">
        <v>171</v>
      </c>
      <c r="L31" s="250">
        <v>8</v>
      </c>
      <c r="M31" s="251"/>
    </row>
    <row r="32" ht="31" spans="1:13">
      <c r="A32" s="248" t="s">
        <v>4168</v>
      </c>
      <c r="B32" s="45" t="s">
        <v>4167</v>
      </c>
      <c r="C32" s="249" t="e">
        <f>VLOOKUP(D32,#REF!,2,0)</f>
        <v>#REF!</v>
      </c>
      <c r="D32" s="29" t="s">
        <v>131</v>
      </c>
      <c r="E32" s="18" t="e">
        <f>VLOOKUP(C32,数据集标准分类!E:F,2,0)</f>
        <v>#REF!</v>
      </c>
      <c r="F32" s="29" t="e">
        <f>VLOOKUP(D32,数据集标准分类!G:H,2,0)</f>
        <v>#N/A</v>
      </c>
      <c r="G32" s="29" t="s">
        <v>172</v>
      </c>
      <c r="H32" s="29" t="s">
        <v>173</v>
      </c>
      <c r="I32" s="29" t="s">
        <v>174</v>
      </c>
      <c r="J32" s="29" t="s">
        <v>175</v>
      </c>
      <c r="K32" s="29" t="s">
        <v>176</v>
      </c>
      <c r="L32" s="250">
        <v>9</v>
      </c>
      <c r="M32" s="251"/>
    </row>
    <row r="33" ht="31" spans="1:13">
      <c r="A33" s="248" t="s">
        <v>4168</v>
      </c>
      <c r="B33" s="45" t="s">
        <v>4167</v>
      </c>
      <c r="C33" s="249" t="e">
        <f>VLOOKUP(D33,#REF!,2,0)</f>
        <v>#REF!</v>
      </c>
      <c r="D33" s="29" t="s">
        <v>131</v>
      </c>
      <c r="E33" s="18" t="e">
        <f>VLOOKUP(C33,数据集标准分类!E:F,2,0)</f>
        <v>#REF!</v>
      </c>
      <c r="F33" s="29" t="e">
        <f>VLOOKUP(D33,数据集标准分类!G:H,2,0)</f>
        <v>#N/A</v>
      </c>
      <c r="G33" s="29" t="s">
        <v>177</v>
      </c>
      <c r="H33" s="29" t="s">
        <v>178</v>
      </c>
      <c r="I33" s="29" t="s">
        <v>179</v>
      </c>
      <c r="J33" s="29" t="s">
        <v>180</v>
      </c>
      <c r="K33" s="29" t="s">
        <v>181</v>
      </c>
      <c r="L33" s="250">
        <v>10</v>
      </c>
      <c r="M33" s="251"/>
    </row>
    <row r="34" ht="31" spans="1:13">
      <c r="A34" s="248" t="s">
        <v>4168</v>
      </c>
      <c r="B34" s="45" t="s">
        <v>4167</v>
      </c>
      <c r="C34" s="249" t="e">
        <f>VLOOKUP(D34,#REF!,2,0)</f>
        <v>#REF!</v>
      </c>
      <c r="D34" s="29" t="s">
        <v>131</v>
      </c>
      <c r="E34" s="18" t="e">
        <f>VLOOKUP(C34,数据集标准分类!E:F,2,0)</f>
        <v>#REF!</v>
      </c>
      <c r="F34" s="29" t="e">
        <f>VLOOKUP(D34,数据集标准分类!G:H,2,0)</f>
        <v>#N/A</v>
      </c>
      <c r="G34" s="29" t="s">
        <v>182</v>
      </c>
      <c r="H34" s="29" t="s">
        <v>183</v>
      </c>
      <c r="I34" s="29" t="s">
        <v>184</v>
      </c>
      <c r="J34" s="29" t="s">
        <v>185</v>
      </c>
      <c r="K34" s="29" t="s">
        <v>186</v>
      </c>
      <c r="L34" s="250">
        <v>11</v>
      </c>
      <c r="M34" s="251"/>
    </row>
    <row r="35" ht="46" spans="1:13">
      <c r="A35" s="248" t="s">
        <v>4168</v>
      </c>
      <c r="B35" s="45" t="s">
        <v>4167</v>
      </c>
      <c r="C35" s="249" t="e">
        <f>VLOOKUP(D35,#REF!,2,0)</f>
        <v>#REF!</v>
      </c>
      <c r="D35" s="29" t="s">
        <v>131</v>
      </c>
      <c r="E35" s="18" t="e">
        <f>VLOOKUP(C35,数据集标准分类!E:F,2,0)</f>
        <v>#REF!</v>
      </c>
      <c r="F35" s="29" t="e">
        <f>VLOOKUP(D35,数据集标准分类!G:H,2,0)</f>
        <v>#N/A</v>
      </c>
      <c r="G35" s="64" t="s">
        <v>187</v>
      </c>
      <c r="H35" s="29" t="s">
        <v>188</v>
      </c>
      <c r="I35" s="29" t="s">
        <v>189</v>
      </c>
      <c r="J35" s="29" t="s">
        <v>190</v>
      </c>
      <c r="K35" s="29" t="s">
        <v>191</v>
      </c>
      <c r="L35" s="250">
        <v>12</v>
      </c>
      <c r="M35" s="251"/>
    </row>
    <row r="36" ht="76" spans="1:13">
      <c r="A36" s="248" t="s">
        <v>4168</v>
      </c>
      <c r="B36" s="45" t="s">
        <v>4167</v>
      </c>
      <c r="C36" s="249" t="e">
        <f>VLOOKUP(D36,#REF!,2,0)</f>
        <v>#REF!</v>
      </c>
      <c r="D36" s="29" t="s">
        <v>131</v>
      </c>
      <c r="E36" s="18" t="e">
        <f>VLOOKUP(C36,数据集标准分类!E:F,2,0)</f>
        <v>#REF!</v>
      </c>
      <c r="F36" s="29" t="e">
        <f>VLOOKUP(D36,数据集标准分类!G:H,2,0)</f>
        <v>#N/A</v>
      </c>
      <c r="G36" s="29" t="s">
        <v>192</v>
      </c>
      <c r="H36" s="29" t="s">
        <v>193</v>
      </c>
      <c r="I36" s="29" t="s">
        <v>194</v>
      </c>
      <c r="J36" s="29" t="s">
        <v>195</v>
      </c>
      <c r="K36" s="29" t="s">
        <v>196</v>
      </c>
      <c r="L36" s="250">
        <v>13</v>
      </c>
      <c r="M36" s="251"/>
    </row>
    <row r="37" ht="31" spans="1:13">
      <c r="A37" s="248" t="s">
        <v>4168</v>
      </c>
      <c r="B37" s="45" t="s">
        <v>4167</v>
      </c>
      <c r="C37" s="249" t="e">
        <f>VLOOKUP(D37,#REF!,2,0)</f>
        <v>#REF!</v>
      </c>
      <c r="D37" s="29" t="s">
        <v>131</v>
      </c>
      <c r="E37" s="18" t="e">
        <f>VLOOKUP(C37,数据集标准分类!E:F,2,0)</f>
        <v>#REF!</v>
      </c>
      <c r="F37" s="29" t="e">
        <f>VLOOKUP(D37,数据集标准分类!G:H,2,0)</f>
        <v>#N/A</v>
      </c>
      <c r="G37" s="29" t="s">
        <v>197</v>
      </c>
      <c r="H37" s="29" t="s">
        <v>198</v>
      </c>
      <c r="I37" s="29" t="s">
        <v>2074</v>
      </c>
      <c r="J37" s="29" t="s">
        <v>199</v>
      </c>
      <c r="K37" s="29" t="s">
        <v>200</v>
      </c>
      <c r="L37" s="250">
        <v>14</v>
      </c>
      <c r="M37" s="251"/>
    </row>
    <row r="38" ht="46" spans="1:13">
      <c r="A38" s="248" t="s">
        <v>4168</v>
      </c>
      <c r="B38" s="45" t="s">
        <v>4167</v>
      </c>
      <c r="C38" s="249" t="e">
        <f>VLOOKUP(D38,#REF!,2,0)</f>
        <v>#REF!</v>
      </c>
      <c r="D38" s="29" t="s">
        <v>131</v>
      </c>
      <c r="E38" s="18" t="e">
        <f>VLOOKUP(C38,数据集标准分类!E:F,2,0)</f>
        <v>#REF!</v>
      </c>
      <c r="F38" s="29" t="e">
        <f>VLOOKUP(D38,数据集标准分类!G:H,2,0)</f>
        <v>#N/A</v>
      </c>
      <c r="G38" s="29" t="s">
        <v>201</v>
      </c>
      <c r="H38" s="29" t="s">
        <v>202</v>
      </c>
      <c r="I38" s="29" t="s">
        <v>203</v>
      </c>
      <c r="J38" s="29" t="s">
        <v>204</v>
      </c>
      <c r="K38" s="29" t="s">
        <v>205</v>
      </c>
      <c r="L38" s="250">
        <v>15</v>
      </c>
      <c r="M38" s="251"/>
    </row>
    <row r="39" ht="61" spans="1:13">
      <c r="A39" s="248" t="s">
        <v>4168</v>
      </c>
      <c r="B39" s="45" t="s">
        <v>4167</v>
      </c>
      <c r="C39" s="249" t="e">
        <f>VLOOKUP(D39,#REF!,2,0)</f>
        <v>#REF!</v>
      </c>
      <c r="D39" s="29" t="s">
        <v>131</v>
      </c>
      <c r="E39" s="18" t="e">
        <f>VLOOKUP(C39,数据集标准分类!E:F,2,0)</f>
        <v>#REF!</v>
      </c>
      <c r="F39" s="29" t="e">
        <f>VLOOKUP(D39,数据集标准分类!G:H,2,0)</f>
        <v>#N/A</v>
      </c>
      <c r="G39" s="29" t="s">
        <v>206</v>
      </c>
      <c r="H39" s="29" t="s">
        <v>207</v>
      </c>
      <c r="I39" s="29" t="s">
        <v>208</v>
      </c>
      <c r="J39" s="29" t="s">
        <v>209</v>
      </c>
      <c r="K39" s="29" t="s">
        <v>210</v>
      </c>
      <c r="L39" s="250">
        <v>16</v>
      </c>
      <c r="M39" s="251"/>
    </row>
    <row r="40" ht="31" spans="1:13">
      <c r="A40" s="248" t="s">
        <v>4168</v>
      </c>
      <c r="B40" s="45" t="s">
        <v>4167</v>
      </c>
      <c r="C40" s="249" t="e">
        <f>VLOOKUP(D40,#REF!,2,0)</f>
        <v>#REF!</v>
      </c>
      <c r="D40" s="29" t="s">
        <v>131</v>
      </c>
      <c r="E40" s="18" t="e">
        <f>VLOOKUP(C40,数据集标准分类!E:F,2,0)</f>
        <v>#REF!</v>
      </c>
      <c r="F40" s="29" t="e">
        <f>VLOOKUP(D40,数据集标准分类!G:H,2,0)</f>
        <v>#N/A</v>
      </c>
      <c r="G40" s="29" t="s">
        <v>211</v>
      </c>
      <c r="H40" s="29" t="s">
        <v>212</v>
      </c>
      <c r="I40" s="29" t="s">
        <v>213</v>
      </c>
      <c r="J40" s="29" t="s">
        <v>214</v>
      </c>
      <c r="K40" s="29" t="s">
        <v>215</v>
      </c>
      <c r="L40" s="250">
        <v>17</v>
      </c>
      <c r="M40" s="251"/>
    </row>
    <row r="41" ht="61" spans="1:13">
      <c r="A41" s="248" t="s">
        <v>4168</v>
      </c>
      <c r="B41" s="45" t="s">
        <v>4167</v>
      </c>
      <c r="C41" s="249" t="e">
        <f>VLOOKUP(D41,#REF!,2,0)</f>
        <v>#REF!</v>
      </c>
      <c r="D41" s="29" t="s">
        <v>131</v>
      </c>
      <c r="E41" s="18" t="e">
        <f>VLOOKUP(C41,数据集标准分类!E:F,2,0)</f>
        <v>#REF!</v>
      </c>
      <c r="F41" s="29" t="e">
        <f>VLOOKUP(D41,数据集标准分类!G:H,2,0)</f>
        <v>#N/A</v>
      </c>
      <c r="G41" s="29" t="s">
        <v>216</v>
      </c>
      <c r="H41" s="29" t="s">
        <v>217</v>
      </c>
      <c r="I41" s="29" t="s">
        <v>218</v>
      </c>
      <c r="J41" s="29" t="s">
        <v>219</v>
      </c>
      <c r="K41" s="29" t="s">
        <v>220</v>
      </c>
      <c r="L41" s="250">
        <v>18</v>
      </c>
      <c r="M41" s="251"/>
    </row>
    <row r="42" ht="31" spans="1:13">
      <c r="A42" s="248" t="s">
        <v>4168</v>
      </c>
      <c r="B42" s="45" t="s">
        <v>4167</v>
      </c>
      <c r="C42" s="249" t="e">
        <f>VLOOKUP(D42,#REF!,2,0)</f>
        <v>#REF!</v>
      </c>
      <c r="D42" s="29" t="s">
        <v>131</v>
      </c>
      <c r="E42" s="18" t="e">
        <f>VLOOKUP(C42,数据集标准分类!E:F,2,0)</f>
        <v>#REF!</v>
      </c>
      <c r="F42" s="29" t="e">
        <f>VLOOKUP(D42,数据集标准分类!G:H,2,0)</f>
        <v>#N/A</v>
      </c>
      <c r="G42" s="29" t="s">
        <v>221</v>
      </c>
      <c r="H42" s="29" t="s">
        <v>222</v>
      </c>
      <c r="I42" s="29" t="s">
        <v>223</v>
      </c>
      <c r="J42" s="29" t="s">
        <v>224</v>
      </c>
      <c r="K42" s="29" t="s">
        <v>225</v>
      </c>
      <c r="L42" s="250">
        <v>19</v>
      </c>
      <c r="M42" s="251"/>
    </row>
    <row r="43" ht="46" spans="1:13">
      <c r="A43" s="248" t="s">
        <v>4168</v>
      </c>
      <c r="B43" s="45" t="s">
        <v>4167</v>
      </c>
      <c r="C43" s="249" t="e">
        <f>VLOOKUP(D43,#REF!,2,0)</f>
        <v>#REF!</v>
      </c>
      <c r="D43" s="29" t="s">
        <v>131</v>
      </c>
      <c r="E43" s="18" t="e">
        <f>VLOOKUP(C43,数据集标准分类!E:F,2,0)</f>
        <v>#REF!</v>
      </c>
      <c r="F43" s="29" t="e">
        <f>VLOOKUP(D43,数据集标准分类!G:H,2,0)</f>
        <v>#N/A</v>
      </c>
      <c r="G43" s="29" t="s">
        <v>227</v>
      </c>
      <c r="H43" s="29" t="s">
        <v>228</v>
      </c>
      <c r="I43" s="29" t="s">
        <v>229</v>
      </c>
      <c r="J43" s="29" t="s">
        <v>230</v>
      </c>
      <c r="K43" s="29" t="s">
        <v>231</v>
      </c>
      <c r="L43" s="250">
        <v>20</v>
      </c>
      <c r="M43" s="251"/>
    </row>
    <row r="44" ht="61" spans="1:13">
      <c r="A44" s="248" t="s">
        <v>4168</v>
      </c>
      <c r="B44" s="45" t="s">
        <v>4167</v>
      </c>
      <c r="C44" s="249" t="e">
        <f>VLOOKUP(D44,#REF!,2,0)</f>
        <v>#REF!</v>
      </c>
      <c r="D44" s="29" t="s">
        <v>131</v>
      </c>
      <c r="E44" s="18" t="e">
        <f>VLOOKUP(C44,数据集标准分类!E:F,2,0)</f>
        <v>#REF!</v>
      </c>
      <c r="F44" s="29" t="e">
        <f>VLOOKUP(D44,数据集标准分类!G:H,2,0)</f>
        <v>#N/A</v>
      </c>
      <c r="G44" s="29" t="s">
        <v>232</v>
      </c>
      <c r="H44" s="29" t="s">
        <v>233</v>
      </c>
      <c r="I44" s="29" t="s">
        <v>234</v>
      </c>
      <c r="J44" s="29" t="s">
        <v>235</v>
      </c>
      <c r="K44" s="29" t="s">
        <v>236</v>
      </c>
      <c r="L44" s="250">
        <v>21</v>
      </c>
      <c r="M44" s="251"/>
    </row>
    <row r="45" ht="31" spans="1:13">
      <c r="A45" s="248" t="s">
        <v>4175</v>
      </c>
      <c r="B45" s="45" t="s">
        <v>4174</v>
      </c>
      <c r="C45" s="249" t="e">
        <f>VLOOKUP(D45,#REF!,2,0)</f>
        <v>#REF!</v>
      </c>
      <c r="D45" s="29" t="s">
        <v>238</v>
      </c>
      <c r="E45" s="18" t="e">
        <f>VLOOKUP(C45,数据集标准分类!E:F,2,0)</f>
        <v>#REF!</v>
      </c>
      <c r="F45" s="29" t="e">
        <f>VLOOKUP(D45,数据集标准分类!G:H,2,0)</f>
        <v>#N/A</v>
      </c>
      <c r="G45" s="29" t="s">
        <v>321</v>
      </c>
      <c r="H45" s="29" t="s">
        <v>322</v>
      </c>
      <c r="I45" s="29" t="s">
        <v>323</v>
      </c>
      <c r="J45" s="29" t="s">
        <v>324</v>
      </c>
      <c r="K45" s="29" t="s">
        <v>325</v>
      </c>
      <c r="L45" s="250">
        <v>1</v>
      </c>
      <c r="M45" s="251"/>
    </row>
    <row r="46" ht="61" spans="1:13">
      <c r="A46" s="248" t="s">
        <v>4175</v>
      </c>
      <c r="B46" s="45" t="s">
        <v>4174</v>
      </c>
      <c r="C46" s="249" t="e">
        <f>VLOOKUP(D46,#REF!,2,0)</f>
        <v>#REF!</v>
      </c>
      <c r="D46" s="29" t="s">
        <v>238</v>
      </c>
      <c r="E46" s="18" t="e">
        <f>VLOOKUP(C46,数据集标准分类!E:F,2,0)</f>
        <v>#REF!</v>
      </c>
      <c r="F46" s="29" t="e">
        <f>VLOOKUP(D46,数据集标准分类!G:H,2,0)</f>
        <v>#N/A</v>
      </c>
      <c r="G46" s="29" t="s">
        <v>330</v>
      </c>
      <c r="H46" s="29" t="s">
        <v>331</v>
      </c>
      <c r="I46" s="29" t="s">
        <v>332</v>
      </c>
      <c r="J46" s="29" t="s">
        <v>333</v>
      </c>
      <c r="K46" s="29" t="s">
        <v>334</v>
      </c>
      <c r="L46" s="250">
        <v>2</v>
      </c>
      <c r="M46" s="251"/>
    </row>
    <row r="47" ht="46" spans="1:13">
      <c r="A47" s="248" t="s">
        <v>4175</v>
      </c>
      <c r="B47" s="45" t="s">
        <v>4174</v>
      </c>
      <c r="C47" s="249" t="e">
        <f>VLOOKUP(D47,#REF!,2,0)</f>
        <v>#REF!</v>
      </c>
      <c r="D47" s="29" t="s">
        <v>238</v>
      </c>
      <c r="E47" s="18" t="e">
        <f>VLOOKUP(C47,数据集标准分类!E:F,2,0)</f>
        <v>#REF!</v>
      </c>
      <c r="F47" s="29" t="e">
        <f>VLOOKUP(D47,数据集标准分类!G:H,2,0)</f>
        <v>#N/A</v>
      </c>
      <c r="G47" s="29" t="s">
        <v>335</v>
      </c>
      <c r="H47" s="29" t="s">
        <v>336</v>
      </c>
      <c r="I47" s="29" t="s">
        <v>337</v>
      </c>
      <c r="J47" s="29" t="s">
        <v>338</v>
      </c>
      <c r="K47" s="29" t="s">
        <v>339</v>
      </c>
      <c r="L47" s="250">
        <v>3</v>
      </c>
      <c r="M47" s="251"/>
    </row>
    <row r="48" ht="31" spans="1:13">
      <c r="A48" s="248" t="s">
        <v>4175</v>
      </c>
      <c r="B48" s="45" t="s">
        <v>4174</v>
      </c>
      <c r="C48" s="249" t="e">
        <f>VLOOKUP(D48,#REF!,2,0)</f>
        <v>#REF!</v>
      </c>
      <c r="D48" s="29" t="s">
        <v>238</v>
      </c>
      <c r="E48" s="18" t="e">
        <f>VLOOKUP(C48,数据集标准分类!E:F,2,0)</f>
        <v>#REF!</v>
      </c>
      <c r="F48" s="29" t="e">
        <f>VLOOKUP(D48,数据集标准分类!G:H,2,0)</f>
        <v>#N/A</v>
      </c>
      <c r="G48" s="29" t="s">
        <v>316</v>
      </c>
      <c r="H48" s="29" t="s">
        <v>317</v>
      </c>
      <c r="I48" s="29" t="s">
        <v>318</v>
      </c>
      <c r="J48" s="29" t="s">
        <v>319</v>
      </c>
      <c r="K48" s="29" t="s">
        <v>320</v>
      </c>
      <c r="L48" s="250">
        <v>4</v>
      </c>
      <c r="M48" s="251"/>
    </row>
    <row r="49" ht="31" spans="1:13">
      <c r="A49" s="248" t="s">
        <v>4175</v>
      </c>
      <c r="B49" s="45" t="s">
        <v>4174</v>
      </c>
      <c r="C49" s="249" t="e">
        <f>VLOOKUP(D49,#REF!,2,0)</f>
        <v>#REF!</v>
      </c>
      <c r="D49" s="29" t="s">
        <v>238</v>
      </c>
      <c r="E49" s="18" t="e">
        <f>VLOOKUP(C49,数据集标准分类!E:F,2,0)</f>
        <v>#REF!</v>
      </c>
      <c r="F49" s="29" t="e">
        <f>VLOOKUP(D49,数据集标准分类!G:H,2,0)</f>
        <v>#N/A</v>
      </c>
      <c r="G49" s="29" t="s">
        <v>240</v>
      </c>
      <c r="H49" s="29" t="s">
        <v>241</v>
      </c>
      <c r="I49" s="29" t="s">
        <v>242</v>
      </c>
      <c r="J49" s="29" t="s">
        <v>243</v>
      </c>
      <c r="K49" s="29" t="s">
        <v>244</v>
      </c>
      <c r="L49" s="250">
        <v>5</v>
      </c>
      <c r="M49" s="251"/>
    </row>
    <row r="50" ht="31" spans="1:13">
      <c r="A50" s="248" t="s">
        <v>4175</v>
      </c>
      <c r="B50" s="45" t="s">
        <v>4174</v>
      </c>
      <c r="C50" s="249" t="e">
        <f>VLOOKUP(D50,#REF!,2,0)</f>
        <v>#REF!</v>
      </c>
      <c r="D50" s="29" t="s">
        <v>238</v>
      </c>
      <c r="E50" s="18" t="e">
        <f>VLOOKUP(C50,数据集标准分类!E:F,2,0)</f>
        <v>#REF!</v>
      </c>
      <c r="F50" s="29" t="e">
        <f>VLOOKUP(D50,数据集标准分类!G:H,2,0)</f>
        <v>#N/A</v>
      </c>
      <c r="G50" s="29" t="s">
        <v>340</v>
      </c>
      <c r="H50" s="29" t="s">
        <v>341</v>
      </c>
      <c r="I50" s="29" t="s">
        <v>342</v>
      </c>
      <c r="J50" s="29" t="s">
        <v>343</v>
      </c>
      <c r="K50" s="29" t="s">
        <v>344</v>
      </c>
      <c r="L50" s="250">
        <v>6</v>
      </c>
      <c r="M50" s="251"/>
    </row>
    <row r="51" ht="46" spans="1:13">
      <c r="A51" s="248" t="s">
        <v>4175</v>
      </c>
      <c r="B51" s="45" t="s">
        <v>4174</v>
      </c>
      <c r="C51" s="249" t="e">
        <f>VLOOKUP(D51,#REF!,2,0)</f>
        <v>#REF!</v>
      </c>
      <c r="D51" s="29" t="s">
        <v>238</v>
      </c>
      <c r="E51" s="18" t="e">
        <f>VLOOKUP(C51,数据集标准分类!E:F,2,0)</f>
        <v>#REF!</v>
      </c>
      <c r="F51" s="29" t="e">
        <f>VLOOKUP(D51,数据集标准分类!G:H,2,0)</f>
        <v>#N/A</v>
      </c>
      <c r="G51" s="29" t="s">
        <v>152</v>
      </c>
      <c r="H51" s="29" t="s">
        <v>153</v>
      </c>
      <c r="I51" s="29" t="s">
        <v>154</v>
      </c>
      <c r="J51" s="29" t="s">
        <v>155</v>
      </c>
      <c r="K51" s="29" t="s">
        <v>156</v>
      </c>
      <c r="L51" s="250">
        <v>7</v>
      </c>
      <c r="M51" s="251"/>
    </row>
    <row r="52" ht="46" spans="1:13">
      <c r="A52" s="248" t="s">
        <v>4175</v>
      </c>
      <c r="B52" s="45" t="s">
        <v>4174</v>
      </c>
      <c r="C52" s="249" t="e">
        <f>VLOOKUP(D52,#REF!,2,0)</f>
        <v>#REF!</v>
      </c>
      <c r="D52" s="29" t="s">
        <v>238</v>
      </c>
      <c r="E52" s="18" t="e">
        <f>VLOOKUP(C52,数据集标准分类!E:F,2,0)</f>
        <v>#REF!</v>
      </c>
      <c r="F52" s="29" t="e">
        <f>VLOOKUP(D52,数据集标准分类!G:H,2,0)</f>
        <v>#N/A</v>
      </c>
      <c r="G52" s="29" t="s">
        <v>157</v>
      </c>
      <c r="H52" s="29" t="s">
        <v>158</v>
      </c>
      <c r="I52" s="29" t="s">
        <v>159</v>
      </c>
      <c r="J52" s="29" t="s">
        <v>160</v>
      </c>
      <c r="K52" s="29" t="s">
        <v>161</v>
      </c>
      <c r="L52" s="250">
        <v>8</v>
      </c>
      <c r="M52" s="251"/>
    </row>
    <row r="53" ht="46" spans="1:13">
      <c r="A53" s="248" t="s">
        <v>4175</v>
      </c>
      <c r="B53" s="45" t="s">
        <v>4174</v>
      </c>
      <c r="C53" s="249" t="e">
        <f>VLOOKUP(D53,#REF!,2,0)</f>
        <v>#REF!</v>
      </c>
      <c r="D53" s="29" t="s">
        <v>238</v>
      </c>
      <c r="E53" s="18" t="e">
        <f>VLOOKUP(C53,数据集标准分类!E:F,2,0)</f>
        <v>#REF!</v>
      </c>
      <c r="F53" s="29" t="e">
        <f>VLOOKUP(D53,数据集标准分类!G:H,2,0)</f>
        <v>#N/A</v>
      </c>
      <c r="G53" s="29" t="s">
        <v>431</v>
      </c>
      <c r="H53" s="29" t="s">
        <v>432</v>
      </c>
      <c r="I53" s="29" t="s">
        <v>433</v>
      </c>
      <c r="J53" s="29" t="s">
        <v>434</v>
      </c>
      <c r="K53" s="29" t="s">
        <v>435</v>
      </c>
      <c r="L53" s="250">
        <v>9</v>
      </c>
      <c r="M53" s="251"/>
    </row>
    <row r="54" ht="31" spans="1:13">
      <c r="A54" s="248" t="s">
        <v>4175</v>
      </c>
      <c r="B54" s="45" t="s">
        <v>4174</v>
      </c>
      <c r="C54" s="249" t="e">
        <f>VLOOKUP(D54,#REF!,2,0)</f>
        <v>#REF!</v>
      </c>
      <c r="D54" s="29" t="s">
        <v>238</v>
      </c>
      <c r="E54" s="18" t="e">
        <f>VLOOKUP(C54,数据集标准分类!E:F,2,0)</f>
        <v>#REF!</v>
      </c>
      <c r="F54" s="29" t="e">
        <f>VLOOKUP(D54,数据集标准分类!G:H,2,0)</f>
        <v>#N/A</v>
      </c>
      <c r="G54" s="29" t="s">
        <v>436</v>
      </c>
      <c r="H54" s="29" t="s">
        <v>437</v>
      </c>
      <c r="I54" s="29" t="s">
        <v>438</v>
      </c>
      <c r="J54" s="29" t="s">
        <v>439</v>
      </c>
      <c r="K54" s="29" t="s">
        <v>440</v>
      </c>
      <c r="L54" s="250">
        <v>10</v>
      </c>
      <c r="M54" s="251"/>
    </row>
    <row r="55" ht="107" spans="1:13">
      <c r="A55" s="248" t="s">
        <v>4175</v>
      </c>
      <c r="B55" s="45" t="s">
        <v>4174</v>
      </c>
      <c r="C55" s="249" t="e">
        <f>VLOOKUP(D55,#REF!,2,0)</f>
        <v>#REF!</v>
      </c>
      <c r="D55" s="29" t="s">
        <v>238</v>
      </c>
      <c r="E55" s="18" t="e">
        <f>VLOOKUP(C55,数据集标准分类!E:F,2,0)</f>
        <v>#REF!</v>
      </c>
      <c r="F55" s="29" t="e">
        <f>VLOOKUP(D55,数据集标准分类!G:H,2,0)</f>
        <v>#N/A</v>
      </c>
      <c r="G55" s="29" t="s">
        <v>441</v>
      </c>
      <c r="H55" s="29" t="s">
        <v>442</v>
      </c>
      <c r="I55" s="29" t="s">
        <v>443</v>
      </c>
      <c r="J55" s="29" t="s">
        <v>444</v>
      </c>
      <c r="K55" s="29" t="s">
        <v>445</v>
      </c>
      <c r="L55" s="250">
        <v>11</v>
      </c>
      <c r="M55" s="251"/>
    </row>
    <row r="56" ht="31" spans="1:13">
      <c r="A56" s="248" t="s">
        <v>4175</v>
      </c>
      <c r="B56" s="45" t="s">
        <v>4174</v>
      </c>
      <c r="C56" s="249" t="e">
        <f>VLOOKUP(D56,#REF!,2,0)</f>
        <v>#REF!</v>
      </c>
      <c r="D56" s="29" t="s">
        <v>238</v>
      </c>
      <c r="E56" s="18" t="e">
        <f>VLOOKUP(C56,数据集标准分类!E:F,2,0)</f>
        <v>#REF!</v>
      </c>
      <c r="F56" s="29" t="e">
        <f>VLOOKUP(D56,数据集标准分类!G:H,2,0)</f>
        <v>#N/A</v>
      </c>
      <c r="G56" s="29" t="s">
        <v>446</v>
      </c>
      <c r="H56" s="29" t="s">
        <v>447</v>
      </c>
      <c r="I56" s="29" t="s">
        <v>448</v>
      </c>
      <c r="J56" s="29" t="s">
        <v>449</v>
      </c>
      <c r="K56" s="29" t="s">
        <v>450</v>
      </c>
      <c r="L56" s="250">
        <v>12</v>
      </c>
      <c r="M56" s="251"/>
    </row>
    <row r="57" ht="61" spans="1:13">
      <c r="A57" s="248" t="s">
        <v>4175</v>
      </c>
      <c r="B57" s="45" t="s">
        <v>4174</v>
      </c>
      <c r="C57" s="249" t="e">
        <f>VLOOKUP(D57,#REF!,2,0)</f>
        <v>#REF!</v>
      </c>
      <c r="D57" s="29" t="s">
        <v>238</v>
      </c>
      <c r="E57" s="18" t="e">
        <f>VLOOKUP(C57,数据集标准分类!E:F,2,0)</f>
        <v>#REF!</v>
      </c>
      <c r="F57" s="29" t="e">
        <f>VLOOKUP(D57,数据集标准分类!G:H,2,0)</f>
        <v>#N/A</v>
      </c>
      <c r="G57" s="29" t="s">
        <v>451</v>
      </c>
      <c r="H57" s="29" t="s">
        <v>452</v>
      </c>
      <c r="I57" s="29" t="s">
        <v>453</v>
      </c>
      <c r="J57" s="29" t="s">
        <v>454</v>
      </c>
      <c r="K57" s="29" t="s">
        <v>455</v>
      </c>
      <c r="L57" s="250">
        <v>13</v>
      </c>
      <c r="M57" s="251"/>
    </row>
    <row r="58" ht="61" spans="1:13">
      <c r="A58" s="248" t="s">
        <v>4175</v>
      </c>
      <c r="B58" s="45" t="s">
        <v>4174</v>
      </c>
      <c r="C58" s="249" t="e">
        <f>VLOOKUP(D58,#REF!,2,0)</f>
        <v>#REF!</v>
      </c>
      <c r="D58" s="29" t="s">
        <v>238</v>
      </c>
      <c r="E58" s="18" t="e">
        <f>VLOOKUP(C58,数据集标准分类!E:F,2,0)</f>
        <v>#REF!</v>
      </c>
      <c r="F58" s="29" t="e">
        <f>VLOOKUP(D58,数据集标准分类!G:H,2,0)</f>
        <v>#N/A</v>
      </c>
      <c r="G58" s="64" t="s">
        <v>456</v>
      </c>
      <c r="H58" s="29" t="s">
        <v>457</v>
      </c>
      <c r="I58" s="29" t="s">
        <v>458</v>
      </c>
      <c r="J58" s="29" t="s">
        <v>459</v>
      </c>
      <c r="K58" s="29" t="s">
        <v>460</v>
      </c>
      <c r="L58" s="250">
        <v>14</v>
      </c>
      <c r="M58" s="251"/>
    </row>
    <row r="59" ht="46" spans="1:13">
      <c r="A59" s="248" t="s">
        <v>4175</v>
      </c>
      <c r="B59" s="45" t="s">
        <v>4174</v>
      </c>
      <c r="C59" s="249" t="e">
        <f>VLOOKUP(D59,#REF!,2,0)</f>
        <v>#REF!</v>
      </c>
      <c r="D59" s="29" t="s">
        <v>238</v>
      </c>
      <c r="E59" s="18" t="e">
        <f>VLOOKUP(C59,数据集标准分类!E:F,2,0)</f>
        <v>#REF!</v>
      </c>
      <c r="F59" s="29" t="e">
        <f>VLOOKUP(D59,数据集标准分类!G:H,2,0)</f>
        <v>#N/A</v>
      </c>
      <c r="G59" s="64" t="s">
        <v>187</v>
      </c>
      <c r="H59" s="29" t="s">
        <v>188</v>
      </c>
      <c r="I59" s="29" t="s">
        <v>189</v>
      </c>
      <c r="J59" s="29" t="s">
        <v>190</v>
      </c>
      <c r="K59" s="29" t="s">
        <v>461</v>
      </c>
      <c r="L59" s="250">
        <v>15</v>
      </c>
      <c r="M59" s="251"/>
    </row>
    <row r="60" ht="61" spans="1:13">
      <c r="A60" s="248" t="s">
        <v>4175</v>
      </c>
      <c r="B60" s="45" t="s">
        <v>4174</v>
      </c>
      <c r="C60" s="249" t="e">
        <f>VLOOKUP(D60,#REF!,2,0)</f>
        <v>#REF!</v>
      </c>
      <c r="D60" s="29" t="s">
        <v>238</v>
      </c>
      <c r="E60" s="18" t="e">
        <f>VLOOKUP(C60,数据集标准分类!E:F,2,0)</f>
        <v>#REF!</v>
      </c>
      <c r="F60" s="29" t="e">
        <f>VLOOKUP(D60,数据集标准分类!G:H,2,0)</f>
        <v>#N/A</v>
      </c>
      <c r="G60" s="29" t="s">
        <v>462</v>
      </c>
      <c r="H60" s="29" t="s">
        <v>463</v>
      </c>
      <c r="I60" s="29" t="s">
        <v>464</v>
      </c>
      <c r="J60" s="29" t="s">
        <v>465</v>
      </c>
      <c r="K60" s="29" t="s">
        <v>466</v>
      </c>
      <c r="L60" s="250">
        <v>16</v>
      </c>
      <c r="M60" s="251"/>
    </row>
    <row r="61" ht="31" spans="1:13">
      <c r="A61" s="248" t="s">
        <v>4175</v>
      </c>
      <c r="B61" s="45" t="s">
        <v>4174</v>
      </c>
      <c r="C61" s="249" t="e">
        <f>VLOOKUP(D61,#REF!,2,0)</f>
        <v>#REF!</v>
      </c>
      <c r="D61" s="29" t="s">
        <v>238</v>
      </c>
      <c r="E61" s="18" t="e">
        <f>VLOOKUP(C61,数据集标准分类!E:F,2,0)</f>
        <v>#REF!</v>
      </c>
      <c r="F61" s="29" t="e">
        <f>VLOOKUP(D61,数据集标准分类!G:H,2,0)</f>
        <v>#N/A</v>
      </c>
      <c r="G61" s="29" t="s">
        <v>467</v>
      </c>
      <c r="H61" s="29" t="s">
        <v>468</v>
      </c>
      <c r="I61" s="29" t="s">
        <v>469</v>
      </c>
      <c r="J61" s="29" t="s">
        <v>470</v>
      </c>
      <c r="K61" s="29" t="s">
        <v>471</v>
      </c>
      <c r="L61" s="250">
        <v>17</v>
      </c>
      <c r="M61" s="251"/>
    </row>
    <row r="62" ht="31" spans="1:13">
      <c r="A62" s="248" t="s">
        <v>4175</v>
      </c>
      <c r="B62" s="45" t="s">
        <v>4174</v>
      </c>
      <c r="C62" s="249" t="e">
        <f>VLOOKUP(D62,#REF!,2,0)</f>
        <v>#REF!</v>
      </c>
      <c r="D62" s="29" t="s">
        <v>238</v>
      </c>
      <c r="E62" s="18" t="e">
        <f>VLOOKUP(C62,数据集标准分类!E:F,2,0)</f>
        <v>#REF!</v>
      </c>
      <c r="F62" s="29" t="e">
        <f>VLOOKUP(D62,数据集标准分类!G:H,2,0)</f>
        <v>#N/A</v>
      </c>
      <c r="G62" s="29" t="s">
        <v>472</v>
      </c>
      <c r="H62" s="29" t="s">
        <v>473</v>
      </c>
      <c r="I62" s="29" t="s">
        <v>474</v>
      </c>
      <c r="J62" s="29" t="s">
        <v>475</v>
      </c>
      <c r="K62" s="29" t="s">
        <v>476</v>
      </c>
      <c r="L62" s="250">
        <v>18</v>
      </c>
      <c r="M62" s="251"/>
    </row>
    <row r="63" ht="46" spans="1:13">
      <c r="A63" s="248" t="s">
        <v>4175</v>
      </c>
      <c r="B63" s="45" t="s">
        <v>4174</v>
      </c>
      <c r="C63" s="249" t="e">
        <f>VLOOKUP(D63,#REF!,2,0)</f>
        <v>#REF!</v>
      </c>
      <c r="D63" s="29" t="s">
        <v>238</v>
      </c>
      <c r="E63" s="18" t="e">
        <f>VLOOKUP(C63,数据集标准分类!E:F,2,0)</f>
        <v>#REF!</v>
      </c>
      <c r="F63" s="29" t="e">
        <f>VLOOKUP(D63,数据集标准分类!G:H,2,0)</f>
        <v>#N/A</v>
      </c>
      <c r="G63" s="29" t="s">
        <v>477</v>
      </c>
      <c r="H63" s="29" t="s">
        <v>478</v>
      </c>
      <c r="I63" s="29" t="s">
        <v>479</v>
      </c>
      <c r="J63" s="29" t="s">
        <v>480</v>
      </c>
      <c r="K63" s="29" t="s">
        <v>481</v>
      </c>
      <c r="L63" s="250">
        <v>19</v>
      </c>
      <c r="M63" s="251"/>
    </row>
    <row r="64" ht="31" spans="1:13">
      <c r="A64" s="248" t="s">
        <v>4175</v>
      </c>
      <c r="B64" s="45" t="s">
        <v>4174</v>
      </c>
      <c r="C64" s="249" t="e">
        <f>VLOOKUP(D64,#REF!,2,0)</f>
        <v>#REF!</v>
      </c>
      <c r="D64" s="29" t="s">
        <v>238</v>
      </c>
      <c r="E64" s="18" t="e">
        <f>VLOOKUP(C64,数据集标准分类!E:F,2,0)</f>
        <v>#REF!</v>
      </c>
      <c r="F64" s="29" t="e">
        <f>VLOOKUP(D64,数据集标准分类!G:H,2,0)</f>
        <v>#N/A</v>
      </c>
      <c r="G64" s="29" t="s">
        <v>482</v>
      </c>
      <c r="H64" s="29" t="s">
        <v>483</v>
      </c>
      <c r="I64" s="29" t="s">
        <v>484</v>
      </c>
      <c r="J64" s="29" t="s">
        <v>485</v>
      </c>
      <c r="K64" s="29" t="s">
        <v>486</v>
      </c>
      <c r="L64" s="250">
        <v>20</v>
      </c>
      <c r="M64" s="251"/>
    </row>
    <row r="65" ht="31" spans="1:13">
      <c r="A65" s="248" t="s">
        <v>4175</v>
      </c>
      <c r="B65" s="45" t="s">
        <v>4174</v>
      </c>
      <c r="C65" s="249" t="e">
        <f>VLOOKUP(D65,#REF!,2,0)</f>
        <v>#REF!</v>
      </c>
      <c r="D65" s="29" t="s">
        <v>238</v>
      </c>
      <c r="E65" s="18" t="e">
        <f>VLOOKUP(C65,数据集标准分类!E:F,2,0)</f>
        <v>#REF!</v>
      </c>
      <c r="F65" s="29" t="e">
        <f>VLOOKUP(D65,数据集标准分类!G:H,2,0)</f>
        <v>#N/A</v>
      </c>
      <c r="G65" s="29" t="s">
        <v>345</v>
      </c>
      <c r="H65" s="29" t="s">
        <v>346</v>
      </c>
      <c r="I65" s="29" t="s">
        <v>347</v>
      </c>
      <c r="J65" s="29" t="s">
        <v>348</v>
      </c>
      <c r="K65" s="29" t="s">
        <v>349</v>
      </c>
      <c r="L65" s="250">
        <v>21</v>
      </c>
      <c r="M65" s="251"/>
    </row>
    <row r="66" ht="24" customHeight="1" spans="1:13">
      <c r="A66" s="248" t="s">
        <v>4175</v>
      </c>
      <c r="B66" s="45" t="s">
        <v>4174</v>
      </c>
      <c r="C66" s="249" t="e">
        <f>VLOOKUP(D66,#REF!,2,0)</f>
        <v>#REF!</v>
      </c>
      <c r="D66" s="29" t="s">
        <v>238</v>
      </c>
      <c r="E66" s="18" t="e">
        <f>VLOOKUP(C66,数据集标准分类!E:F,2,0)</f>
        <v>#REF!</v>
      </c>
      <c r="F66" s="29" t="e">
        <f>VLOOKUP(D66,数据集标准分类!G:H,2,0)</f>
        <v>#N/A</v>
      </c>
      <c r="G66" s="29" t="s">
        <v>503</v>
      </c>
      <c r="H66" s="29" t="s">
        <v>504</v>
      </c>
      <c r="I66" s="29" t="s">
        <v>505</v>
      </c>
      <c r="J66" s="29" t="s">
        <v>506</v>
      </c>
      <c r="K66" s="29" t="s">
        <v>507</v>
      </c>
      <c r="L66" s="250">
        <v>22</v>
      </c>
      <c r="M66" s="251"/>
    </row>
    <row r="67" ht="46" spans="1:13">
      <c r="A67" s="248" t="s">
        <v>4175</v>
      </c>
      <c r="B67" s="45" t="s">
        <v>4174</v>
      </c>
      <c r="C67" s="249" t="e">
        <f>VLOOKUP(D67,#REF!,2,0)</f>
        <v>#REF!</v>
      </c>
      <c r="D67" s="29" t="s">
        <v>238</v>
      </c>
      <c r="E67" s="18" t="e">
        <f>VLOOKUP(C67,数据集标准分类!E:F,2,0)</f>
        <v>#REF!</v>
      </c>
      <c r="F67" s="29" t="e">
        <f>VLOOKUP(D67,数据集标准分类!G:H,2,0)</f>
        <v>#N/A</v>
      </c>
      <c r="G67" s="29" t="s">
        <v>508</v>
      </c>
      <c r="H67" s="29" t="s">
        <v>509</v>
      </c>
      <c r="I67" s="29" t="s">
        <v>510</v>
      </c>
      <c r="J67" s="29" t="s">
        <v>511</v>
      </c>
      <c r="K67" s="29" t="s">
        <v>512</v>
      </c>
      <c r="L67" s="250">
        <v>23</v>
      </c>
      <c r="M67" s="251"/>
    </row>
    <row r="68" ht="61" spans="1:13">
      <c r="A68" s="248" t="s">
        <v>4175</v>
      </c>
      <c r="B68" s="45" t="s">
        <v>4174</v>
      </c>
      <c r="C68" s="249" t="e">
        <f>VLOOKUP(D68,#REF!,2,0)</f>
        <v>#REF!</v>
      </c>
      <c r="D68" s="29" t="s">
        <v>238</v>
      </c>
      <c r="E68" s="18" t="e">
        <f>VLOOKUP(C68,数据集标准分类!E:F,2,0)</f>
        <v>#REF!</v>
      </c>
      <c r="F68" s="29" t="e">
        <f>VLOOKUP(D68,数据集标准分类!G:H,2,0)</f>
        <v>#N/A</v>
      </c>
      <c r="G68" s="29" t="s">
        <v>350</v>
      </c>
      <c r="H68" s="29" t="s">
        <v>351</v>
      </c>
      <c r="I68" s="29" t="s">
        <v>352</v>
      </c>
      <c r="J68" s="29" t="s">
        <v>353</v>
      </c>
      <c r="K68" s="29" t="s">
        <v>354</v>
      </c>
      <c r="L68" s="250">
        <v>24</v>
      </c>
      <c r="M68" s="251"/>
    </row>
    <row r="69" ht="61" spans="1:13">
      <c r="A69" s="248" t="s">
        <v>4175</v>
      </c>
      <c r="B69" s="45" t="s">
        <v>4174</v>
      </c>
      <c r="C69" s="249" t="e">
        <f>VLOOKUP(D69,#REF!,2,0)</f>
        <v>#REF!</v>
      </c>
      <c r="D69" s="29" t="s">
        <v>238</v>
      </c>
      <c r="E69" s="18" t="e">
        <f>VLOOKUP(C69,数据集标准分类!E:F,2,0)</f>
        <v>#REF!</v>
      </c>
      <c r="F69" s="29" t="e">
        <f>VLOOKUP(D69,数据集标准分类!G:H,2,0)</f>
        <v>#N/A</v>
      </c>
      <c r="G69" s="29" t="s">
        <v>77</v>
      </c>
      <c r="H69" s="29" t="s">
        <v>78</v>
      </c>
      <c r="I69" s="29" t="s">
        <v>79</v>
      </c>
      <c r="J69" s="29" t="s">
        <v>80</v>
      </c>
      <c r="K69" s="29" t="s">
        <v>310</v>
      </c>
      <c r="L69" s="250">
        <v>25</v>
      </c>
      <c r="M69" s="251"/>
    </row>
    <row r="70" ht="61" spans="1:13">
      <c r="A70" s="248" t="s">
        <v>4175</v>
      </c>
      <c r="B70" s="45" t="s">
        <v>4174</v>
      </c>
      <c r="C70" s="249" t="e">
        <f>VLOOKUP(D70,#REF!,2,0)</f>
        <v>#REF!</v>
      </c>
      <c r="D70" s="29" t="s">
        <v>238</v>
      </c>
      <c r="E70" s="18" t="e">
        <f>VLOOKUP(C70,数据集标准分类!E:F,2,0)</f>
        <v>#REF!</v>
      </c>
      <c r="F70" s="29" t="e">
        <f>VLOOKUP(D70,数据集标准分类!G:H,2,0)</f>
        <v>#N/A</v>
      </c>
      <c r="G70" s="29" t="s">
        <v>82</v>
      </c>
      <c r="H70" s="29" t="s">
        <v>83</v>
      </c>
      <c r="I70" s="29" t="s">
        <v>84</v>
      </c>
      <c r="J70" s="29" t="s">
        <v>85</v>
      </c>
      <c r="K70" s="29" t="s">
        <v>311</v>
      </c>
      <c r="L70" s="250">
        <v>26</v>
      </c>
      <c r="M70" s="251"/>
    </row>
    <row r="71" ht="46" spans="1:13">
      <c r="A71" s="248" t="s">
        <v>4175</v>
      </c>
      <c r="B71" s="45" t="s">
        <v>4174</v>
      </c>
      <c r="C71" s="249" t="e">
        <f>VLOOKUP(D71,#REF!,2,0)</f>
        <v>#REF!</v>
      </c>
      <c r="D71" s="29" t="s">
        <v>238</v>
      </c>
      <c r="E71" s="18" t="e">
        <f>VLOOKUP(C71,数据集标准分类!E:F,2,0)</f>
        <v>#REF!</v>
      </c>
      <c r="F71" s="29" t="e">
        <f>VLOOKUP(D71,数据集标准分类!G:H,2,0)</f>
        <v>#N/A</v>
      </c>
      <c r="G71" s="29" t="s">
        <v>364</v>
      </c>
      <c r="H71" s="29" t="s">
        <v>365</v>
      </c>
      <c r="I71" s="29" t="s">
        <v>366</v>
      </c>
      <c r="J71" s="29" t="s">
        <v>367</v>
      </c>
      <c r="K71" s="29" t="s">
        <v>368</v>
      </c>
      <c r="L71" s="250">
        <v>27</v>
      </c>
      <c r="M71" s="251"/>
    </row>
    <row r="72" ht="46" spans="1:13">
      <c r="A72" s="248" t="s">
        <v>4175</v>
      </c>
      <c r="B72" s="45" t="s">
        <v>4174</v>
      </c>
      <c r="C72" s="249" t="e">
        <f>VLOOKUP(D72,#REF!,2,0)</f>
        <v>#REF!</v>
      </c>
      <c r="D72" s="29" t="s">
        <v>238</v>
      </c>
      <c r="E72" s="18" t="e">
        <f>VLOOKUP(C72,数据集标准分类!E:F,2,0)</f>
        <v>#REF!</v>
      </c>
      <c r="F72" s="29" t="e">
        <f>VLOOKUP(D72,数据集标准分类!G:H,2,0)</f>
        <v>#N/A</v>
      </c>
      <c r="G72" s="29" t="s">
        <v>192</v>
      </c>
      <c r="H72" s="29" t="s">
        <v>193</v>
      </c>
      <c r="I72" s="29" t="s">
        <v>194</v>
      </c>
      <c r="J72" s="29" t="s">
        <v>195</v>
      </c>
      <c r="K72" s="29" t="s">
        <v>385</v>
      </c>
      <c r="L72" s="250">
        <v>28</v>
      </c>
      <c r="M72" s="251"/>
    </row>
    <row r="73" ht="46" spans="1:13">
      <c r="A73" s="248" t="s">
        <v>4175</v>
      </c>
      <c r="B73" s="45" t="s">
        <v>4174</v>
      </c>
      <c r="C73" s="249" t="e">
        <f>VLOOKUP(D73,#REF!,2,0)</f>
        <v>#REF!</v>
      </c>
      <c r="D73" s="29" t="s">
        <v>238</v>
      </c>
      <c r="E73" s="18" t="e">
        <f>VLOOKUP(C73,数据集标准分类!E:F,2,0)</f>
        <v>#REF!</v>
      </c>
      <c r="F73" s="29" t="e">
        <f>VLOOKUP(D73,数据集标准分类!G:H,2,0)</f>
        <v>#N/A</v>
      </c>
      <c r="G73" s="29" t="s">
        <v>386</v>
      </c>
      <c r="H73" s="29" t="s">
        <v>387</v>
      </c>
      <c r="I73" s="29" t="s">
        <v>388</v>
      </c>
      <c r="J73" s="29" t="s">
        <v>389</v>
      </c>
      <c r="K73" s="29" t="s">
        <v>390</v>
      </c>
      <c r="L73" s="250">
        <v>29</v>
      </c>
      <c r="M73" s="251"/>
    </row>
    <row r="74" ht="61" spans="1:13">
      <c r="A74" s="248" t="s">
        <v>4175</v>
      </c>
      <c r="B74" s="45" t="s">
        <v>4174</v>
      </c>
      <c r="C74" s="249" t="e">
        <f>VLOOKUP(D74,#REF!,2,0)</f>
        <v>#REF!</v>
      </c>
      <c r="D74" s="29" t="s">
        <v>238</v>
      </c>
      <c r="E74" s="18" t="e">
        <f>VLOOKUP(C74,数据集标准分类!E:F,2,0)</f>
        <v>#REF!</v>
      </c>
      <c r="F74" s="29" t="e">
        <f>VLOOKUP(D74,数据集标准分类!G:H,2,0)</f>
        <v>#N/A</v>
      </c>
      <c r="G74" s="29" t="s">
        <v>391</v>
      </c>
      <c r="H74" s="29" t="s">
        <v>392</v>
      </c>
      <c r="I74" s="29" t="s">
        <v>393</v>
      </c>
      <c r="J74" s="29" t="s">
        <v>394</v>
      </c>
      <c r="K74" s="29" t="s">
        <v>395</v>
      </c>
      <c r="L74" s="250">
        <v>30</v>
      </c>
      <c r="M74" s="251"/>
    </row>
    <row r="75" ht="61" spans="1:13">
      <c r="A75" s="248" t="s">
        <v>4175</v>
      </c>
      <c r="B75" s="45" t="s">
        <v>4174</v>
      </c>
      <c r="C75" s="249" t="e">
        <f>VLOOKUP(D75,#REF!,2,0)</f>
        <v>#REF!</v>
      </c>
      <c r="D75" s="29" t="s">
        <v>238</v>
      </c>
      <c r="E75" s="18" t="e">
        <f>VLOOKUP(C75,数据集标准分类!E:F,2,0)</f>
        <v>#REF!</v>
      </c>
      <c r="F75" s="29" t="e">
        <f>VLOOKUP(D75,数据集标准分类!G:H,2,0)</f>
        <v>#N/A</v>
      </c>
      <c r="G75" s="29" t="s">
        <v>396</v>
      </c>
      <c r="H75" s="29" t="s">
        <v>397</v>
      </c>
      <c r="I75" s="29" t="s">
        <v>398</v>
      </c>
      <c r="J75" s="29" t="s">
        <v>399</v>
      </c>
      <c r="K75" s="29" t="s">
        <v>400</v>
      </c>
      <c r="L75" s="250">
        <v>31</v>
      </c>
      <c r="M75" s="251"/>
    </row>
    <row r="76" ht="46" spans="1:13">
      <c r="A76" s="248" t="s">
        <v>4175</v>
      </c>
      <c r="B76" s="45" t="s">
        <v>4174</v>
      </c>
      <c r="C76" s="249" t="e">
        <f>VLOOKUP(D76,#REF!,2,0)</f>
        <v>#REF!</v>
      </c>
      <c r="D76" s="29" t="s">
        <v>238</v>
      </c>
      <c r="E76" s="18" t="e">
        <f>VLOOKUP(C76,数据集标准分类!E:F,2,0)</f>
        <v>#REF!</v>
      </c>
      <c r="F76" s="29" t="e">
        <f>VLOOKUP(D76,数据集标准分类!G:H,2,0)</f>
        <v>#N/A</v>
      </c>
      <c r="G76" s="29" t="s">
        <v>245</v>
      </c>
      <c r="H76" s="29" t="s">
        <v>246</v>
      </c>
      <c r="I76" s="29" t="s">
        <v>247</v>
      </c>
      <c r="J76" s="29" t="s">
        <v>248</v>
      </c>
      <c r="K76" s="29" t="s">
        <v>249</v>
      </c>
      <c r="L76" s="250">
        <v>32</v>
      </c>
      <c r="M76" s="251"/>
    </row>
    <row r="77" ht="61" spans="1:13">
      <c r="A77" s="248" t="s">
        <v>4175</v>
      </c>
      <c r="B77" s="45" t="s">
        <v>4174</v>
      </c>
      <c r="C77" s="249" t="e">
        <f>VLOOKUP(D77,#REF!,2,0)</f>
        <v>#REF!</v>
      </c>
      <c r="D77" s="29" t="s">
        <v>238</v>
      </c>
      <c r="E77" s="18" t="e">
        <f>VLOOKUP(C77,数据集标准分类!E:F,2,0)</f>
        <v>#REF!</v>
      </c>
      <c r="F77" s="29" t="e">
        <f>VLOOKUP(D77,数据集标准分类!G:H,2,0)</f>
        <v>#N/A</v>
      </c>
      <c r="G77" s="29" t="s">
        <v>401</v>
      </c>
      <c r="H77" s="29" t="s">
        <v>402</v>
      </c>
      <c r="I77" s="29" t="s">
        <v>403</v>
      </c>
      <c r="J77" s="29" t="s">
        <v>404</v>
      </c>
      <c r="K77" s="29" t="s">
        <v>405</v>
      </c>
      <c r="L77" s="250">
        <v>33</v>
      </c>
      <c r="M77" s="251"/>
    </row>
    <row r="78" ht="61" spans="1:13">
      <c r="A78" s="248" t="s">
        <v>4175</v>
      </c>
      <c r="B78" s="45" t="s">
        <v>4174</v>
      </c>
      <c r="C78" s="249" t="e">
        <f>VLOOKUP(D78,#REF!,2,0)</f>
        <v>#REF!</v>
      </c>
      <c r="D78" s="29" t="s">
        <v>238</v>
      </c>
      <c r="E78" s="18" t="e">
        <f>VLOOKUP(C78,数据集标准分类!E:F,2,0)</f>
        <v>#REF!</v>
      </c>
      <c r="F78" s="29" t="e">
        <f>VLOOKUP(D78,数据集标准分类!G:H,2,0)</f>
        <v>#N/A</v>
      </c>
      <c r="G78" s="29" t="s">
        <v>406</v>
      </c>
      <c r="H78" s="29" t="s">
        <v>407</v>
      </c>
      <c r="I78" s="29" t="s">
        <v>408</v>
      </c>
      <c r="J78" s="29" t="s">
        <v>409</v>
      </c>
      <c r="K78" s="29" t="s">
        <v>410</v>
      </c>
      <c r="L78" s="250">
        <v>34</v>
      </c>
      <c r="M78" s="251"/>
    </row>
    <row r="79" ht="31" spans="1:13">
      <c r="A79" s="248" t="s">
        <v>4175</v>
      </c>
      <c r="B79" s="45" t="s">
        <v>4174</v>
      </c>
      <c r="C79" s="249" t="e">
        <f>VLOOKUP(D79,#REF!,2,0)</f>
        <v>#REF!</v>
      </c>
      <c r="D79" s="29" t="s">
        <v>238</v>
      </c>
      <c r="E79" s="18" t="e">
        <f>VLOOKUP(C79,数据集标准分类!E:F,2,0)</f>
        <v>#REF!</v>
      </c>
      <c r="F79" s="29" t="e">
        <f>VLOOKUP(D79,数据集标准分类!G:H,2,0)</f>
        <v>#N/A</v>
      </c>
      <c r="G79" s="29" t="s">
        <v>411</v>
      </c>
      <c r="H79" s="29" t="s">
        <v>412</v>
      </c>
      <c r="I79" s="29" t="s">
        <v>413</v>
      </c>
      <c r="J79" s="29" t="s">
        <v>414</v>
      </c>
      <c r="K79" s="29" t="s">
        <v>415</v>
      </c>
      <c r="L79" s="250">
        <v>35</v>
      </c>
      <c r="M79" s="251"/>
    </row>
    <row r="80" ht="31" spans="1:13">
      <c r="A80" s="248" t="s">
        <v>4175</v>
      </c>
      <c r="B80" s="45" t="s">
        <v>4174</v>
      </c>
      <c r="C80" s="249" t="e">
        <f>VLOOKUP(D80,#REF!,2,0)</f>
        <v>#REF!</v>
      </c>
      <c r="D80" s="29" t="s">
        <v>238</v>
      </c>
      <c r="E80" s="18" t="e">
        <f>VLOOKUP(C80,数据集标准分类!E:F,2,0)</f>
        <v>#REF!</v>
      </c>
      <c r="F80" s="29" t="e">
        <f>VLOOKUP(D80,数据集标准分类!G:H,2,0)</f>
        <v>#N/A</v>
      </c>
      <c r="G80" s="29" t="s">
        <v>416</v>
      </c>
      <c r="H80" s="29" t="s">
        <v>417</v>
      </c>
      <c r="I80" s="29" t="s">
        <v>418</v>
      </c>
      <c r="J80" s="29" t="s">
        <v>419</v>
      </c>
      <c r="K80" s="29" t="s">
        <v>420</v>
      </c>
      <c r="L80" s="250">
        <v>36</v>
      </c>
      <c r="M80" s="251"/>
    </row>
    <row r="81" ht="46" spans="1:13">
      <c r="A81" s="248" t="s">
        <v>4175</v>
      </c>
      <c r="B81" s="45" t="s">
        <v>4174</v>
      </c>
      <c r="C81" s="249" t="e">
        <f>VLOOKUP(D81,#REF!,2,0)</f>
        <v>#REF!</v>
      </c>
      <c r="D81" s="29" t="s">
        <v>238</v>
      </c>
      <c r="E81" s="18" t="e">
        <f>VLOOKUP(C81,数据集标准分类!E:F,2,0)</f>
        <v>#REF!</v>
      </c>
      <c r="F81" s="29" t="e">
        <f>VLOOKUP(D81,数据集标准分类!G:H,2,0)</f>
        <v>#N/A</v>
      </c>
      <c r="G81" s="29" t="s">
        <v>421</v>
      </c>
      <c r="H81" s="29" t="s">
        <v>422</v>
      </c>
      <c r="I81" s="29" t="s">
        <v>423</v>
      </c>
      <c r="J81" s="29" t="s">
        <v>424</v>
      </c>
      <c r="K81" s="29" t="s">
        <v>425</v>
      </c>
      <c r="L81" s="250">
        <v>37</v>
      </c>
      <c r="M81" s="251"/>
    </row>
    <row r="82" ht="46" spans="1:13">
      <c r="A82" s="248" t="s">
        <v>4175</v>
      </c>
      <c r="B82" s="45" t="s">
        <v>4174</v>
      </c>
      <c r="C82" s="249" t="e">
        <f>VLOOKUP(D82,#REF!,2,0)</f>
        <v>#REF!</v>
      </c>
      <c r="D82" s="29" t="s">
        <v>238</v>
      </c>
      <c r="E82" s="18" t="e">
        <f>VLOOKUP(C82,数据集标准分类!E:F,2,0)</f>
        <v>#REF!</v>
      </c>
      <c r="F82" s="29" t="e">
        <f>VLOOKUP(D82,数据集标准分类!G:H,2,0)</f>
        <v>#N/A</v>
      </c>
      <c r="G82" s="29" t="s">
        <v>426</v>
      </c>
      <c r="H82" s="29" t="s">
        <v>427</v>
      </c>
      <c r="I82" s="29" t="s">
        <v>428</v>
      </c>
      <c r="J82" s="29" t="s">
        <v>429</v>
      </c>
      <c r="K82" s="29" t="s">
        <v>430</v>
      </c>
      <c r="L82" s="250">
        <v>38</v>
      </c>
      <c r="M82" s="251"/>
    </row>
    <row r="83" ht="31" spans="1:13">
      <c r="A83" s="248" t="s">
        <v>4175</v>
      </c>
      <c r="B83" s="45" t="s">
        <v>4174</v>
      </c>
      <c r="C83" s="249" t="e">
        <f>VLOOKUP(D83,#REF!,2,0)</f>
        <v>#REF!</v>
      </c>
      <c r="D83" s="29" t="s">
        <v>238</v>
      </c>
      <c r="E83" s="18" t="e">
        <f>VLOOKUP(C83,数据集标准分类!E:F,2,0)</f>
        <v>#REF!</v>
      </c>
      <c r="F83" s="29" t="e">
        <f>VLOOKUP(D83,数据集标准分类!G:H,2,0)</f>
        <v>#N/A</v>
      </c>
      <c r="G83" s="29" t="s">
        <v>355</v>
      </c>
      <c r="H83" s="29" t="s">
        <v>356</v>
      </c>
      <c r="I83" s="29" t="s">
        <v>357</v>
      </c>
      <c r="J83" s="29" t="s">
        <v>358</v>
      </c>
      <c r="K83" s="29" t="s">
        <v>359</v>
      </c>
      <c r="L83" s="250">
        <v>39</v>
      </c>
      <c r="M83" s="251"/>
    </row>
    <row r="84" ht="46" spans="1:13">
      <c r="A84" s="248" t="s">
        <v>4175</v>
      </c>
      <c r="B84" s="45" t="s">
        <v>4174</v>
      </c>
      <c r="C84" s="249" t="e">
        <f>VLOOKUP(D84,#REF!,2,0)</f>
        <v>#REF!</v>
      </c>
      <c r="D84" s="29" t="s">
        <v>238</v>
      </c>
      <c r="E84" s="18" t="e">
        <f>VLOOKUP(C84,数据集标准分类!E:F,2,0)</f>
        <v>#REF!</v>
      </c>
      <c r="F84" s="29" t="e">
        <f>VLOOKUP(D84,数据集标准分类!G:H,2,0)</f>
        <v>#N/A</v>
      </c>
      <c r="G84" s="29" t="s">
        <v>513</v>
      </c>
      <c r="H84" s="29" t="s">
        <v>514</v>
      </c>
      <c r="I84" s="29" t="s">
        <v>515</v>
      </c>
      <c r="J84" s="29" t="s">
        <v>516</v>
      </c>
      <c r="K84" s="29" t="s">
        <v>517</v>
      </c>
      <c r="L84" s="250">
        <v>40</v>
      </c>
      <c r="M84" s="251"/>
    </row>
    <row r="85" ht="31" spans="1:13">
      <c r="A85" s="248" t="s">
        <v>4175</v>
      </c>
      <c r="B85" s="45" t="s">
        <v>4174</v>
      </c>
      <c r="C85" s="249" t="e">
        <f>VLOOKUP(D85,#REF!,2,0)</f>
        <v>#REF!</v>
      </c>
      <c r="D85" s="29" t="s">
        <v>238</v>
      </c>
      <c r="E85" s="18" t="e">
        <f>VLOOKUP(C85,数据集标准分类!E:F,2,0)</f>
        <v>#REF!</v>
      </c>
      <c r="F85" s="29" t="e">
        <f>VLOOKUP(D85,数据集标准分类!G:H,2,0)</f>
        <v>#N/A</v>
      </c>
      <c r="G85" s="29" t="s">
        <v>518</v>
      </c>
      <c r="H85" s="29" t="s">
        <v>519</v>
      </c>
      <c r="I85" s="29" t="s">
        <v>520</v>
      </c>
      <c r="J85" s="29" t="s">
        <v>521</v>
      </c>
      <c r="K85" s="29" t="s">
        <v>522</v>
      </c>
      <c r="L85" s="250">
        <v>41</v>
      </c>
      <c r="M85" s="251"/>
    </row>
    <row r="86" ht="31" spans="1:13">
      <c r="A86" s="248" t="s">
        <v>4175</v>
      </c>
      <c r="B86" s="45" t="s">
        <v>4174</v>
      </c>
      <c r="C86" s="249" t="e">
        <f>VLOOKUP(D86,#REF!,2,0)</f>
        <v>#REF!</v>
      </c>
      <c r="D86" s="29" t="s">
        <v>238</v>
      </c>
      <c r="E86" s="18" t="e">
        <f>VLOOKUP(C86,数据集标准分类!E:F,2,0)</f>
        <v>#REF!</v>
      </c>
      <c r="F86" s="29" t="e">
        <f>VLOOKUP(D86,数据集标准分类!G:H,2,0)</f>
        <v>#N/A</v>
      </c>
      <c r="G86" s="29" t="s">
        <v>523</v>
      </c>
      <c r="H86" s="29" t="s">
        <v>524</v>
      </c>
      <c r="I86" s="29" t="s">
        <v>525</v>
      </c>
      <c r="J86" s="29" t="s">
        <v>526</v>
      </c>
      <c r="K86" s="29" t="s">
        <v>527</v>
      </c>
      <c r="L86" s="250">
        <v>42</v>
      </c>
      <c r="M86" s="251"/>
    </row>
    <row r="87" ht="31" spans="1:13">
      <c r="A87" s="248" t="s">
        <v>4175</v>
      </c>
      <c r="B87" s="45" t="s">
        <v>4174</v>
      </c>
      <c r="C87" s="249" t="e">
        <f>VLOOKUP(D87,#REF!,2,0)</f>
        <v>#REF!</v>
      </c>
      <c r="D87" s="29" t="s">
        <v>238</v>
      </c>
      <c r="E87" s="18" t="e">
        <f>VLOOKUP(C87,数据集标准分类!E:F,2,0)</f>
        <v>#REF!</v>
      </c>
      <c r="F87" s="29" t="e">
        <f>VLOOKUP(D87,数据集标准分类!G:H,2,0)</f>
        <v>#N/A</v>
      </c>
      <c r="G87" s="29" t="s">
        <v>528</v>
      </c>
      <c r="H87" s="29" t="s">
        <v>529</v>
      </c>
      <c r="I87" s="29" t="s">
        <v>530</v>
      </c>
      <c r="J87" s="29" t="s">
        <v>531</v>
      </c>
      <c r="K87" s="29" t="s">
        <v>532</v>
      </c>
      <c r="L87" s="250">
        <v>43</v>
      </c>
      <c r="M87" s="251"/>
    </row>
    <row r="88" ht="31" spans="1:13">
      <c r="A88" s="248" t="s">
        <v>4175</v>
      </c>
      <c r="B88" s="45" t="s">
        <v>4174</v>
      </c>
      <c r="C88" s="249" t="e">
        <f>VLOOKUP(D88,#REF!,2,0)</f>
        <v>#REF!</v>
      </c>
      <c r="D88" s="29" t="s">
        <v>238</v>
      </c>
      <c r="E88" s="18" t="e">
        <f>VLOOKUP(C88,数据集标准分类!E:F,2,0)</f>
        <v>#REF!</v>
      </c>
      <c r="F88" s="29" t="e">
        <f>VLOOKUP(D88,数据集标准分类!G:H,2,0)</f>
        <v>#N/A</v>
      </c>
      <c r="G88" s="29" t="s">
        <v>533</v>
      </c>
      <c r="H88" s="29" t="s">
        <v>534</v>
      </c>
      <c r="I88" s="29" t="s">
        <v>535</v>
      </c>
      <c r="J88" s="29" t="s">
        <v>536</v>
      </c>
      <c r="K88" s="29" t="s">
        <v>537</v>
      </c>
      <c r="L88" s="250">
        <v>44</v>
      </c>
      <c r="M88" s="251"/>
    </row>
    <row r="89" ht="31" spans="1:13">
      <c r="A89" s="248" t="s">
        <v>4175</v>
      </c>
      <c r="B89" s="45" t="s">
        <v>4174</v>
      </c>
      <c r="C89" s="249" t="e">
        <f>VLOOKUP(D89,#REF!,2,0)</f>
        <v>#REF!</v>
      </c>
      <c r="D89" s="29" t="s">
        <v>238</v>
      </c>
      <c r="E89" s="18" t="e">
        <f>VLOOKUP(C89,数据集标准分类!E:F,2,0)</f>
        <v>#REF!</v>
      </c>
      <c r="F89" s="29" t="e">
        <f>VLOOKUP(D89,数据集标准分类!G:H,2,0)</f>
        <v>#N/A</v>
      </c>
      <c r="G89" s="29" t="s">
        <v>538</v>
      </c>
      <c r="H89" s="29" t="s">
        <v>539</v>
      </c>
      <c r="I89" s="29" t="s">
        <v>540</v>
      </c>
      <c r="J89" s="29" t="s">
        <v>541</v>
      </c>
      <c r="K89" s="29" t="s">
        <v>542</v>
      </c>
      <c r="L89" s="250">
        <v>45</v>
      </c>
      <c r="M89" s="251"/>
    </row>
    <row r="90" ht="31" spans="1:13">
      <c r="A90" s="248" t="s">
        <v>4175</v>
      </c>
      <c r="B90" s="45" t="s">
        <v>4174</v>
      </c>
      <c r="C90" s="249" t="e">
        <f>VLOOKUP(D90,#REF!,2,0)</f>
        <v>#REF!</v>
      </c>
      <c r="D90" s="29" t="s">
        <v>238</v>
      </c>
      <c r="E90" s="18" t="e">
        <f>VLOOKUP(C90,数据集标准分类!E:F,2,0)</f>
        <v>#REF!</v>
      </c>
      <c r="F90" s="29" t="e">
        <f>VLOOKUP(D90,数据集标准分类!G:H,2,0)</f>
        <v>#N/A</v>
      </c>
      <c r="G90" s="29" t="s">
        <v>543</v>
      </c>
      <c r="H90" s="29" t="s">
        <v>544</v>
      </c>
      <c r="I90" s="29" t="s">
        <v>545</v>
      </c>
      <c r="J90" s="29" t="s">
        <v>546</v>
      </c>
      <c r="K90" s="29" t="s">
        <v>547</v>
      </c>
      <c r="L90" s="250">
        <v>46</v>
      </c>
      <c r="M90" s="251"/>
    </row>
    <row r="91" ht="31" spans="1:13">
      <c r="A91" s="248" t="s">
        <v>4175</v>
      </c>
      <c r="B91" s="45" t="s">
        <v>4174</v>
      </c>
      <c r="C91" s="249" t="e">
        <f>VLOOKUP(D91,#REF!,2,0)</f>
        <v>#REF!</v>
      </c>
      <c r="D91" s="29" t="s">
        <v>238</v>
      </c>
      <c r="E91" s="18" t="e">
        <f>VLOOKUP(C91,数据集标准分类!E:F,2,0)</f>
        <v>#REF!</v>
      </c>
      <c r="F91" s="29" t="e">
        <f>VLOOKUP(D91,数据集标准分类!G:H,2,0)</f>
        <v>#N/A</v>
      </c>
      <c r="G91" s="29" t="s">
        <v>548</v>
      </c>
      <c r="H91" s="29" t="s">
        <v>549</v>
      </c>
      <c r="I91" s="29" t="s">
        <v>550</v>
      </c>
      <c r="J91" s="29" t="s">
        <v>551</v>
      </c>
      <c r="K91" s="29" t="s">
        <v>552</v>
      </c>
      <c r="L91" s="250">
        <v>47</v>
      </c>
      <c r="M91" s="251"/>
    </row>
    <row r="92" ht="24" customHeight="1" spans="1:13">
      <c r="A92" s="248" t="s">
        <v>4175</v>
      </c>
      <c r="B92" s="45" t="s">
        <v>4174</v>
      </c>
      <c r="C92" s="249" t="e">
        <f>VLOOKUP(D92,#REF!,2,0)</f>
        <v>#REF!</v>
      </c>
      <c r="D92" s="29" t="s">
        <v>238</v>
      </c>
      <c r="E92" s="18" t="e">
        <f>VLOOKUP(C92,数据集标准分类!E:F,2,0)</f>
        <v>#REF!</v>
      </c>
      <c r="F92" s="29" t="e">
        <f>VLOOKUP(D92,数据集标准分类!G:H,2,0)</f>
        <v>#N/A</v>
      </c>
      <c r="G92" s="29" t="s">
        <v>553</v>
      </c>
      <c r="H92" s="29" t="s">
        <v>554</v>
      </c>
      <c r="I92" s="29" t="s">
        <v>555</v>
      </c>
      <c r="J92" s="29" t="s">
        <v>556</v>
      </c>
      <c r="K92" s="29" t="s">
        <v>557</v>
      </c>
      <c r="L92" s="250">
        <v>48</v>
      </c>
      <c r="M92" s="251"/>
    </row>
    <row r="93" ht="92" spans="1:13">
      <c r="A93" s="248" t="s">
        <v>4175</v>
      </c>
      <c r="B93" s="45" t="s">
        <v>4174</v>
      </c>
      <c r="C93" s="249" t="e">
        <f>VLOOKUP(D93,#REF!,2,0)</f>
        <v>#REF!</v>
      </c>
      <c r="D93" s="29" t="s">
        <v>238</v>
      </c>
      <c r="E93" s="18" t="e">
        <f>VLOOKUP(C93,数据集标准分类!E:F,2,0)</f>
        <v>#REF!</v>
      </c>
      <c r="F93" s="29" t="e">
        <f>VLOOKUP(D93,数据集标准分类!G:H,2,0)</f>
        <v>#N/A</v>
      </c>
      <c r="G93" s="29" t="s">
        <v>558</v>
      </c>
      <c r="H93" s="29" t="s">
        <v>559</v>
      </c>
      <c r="I93" s="29" t="s">
        <v>560</v>
      </c>
      <c r="J93" s="29" t="s">
        <v>561</v>
      </c>
      <c r="K93" s="29" t="s">
        <v>562</v>
      </c>
      <c r="L93" s="250">
        <v>49</v>
      </c>
      <c r="M93" s="251"/>
    </row>
    <row r="94" ht="31" spans="1:13">
      <c r="A94" s="248" t="s">
        <v>4175</v>
      </c>
      <c r="B94" s="45" t="s">
        <v>4174</v>
      </c>
      <c r="C94" s="249" t="e">
        <f>VLOOKUP(D94,#REF!,2,0)</f>
        <v>#REF!</v>
      </c>
      <c r="D94" s="29" t="s">
        <v>563</v>
      </c>
      <c r="E94" s="18" t="e">
        <f>VLOOKUP(C94,数据集标准分类!E:F,2,0)</f>
        <v>#REF!</v>
      </c>
      <c r="F94" s="29" t="e">
        <f>VLOOKUP(D94,数据集标准分类!G:H,2,0)</f>
        <v>#N/A</v>
      </c>
      <c r="G94" s="29" t="s">
        <v>321</v>
      </c>
      <c r="H94" s="29" t="s">
        <v>322</v>
      </c>
      <c r="I94" s="29" t="s">
        <v>323</v>
      </c>
      <c r="J94" s="29" t="s">
        <v>324</v>
      </c>
      <c r="K94" s="29" t="s">
        <v>325</v>
      </c>
      <c r="L94" s="250">
        <v>1</v>
      </c>
      <c r="M94" s="251"/>
    </row>
    <row r="95" ht="61" spans="1:13">
      <c r="A95" s="248" t="s">
        <v>4175</v>
      </c>
      <c r="B95" s="45" t="s">
        <v>4174</v>
      </c>
      <c r="C95" s="249" t="e">
        <f>VLOOKUP(D95,#REF!,2,0)</f>
        <v>#REF!</v>
      </c>
      <c r="D95" s="29" t="s">
        <v>563</v>
      </c>
      <c r="E95" s="18" t="e">
        <f>VLOOKUP(C95,数据集标准分类!E:F,2,0)</f>
        <v>#REF!</v>
      </c>
      <c r="F95" s="29" t="e">
        <f>VLOOKUP(D95,数据集标准分类!G:H,2,0)</f>
        <v>#N/A</v>
      </c>
      <c r="G95" s="29" t="s">
        <v>330</v>
      </c>
      <c r="H95" s="29" t="s">
        <v>331</v>
      </c>
      <c r="I95" s="29" t="s">
        <v>332</v>
      </c>
      <c r="J95" s="29" t="s">
        <v>333</v>
      </c>
      <c r="K95" s="29" t="s">
        <v>334</v>
      </c>
      <c r="L95" s="250">
        <v>2</v>
      </c>
      <c r="M95" s="251"/>
    </row>
    <row r="96" ht="46" spans="1:13">
      <c r="A96" s="248" t="s">
        <v>4175</v>
      </c>
      <c r="B96" s="45" t="s">
        <v>4174</v>
      </c>
      <c r="C96" s="249" t="e">
        <f>VLOOKUP(D96,#REF!,2,0)</f>
        <v>#REF!</v>
      </c>
      <c r="D96" s="29" t="s">
        <v>563</v>
      </c>
      <c r="E96" s="18" t="e">
        <f>VLOOKUP(C96,数据集标准分类!E:F,2,0)</f>
        <v>#REF!</v>
      </c>
      <c r="F96" s="29" t="e">
        <f>VLOOKUP(D96,数据集标准分类!G:H,2,0)</f>
        <v>#N/A</v>
      </c>
      <c r="G96" s="29" t="s">
        <v>335</v>
      </c>
      <c r="H96" s="29" t="s">
        <v>336</v>
      </c>
      <c r="I96" s="29" t="s">
        <v>337</v>
      </c>
      <c r="J96" s="29" t="s">
        <v>338</v>
      </c>
      <c r="K96" s="29" t="s">
        <v>339</v>
      </c>
      <c r="L96" s="250">
        <v>3</v>
      </c>
      <c r="M96" s="251"/>
    </row>
    <row r="97" ht="31" spans="1:13">
      <c r="A97" s="248" t="s">
        <v>4175</v>
      </c>
      <c r="B97" s="45" t="s">
        <v>4174</v>
      </c>
      <c r="C97" s="249" t="e">
        <f>VLOOKUP(D97,#REF!,2,0)</f>
        <v>#REF!</v>
      </c>
      <c r="D97" s="29" t="s">
        <v>563</v>
      </c>
      <c r="E97" s="18" t="e">
        <f>VLOOKUP(C97,数据集标准分类!E:F,2,0)</f>
        <v>#REF!</v>
      </c>
      <c r="F97" s="29" t="e">
        <f>VLOOKUP(D97,数据集标准分类!G:H,2,0)</f>
        <v>#N/A</v>
      </c>
      <c r="G97" s="29" t="s">
        <v>316</v>
      </c>
      <c r="H97" s="29" t="s">
        <v>317</v>
      </c>
      <c r="I97" s="29" t="s">
        <v>318</v>
      </c>
      <c r="J97" s="29" t="s">
        <v>319</v>
      </c>
      <c r="K97" s="29" t="s">
        <v>320</v>
      </c>
      <c r="L97" s="250">
        <v>4</v>
      </c>
      <c r="M97" s="251"/>
    </row>
    <row r="98" ht="31" spans="1:13">
      <c r="A98" s="248" t="s">
        <v>4175</v>
      </c>
      <c r="B98" s="45" t="s">
        <v>4174</v>
      </c>
      <c r="C98" s="249" t="e">
        <f>VLOOKUP(D98,#REF!,2,0)</f>
        <v>#REF!</v>
      </c>
      <c r="D98" s="29" t="s">
        <v>563</v>
      </c>
      <c r="E98" s="18" t="e">
        <f>VLOOKUP(C98,数据集标准分类!E:F,2,0)</f>
        <v>#REF!</v>
      </c>
      <c r="F98" s="29" t="e">
        <f>VLOOKUP(D98,数据集标准分类!G:H,2,0)</f>
        <v>#N/A</v>
      </c>
      <c r="G98" s="29" t="s">
        <v>240</v>
      </c>
      <c r="H98" s="29" t="s">
        <v>241</v>
      </c>
      <c r="I98" s="29" t="s">
        <v>242</v>
      </c>
      <c r="J98" s="29" t="s">
        <v>243</v>
      </c>
      <c r="K98" s="29" t="s">
        <v>244</v>
      </c>
      <c r="L98" s="250">
        <v>5</v>
      </c>
      <c r="M98" s="251"/>
    </row>
    <row r="99" ht="31" spans="1:13">
      <c r="A99" s="248" t="s">
        <v>4175</v>
      </c>
      <c r="B99" s="45" t="s">
        <v>4174</v>
      </c>
      <c r="C99" s="249" t="e">
        <f>VLOOKUP(D99,#REF!,2,0)</f>
        <v>#REF!</v>
      </c>
      <c r="D99" s="29" t="s">
        <v>563</v>
      </c>
      <c r="E99" s="18" t="e">
        <f>VLOOKUP(C99,数据集标准分类!E:F,2,0)</f>
        <v>#REF!</v>
      </c>
      <c r="F99" s="29" t="e">
        <f>VLOOKUP(D99,数据集标准分类!G:H,2,0)</f>
        <v>#N/A</v>
      </c>
      <c r="G99" s="29" t="s">
        <v>340</v>
      </c>
      <c r="H99" s="29" t="s">
        <v>341</v>
      </c>
      <c r="I99" s="29" t="s">
        <v>342</v>
      </c>
      <c r="J99" s="29" t="s">
        <v>343</v>
      </c>
      <c r="K99" s="29" t="s">
        <v>344</v>
      </c>
      <c r="L99" s="250">
        <v>6</v>
      </c>
      <c r="M99" s="251"/>
    </row>
    <row r="100" ht="46" spans="1:13">
      <c r="A100" s="248" t="s">
        <v>4175</v>
      </c>
      <c r="B100" s="45" t="s">
        <v>4174</v>
      </c>
      <c r="C100" s="249" t="e">
        <f>VLOOKUP(D100,#REF!,2,0)</f>
        <v>#REF!</v>
      </c>
      <c r="D100" s="29" t="s">
        <v>563</v>
      </c>
      <c r="E100" s="18" t="e">
        <f>VLOOKUP(C100,数据集标准分类!E:F,2,0)</f>
        <v>#REF!</v>
      </c>
      <c r="F100" s="29" t="e">
        <f>VLOOKUP(D100,数据集标准分类!G:H,2,0)</f>
        <v>#N/A</v>
      </c>
      <c r="G100" s="29" t="s">
        <v>564</v>
      </c>
      <c r="H100" s="29" t="s">
        <v>565</v>
      </c>
      <c r="I100" s="29" t="s">
        <v>566</v>
      </c>
      <c r="J100" s="29" t="s">
        <v>567</v>
      </c>
      <c r="K100" s="29" t="s">
        <v>568</v>
      </c>
      <c r="L100" s="250">
        <v>7</v>
      </c>
      <c r="M100" s="251"/>
    </row>
    <row r="101" ht="46" spans="1:13">
      <c r="A101" s="248" t="s">
        <v>4175</v>
      </c>
      <c r="B101" s="45" t="s">
        <v>4174</v>
      </c>
      <c r="C101" s="249" t="e">
        <f>VLOOKUP(D101,#REF!,2,0)</f>
        <v>#REF!</v>
      </c>
      <c r="D101" s="29" t="s">
        <v>563</v>
      </c>
      <c r="E101" s="18" t="e">
        <f>VLOOKUP(C101,数据集标准分类!E:F,2,0)</f>
        <v>#REF!</v>
      </c>
      <c r="F101" s="29" t="e">
        <f>VLOOKUP(D101,数据集标准分类!G:H,2,0)</f>
        <v>#N/A</v>
      </c>
      <c r="G101" s="29" t="s">
        <v>152</v>
      </c>
      <c r="H101" s="29" t="s">
        <v>153</v>
      </c>
      <c r="I101" s="29" t="s">
        <v>154</v>
      </c>
      <c r="J101" s="29" t="s">
        <v>155</v>
      </c>
      <c r="K101" s="29" t="s">
        <v>156</v>
      </c>
      <c r="L101" s="250">
        <v>8</v>
      </c>
      <c r="M101" s="251"/>
    </row>
    <row r="102" ht="46" spans="1:13">
      <c r="A102" s="248" t="s">
        <v>4175</v>
      </c>
      <c r="B102" s="45" t="s">
        <v>4174</v>
      </c>
      <c r="C102" s="249" t="e">
        <f>VLOOKUP(D102,#REF!,2,0)</f>
        <v>#REF!</v>
      </c>
      <c r="D102" s="29" t="s">
        <v>563</v>
      </c>
      <c r="E102" s="18" t="e">
        <f>VLOOKUP(C102,数据集标准分类!E:F,2,0)</f>
        <v>#REF!</v>
      </c>
      <c r="F102" s="29" t="e">
        <f>VLOOKUP(D102,数据集标准分类!G:H,2,0)</f>
        <v>#N/A</v>
      </c>
      <c r="G102" s="29" t="s">
        <v>157</v>
      </c>
      <c r="H102" s="29" t="s">
        <v>158</v>
      </c>
      <c r="I102" s="29" t="s">
        <v>159</v>
      </c>
      <c r="J102" s="29" t="s">
        <v>160</v>
      </c>
      <c r="K102" s="29" t="s">
        <v>161</v>
      </c>
      <c r="L102" s="250">
        <v>9</v>
      </c>
      <c r="M102" s="251"/>
    </row>
    <row r="103" ht="31" spans="1:13">
      <c r="A103" s="248" t="s">
        <v>4175</v>
      </c>
      <c r="B103" s="45" t="s">
        <v>4174</v>
      </c>
      <c r="C103" s="249" t="e">
        <f>VLOOKUP(D103,#REF!,2,0)</f>
        <v>#REF!</v>
      </c>
      <c r="D103" s="29" t="s">
        <v>563</v>
      </c>
      <c r="E103" s="18" t="e">
        <f>VLOOKUP(C103,数据集标准分类!E:F,2,0)</f>
        <v>#REF!</v>
      </c>
      <c r="F103" s="29" t="e">
        <f>VLOOKUP(D103,数据集标准分类!G:H,2,0)</f>
        <v>#N/A</v>
      </c>
      <c r="G103" s="29" t="s">
        <v>569</v>
      </c>
      <c r="H103" s="29" t="s">
        <v>570</v>
      </c>
      <c r="I103" s="29" t="s">
        <v>571</v>
      </c>
      <c r="J103" s="29" t="s">
        <v>572</v>
      </c>
      <c r="K103" s="29" t="s">
        <v>573</v>
      </c>
      <c r="L103" s="250">
        <v>10</v>
      </c>
      <c r="M103" s="251"/>
    </row>
    <row r="104" ht="31" spans="1:13">
      <c r="A104" s="248" t="s">
        <v>4175</v>
      </c>
      <c r="B104" s="45" t="s">
        <v>4174</v>
      </c>
      <c r="C104" s="249" t="e">
        <f>VLOOKUP(D104,#REF!,2,0)</f>
        <v>#REF!</v>
      </c>
      <c r="D104" s="29" t="s">
        <v>563</v>
      </c>
      <c r="E104" s="18" t="e">
        <f>VLOOKUP(C104,数据集标准分类!E:F,2,0)</f>
        <v>#REF!</v>
      </c>
      <c r="F104" s="29" t="e">
        <f>VLOOKUP(D104,数据集标准分类!G:H,2,0)</f>
        <v>#N/A</v>
      </c>
      <c r="G104" s="29" t="s">
        <v>574</v>
      </c>
      <c r="H104" s="29" t="s">
        <v>575</v>
      </c>
      <c r="I104" s="29" t="s">
        <v>576</v>
      </c>
      <c r="J104" s="29" t="s">
        <v>577</v>
      </c>
      <c r="K104" s="29" t="s">
        <v>578</v>
      </c>
      <c r="L104" s="250">
        <v>11</v>
      </c>
      <c r="M104" s="251"/>
    </row>
    <row r="105" ht="46" spans="1:13">
      <c r="A105" s="248" t="s">
        <v>4175</v>
      </c>
      <c r="B105" s="45" t="s">
        <v>4174</v>
      </c>
      <c r="C105" s="249" t="e">
        <f>VLOOKUP(D105,#REF!,2,0)</f>
        <v>#REF!</v>
      </c>
      <c r="D105" s="29" t="s">
        <v>563</v>
      </c>
      <c r="E105" s="18" t="e">
        <f>VLOOKUP(C105,数据集标准分类!E:F,2,0)</f>
        <v>#REF!</v>
      </c>
      <c r="F105" s="29" t="e">
        <f>VLOOKUP(D105,数据集标准分类!G:H,2,0)</f>
        <v>#N/A</v>
      </c>
      <c r="G105" s="29" t="s">
        <v>579</v>
      </c>
      <c r="H105" s="29" t="s">
        <v>580</v>
      </c>
      <c r="I105" s="29" t="s">
        <v>581</v>
      </c>
      <c r="J105" s="29" t="s">
        <v>582</v>
      </c>
      <c r="K105" s="29" t="s">
        <v>583</v>
      </c>
      <c r="L105" s="250">
        <v>12</v>
      </c>
      <c r="M105" s="251"/>
    </row>
    <row r="106" ht="31" spans="1:13">
      <c r="A106" s="248" t="s">
        <v>4175</v>
      </c>
      <c r="B106" s="45" t="s">
        <v>4174</v>
      </c>
      <c r="C106" s="249" t="e">
        <f>VLOOKUP(D106,#REF!,2,0)</f>
        <v>#REF!</v>
      </c>
      <c r="D106" s="29" t="s">
        <v>563</v>
      </c>
      <c r="E106" s="18" t="e">
        <f>VLOOKUP(C106,数据集标准分类!E:F,2,0)</f>
        <v>#REF!</v>
      </c>
      <c r="F106" s="29" t="e">
        <f>VLOOKUP(D106,数据集标准分类!G:H,2,0)</f>
        <v>#N/A</v>
      </c>
      <c r="G106" s="29" t="s">
        <v>584</v>
      </c>
      <c r="H106" s="29" t="s">
        <v>585</v>
      </c>
      <c r="I106" s="29" t="s">
        <v>586</v>
      </c>
      <c r="J106" s="29" t="s">
        <v>587</v>
      </c>
      <c r="K106" s="29" t="s">
        <v>588</v>
      </c>
      <c r="L106" s="250">
        <v>13</v>
      </c>
      <c r="M106" s="251"/>
    </row>
    <row r="107" ht="46" spans="1:13">
      <c r="A107" s="248" t="s">
        <v>4175</v>
      </c>
      <c r="B107" s="45" t="s">
        <v>4174</v>
      </c>
      <c r="C107" s="249" t="e">
        <f>VLOOKUP(D107,#REF!,2,0)</f>
        <v>#REF!</v>
      </c>
      <c r="D107" s="29" t="s">
        <v>563</v>
      </c>
      <c r="E107" s="18" t="e">
        <f>VLOOKUP(C107,数据集标准分类!E:F,2,0)</f>
        <v>#REF!</v>
      </c>
      <c r="F107" s="29" t="e">
        <f>VLOOKUP(D107,数据集标准分类!G:H,2,0)</f>
        <v>#N/A</v>
      </c>
      <c r="G107" s="29" t="s">
        <v>589</v>
      </c>
      <c r="H107" s="29" t="s">
        <v>590</v>
      </c>
      <c r="I107" s="29" t="s">
        <v>591</v>
      </c>
      <c r="J107" s="29" t="s">
        <v>592</v>
      </c>
      <c r="K107" s="29" t="s">
        <v>593</v>
      </c>
      <c r="L107" s="250">
        <v>14</v>
      </c>
      <c r="M107" s="251"/>
    </row>
    <row r="108" ht="31" spans="1:13">
      <c r="A108" s="248" t="s">
        <v>4175</v>
      </c>
      <c r="B108" s="45" t="s">
        <v>4174</v>
      </c>
      <c r="C108" s="249" t="e">
        <f>VLOOKUP(D108,#REF!,2,0)</f>
        <v>#REF!</v>
      </c>
      <c r="D108" s="29" t="s">
        <v>563</v>
      </c>
      <c r="E108" s="18" t="e">
        <f>VLOOKUP(C108,数据集标准分类!E:F,2,0)</f>
        <v>#REF!</v>
      </c>
      <c r="F108" s="29" t="e">
        <f>VLOOKUP(D108,数据集标准分类!G:H,2,0)</f>
        <v>#N/A</v>
      </c>
      <c r="G108" s="29" t="s">
        <v>594</v>
      </c>
      <c r="H108" s="29" t="s">
        <v>595</v>
      </c>
      <c r="I108" s="29" t="s">
        <v>596</v>
      </c>
      <c r="J108" s="29" t="s">
        <v>597</v>
      </c>
      <c r="K108" s="29" t="s">
        <v>598</v>
      </c>
      <c r="L108" s="250">
        <v>15</v>
      </c>
      <c r="M108" s="251"/>
    </row>
    <row r="109" ht="46" spans="1:13">
      <c r="A109" s="248" t="s">
        <v>4175</v>
      </c>
      <c r="B109" s="45" t="s">
        <v>4174</v>
      </c>
      <c r="C109" s="249" t="e">
        <f>VLOOKUP(D109,#REF!,2,0)</f>
        <v>#REF!</v>
      </c>
      <c r="D109" s="29" t="s">
        <v>563</v>
      </c>
      <c r="E109" s="18" t="e">
        <f>VLOOKUP(C109,数据集标准分类!E:F,2,0)</f>
        <v>#REF!</v>
      </c>
      <c r="F109" s="29" t="e">
        <f>VLOOKUP(D109,数据集标准分类!G:H,2,0)</f>
        <v>#N/A</v>
      </c>
      <c r="G109" s="29" t="s">
        <v>431</v>
      </c>
      <c r="H109" s="29" t="s">
        <v>432</v>
      </c>
      <c r="I109" s="29" t="s">
        <v>433</v>
      </c>
      <c r="J109" s="29" t="s">
        <v>434</v>
      </c>
      <c r="K109" s="29" t="s">
        <v>599</v>
      </c>
      <c r="L109" s="250">
        <v>16</v>
      </c>
      <c r="M109" s="251"/>
    </row>
    <row r="110" ht="31" spans="1:13">
      <c r="A110" s="248" t="s">
        <v>4175</v>
      </c>
      <c r="B110" s="45" t="s">
        <v>4174</v>
      </c>
      <c r="C110" s="249" t="e">
        <f>VLOOKUP(D110,#REF!,2,0)</f>
        <v>#REF!</v>
      </c>
      <c r="D110" s="29" t="s">
        <v>563</v>
      </c>
      <c r="E110" s="18" t="e">
        <f>VLOOKUP(C110,数据集标准分类!E:F,2,0)</f>
        <v>#REF!</v>
      </c>
      <c r="F110" s="29" t="e">
        <f>VLOOKUP(D110,数据集标准分类!G:H,2,0)</f>
        <v>#N/A</v>
      </c>
      <c r="G110" s="29" t="s">
        <v>436</v>
      </c>
      <c r="H110" s="29" t="s">
        <v>437</v>
      </c>
      <c r="I110" s="29" t="s">
        <v>438</v>
      </c>
      <c r="J110" s="29" t="s">
        <v>439</v>
      </c>
      <c r="K110" s="29" t="s">
        <v>600</v>
      </c>
      <c r="L110" s="250">
        <v>17</v>
      </c>
      <c r="M110" s="251"/>
    </row>
    <row r="111" ht="46" spans="1:13">
      <c r="A111" s="248" t="s">
        <v>4175</v>
      </c>
      <c r="B111" s="45" t="s">
        <v>4174</v>
      </c>
      <c r="C111" s="249" t="e">
        <f>VLOOKUP(D111,#REF!,2,0)</f>
        <v>#REF!</v>
      </c>
      <c r="D111" s="29" t="s">
        <v>563</v>
      </c>
      <c r="E111" s="18" t="e">
        <f>VLOOKUP(C111,数据集标准分类!E:F,2,0)</f>
        <v>#REF!</v>
      </c>
      <c r="F111" s="29" t="e">
        <f>VLOOKUP(D111,数据集标准分类!G:H,2,0)</f>
        <v>#N/A</v>
      </c>
      <c r="G111" s="29" t="s">
        <v>369</v>
      </c>
      <c r="H111" s="29" t="s">
        <v>370</v>
      </c>
      <c r="I111" s="29" t="s">
        <v>371</v>
      </c>
      <c r="J111" s="29" t="s">
        <v>601</v>
      </c>
      <c r="K111" s="29" t="s">
        <v>602</v>
      </c>
      <c r="L111" s="250">
        <v>18</v>
      </c>
      <c r="M111" s="251"/>
    </row>
    <row r="112" ht="31" spans="1:13">
      <c r="A112" s="248" t="s">
        <v>4175</v>
      </c>
      <c r="B112" s="45" t="s">
        <v>4174</v>
      </c>
      <c r="C112" s="249" t="e">
        <f>VLOOKUP(D112,#REF!,2,0)</f>
        <v>#REF!</v>
      </c>
      <c r="D112" s="29" t="s">
        <v>563</v>
      </c>
      <c r="E112" s="18" t="e">
        <f>VLOOKUP(C112,数据集标准分类!E:F,2,0)</f>
        <v>#REF!</v>
      </c>
      <c r="F112" s="29" t="e">
        <f>VLOOKUP(D112,数据集标准分类!G:H,2,0)</f>
        <v>#N/A</v>
      </c>
      <c r="G112" s="29" t="s">
        <v>603</v>
      </c>
      <c r="H112" s="29" t="s">
        <v>604</v>
      </c>
      <c r="I112" s="29" t="s">
        <v>605</v>
      </c>
      <c r="J112" s="29" t="s">
        <v>606</v>
      </c>
      <c r="K112" s="29" t="s">
        <v>607</v>
      </c>
      <c r="L112" s="250">
        <v>19</v>
      </c>
      <c r="M112" s="251"/>
    </row>
    <row r="113" ht="31" spans="1:13">
      <c r="A113" s="248" t="s">
        <v>4175</v>
      </c>
      <c r="B113" s="45" t="s">
        <v>4174</v>
      </c>
      <c r="C113" s="249" t="e">
        <f>VLOOKUP(D113,#REF!,2,0)</f>
        <v>#REF!</v>
      </c>
      <c r="D113" s="29" t="s">
        <v>563</v>
      </c>
      <c r="E113" s="18" t="e">
        <f>VLOOKUP(C113,数据集标准分类!E:F,2,0)</f>
        <v>#REF!</v>
      </c>
      <c r="F113" s="29" t="e">
        <f>VLOOKUP(D113,数据集标准分类!G:H,2,0)</f>
        <v>#N/A</v>
      </c>
      <c r="G113" s="29" t="s">
        <v>608</v>
      </c>
      <c r="H113" s="29" t="s">
        <v>609</v>
      </c>
      <c r="I113" s="29" t="s">
        <v>610</v>
      </c>
      <c r="J113" s="29" t="s">
        <v>611</v>
      </c>
      <c r="K113" s="29" t="s">
        <v>612</v>
      </c>
      <c r="L113" s="250">
        <v>20</v>
      </c>
      <c r="M113" s="251"/>
    </row>
    <row r="114" ht="31" spans="1:13">
      <c r="A114" s="248" t="s">
        <v>4175</v>
      </c>
      <c r="B114" s="45" t="s">
        <v>4174</v>
      </c>
      <c r="C114" s="249" t="e">
        <f>VLOOKUP(D114,#REF!,2,0)</f>
        <v>#REF!</v>
      </c>
      <c r="D114" s="29" t="s">
        <v>563</v>
      </c>
      <c r="E114" s="18" t="e">
        <f>VLOOKUP(C114,数据集标准分类!E:F,2,0)</f>
        <v>#REF!</v>
      </c>
      <c r="F114" s="29" t="e">
        <f>VLOOKUP(D114,数据集标准分类!G:H,2,0)</f>
        <v>#N/A</v>
      </c>
      <c r="G114" s="29" t="s">
        <v>613</v>
      </c>
      <c r="H114" s="29" t="s">
        <v>614</v>
      </c>
      <c r="I114" s="29" t="s">
        <v>615</v>
      </c>
      <c r="J114" s="29" t="s">
        <v>616</v>
      </c>
      <c r="K114" s="29" t="s">
        <v>617</v>
      </c>
      <c r="L114" s="250">
        <v>21</v>
      </c>
      <c r="M114" s="251"/>
    </row>
    <row r="115" ht="31" spans="1:13">
      <c r="A115" s="248" t="s">
        <v>4175</v>
      </c>
      <c r="B115" s="45" t="s">
        <v>4174</v>
      </c>
      <c r="C115" s="249" t="e">
        <f>VLOOKUP(D115,#REF!,2,0)</f>
        <v>#REF!</v>
      </c>
      <c r="D115" s="29" t="s">
        <v>563</v>
      </c>
      <c r="E115" s="18" t="e">
        <f>VLOOKUP(C115,数据集标准分类!E:F,2,0)</f>
        <v>#REF!</v>
      </c>
      <c r="F115" s="29" t="e">
        <f>VLOOKUP(D115,数据集标准分类!G:H,2,0)</f>
        <v>#N/A</v>
      </c>
      <c r="G115" s="29" t="s">
        <v>618</v>
      </c>
      <c r="H115" s="29" t="s">
        <v>619</v>
      </c>
      <c r="I115" s="29" t="s">
        <v>620</v>
      </c>
      <c r="J115" s="29" t="s">
        <v>621</v>
      </c>
      <c r="K115" s="29" t="s">
        <v>622</v>
      </c>
      <c r="L115" s="250">
        <v>22</v>
      </c>
      <c r="M115" s="251"/>
    </row>
    <row r="116" ht="31" spans="1:13">
      <c r="A116" s="248" t="s">
        <v>4175</v>
      </c>
      <c r="B116" s="45" t="s">
        <v>4174</v>
      </c>
      <c r="C116" s="249" t="e">
        <f>VLOOKUP(D116,#REF!,2,0)</f>
        <v>#REF!</v>
      </c>
      <c r="D116" s="29" t="s">
        <v>563</v>
      </c>
      <c r="E116" s="18" t="e">
        <f>VLOOKUP(C116,数据集标准分类!E:F,2,0)</f>
        <v>#REF!</v>
      </c>
      <c r="F116" s="29" t="e">
        <f>VLOOKUP(D116,数据集标准分类!G:H,2,0)</f>
        <v>#N/A</v>
      </c>
      <c r="G116" s="29" t="s">
        <v>623</v>
      </c>
      <c r="H116" s="29" t="s">
        <v>624</v>
      </c>
      <c r="I116" s="29" t="s">
        <v>625</v>
      </c>
      <c r="J116" s="29" t="s">
        <v>626</v>
      </c>
      <c r="K116" s="29" t="s">
        <v>627</v>
      </c>
      <c r="L116" s="250">
        <v>23</v>
      </c>
      <c r="M116" s="251"/>
    </row>
    <row r="117" ht="46" spans="1:13">
      <c r="A117" s="248" t="s">
        <v>4175</v>
      </c>
      <c r="B117" s="45" t="s">
        <v>4174</v>
      </c>
      <c r="C117" s="249" t="e">
        <f>VLOOKUP(D117,#REF!,2,0)</f>
        <v>#REF!</v>
      </c>
      <c r="D117" s="29" t="s">
        <v>563</v>
      </c>
      <c r="E117" s="18" t="e">
        <f>VLOOKUP(C117,数据集标准分类!E:F,2,0)</f>
        <v>#REF!</v>
      </c>
      <c r="F117" s="29" t="e">
        <f>VLOOKUP(D117,数据集标准分类!G:H,2,0)</f>
        <v>#N/A</v>
      </c>
      <c r="G117" s="29" t="s">
        <v>628</v>
      </c>
      <c r="H117" s="29" t="s">
        <v>629</v>
      </c>
      <c r="I117" s="29" t="s">
        <v>630</v>
      </c>
      <c r="J117" s="29" t="s">
        <v>631</v>
      </c>
      <c r="K117" s="29" t="s">
        <v>632</v>
      </c>
      <c r="L117" s="250">
        <v>24</v>
      </c>
      <c r="M117" s="251"/>
    </row>
    <row r="118" ht="61" spans="1:13">
      <c r="A118" s="248" t="s">
        <v>4175</v>
      </c>
      <c r="B118" s="45" t="s">
        <v>4174</v>
      </c>
      <c r="C118" s="249" t="e">
        <f>VLOOKUP(D118,#REF!,2,0)</f>
        <v>#REF!</v>
      </c>
      <c r="D118" s="29" t="s">
        <v>563</v>
      </c>
      <c r="E118" s="18" t="e">
        <f>VLOOKUP(C118,数据集标准分类!E:F,2,0)</f>
        <v>#REF!</v>
      </c>
      <c r="F118" s="29" t="e">
        <f>VLOOKUP(D118,数据集标准分类!G:H,2,0)</f>
        <v>#N/A</v>
      </c>
      <c r="G118" s="29" t="s">
        <v>633</v>
      </c>
      <c r="H118" s="29" t="s">
        <v>634</v>
      </c>
      <c r="I118" s="29" t="s">
        <v>635</v>
      </c>
      <c r="J118" s="29" t="s">
        <v>636</v>
      </c>
      <c r="K118" s="29" t="s">
        <v>637</v>
      </c>
      <c r="L118" s="250">
        <v>25</v>
      </c>
      <c r="M118" s="251"/>
    </row>
    <row r="119" ht="31" spans="1:13">
      <c r="A119" s="248" t="s">
        <v>4175</v>
      </c>
      <c r="B119" s="45" t="s">
        <v>4174</v>
      </c>
      <c r="C119" s="249" t="e">
        <f>VLOOKUP(D119,#REF!,2,0)</f>
        <v>#REF!</v>
      </c>
      <c r="D119" s="29" t="s">
        <v>563</v>
      </c>
      <c r="E119" s="18" t="e">
        <f>VLOOKUP(C119,数据集标准分类!E:F,2,0)</f>
        <v>#REF!</v>
      </c>
      <c r="F119" s="29" t="e">
        <f>VLOOKUP(D119,数据集标准分类!G:H,2,0)</f>
        <v>#N/A</v>
      </c>
      <c r="G119" s="29" t="s">
        <v>638</v>
      </c>
      <c r="H119" s="29" t="s">
        <v>639</v>
      </c>
      <c r="I119" s="29" t="s">
        <v>640</v>
      </c>
      <c r="J119" s="29" t="s">
        <v>641</v>
      </c>
      <c r="K119" s="29" t="s">
        <v>642</v>
      </c>
      <c r="L119" s="250">
        <v>26</v>
      </c>
      <c r="M119" s="251"/>
    </row>
    <row r="120" ht="48" customHeight="1" spans="1:13">
      <c r="A120" s="248" t="s">
        <v>4175</v>
      </c>
      <c r="B120" s="45" t="s">
        <v>4174</v>
      </c>
      <c r="C120" s="249" t="e">
        <f>VLOOKUP(D120,#REF!,2,0)</f>
        <v>#REF!</v>
      </c>
      <c r="D120" s="29" t="s">
        <v>563</v>
      </c>
      <c r="E120" s="18" t="e">
        <f>VLOOKUP(C120,数据集标准分类!E:F,2,0)</f>
        <v>#REF!</v>
      </c>
      <c r="F120" s="29" t="e">
        <f>VLOOKUP(D120,数据集标准分类!G:H,2,0)</f>
        <v>#N/A</v>
      </c>
      <c r="G120" s="29" t="s">
        <v>643</v>
      </c>
      <c r="H120" s="29" t="s">
        <v>644</v>
      </c>
      <c r="I120" s="29" t="s">
        <v>645</v>
      </c>
      <c r="J120" s="29" t="s">
        <v>646</v>
      </c>
      <c r="K120" s="29" t="s">
        <v>647</v>
      </c>
      <c r="L120" s="250">
        <v>27</v>
      </c>
      <c r="M120" s="251"/>
    </row>
    <row r="121" ht="61" spans="1:13">
      <c r="A121" s="248" t="s">
        <v>4175</v>
      </c>
      <c r="B121" s="45" t="s">
        <v>4174</v>
      </c>
      <c r="C121" s="249" t="e">
        <f>VLOOKUP(D121,#REF!,2,0)</f>
        <v>#REF!</v>
      </c>
      <c r="D121" s="29" t="s">
        <v>563</v>
      </c>
      <c r="E121" s="18" t="e">
        <f>VLOOKUP(C121,数据集标准分类!E:F,2,0)</f>
        <v>#REF!</v>
      </c>
      <c r="F121" s="29" t="e">
        <f>VLOOKUP(D121,数据集标准分类!G:H,2,0)</f>
        <v>#N/A</v>
      </c>
      <c r="G121" s="29" t="s">
        <v>648</v>
      </c>
      <c r="H121" s="29" t="s">
        <v>649</v>
      </c>
      <c r="I121" s="29" t="s">
        <v>650</v>
      </c>
      <c r="J121" s="29" t="s">
        <v>651</v>
      </c>
      <c r="K121" s="29" t="s">
        <v>652</v>
      </c>
      <c r="L121" s="250">
        <v>28</v>
      </c>
      <c r="M121" s="251"/>
    </row>
    <row r="122" ht="122" spans="1:13">
      <c r="A122" s="248" t="s">
        <v>4175</v>
      </c>
      <c r="B122" s="45" t="s">
        <v>4174</v>
      </c>
      <c r="C122" s="249" t="e">
        <f>VLOOKUP(D122,#REF!,2,0)</f>
        <v>#REF!</v>
      </c>
      <c r="D122" s="29" t="s">
        <v>563</v>
      </c>
      <c r="E122" s="18" t="e">
        <f>VLOOKUP(C122,数据集标准分类!E:F,2,0)</f>
        <v>#REF!</v>
      </c>
      <c r="F122" s="29" t="e">
        <f>VLOOKUP(D122,数据集标准分类!G:H,2,0)</f>
        <v>#N/A</v>
      </c>
      <c r="G122" s="29" t="s">
        <v>441</v>
      </c>
      <c r="H122" s="29" t="s">
        <v>442</v>
      </c>
      <c r="I122" s="29" t="s">
        <v>443</v>
      </c>
      <c r="J122" s="29" t="s">
        <v>444</v>
      </c>
      <c r="K122" s="29" t="s">
        <v>653</v>
      </c>
      <c r="L122" s="250">
        <v>29</v>
      </c>
      <c r="M122" s="251"/>
    </row>
    <row r="123" ht="46" spans="1:13">
      <c r="A123" s="248" t="s">
        <v>4175</v>
      </c>
      <c r="B123" s="45" t="s">
        <v>4174</v>
      </c>
      <c r="C123" s="249" t="e">
        <f>VLOOKUP(D123,#REF!,2,0)</f>
        <v>#REF!</v>
      </c>
      <c r="D123" s="29" t="s">
        <v>563</v>
      </c>
      <c r="E123" s="18" t="e">
        <f>VLOOKUP(C123,数据集标准分类!E:F,2,0)</f>
        <v>#REF!</v>
      </c>
      <c r="F123" s="29" t="e">
        <f>VLOOKUP(D123,数据集标准分类!G:H,2,0)</f>
        <v>#N/A</v>
      </c>
      <c r="G123" s="29" t="s">
        <v>446</v>
      </c>
      <c r="H123" s="29" t="s">
        <v>447</v>
      </c>
      <c r="I123" s="29" t="s">
        <v>448</v>
      </c>
      <c r="J123" s="29" t="s">
        <v>449</v>
      </c>
      <c r="K123" s="29" t="s">
        <v>654</v>
      </c>
      <c r="L123" s="250">
        <v>30</v>
      </c>
      <c r="M123" s="251"/>
    </row>
    <row r="124" ht="76" spans="1:13">
      <c r="A124" s="248" t="s">
        <v>4175</v>
      </c>
      <c r="B124" s="45" t="s">
        <v>4174</v>
      </c>
      <c r="C124" s="249" t="e">
        <f>VLOOKUP(D124,#REF!,2,0)</f>
        <v>#REF!</v>
      </c>
      <c r="D124" s="29" t="s">
        <v>563</v>
      </c>
      <c r="E124" s="18" t="e">
        <f>VLOOKUP(C124,数据集标准分类!E:F,2,0)</f>
        <v>#REF!</v>
      </c>
      <c r="F124" s="29" t="e">
        <f>VLOOKUP(D124,数据集标准分类!G:H,2,0)</f>
        <v>#N/A</v>
      </c>
      <c r="G124" s="29" t="s">
        <v>451</v>
      </c>
      <c r="H124" s="29" t="s">
        <v>452</v>
      </c>
      <c r="I124" s="29" t="s">
        <v>453</v>
      </c>
      <c r="J124" s="29" t="s">
        <v>454</v>
      </c>
      <c r="K124" s="29" t="s">
        <v>655</v>
      </c>
      <c r="L124" s="250">
        <v>31</v>
      </c>
      <c r="M124" s="251"/>
    </row>
    <row r="125" ht="61" spans="1:13">
      <c r="A125" s="248" t="s">
        <v>4175</v>
      </c>
      <c r="B125" s="45" t="s">
        <v>4174</v>
      </c>
      <c r="C125" s="249" t="e">
        <f>VLOOKUP(D125,#REF!,2,0)</f>
        <v>#REF!</v>
      </c>
      <c r="D125" s="29" t="s">
        <v>563</v>
      </c>
      <c r="E125" s="18" t="e">
        <f>VLOOKUP(C125,数据集标准分类!E:F,2,0)</f>
        <v>#REF!</v>
      </c>
      <c r="F125" s="29" t="e">
        <f>VLOOKUP(D125,数据集标准分类!G:H,2,0)</f>
        <v>#N/A</v>
      </c>
      <c r="G125" s="29" t="s">
        <v>456</v>
      </c>
      <c r="H125" s="29" t="s">
        <v>457</v>
      </c>
      <c r="I125" s="29" t="s">
        <v>458</v>
      </c>
      <c r="J125" s="29" t="s">
        <v>459</v>
      </c>
      <c r="K125" s="29" t="s">
        <v>460</v>
      </c>
      <c r="L125" s="250">
        <v>32</v>
      </c>
      <c r="M125" s="251"/>
    </row>
    <row r="126" ht="46" spans="1:13">
      <c r="A126" s="248" t="s">
        <v>4175</v>
      </c>
      <c r="B126" s="45" t="s">
        <v>4174</v>
      </c>
      <c r="C126" s="249" t="e">
        <f>VLOOKUP(D126,#REF!,2,0)</f>
        <v>#REF!</v>
      </c>
      <c r="D126" s="29" t="s">
        <v>563</v>
      </c>
      <c r="E126" s="18" t="e">
        <f>VLOOKUP(C126,数据集标准分类!E:F,2,0)</f>
        <v>#REF!</v>
      </c>
      <c r="F126" s="29" t="e">
        <f>VLOOKUP(D126,数据集标准分类!G:H,2,0)</f>
        <v>#N/A</v>
      </c>
      <c r="G126" s="29" t="s">
        <v>187</v>
      </c>
      <c r="H126" s="29" t="s">
        <v>188</v>
      </c>
      <c r="I126" s="29" t="s">
        <v>189</v>
      </c>
      <c r="J126" s="29" t="s">
        <v>190</v>
      </c>
      <c r="K126" s="29" t="s">
        <v>656</v>
      </c>
      <c r="L126" s="250">
        <v>33</v>
      </c>
      <c r="M126" s="251"/>
    </row>
    <row r="127" ht="76" spans="1:13">
      <c r="A127" s="248" t="s">
        <v>4175</v>
      </c>
      <c r="B127" s="45" t="s">
        <v>4174</v>
      </c>
      <c r="C127" s="249" t="e">
        <f>VLOOKUP(D127,#REF!,2,0)</f>
        <v>#REF!</v>
      </c>
      <c r="D127" s="29" t="s">
        <v>563</v>
      </c>
      <c r="E127" s="18" t="e">
        <f>VLOOKUP(C127,数据集标准分类!E:F,2,0)</f>
        <v>#REF!</v>
      </c>
      <c r="F127" s="29" t="e">
        <f>VLOOKUP(D127,数据集标准分类!G:H,2,0)</f>
        <v>#N/A</v>
      </c>
      <c r="G127" s="29" t="s">
        <v>657</v>
      </c>
      <c r="H127" s="29" t="s">
        <v>658</v>
      </c>
      <c r="I127" s="29" t="s">
        <v>659</v>
      </c>
      <c r="J127" s="29" t="s">
        <v>660</v>
      </c>
      <c r="K127" s="29" t="s">
        <v>661</v>
      </c>
      <c r="L127" s="250">
        <v>34</v>
      </c>
      <c r="M127" s="251"/>
    </row>
    <row r="128" ht="31" spans="1:13">
      <c r="A128" s="248" t="s">
        <v>4175</v>
      </c>
      <c r="B128" s="45" t="s">
        <v>4174</v>
      </c>
      <c r="C128" s="249" t="e">
        <f>VLOOKUP(D128,#REF!,2,0)</f>
        <v>#REF!</v>
      </c>
      <c r="D128" s="29" t="s">
        <v>563</v>
      </c>
      <c r="E128" s="18" t="e">
        <f>VLOOKUP(C128,数据集标准分类!E:F,2,0)</f>
        <v>#REF!</v>
      </c>
      <c r="F128" s="29" t="e">
        <f>VLOOKUP(D128,数据集标准分类!G:H,2,0)</f>
        <v>#N/A</v>
      </c>
      <c r="G128" s="29" t="s">
        <v>467</v>
      </c>
      <c r="H128" s="29" t="s">
        <v>468</v>
      </c>
      <c r="I128" s="29" t="s">
        <v>469</v>
      </c>
      <c r="J128" s="29" t="s">
        <v>470</v>
      </c>
      <c r="K128" s="29" t="s">
        <v>471</v>
      </c>
      <c r="L128" s="250">
        <v>35</v>
      </c>
      <c r="M128" s="251"/>
    </row>
    <row r="129" ht="31" spans="1:13">
      <c r="A129" s="248" t="s">
        <v>4175</v>
      </c>
      <c r="B129" s="45" t="s">
        <v>4174</v>
      </c>
      <c r="C129" s="249" t="e">
        <f>VLOOKUP(D129,#REF!,2,0)</f>
        <v>#REF!</v>
      </c>
      <c r="D129" s="29" t="s">
        <v>563</v>
      </c>
      <c r="E129" s="18" t="e">
        <f>VLOOKUP(C129,数据集标准分类!E:F,2,0)</f>
        <v>#REF!</v>
      </c>
      <c r="F129" s="29" t="e">
        <f>VLOOKUP(D129,数据集标准分类!G:H,2,0)</f>
        <v>#N/A</v>
      </c>
      <c r="G129" s="29" t="s">
        <v>472</v>
      </c>
      <c r="H129" s="29" t="s">
        <v>473</v>
      </c>
      <c r="I129" s="29" t="s">
        <v>474</v>
      </c>
      <c r="J129" s="29" t="s">
        <v>475</v>
      </c>
      <c r="K129" s="29" t="s">
        <v>476</v>
      </c>
      <c r="L129" s="250">
        <v>36</v>
      </c>
      <c r="M129" s="251"/>
    </row>
    <row r="130" ht="46" spans="1:13">
      <c r="A130" s="248" t="s">
        <v>4175</v>
      </c>
      <c r="B130" s="45" t="s">
        <v>4174</v>
      </c>
      <c r="C130" s="249" t="e">
        <f>VLOOKUP(D130,#REF!,2,0)</f>
        <v>#REF!</v>
      </c>
      <c r="D130" s="29" t="s">
        <v>563</v>
      </c>
      <c r="E130" s="18" t="e">
        <f>VLOOKUP(C130,数据集标准分类!E:F,2,0)</f>
        <v>#REF!</v>
      </c>
      <c r="F130" s="29" t="e">
        <f>VLOOKUP(D130,数据集标准分类!G:H,2,0)</f>
        <v>#N/A</v>
      </c>
      <c r="G130" s="29" t="s">
        <v>477</v>
      </c>
      <c r="H130" s="29" t="s">
        <v>478</v>
      </c>
      <c r="I130" s="29" t="s">
        <v>479</v>
      </c>
      <c r="J130" s="29" t="s">
        <v>480</v>
      </c>
      <c r="K130" s="29" t="s">
        <v>481</v>
      </c>
      <c r="L130" s="250">
        <v>37</v>
      </c>
      <c r="M130" s="251"/>
    </row>
    <row r="131" ht="31" spans="1:13">
      <c r="A131" s="248" t="s">
        <v>4175</v>
      </c>
      <c r="B131" s="45" t="s">
        <v>4174</v>
      </c>
      <c r="C131" s="249" t="e">
        <f>VLOOKUP(D131,#REF!,2,0)</f>
        <v>#REF!</v>
      </c>
      <c r="D131" s="29" t="s">
        <v>563</v>
      </c>
      <c r="E131" s="18" t="e">
        <f>VLOOKUP(C131,数据集标准分类!E:F,2,0)</f>
        <v>#REF!</v>
      </c>
      <c r="F131" s="29" t="e">
        <f>VLOOKUP(D131,数据集标准分类!G:H,2,0)</f>
        <v>#N/A</v>
      </c>
      <c r="G131" s="29" t="s">
        <v>482</v>
      </c>
      <c r="H131" s="29" t="s">
        <v>483</v>
      </c>
      <c r="I131" s="29" t="s">
        <v>484</v>
      </c>
      <c r="J131" s="29" t="s">
        <v>485</v>
      </c>
      <c r="K131" s="29" t="s">
        <v>486</v>
      </c>
      <c r="L131" s="250">
        <v>38</v>
      </c>
      <c r="M131" s="251"/>
    </row>
    <row r="132" ht="31" spans="1:13">
      <c r="A132" s="248" t="s">
        <v>4175</v>
      </c>
      <c r="B132" s="45" t="s">
        <v>4174</v>
      </c>
      <c r="C132" s="249" t="e">
        <f>VLOOKUP(D132,#REF!,2,0)</f>
        <v>#REF!</v>
      </c>
      <c r="D132" s="29" t="s">
        <v>563</v>
      </c>
      <c r="E132" s="18" t="e">
        <f>VLOOKUP(C132,数据集标准分类!E:F,2,0)</f>
        <v>#REF!</v>
      </c>
      <c r="F132" s="29" t="e">
        <f>VLOOKUP(D132,数据集标准分类!G:H,2,0)</f>
        <v>#N/A</v>
      </c>
      <c r="G132" s="29" t="s">
        <v>345</v>
      </c>
      <c r="H132" s="29" t="s">
        <v>346</v>
      </c>
      <c r="I132" s="29" t="s">
        <v>347</v>
      </c>
      <c r="J132" s="29" t="s">
        <v>348</v>
      </c>
      <c r="K132" s="29" t="s">
        <v>349</v>
      </c>
      <c r="L132" s="250">
        <v>39</v>
      </c>
      <c r="M132" s="251"/>
    </row>
    <row r="133" ht="46" spans="1:13">
      <c r="A133" s="248" t="s">
        <v>4175</v>
      </c>
      <c r="B133" s="45" t="s">
        <v>4174</v>
      </c>
      <c r="C133" s="249" t="e">
        <f>VLOOKUP(D133,#REF!,2,0)</f>
        <v>#REF!</v>
      </c>
      <c r="D133" s="29" t="s">
        <v>563</v>
      </c>
      <c r="E133" s="18" t="e">
        <f>VLOOKUP(C133,数据集标准分类!E:F,2,0)</f>
        <v>#REF!</v>
      </c>
      <c r="F133" s="29" t="e">
        <f>VLOOKUP(D133,数据集标准分类!G:H,2,0)</f>
        <v>#N/A</v>
      </c>
      <c r="G133" s="29" t="s">
        <v>503</v>
      </c>
      <c r="H133" s="29" t="s">
        <v>504</v>
      </c>
      <c r="I133" s="29" t="s">
        <v>505</v>
      </c>
      <c r="J133" s="29" t="s">
        <v>506</v>
      </c>
      <c r="K133" s="29" t="s">
        <v>507</v>
      </c>
      <c r="L133" s="250">
        <v>40</v>
      </c>
      <c r="M133" s="251"/>
    </row>
    <row r="134" ht="46" spans="1:13">
      <c r="A134" s="248" t="s">
        <v>4175</v>
      </c>
      <c r="B134" s="45" t="s">
        <v>4174</v>
      </c>
      <c r="C134" s="249" t="e">
        <f>VLOOKUP(D134,#REF!,2,0)</f>
        <v>#REF!</v>
      </c>
      <c r="D134" s="29" t="s">
        <v>563</v>
      </c>
      <c r="E134" s="18" t="e">
        <f>VLOOKUP(C134,数据集标准分类!E:F,2,0)</f>
        <v>#REF!</v>
      </c>
      <c r="F134" s="29" t="e">
        <f>VLOOKUP(D134,数据集标准分类!G:H,2,0)</f>
        <v>#N/A</v>
      </c>
      <c r="G134" s="29" t="s">
        <v>508</v>
      </c>
      <c r="H134" s="29" t="s">
        <v>509</v>
      </c>
      <c r="I134" s="29" t="s">
        <v>510</v>
      </c>
      <c r="J134" s="29" t="s">
        <v>511</v>
      </c>
      <c r="K134" s="29" t="s">
        <v>512</v>
      </c>
      <c r="L134" s="250">
        <v>41</v>
      </c>
      <c r="M134" s="251"/>
    </row>
    <row r="135" ht="61" spans="1:13">
      <c r="A135" s="248" t="s">
        <v>4175</v>
      </c>
      <c r="B135" s="45" t="s">
        <v>4174</v>
      </c>
      <c r="C135" s="249" t="e">
        <f>VLOOKUP(D135,#REF!,2,0)</f>
        <v>#REF!</v>
      </c>
      <c r="D135" s="29" t="s">
        <v>563</v>
      </c>
      <c r="E135" s="18" t="e">
        <f>VLOOKUP(C135,数据集标准分类!E:F,2,0)</f>
        <v>#REF!</v>
      </c>
      <c r="F135" s="29" t="e">
        <f>VLOOKUP(D135,数据集标准分类!G:H,2,0)</f>
        <v>#N/A</v>
      </c>
      <c r="G135" s="29" t="s">
        <v>350</v>
      </c>
      <c r="H135" s="29" t="s">
        <v>351</v>
      </c>
      <c r="I135" s="29" t="s">
        <v>352</v>
      </c>
      <c r="J135" s="29" t="s">
        <v>353</v>
      </c>
      <c r="K135" s="29" t="s">
        <v>354</v>
      </c>
      <c r="L135" s="250">
        <v>42</v>
      </c>
      <c r="M135" s="251"/>
    </row>
    <row r="136" ht="61" spans="1:13">
      <c r="A136" s="248" t="s">
        <v>4175</v>
      </c>
      <c r="B136" s="45" t="s">
        <v>4174</v>
      </c>
      <c r="C136" s="249" t="e">
        <f>VLOOKUP(D136,#REF!,2,0)</f>
        <v>#REF!</v>
      </c>
      <c r="D136" s="29" t="s">
        <v>563</v>
      </c>
      <c r="E136" s="18" t="e">
        <f>VLOOKUP(C136,数据集标准分类!E:F,2,0)</f>
        <v>#REF!</v>
      </c>
      <c r="F136" s="29" t="e">
        <f>VLOOKUP(D136,数据集标准分类!G:H,2,0)</f>
        <v>#N/A</v>
      </c>
      <c r="G136" s="29" t="s">
        <v>77</v>
      </c>
      <c r="H136" s="29" t="s">
        <v>78</v>
      </c>
      <c r="I136" s="29" t="s">
        <v>79</v>
      </c>
      <c r="J136" s="29" t="s">
        <v>80</v>
      </c>
      <c r="K136" s="29" t="s">
        <v>310</v>
      </c>
      <c r="L136" s="250">
        <v>43</v>
      </c>
      <c r="M136" s="251"/>
    </row>
    <row r="137" ht="61" spans="1:13">
      <c r="A137" s="248" t="s">
        <v>4175</v>
      </c>
      <c r="B137" s="45" t="s">
        <v>4174</v>
      </c>
      <c r="C137" s="249" t="e">
        <f>VLOOKUP(D137,#REF!,2,0)</f>
        <v>#REF!</v>
      </c>
      <c r="D137" s="29" t="s">
        <v>563</v>
      </c>
      <c r="E137" s="18" t="e">
        <f>VLOOKUP(C137,数据集标准分类!E:F,2,0)</f>
        <v>#REF!</v>
      </c>
      <c r="F137" s="29" t="e">
        <f>VLOOKUP(D137,数据集标准分类!G:H,2,0)</f>
        <v>#N/A</v>
      </c>
      <c r="G137" s="29" t="s">
        <v>82</v>
      </c>
      <c r="H137" s="29" t="s">
        <v>83</v>
      </c>
      <c r="I137" s="29" t="s">
        <v>84</v>
      </c>
      <c r="J137" s="29" t="s">
        <v>85</v>
      </c>
      <c r="K137" s="29" t="s">
        <v>311</v>
      </c>
      <c r="L137" s="250">
        <v>44</v>
      </c>
      <c r="M137" s="251"/>
    </row>
    <row r="138" ht="46" spans="1:13">
      <c r="A138" s="248" t="s">
        <v>4175</v>
      </c>
      <c r="B138" s="45" t="s">
        <v>4174</v>
      </c>
      <c r="C138" s="249" t="e">
        <f>VLOOKUP(D138,#REF!,2,0)</f>
        <v>#REF!</v>
      </c>
      <c r="D138" s="29" t="s">
        <v>563</v>
      </c>
      <c r="E138" s="18" t="e">
        <f>VLOOKUP(C138,数据集标准分类!E:F,2,0)</f>
        <v>#REF!</v>
      </c>
      <c r="F138" s="29" t="e">
        <f>VLOOKUP(D138,数据集标准分类!G:H,2,0)</f>
        <v>#N/A</v>
      </c>
      <c r="G138" s="29" t="s">
        <v>192</v>
      </c>
      <c r="H138" s="29" t="s">
        <v>193</v>
      </c>
      <c r="I138" s="29" t="s">
        <v>194</v>
      </c>
      <c r="J138" s="29" t="s">
        <v>195</v>
      </c>
      <c r="K138" s="29" t="s">
        <v>385</v>
      </c>
      <c r="L138" s="250">
        <v>45</v>
      </c>
      <c r="M138" s="251"/>
    </row>
    <row r="139" ht="46" spans="1:13">
      <c r="A139" s="248" t="s">
        <v>4175</v>
      </c>
      <c r="B139" s="45" t="s">
        <v>4174</v>
      </c>
      <c r="C139" s="249" t="e">
        <f>VLOOKUP(D139,#REF!,2,0)</f>
        <v>#REF!</v>
      </c>
      <c r="D139" s="29" t="s">
        <v>563</v>
      </c>
      <c r="E139" s="18" t="e">
        <f>VLOOKUP(C139,数据集标准分类!E:F,2,0)</f>
        <v>#REF!</v>
      </c>
      <c r="F139" s="29" t="e">
        <f>VLOOKUP(D139,数据集标准分类!G:H,2,0)</f>
        <v>#N/A</v>
      </c>
      <c r="G139" s="29" t="s">
        <v>386</v>
      </c>
      <c r="H139" s="29" t="s">
        <v>387</v>
      </c>
      <c r="I139" s="29" t="s">
        <v>388</v>
      </c>
      <c r="J139" s="29" t="s">
        <v>389</v>
      </c>
      <c r="K139" s="29" t="s">
        <v>390</v>
      </c>
      <c r="L139" s="250">
        <v>46</v>
      </c>
      <c r="M139" s="251"/>
    </row>
    <row r="140" ht="61" spans="1:13">
      <c r="A140" s="248" t="s">
        <v>4175</v>
      </c>
      <c r="B140" s="45" t="s">
        <v>4174</v>
      </c>
      <c r="C140" s="249" t="e">
        <f>VLOOKUP(D140,#REF!,2,0)</f>
        <v>#REF!</v>
      </c>
      <c r="D140" s="29" t="s">
        <v>563</v>
      </c>
      <c r="E140" s="18" t="e">
        <f>VLOOKUP(C140,数据集标准分类!E:F,2,0)</f>
        <v>#REF!</v>
      </c>
      <c r="F140" s="29" t="e">
        <f>VLOOKUP(D140,数据集标准分类!G:H,2,0)</f>
        <v>#N/A</v>
      </c>
      <c r="G140" s="29" t="s">
        <v>391</v>
      </c>
      <c r="H140" s="29" t="s">
        <v>392</v>
      </c>
      <c r="I140" s="29" t="s">
        <v>393</v>
      </c>
      <c r="J140" s="29" t="s">
        <v>394</v>
      </c>
      <c r="K140" s="29" t="s">
        <v>395</v>
      </c>
      <c r="L140" s="250">
        <v>47</v>
      </c>
      <c r="M140" s="251"/>
    </row>
    <row r="141" ht="61" spans="1:13">
      <c r="A141" s="248" t="s">
        <v>4175</v>
      </c>
      <c r="B141" s="45" t="s">
        <v>4174</v>
      </c>
      <c r="C141" s="249" t="e">
        <f>VLOOKUP(D141,#REF!,2,0)</f>
        <v>#REF!</v>
      </c>
      <c r="D141" s="29" t="s">
        <v>563</v>
      </c>
      <c r="E141" s="18" t="e">
        <f>VLOOKUP(C141,数据集标准分类!E:F,2,0)</f>
        <v>#REF!</v>
      </c>
      <c r="F141" s="29" t="e">
        <f>VLOOKUP(D141,数据集标准分类!G:H,2,0)</f>
        <v>#N/A</v>
      </c>
      <c r="G141" s="29" t="s">
        <v>396</v>
      </c>
      <c r="H141" s="29" t="s">
        <v>397</v>
      </c>
      <c r="I141" s="29" t="s">
        <v>398</v>
      </c>
      <c r="J141" s="29" t="s">
        <v>399</v>
      </c>
      <c r="K141" s="29" t="s">
        <v>400</v>
      </c>
      <c r="L141" s="250">
        <v>48</v>
      </c>
      <c r="M141" s="251"/>
    </row>
    <row r="142" ht="46" spans="1:13">
      <c r="A142" s="248" t="s">
        <v>4175</v>
      </c>
      <c r="B142" s="45" t="s">
        <v>4174</v>
      </c>
      <c r="C142" s="249" t="e">
        <f>VLOOKUP(D142,#REF!,2,0)</f>
        <v>#REF!</v>
      </c>
      <c r="D142" s="29" t="s">
        <v>563</v>
      </c>
      <c r="E142" s="18" t="e">
        <f>VLOOKUP(C142,数据集标准分类!E:F,2,0)</f>
        <v>#REF!</v>
      </c>
      <c r="F142" s="29" t="e">
        <f>VLOOKUP(D142,数据集标准分类!G:H,2,0)</f>
        <v>#N/A</v>
      </c>
      <c r="G142" s="29" t="s">
        <v>245</v>
      </c>
      <c r="H142" s="29" t="s">
        <v>246</v>
      </c>
      <c r="I142" s="29" t="s">
        <v>247</v>
      </c>
      <c r="J142" s="29" t="s">
        <v>248</v>
      </c>
      <c r="K142" s="29" t="s">
        <v>249</v>
      </c>
      <c r="L142" s="250">
        <v>49</v>
      </c>
      <c r="M142" s="251"/>
    </row>
    <row r="143" ht="61" spans="1:13">
      <c r="A143" s="248" t="s">
        <v>4175</v>
      </c>
      <c r="B143" s="45" t="s">
        <v>4174</v>
      </c>
      <c r="C143" s="249" t="e">
        <f>VLOOKUP(D143,#REF!,2,0)</f>
        <v>#REF!</v>
      </c>
      <c r="D143" s="29" t="s">
        <v>563</v>
      </c>
      <c r="E143" s="18" t="e">
        <f>VLOOKUP(C143,数据集标准分类!E:F,2,0)</f>
        <v>#REF!</v>
      </c>
      <c r="F143" s="29" t="e">
        <f>VLOOKUP(D143,数据集标准分类!G:H,2,0)</f>
        <v>#N/A</v>
      </c>
      <c r="G143" s="29" t="s">
        <v>401</v>
      </c>
      <c r="H143" s="29" t="s">
        <v>402</v>
      </c>
      <c r="I143" s="29" t="s">
        <v>403</v>
      </c>
      <c r="J143" s="29" t="s">
        <v>404</v>
      </c>
      <c r="K143" s="29" t="s">
        <v>405</v>
      </c>
      <c r="L143" s="250">
        <v>50</v>
      </c>
      <c r="M143" s="251"/>
    </row>
    <row r="144" ht="61" spans="1:13">
      <c r="A144" s="248" t="s">
        <v>4175</v>
      </c>
      <c r="B144" s="45" t="s">
        <v>4174</v>
      </c>
      <c r="C144" s="249" t="e">
        <f>VLOOKUP(D144,#REF!,2,0)</f>
        <v>#REF!</v>
      </c>
      <c r="D144" s="29" t="s">
        <v>563</v>
      </c>
      <c r="E144" s="18" t="e">
        <f>VLOOKUP(C144,数据集标准分类!E:F,2,0)</f>
        <v>#REF!</v>
      </c>
      <c r="F144" s="29" t="e">
        <f>VLOOKUP(D144,数据集标准分类!G:H,2,0)</f>
        <v>#N/A</v>
      </c>
      <c r="G144" s="29" t="s">
        <v>406</v>
      </c>
      <c r="H144" s="29" t="s">
        <v>407</v>
      </c>
      <c r="I144" s="29" t="s">
        <v>408</v>
      </c>
      <c r="J144" s="29" t="s">
        <v>409</v>
      </c>
      <c r="K144" s="29" t="s">
        <v>410</v>
      </c>
      <c r="L144" s="250">
        <v>51</v>
      </c>
      <c r="M144" s="251"/>
    </row>
    <row r="145" ht="31" spans="1:13">
      <c r="A145" s="248" t="s">
        <v>4175</v>
      </c>
      <c r="B145" s="45" t="s">
        <v>4174</v>
      </c>
      <c r="C145" s="249" t="e">
        <f>VLOOKUP(D145,#REF!,2,0)</f>
        <v>#REF!</v>
      </c>
      <c r="D145" s="29" t="s">
        <v>563</v>
      </c>
      <c r="E145" s="18" t="e">
        <f>VLOOKUP(C145,数据集标准分类!E:F,2,0)</f>
        <v>#REF!</v>
      </c>
      <c r="F145" s="29" t="e">
        <f>VLOOKUP(D145,数据集标准分类!G:H,2,0)</f>
        <v>#N/A</v>
      </c>
      <c r="G145" s="29" t="s">
        <v>411</v>
      </c>
      <c r="H145" s="29" t="s">
        <v>412</v>
      </c>
      <c r="I145" s="29" t="s">
        <v>413</v>
      </c>
      <c r="J145" s="29" t="s">
        <v>414</v>
      </c>
      <c r="K145" s="29" t="s">
        <v>415</v>
      </c>
      <c r="L145" s="250">
        <v>52</v>
      </c>
      <c r="M145" s="251"/>
    </row>
    <row r="146" ht="31" spans="1:13">
      <c r="A146" s="248" t="s">
        <v>4175</v>
      </c>
      <c r="B146" s="45" t="s">
        <v>4174</v>
      </c>
      <c r="C146" s="249" t="e">
        <f>VLOOKUP(D146,#REF!,2,0)</f>
        <v>#REF!</v>
      </c>
      <c r="D146" s="29" t="s">
        <v>563</v>
      </c>
      <c r="E146" s="18" t="e">
        <f>VLOOKUP(C146,数据集标准分类!E:F,2,0)</f>
        <v>#REF!</v>
      </c>
      <c r="F146" s="29" t="e">
        <f>VLOOKUP(D146,数据集标准分类!G:H,2,0)</f>
        <v>#N/A</v>
      </c>
      <c r="G146" s="29" t="s">
        <v>416</v>
      </c>
      <c r="H146" s="29" t="s">
        <v>417</v>
      </c>
      <c r="I146" s="29" t="s">
        <v>418</v>
      </c>
      <c r="J146" s="29" t="s">
        <v>419</v>
      </c>
      <c r="K146" s="29" t="s">
        <v>420</v>
      </c>
      <c r="L146" s="250">
        <v>53</v>
      </c>
      <c r="M146" s="251"/>
    </row>
    <row r="147" ht="46" spans="1:13">
      <c r="A147" s="248" t="s">
        <v>4175</v>
      </c>
      <c r="B147" s="45" t="s">
        <v>4174</v>
      </c>
      <c r="C147" s="249" t="e">
        <f>VLOOKUP(D147,#REF!,2,0)</f>
        <v>#REF!</v>
      </c>
      <c r="D147" s="29" t="s">
        <v>563</v>
      </c>
      <c r="E147" s="18" t="e">
        <f>VLOOKUP(C147,数据集标准分类!E:F,2,0)</f>
        <v>#REF!</v>
      </c>
      <c r="F147" s="29" t="e">
        <f>VLOOKUP(D147,数据集标准分类!G:H,2,0)</f>
        <v>#N/A</v>
      </c>
      <c r="G147" s="29" t="s">
        <v>421</v>
      </c>
      <c r="H147" s="29" t="s">
        <v>422</v>
      </c>
      <c r="I147" s="29" t="s">
        <v>423</v>
      </c>
      <c r="J147" s="29" t="s">
        <v>424</v>
      </c>
      <c r="K147" s="29" t="s">
        <v>425</v>
      </c>
      <c r="L147" s="250">
        <v>54</v>
      </c>
      <c r="M147" s="251"/>
    </row>
    <row r="148" ht="46" spans="1:13">
      <c r="A148" s="248" t="s">
        <v>4175</v>
      </c>
      <c r="B148" s="45" t="s">
        <v>4174</v>
      </c>
      <c r="C148" s="249" t="e">
        <f>VLOOKUP(D148,#REF!,2,0)</f>
        <v>#REF!</v>
      </c>
      <c r="D148" s="29" t="s">
        <v>563</v>
      </c>
      <c r="E148" s="18" t="e">
        <f>VLOOKUP(C148,数据集标准分类!E:F,2,0)</f>
        <v>#REF!</v>
      </c>
      <c r="F148" s="29" t="e">
        <f>VLOOKUP(D148,数据集标准分类!G:H,2,0)</f>
        <v>#N/A</v>
      </c>
      <c r="G148" s="29" t="s">
        <v>426</v>
      </c>
      <c r="H148" s="29" t="s">
        <v>427</v>
      </c>
      <c r="I148" s="29" t="s">
        <v>428</v>
      </c>
      <c r="J148" s="29" t="s">
        <v>429</v>
      </c>
      <c r="K148" s="29" t="s">
        <v>430</v>
      </c>
      <c r="L148" s="250">
        <v>55</v>
      </c>
      <c r="M148" s="251"/>
    </row>
    <row r="149" ht="31" spans="1:13">
      <c r="A149" s="248" t="s">
        <v>4175</v>
      </c>
      <c r="B149" s="45" t="s">
        <v>4174</v>
      </c>
      <c r="C149" s="249" t="e">
        <f>VLOOKUP(D149,#REF!,2,0)</f>
        <v>#REF!</v>
      </c>
      <c r="D149" s="29" t="s">
        <v>563</v>
      </c>
      <c r="E149" s="18" t="e">
        <f>VLOOKUP(C149,数据集标准分类!E:F,2,0)</f>
        <v>#REF!</v>
      </c>
      <c r="F149" s="29" t="e">
        <f>VLOOKUP(D149,数据集标准分类!G:H,2,0)</f>
        <v>#N/A</v>
      </c>
      <c r="G149" s="29" t="s">
        <v>355</v>
      </c>
      <c r="H149" s="29" t="s">
        <v>356</v>
      </c>
      <c r="I149" s="29" t="s">
        <v>357</v>
      </c>
      <c r="J149" s="29" t="s">
        <v>358</v>
      </c>
      <c r="K149" s="29" t="s">
        <v>359</v>
      </c>
      <c r="L149" s="250">
        <v>56</v>
      </c>
      <c r="M149" s="251"/>
    </row>
    <row r="150" ht="46" spans="1:13">
      <c r="A150" s="248" t="s">
        <v>4175</v>
      </c>
      <c r="B150" s="45" t="s">
        <v>4174</v>
      </c>
      <c r="C150" s="249" t="e">
        <f>VLOOKUP(D150,#REF!,2,0)</f>
        <v>#REF!</v>
      </c>
      <c r="D150" s="29" t="s">
        <v>563</v>
      </c>
      <c r="E150" s="18" t="e">
        <f>VLOOKUP(C150,数据集标准分类!E:F,2,0)</f>
        <v>#REF!</v>
      </c>
      <c r="F150" s="29" t="e">
        <f>VLOOKUP(D150,数据集标准分类!G:H,2,0)</f>
        <v>#N/A</v>
      </c>
      <c r="G150" s="29" t="s">
        <v>513</v>
      </c>
      <c r="H150" s="29" t="s">
        <v>514</v>
      </c>
      <c r="I150" s="29" t="s">
        <v>515</v>
      </c>
      <c r="J150" s="29" t="s">
        <v>516</v>
      </c>
      <c r="K150" s="29" t="s">
        <v>517</v>
      </c>
      <c r="L150" s="250">
        <v>57</v>
      </c>
      <c r="M150" s="251"/>
    </row>
    <row r="151" ht="31" spans="1:13">
      <c r="A151" s="248" t="s">
        <v>4175</v>
      </c>
      <c r="B151" s="45" t="s">
        <v>4174</v>
      </c>
      <c r="C151" s="249" t="e">
        <f>VLOOKUP(D151,#REF!,2,0)</f>
        <v>#REF!</v>
      </c>
      <c r="D151" s="29" t="s">
        <v>563</v>
      </c>
      <c r="E151" s="18" t="e">
        <f>VLOOKUP(C151,数据集标准分类!E:F,2,0)</f>
        <v>#REF!</v>
      </c>
      <c r="F151" s="29" t="e">
        <f>VLOOKUP(D151,数据集标准分类!G:H,2,0)</f>
        <v>#N/A</v>
      </c>
      <c r="G151" s="29" t="s">
        <v>518</v>
      </c>
      <c r="H151" s="29" t="s">
        <v>519</v>
      </c>
      <c r="I151" s="29" t="s">
        <v>520</v>
      </c>
      <c r="J151" s="29" t="s">
        <v>521</v>
      </c>
      <c r="K151" s="29" t="s">
        <v>522</v>
      </c>
      <c r="L151" s="250">
        <v>58</v>
      </c>
      <c r="M151" s="251"/>
    </row>
    <row r="152" customHeight="1" spans="1:13">
      <c r="A152" s="248" t="s">
        <v>4175</v>
      </c>
      <c r="B152" s="45" t="s">
        <v>4174</v>
      </c>
      <c r="C152" s="249" t="e">
        <f>VLOOKUP(D152,#REF!,2,0)</f>
        <v>#REF!</v>
      </c>
      <c r="D152" s="29" t="s">
        <v>563</v>
      </c>
      <c r="E152" s="18" t="e">
        <f>VLOOKUP(C152,数据集标准分类!E:F,2,0)</f>
        <v>#REF!</v>
      </c>
      <c r="F152" s="29" t="e">
        <f>VLOOKUP(D152,数据集标准分类!G:H,2,0)</f>
        <v>#N/A</v>
      </c>
      <c r="G152" s="29" t="s">
        <v>523</v>
      </c>
      <c r="H152" s="29" t="s">
        <v>524</v>
      </c>
      <c r="I152" s="29" t="s">
        <v>525</v>
      </c>
      <c r="J152" s="29" t="s">
        <v>526</v>
      </c>
      <c r="K152" s="29" t="s">
        <v>527</v>
      </c>
      <c r="L152" s="250">
        <v>59</v>
      </c>
      <c r="M152" s="251"/>
    </row>
    <row r="153" ht="31" spans="1:13">
      <c r="A153" s="248" t="s">
        <v>4175</v>
      </c>
      <c r="B153" s="45" t="s">
        <v>4174</v>
      </c>
      <c r="C153" s="249" t="e">
        <f>VLOOKUP(D153,#REF!,2,0)</f>
        <v>#REF!</v>
      </c>
      <c r="D153" s="29" t="s">
        <v>563</v>
      </c>
      <c r="E153" s="18" t="e">
        <f>VLOOKUP(C153,数据集标准分类!E:F,2,0)</f>
        <v>#REF!</v>
      </c>
      <c r="F153" s="29" t="e">
        <f>VLOOKUP(D153,数据集标准分类!G:H,2,0)</f>
        <v>#N/A</v>
      </c>
      <c r="G153" s="29" t="s">
        <v>528</v>
      </c>
      <c r="H153" s="29" t="s">
        <v>529</v>
      </c>
      <c r="I153" s="29" t="s">
        <v>530</v>
      </c>
      <c r="J153" s="29" t="s">
        <v>531</v>
      </c>
      <c r="K153" s="29" t="s">
        <v>532</v>
      </c>
      <c r="L153" s="250">
        <v>60</v>
      </c>
      <c r="M153" s="251"/>
    </row>
    <row r="154" ht="31" spans="1:13">
      <c r="A154" s="248" t="s">
        <v>4175</v>
      </c>
      <c r="B154" s="45" t="s">
        <v>4174</v>
      </c>
      <c r="C154" s="249" t="e">
        <f>VLOOKUP(D154,#REF!,2,0)</f>
        <v>#REF!</v>
      </c>
      <c r="D154" s="29" t="s">
        <v>563</v>
      </c>
      <c r="E154" s="18" t="e">
        <f>VLOOKUP(C154,数据集标准分类!E:F,2,0)</f>
        <v>#REF!</v>
      </c>
      <c r="F154" s="29" t="e">
        <f>VLOOKUP(D154,数据集标准分类!G:H,2,0)</f>
        <v>#N/A</v>
      </c>
      <c r="G154" s="29" t="s">
        <v>533</v>
      </c>
      <c r="H154" s="29" t="s">
        <v>534</v>
      </c>
      <c r="I154" s="29" t="s">
        <v>535</v>
      </c>
      <c r="J154" s="29" t="s">
        <v>536</v>
      </c>
      <c r="K154" s="29" t="s">
        <v>537</v>
      </c>
      <c r="L154" s="250">
        <v>61</v>
      </c>
      <c r="M154" s="251"/>
    </row>
    <row r="155" ht="31" spans="1:13">
      <c r="A155" s="248" t="s">
        <v>4175</v>
      </c>
      <c r="B155" s="45" t="s">
        <v>4174</v>
      </c>
      <c r="C155" s="249" t="e">
        <f>VLOOKUP(D155,#REF!,2,0)</f>
        <v>#REF!</v>
      </c>
      <c r="D155" s="29" t="s">
        <v>563</v>
      </c>
      <c r="E155" s="18" t="e">
        <f>VLOOKUP(C155,数据集标准分类!E:F,2,0)</f>
        <v>#REF!</v>
      </c>
      <c r="F155" s="29" t="e">
        <f>VLOOKUP(D155,数据集标准分类!G:H,2,0)</f>
        <v>#N/A</v>
      </c>
      <c r="G155" s="29" t="s">
        <v>538</v>
      </c>
      <c r="H155" s="29" t="s">
        <v>539</v>
      </c>
      <c r="I155" s="29" t="s">
        <v>540</v>
      </c>
      <c r="J155" s="29" t="s">
        <v>541</v>
      </c>
      <c r="K155" s="29" t="s">
        <v>542</v>
      </c>
      <c r="L155" s="250">
        <v>62</v>
      </c>
      <c r="M155" s="251"/>
    </row>
    <row r="156" ht="31" spans="1:13">
      <c r="A156" s="248" t="s">
        <v>4175</v>
      </c>
      <c r="B156" s="45" t="s">
        <v>4174</v>
      </c>
      <c r="C156" s="249" t="e">
        <f>VLOOKUP(D156,#REF!,2,0)</f>
        <v>#REF!</v>
      </c>
      <c r="D156" s="29" t="s">
        <v>563</v>
      </c>
      <c r="E156" s="18" t="e">
        <f>VLOOKUP(C156,数据集标准分类!E:F,2,0)</f>
        <v>#REF!</v>
      </c>
      <c r="F156" s="29" t="e">
        <f>VLOOKUP(D156,数据集标准分类!G:H,2,0)</f>
        <v>#N/A</v>
      </c>
      <c r="G156" s="29" t="s">
        <v>543</v>
      </c>
      <c r="H156" s="29" t="s">
        <v>544</v>
      </c>
      <c r="I156" s="29" t="s">
        <v>545</v>
      </c>
      <c r="J156" s="29" t="s">
        <v>546</v>
      </c>
      <c r="K156" s="29" t="s">
        <v>547</v>
      </c>
      <c r="L156" s="250">
        <v>63</v>
      </c>
      <c r="M156" s="251"/>
    </row>
    <row r="157" ht="31" spans="1:13">
      <c r="A157" s="248" t="s">
        <v>4175</v>
      </c>
      <c r="B157" s="45" t="s">
        <v>4174</v>
      </c>
      <c r="C157" s="249" t="e">
        <f>VLOOKUP(D157,#REF!,2,0)</f>
        <v>#REF!</v>
      </c>
      <c r="D157" s="29" t="s">
        <v>563</v>
      </c>
      <c r="E157" s="18" t="e">
        <f>VLOOKUP(C157,数据集标准分类!E:F,2,0)</f>
        <v>#REF!</v>
      </c>
      <c r="F157" s="29" t="e">
        <f>VLOOKUP(D157,数据集标准分类!G:H,2,0)</f>
        <v>#N/A</v>
      </c>
      <c r="G157" s="29" t="s">
        <v>548</v>
      </c>
      <c r="H157" s="29" t="s">
        <v>549</v>
      </c>
      <c r="I157" s="29" t="s">
        <v>550</v>
      </c>
      <c r="J157" s="29" t="s">
        <v>551</v>
      </c>
      <c r="K157" s="29" t="s">
        <v>552</v>
      </c>
      <c r="L157" s="250">
        <v>64</v>
      </c>
      <c r="M157" s="251"/>
    </row>
    <row r="158" ht="76" spans="1:13">
      <c r="A158" s="248" t="s">
        <v>4175</v>
      </c>
      <c r="B158" s="45" t="s">
        <v>4174</v>
      </c>
      <c r="C158" s="249" t="e">
        <f>VLOOKUP(D158,#REF!,2,0)</f>
        <v>#REF!</v>
      </c>
      <c r="D158" s="29" t="s">
        <v>563</v>
      </c>
      <c r="E158" s="18" t="e">
        <f>VLOOKUP(C158,数据集标准分类!E:F,2,0)</f>
        <v>#REF!</v>
      </c>
      <c r="F158" s="29" t="e">
        <f>VLOOKUP(D158,数据集标准分类!G:H,2,0)</f>
        <v>#N/A</v>
      </c>
      <c r="G158" s="29" t="s">
        <v>553</v>
      </c>
      <c r="H158" s="29" t="s">
        <v>554</v>
      </c>
      <c r="I158" s="29" t="s">
        <v>555</v>
      </c>
      <c r="J158" s="29" t="s">
        <v>556</v>
      </c>
      <c r="K158" s="29" t="s">
        <v>557</v>
      </c>
      <c r="L158" s="250">
        <v>65</v>
      </c>
      <c r="M158" s="251"/>
    </row>
    <row r="159" ht="92" spans="1:13">
      <c r="A159" s="248" t="s">
        <v>4175</v>
      </c>
      <c r="B159" s="45" t="s">
        <v>4174</v>
      </c>
      <c r="C159" s="249" t="e">
        <f>VLOOKUP(D159,#REF!,2,0)</f>
        <v>#REF!</v>
      </c>
      <c r="D159" s="29" t="s">
        <v>563</v>
      </c>
      <c r="E159" s="18" t="e">
        <f>VLOOKUP(C159,数据集标准分类!E:F,2,0)</f>
        <v>#REF!</v>
      </c>
      <c r="F159" s="29" t="e">
        <f>VLOOKUP(D159,数据集标准分类!G:H,2,0)</f>
        <v>#N/A</v>
      </c>
      <c r="G159" s="29" t="s">
        <v>558</v>
      </c>
      <c r="H159" s="29" t="s">
        <v>559</v>
      </c>
      <c r="I159" s="29" t="s">
        <v>560</v>
      </c>
      <c r="J159" s="29" t="s">
        <v>561</v>
      </c>
      <c r="K159" s="29" t="s">
        <v>562</v>
      </c>
      <c r="L159" s="250">
        <v>66</v>
      </c>
      <c r="M159" s="251"/>
    </row>
    <row r="160" ht="46" spans="1:13">
      <c r="A160" s="248" t="s">
        <v>4175</v>
      </c>
      <c r="B160" s="45" t="s">
        <v>4174</v>
      </c>
      <c r="C160" s="249" t="e">
        <f>VLOOKUP(D160,#REF!,2,0)</f>
        <v>#REF!</v>
      </c>
      <c r="D160" s="29" t="s">
        <v>662</v>
      </c>
      <c r="E160" s="18" t="e">
        <f>VLOOKUP(C160,数据集标准分类!E:F,2,0)</f>
        <v>#REF!</v>
      </c>
      <c r="F160" s="29" t="e">
        <f>VLOOKUP(D160,数据集标准分类!G:H,2,0)</f>
        <v>#N/A</v>
      </c>
      <c r="G160" s="29" t="s">
        <v>152</v>
      </c>
      <c r="H160" s="29" t="s">
        <v>153</v>
      </c>
      <c r="I160" s="29" t="s">
        <v>154</v>
      </c>
      <c r="J160" s="29" t="s">
        <v>155</v>
      </c>
      <c r="K160" s="29" t="s">
        <v>156</v>
      </c>
      <c r="L160" s="250">
        <v>1</v>
      </c>
      <c r="M160" s="251"/>
    </row>
    <row r="161" ht="61" spans="1:13">
      <c r="A161" s="248" t="s">
        <v>4175</v>
      </c>
      <c r="B161" s="45" t="s">
        <v>4174</v>
      </c>
      <c r="C161" s="249" t="e">
        <f>VLOOKUP(D161,#REF!,2,0)</f>
        <v>#REF!</v>
      </c>
      <c r="D161" s="29" t="s">
        <v>662</v>
      </c>
      <c r="E161" s="18" t="e">
        <f>VLOOKUP(C161,数据集标准分类!E:F,2,0)</f>
        <v>#REF!</v>
      </c>
      <c r="F161" s="29" t="e">
        <f>VLOOKUP(D161,数据集标准分类!G:H,2,0)</f>
        <v>#N/A</v>
      </c>
      <c r="G161" s="29" t="s">
        <v>663</v>
      </c>
      <c r="H161" s="29" t="s">
        <v>664</v>
      </c>
      <c r="I161" s="29" t="s">
        <v>665</v>
      </c>
      <c r="J161" s="29" t="s">
        <v>666</v>
      </c>
      <c r="K161" s="29" t="s">
        <v>667</v>
      </c>
      <c r="L161" s="250">
        <v>2</v>
      </c>
      <c r="M161" s="251"/>
    </row>
    <row r="162" ht="31" spans="1:13">
      <c r="A162" s="248" t="s">
        <v>4175</v>
      </c>
      <c r="B162" s="45" t="s">
        <v>4174</v>
      </c>
      <c r="C162" s="249" t="e">
        <f>VLOOKUP(D162,#REF!,2,0)</f>
        <v>#REF!</v>
      </c>
      <c r="D162" s="29" t="s">
        <v>662</v>
      </c>
      <c r="E162" s="18" t="e">
        <f>VLOOKUP(C162,数据集标准分类!E:F,2,0)</f>
        <v>#REF!</v>
      </c>
      <c r="F162" s="29" t="e">
        <f>VLOOKUP(D162,数据集标准分类!G:H,2,0)</f>
        <v>#N/A</v>
      </c>
      <c r="G162" s="29" t="s">
        <v>668</v>
      </c>
      <c r="H162" s="29" t="s">
        <v>669</v>
      </c>
      <c r="I162" s="29" t="s">
        <v>670</v>
      </c>
      <c r="J162" s="29" t="s">
        <v>671</v>
      </c>
      <c r="K162" s="29" t="s">
        <v>672</v>
      </c>
      <c r="L162" s="250">
        <v>3</v>
      </c>
      <c r="M162" s="251"/>
    </row>
    <row r="163" ht="31" spans="1:13">
      <c r="A163" s="248" t="s">
        <v>4175</v>
      </c>
      <c r="B163" s="45" t="s">
        <v>4174</v>
      </c>
      <c r="C163" s="249" t="e">
        <f>VLOOKUP(D163,#REF!,2,0)</f>
        <v>#REF!</v>
      </c>
      <c r="D163" s="29" t="s">
        <v>662</v>
      </c>
      <c r="E163" s="18" t="e">
        <f>VLOOKUP(C163,数据集标准分类!E:F,2,0)</f>
        <v>#REF!</v>
      </c>
      <c r="F163" s="29" t="e">
        <f>VLOOKUP(D163,数据集标准分类!G:H,2,0)</f>
        <v>#N/A</v>
      </c>
      <c r="G163" s="29" t="s">
        <v>673</v>
      </c>
      <c r="H163" s="29" t="s">
        <v>674</v>
      </c>
      <c r="I163" s="29" t="s">
        <v>675</v>
      </c>
      <c r="J163" s="29" t="s">
        <v>676</v>
      </c>
      <c r="K163" s="29" t="s">
        <v>677</v>
      </c>
      <c r="L163" s="250">
        <v>4</v>
      </c>
      <c r="M163" s="251"/>
    </row>
    <row r="164" ht="31" spans="1:13">
      <c r="A164" s="248" t="s">
        <v>4175</v>
      </c>
      <c r="B164" s="45" t="s">
        <v>4174</v>
      </c>
      <c r="C164" s="249" t="e">
        <f>VLOOKUP(D164,#REF!,2,0)</f>
        <v>#REF!</v>
      </c>
      <c r="D164" s="29" t="s">
        <v>662</v>
      </c>
      <c r="E164" s="18" t="e">
        <f>VLOOKUP(C164,数据集标准分类!E:F,2,0)</f>
        <v>#REF!</v>
      </c>
      <c r="F164" s="29" t="e">
        <f>VLOOKUP(D164,数据集标准分类!G:H,2,0)</f>
        <v>#N/A</v>
      </c>
      <c r="G164" s="29" t="s">
        <v>87</v>
      </c>
      <c r="H164" s="29" t="s">
        <v>88</v>
      </c>
      <c r="I164" s="29" t="s">
        <v>89</v>
      </c>
      <c r="J164" s="29" t="s">
        <v>90</v>
      </c>
      <c r="K164" s="29" t="s">
        <v>91</v>
      </c>
      <c r="L164" s="250">
        <v>5</v>
      </c>
      <c r="M164" s="251"/>
    </row>
    <row r="165" ht="31" spans="1:13">
      <c r="A165" s="248" t="s">
        <v>4175</v>
      </c>
      <c r="B165" s="45" t="s">
        <v>4174</v>
      </c>
      <c r="C165" s="249" t="e">
        <f>VLOOKUP(D165,#REF!,2,0)</f>
        <v>#REF!</v>
      </c>
      <c r="D165" s="29" t="s">
        <v>662</v>
      </c>
      <c r="E165" s="18" t="e">
        <f>VLOOKUP(C165,数据集标准分类!E:F,2,0)</f>
        <v>#REF!</v>
      </c>
      <c r="F165" s="29" t="e">
        <f>VLOOKUP(D165,数据集标准分类!G:H,2,0)</f>
        <v>#N/A</v>
      </c>
      <c r="G165" s="29" t="s">
        <v>678</v>
      </c>
      <c r="H165" s="29" t="s">
        <v>679</v>
      </c>
      <c r="I165" s="29" t="s">
        <v>680</v>
      </c>
      <c r="J165" s="29" t="s">
        <v>681</v>
      </c>
      <c r="K165" s="29" t="s">
        <v>682</v>
      </c>
      <c r="L165" s="250">
        <v>6</v>
      </c>
      <c r="M165" s="251"/>
    </row>
    <row r="166" ht="46" spans="1:13">
      <c r="A166" s="248" t="s">
        <v>4175</v>
      </c>
      <c r="B166" s="45" t="s">
        <v>4174</v>
      </c>
      <c r="C166" s="249" t="e">
        <f>VLOOKUP(D166,#REF!,2,0)</f>
        <v>#REF!</v>
      </c>
      <c r="D166" s="29" t="s">
        <v>662</v>
      </c>
      <c r="E166" s="18" t="e">
        <f>VLOOKUP(C166,数据集标准分类!E:F,2,0)</f>
        <v>#REF!</v>
      </c>
      <c r="F166" s="29" t="e">
        <f>VLOOKUP(D166,数据集标准分类!G:H,2,0)</f>
        <v>#N/A</v>
      </c>
      <c r="G166" s="29" t="s">
        <v>92</v>
      </c>
      <c r="H166" s="29" t="s">
        <v>93</v>
      </c>
      <c r="I166" s="29" t="s">
        <v>94</v>
      </c>
      <c r="J166" s="29" t="s">
        <v>95</v>
      </c>
      <c r="K166" s="29" t="s">
        <v>96</v>
      </c>
      <c r="L166" s="250">
        <v>7</v>
      </c>
      <c r="M166" s="251"/>
    </row>
    <row r="167" ht="31" spans="1:13">
      <c r="A167" s="248" t="s">
        <v>4175</v>
      </c>
      <c r="B167" s="45" t="s">
        <v>4174</v>
      </c>
      <c r="C167" s="249" t="e">
        <f>VLOOKUP(D167,#REF!,2,0)</f>
        <v>#REF!</v>
      </c>
      <c r="D167" s="29" t="s">
        <v>662</v>
      </c>
      <c r="E167" s="18" t="e">
        <f>VLOOKUP(C167,数据集标准分类!E:F,2,0)</f>
        <v>#REF!</v>
      </c>
      <c r="F167" s="29" t="e">
        <f>VLOOKUP(D167,数据集标准分类!G:H,2,0)</f>
        <v>#N/A</v>
      </c>
      <c r="G167" s="29" t="s">
        <v>107</v>
      </c>
      <c r="H167" s="29" t="s">
        <v>108</v>
      </c>
      <c r="I167" s="29" t="s">
        <v>109</v>
      </c>
      <c r="J167" s="29" t="s">
        <v>110</v>
      </c>
      <c r="K167" s="29" t="s">
        <v>101</v>
      </c>
      <c r="L167" s="250">
        <v>8</v>
      </c>
      <c r="M167" s="251"/>
    </row>
    <row r="168" ht="31" spans="1:13">
      <c r="A168" s="248" t="s">
        <v>4175</v>
      </c>
      <c r="B168" s="45" t="s">
        <v>4174</v>
      </c>
      <c r="C168" s="249" t="e">
        <f>VLOOKUP(D168,#REF!,2,0)</f>
        <v>#REF!</v>
      </c>
      <c r="D168" s="29" t="s">
        <v>662</v>
      </c>
      <c r="E168" s="18" t="e">
        <f>VLOOKUP(C168,数据集标准分类!E:F,2,0)</f>
        <v>#REF!</v>
      </c>
      <c r="F168" s="29" t="e">
        <f>VLOOKUP(D168,数据集标准分类!G:H,2,0)</f>
        <v>#N/A</v>
      </c>
      <c r="G168" s="29" t="s">
        <v>97</v>
      </c>
      <c r="H168" s="29" t="s">
        <v>98</v>
      </c>
      <c r="I168" s="29" t="s">
        <v>99</v>
      </c>
      <c r="J168" s="29" t="s">
        <v>100</v>
      </c>
      <c r="K168" s="29" t="s">
        <v>106</v>
      </c>
      <c r="L168" s="250">
        <v>9</v>
      </c>
      <c r="M168" s="251"/>
    </row>
    <row r="169" ht="31" spans="1:13">
      <c r="A169" s="248" t="s">
        <v>4175</v>
      </c>
      <c r="B169" s="45" t="s">
        <v>4174</v>
      </c>
      <c r="C169" s="249" t="e">
        <f>VLOOKUP(D169,#REF!,2,0)</f>
        <v>#REF!</v>
      </c>
      <c r="D169" s="29" t="s">
        <v>662</v>
      </c>
      <c r="E169" s="18" t="e">
        <f>VLOOKUP(C169,数据集标准分类!E:F,2,0)</f>
        <v>#REF!</v>
      </c>
      <c r="F169" s="29" t="e">
        <f>VLOOKUP(D169,数据集标准分类!G:H,2,0)</f>
        <v>#N/A</v>
      </c>
      <c r="G169" s="29" t="s">
        <v>112</v>
      </c>
      <c r="H169" s="29" t="s">
        <v>113</v>
      </c>
      <c r="I169" s="29" t="s">
        <v>114</v>
      </c>
      <c r="J169" s="29" t="s">
        <v>115</v>
      </c>
      <c r="K169" s="29" t="s">
        <v>111</v>
      </c>
      <c r="L169" s="250">
        <v>10</v>
      </c>
      <c r="M169" s="251"/>
    </row>
    <row r="170" ht="31" spans="1:13">
      <c r="A170" s="248" t="s">
        <v>4175</v>
      </c>
      <c r="B170" s="45" t="s">
        <v>4174</v>
      </c>
      <c r="C170" s="249" t="e">
        <f>VLOOKUP(D170,#REF!,2,0)</f>
        <v>#REF!</v>
      </c>
      <c r="D170" s="29" t="s">
        <v>662</v>
      </c>
      <c r="E170" s="18" t="e">
        <f>VLOOKUP(C170,数据集标准分类!E:F,2,0)</f>
        <v>#REF!</v>
      </c>
      <c r="F170" s="29" t="e">
        <f>VLOOKUP(D170,数据集标准分类!G:H,2,0)</f>
        <v>#N/A</v>
      </c>
      <c r="G170" s="29" t="s">
        <v>508</v>
      </c>
      <c r="H170" s="29" t="s">
        <v>509</v>
      </c>
      <c r="I170" s="29" t="s">
        <v>510</v>
      </c>
      <c r="J170" s="29" t="s">
        <v>511</v>
      </c>
      <c r="K170" s="29" t="s">
        <v>116</v>
      </c>
      <c r="L170" s="250">
        <v>11</v>
      </c>
      <c r="M170" s="251"/>
    </row>
    <row r="171" ht="76" spans="1:13">
      <c r="A171" s="248" t="s">
        <v>4175</v>
      </c>
      <c r="B171" s="45" t="s">
        <v>4174</v>
      </c>
      <c r="C171" s="249" t="e">
        <f>VLOOKUP(D171,#REF!,2,0)</f>
        <v>#REF!</v>
      </c>
      <c r="D171" s="29" t="s">
        <v>662</v>
      </c>
      <c r="E171" s="18" t="e">
        <f>VLOOKUP(C171,数据集标准分类!E:F,2,0)</f>
        <v>#REF!</v>
      </c>
      <c r="F171" s="29" t="e">
        <f>VLOOKUP(D171,数据集标准分类!G:H,2,0)</f>
        <v>#N/A</v>
      </c>
      <c r="G171" s="29" t="s">
        <v>117</v>
      </c>
      <c r="H171" s="29" t="s">
        <v>118</v>
      </c>
      <c r="I171" s="29" t="s">
        <v>119</v>
      </c>
      <c r="J171" s="29" t="s">
        <v>120</v>
      </c>
      <c r="K171" s="29" t="s">
        <v>683</v>
      </c>
      <c r="L171" s="250">
        <v>12</v>
      </c>
      <c r="M171" s="251"/>
    </row>
    <row r="172" ht="16.8" spans="1:13">
      <c r="A172" s="252" t="s">
        <v>4175</v>
      </c>
      <c r="B172" s="45" t="s">
        <v>4174</v>
      </c>
      <c r="C172" s="249" t="e">
        <f>VLOOKUP(D172,#REF!,2,0)</f>
        <v>#REF!</v>
      </c>
      <c r="D172" s="29" t="s">
        <v>662</v>
      </c>
      <c r="E172" s="18" t="e">
        <f>VLOOKUP(C172,数据集标准分类!E:F,2,0)</f>
        <v>#REF!</v>
      </c>
      <c r="F172" s="29" t="e">
        <f>VLOOKUP(D172,数据集标准分类!G:H,2,0)</f>
        <v>#N/A</v>
      </c>
      <c r="G172" s="29" t="s">
        <v>102</v>
      </c>
      <c r="H172" s="29" t="s">
        <v>103</v>
      </c>
      <c r="I172" s="29" t="s">
        <v>104</v>
      </c>
      <c r="J172" s="29" t="s">
        <v>105</v>
      </c>
      <c r="K172" s="29" t="s">
        <v>121</v>
      </c>
      <c r="L172" s="250">
        <v>13</v>
      </c>
      <c r="M172" s="251"/>
    </row>
    <row r="173" ht="16.8" spans="1:13">
      <c r="A173" s="248" t="s">
        <v>4175</v>
      </c>
      <c r="B173" s="45" t="s">
        <v>4174</v>
      </c>
      <c r="C173" s="249" t="e">
        <f>VLOOKUP(D173,#REF!,2,0)</f>
        <v>#REF!</v>
      </c>
      <c r="D173" s="29" t="s">
        <v>662</v>
      </c>
      <c r="E173" s="18" t="e">
        <f>VLOOKUP(C173,数据集标准分类!E:F,2,0)</f>
        <v>#REF!</v>
      </c>
      <c r="F173" s="29" t="e">
        <f>VLOOKUP(D173,数据集标准分类!G:H,2,0)</f>
        <v>#N/A</v>
      </c>
      <c r="G173" s="29" t="s">
        <v>122</v>
      </c>
      <c r="H173" s="29" t="s">
        <v>123</v>
      </c>
      <c r="I173" s="29" t="s">
        <v>123</v>
      </c>
      <c r="J173" s="29" t="s">
        <v>124</v>
      </c>
      <c r="K173" s="29" t="s">
        <v>125</v>
      </c>
      <c r="L173" s="250">
        <v>14</v>
      </c>
      <c r="M173" s="251"/>
    </row>
    <row r="174" ht="46" spans="1:13">
      <c r="A174" s="248" t="s">
        <v>4175</v>
      </c>
      <c r="B174" s="45" t="s">
        <v>4174</v>
      </c>
      <c r="C174" s="249" t="e">
        <f>VLOOKUP(D174,#REF!,2,0)</f>
        <v>#REF!</v>
      </c>
      <c r="D174" s="29" t="s">
        <v>662</v>
      </c>
      <c r="E174" s="18" t="e">
        <f>VLOOKUP(C174,数据集标准分类!E:F,2,0)</f>
        <v>#REF!</v>
      </c>
      <c r="F174" s="29" t="e">
        <f>VLOOKUP(D174,数据集标准分类!G:H,2,0)</f>
        <v>#N/A</v>
      </c>
      <c r="G174" s="29" t="s">
        <v>126</v>
      </c>
      <c r="H174" s="29" t="s">
        <v>127</v>
      </c>
      <c r="I174" s="29" t="s">
        <v>128</v>
      </c>
      <c r="J174" s="29" t="s">
        <v>129</v>
      </c>
      <c r="K174" s="29" t="s">
        <v>130</v>
      </c>
      <c r="L174" s="250">
        <v>15</v>
      </c>
      <c r="M174" s="251"/>
    </row>
    <row r="175" ht="31" spans="1:13">
      <c r="A175" s="248" t="s">
        <v>4175</v>
      </c>
      <c r="B175" s="45" t="s">
        <v>4174</v>
      </c>
      <c r="C175" s="249" t="e">
        <f>VLOOKUP(D175,#REF!,2,0)</f>
        <v>#REF!</v>
      </c>
      <c r="D175" s="29" t="s">
        <v>662</v>
      </c>
      <c r="E175" s="18" t="e">
        <f>VLOOKUP(C175,数据集标准分类!E:F,2,0)</f>
        <v>#REF!</v>
      </c>
      <c r="F175" s="29" t="e">
        <f>VLOOKUP(D175,数据集标准分类!G:H,2,0)</f>
        <v>#N/A</v>
      </c>
      <c r="G175" s="29" t="s">
        <v>684</v>
      </c>
      <c r="H175" s="29" t="s">
        <v>685</v>
      </c>
      <c r="I175" s="29" t="s">
        <v>686</v>
      </c>
      <c r="J175" s="29" t="s">
        <v>687</v>
      </c>
      <c r="K175" s="29" t="s">
        <v>688</v>
      </c>
      <c r="L175" s="250">
        <v>16</v>
      </c>
      <c r="M175" s="251"/>
    </row>
    <row r="176" ht="31" spans="1:13">
      <c r="A176" s="248" t="s">
        <v>4175</v>
      </c>
      <c r="B176" s="45" t="s">
        <v>4174</v>
      </c>
      <c r="C176" s="249" t="e">
        <f>VLOOKUP(D176,#REF!,2,0)</f>
        <v>#REF!</v>
      </c>
      <c r="D176" s="29" t="s">
        <v>662</v>
      </c>
      <c r="E176" s="18" t="e">
        <f>VLOOKUP(C176,数据集标准分类!E:F,2,0)</f>
        <v>#REF!</v>
      </c>
      <c r="F176" s="29" t="e">
        <f>VLOOKUP(D176,数据集标准分类!G:H,2,0)</f>
        <v>#N/A</v>
      </c>
      <c r="G176" s="29" t="s">
        <v>689</v>
      </c>
      <c r="H176" s="29" t="s">
        <v>690</v>
      </c>
      <c r="I176" s="29" t="s">
        <v>691</v>
      </c>
      <c r="J176" s="29" t="s">
        <v>692</v>
      </c>
      <c r="K176" s="29" t="s">
        <v>693</v>
      </c>
      <c r="L176" s="250">
        <v>17</v>
      </c>
      <c r="M176" s="251"/>
    </row>
    <row r="177" ht="31" spans="1:13">
      <c r="A177" s="248" t="s">
        <v>4175</v>
      </c>
      <c r="B177" s="45" t="s">
        <v>4174</v>
      </c>
      <c r="C177" s="249" t="e">
        <f>VLOOKUP(D177,#REF!,2,0)</f>
        <v>#REF!</v>
      </c>
      <c r="D177" s="29" t="s">
        <v>662</v>
      </c>
      <c r="E177" s="18" t="e">
        <f>VLOOKUP(C177,数据集标准分类!E:F,2,0)</f>
        <v>#REF!</v>
      </c>
      <c r="F177" s="29" t="e">
        <f>VLOOKUP(D177,数据集标准分类!G:H,2,0)</f>
        <v>#N/A</v>
      </c>
      <c r="G177" s="29" t="s">
        <v>694</v>
      </c>
      <c r="H177" s="29" t="s">
        <v>695</v>
      </c>
      <c r="I177" s="29" t="s">
        <v>696</v>
      </c>
      <c r="J177" s="29" t="s">
        <v>697</v>
      </c>
      <c r="K177" s="29" t="s">
        <v>698</v>
      </c>
      <c r="L177" s="250">
        <v>18</v>
      </c>
      <c r="M177" s="251"/>
    </row>
    <row r="178" ht="31" spans="1:13">
      <c r="A178" s="248" t="s">
        <v>4175</v>
      </c>
      <c r="B178" s="45" t="s">
        <v>4174</v>
      </c>
      <c r="C178" s="249" t="e">
        <f>VLOOKUP(D178,#REF!,2,0)</f>
        <v>#REF!</v>
      </c>
      <c r="D178" s="29" t="s">
        <v>662</v>
      </c>
      <c r="E178" s="18" t="e">
        <f>VLOOKUP(C178,数据集标准分类!E:F,2,0)</f>
        <v>#REF!</v>
      </c>
      <c r="F178" s="29" t="e">
        <f>VLOOKUP(D178,数据集标准分类!G:H,2,0)</f>
        <v>#N/A</v>
      </c>
      <c r="G178" s="29" t="s">
        <v>699</v>
      </c>
      <c r="H178" s="29" t="s">
        <v>700</v>
      </c>
      <c r="I178" s="29" t="s">
        <v>700</v>
      </c>
      <c r="J178" s="29" t="s">
        <v>701</v>
      </c>
      <c r="K178" s="29" t="s">
        <v>702</v>
      </c>
      <c r="L178" s="250">
        <v>19</v>
      </c>
      <c r="M178" s="251"/>
    </row>
    <row r="179" ht="31" spans="1:13">
      <c r="A179" s="248" t="s">
        <v>4175</v>
      </c>
      <c r="B179" s="45" t="s">
        <v>4174</v>
      </c>
      <c r="C179" s="249" t="e">
        <f>VLOOKUP(D179,#REF!,2,0)</f>
        <v>#REF!</v>
      </c>
      <c r="D179" s="29" t="s">
        <v>662</v>
      </c>
      <c r="E179" s="18" t="e">
        <f>VLOOKUP(C179,数据集标准分类!E:F,2,0)</f>
        <v>#REF!</v>
      </c>
      <c r="F179" s="29" t="e">
        <f>VLOOKUP(D179,数据集标准分类!G:H,2,0)</f>
        <v>#N/A</v>
      </c>
      <c r="G179" s="29" t="s">
        <v>703</v>
      </c>
      <c r="H179" s="29" t="s">
        <v>704</v>
      </c>
      <c r="I179" s="29" t="s">
        <v>704</v>
      </c>
      <c r="J179" s="29" t="s">
        <v>705</v>
      </c>
      <c r="K179" s="29" t="s">
        <v>706</v>
      </c>
      <c r="L179" s="250">
        <v>20</v>
      </c>
      <c r="M179" s="251"/>
    </row>
    <row r="180" ht="31" spans="1:13">
      <c r="A180" s="248" t="s">
        <v>4175</v>
      </c>
      <c r="B180" s="45" t="s">
        <v>4174</v>
      </c>
      <c r="C180" s="249" t="e">
        <f>VLOOKUP(D180,#REF!,2,0)</f>
        <v>#REF!</v>
      </c>
      <c r="D180" s="29" t="s">
        <v>662</v>
      </c>
      <c r="E180" s="18" t="e">
        <f>VLOOKUP(C180,数据集标准分类!E:F,2,0)</f>
        <v>#REF!</v>
      </c>
      <c r="F180" s="29" t="e">
        <f>VLOOKUP(D180,数据集标准分类!G:H,2,0)</f>
        <v>#N/A</v>
      </c>
      <c r="G180" s="29" t="s">
        <v>707</v>
      </c>
      <c r="H180" s="29" t="s">
        <v>708</v>
      </c>
      <c r="I180" s="29" t="s">
        <v>708</v>
      </c>
      <c r="J180" s="29" t="s">
        <v>709</v>
      </c>
      <c r="K180" s="29" t="s">
        <v>710</v>
      </c>
      <c r="L180" s="250">
        <v>21</v>
      </c>
      <c r="M180" s="251"/>
    </row>
    <row r="181" ht="31" spans="1:13">
      <c r="A181" s="248" t="s">
        <v>4175</v>
      </c>
      <c r="B181" s="45" t="s">
        <v>4174</v>
      </c>
      <c r="C181" s="249" t="e">
        <f>VLOOKUP(D181,#REF!,2,0)</f>
        <v>#REF!</v>
      </c>
      <c r="D181" s="29" t="s">
        <v>662</v>
      </c>
      <c r="E181" s="18" t="e">
        <f>VLOOKUP(C181,数据集标准分类!E:F,2,0)</f>
        <v>#REF!</v>
      </c>
      <c r="F181" s="29" t="e">
        <f>VLOOKUP(D181,数据集标准分类!G:H,2,0)</f>
        <v>#N/A</v>
      </c>
      <c r="G181" s="29" t="s">
        <v>711</v>
      </c>
      <c r="H181" s="29" t="s">
        <v>712</v>
      </c>
      <c r="I181" s="29" t="s">
        <v>712</v>
      </c>
      <c r="J181" s="29" t="s">
        <v>713</v>
      </c>
      <c r="K181" s="29" t="s">
        <v>714</v>
      </c>
      <c r="L181" s="250">
        <v>22</v>
      </c>
      <c r="M181" s="251"/>
    </row>
    <row r="182" ht="76" spans="1:13">
      <c r="A182" s="248" t="s">
        <v>4175</v>
      </c>
      <c r="B182" s="45" t="s">
        <v>4174</v>
      </c>
      <c r="C182" s="249" t="e">
        <f>VLOOKUP(D182,#REF!,2,0)</f>
        <v>#REF!</v>
      </c>
      <c r="D182" s="29" t="s">
        <v>662</v>
      </c>
      <c r="E182" s="18" t="e">
        <f>VLOOKUP(C182,数据集标准分类!E:F,2,0)</f>
        <v>#REF!</v>
      </c>
      <c r="F182" s="29" t="e">
        <f>VLOOKUP(D182,数据集标准分类!G:H,2,0)</f>
        <v>#N/A</v>
      </c>
      <c r="G182" s="29" t="s">
        <v>715</v>
      </c>
      <c r="H182" s="29" t="s">
        <v>716</v>
      </c>
      <c r="I182" s="29" t="s">
        <v>717</v>
      </c>
      <c r="J182" s="29" t="s">
        <v>718</v>
      </c>
      <c r="K182" s="29" t="s">
        <v>719</v>
      </c>
      <c r="L182" s="250">
        <v>23</v>
      </c>
      <c r="M182" s="251"/>
    </row>
    <row r="183" ht="31" spans="1:13">
      <c r="A183" s="248" t="s">
        <v>4175</v>
      </c>
      <c r="B183" s="45" t="s">
        <v>4174</v>
      </c>
      <c r="C183" s="249" t="e">
        <f>VLOOKUP(D183,#REF!,2,0)</f>
        <v>#REF!</v>
      </c>
      <c r="D183" s="29" t="s">
        <v>662</v>
      </c>
      <c r="E183" s="18" t="e">
        <f>VLOOKUP(C183,数据集标准分类!E:F,2,0)</f>
        <v>#REF!</v>
      </c>
      <c r="F183" s="29" t="e">
        <f>VLOOKUP(D183,数据集标准分类!G:H,2,0)</f>
        <v>#N/A</v>
      </c>
      <c r="G183" s="29" t="s">
        <v>720</v>
      </c>
      <c r="H183" s="29" t="s">
        <v>721</v>
      </c>
      <c r="I183" s="29" t="s">
        <v>722</v>
      </c>
      <c r="J183" s="29" t="s">
        <v>723</v>
      </c>
      <c r="K183" s="29" t="s">
        <v>724</v>
      </c>
      <c r="L183" s="250">
        <v>24</v>
      </c>
      <c r="M183" s="251"/>
    </row>
    <row r="184" ht="31" spans="1:13">
      <c r="A184" s="248" t="s">
        <v>4175</v>
      </c>
      <c r="B184" s="45" t="s">
        <v>4174</v>
      </c>
      <c r="C184" s="249" t="e">
        <f>VLOOKUP(D184,#REF!,2,0)</f>
        <v>#REF!</v>
      </c>
      <c r="D184" s="29" t="s">
        <v>662</v>
      </c>
      <c r="E184" s="18" t="e">
        <f>VLOOKUP(C184,数据集标准分类!E:F,2,0)</f>
        <v>#REF!</v>
      </c>
      <c r="F184" s="29" t="e">
        <f>VLOOKUP(D184,数据集标准分类!G:H,2,0)</f>
        <v>#N/A</v>
      </c>
      <c r="G184" s="29" t="s">
        <v>725</v>
      </c>
      <c r="H184" s="29" t="s">
        <v>726</v>
      </c>
      <c r="I184" s="29" t="s">
        <v>727</v>
      </c>
      <c r="J184" s="29" t="s">
        <v>728</v>
      </c>
      <c r="K184" s="29" t="s">
        <v>724</v>
      </c>
      <c r="L184" s="250">
        <v>25</v>
      </c>
      <c r="M184" s="251"/>
    </row>
    <row r="185" ht="31" spans="1:13">
      <c r="A185" s="248" t="s">
        <v>4175</v>
      </c>
      <c r="B185" s="45" t="s">
        <v>4174</v>
      </c>
      <c r="C185" s="249" t="e">
        <f>VLOOKUP(D185,#REF!,2,0)</f>
        <v>#REF!</v>
      </c>
      <c r="D185" s="29" t="s">
        <v>662</v>
      </c>
      <c r="E185" s="18" t="e">
        <f>VLOOKUP(C185,数据集标准分类!E:F,2,0)</f>
        <v>#REF!</v>
      </c>
      <c r="F185" s="29" t="e">
        <f>VLOOKUP(D185,数据集标准分类!G:H,2,0)</f>
        <v>#N/A</v>
      </c>
      <c r="G185" s="29" t="s">
        <v>729</v>
      </c>
      <c r="H185" s="29" t="s">
        <v>730</v>
      </c>
      <c r="I185" s="29" t="s">
        <v>731</v>
      </c>
      <c r="J185" s="29" t="s">
        <v>732</v>
      </c>
      <c r="K185" s="29" t="s">
        <v>733</v>
      </c>
      <c r="L185" s="250">
        <v>26</v>
      </c>
      <c r="M185" s="251"/>
    </row>
    <row r="186" ht="31" spans="1:13">
      <c r="A186" s="248" t="s">
        <v>4175</v>
      </c>
      <c r="B186" s="45" t="s">
        <v>4174</v>
      </c>
      <c r="C186" s="249" t="e">
        <f>VLOOKUP(D186,#REF!,2,0)</f>
        <v>#REF!</v>
      </c>
      <c r="D186" s="29" t="s">
        <v>662</v>
      </c>
      <c r="E186" s="18" t="e">
        <f>VLOOKUP(C186,数据集标准分类!E:F,2,0)</f>
        <v>#REF!</v>
      </c>
      <c r="F186" s="29" t="e">
        <f>VLOOKUP(D186,数据集标准分类!G:H,2,0)</f>
        <v>#N/A</v>
      </c>
      <c r="G186" s="29" t="s">
        <v>734</v>
      </c>
      <c r="H186" s="29" t="s">
        <v>735</v>
      </c>
      <c r="I186" s="29" t="s">
        <v>736</v>
      </c>
      <c r="J186" s="29" t="s">
        <v>737</v>
      </c>
      <c r="K186" s="29" t="s">
        <v>738</v>
      </c>
      <c r="L186" s="250">
        <v>27</v>
      </c>
      <c r="M186" s="251"/>
    </row>
    <row r="187" ht="61" spans="1:13">
      <c r="A187" s="248" t="s">
        <v>4175</v>
      </c>
      <c r="B187" s="45" t="s">
        <v>4174</v>
      </c>
      <c r="C187" s="249" t="e">
        <f>VLOOKUP(D187,#REF!,2,0)</f>
        <v>#REF!</v>
      </c>
      <c r="D187" s="29" t="s">
        <v>662</v>
      </c>
      <c r="E187" s="18" t="e">
        <f>VLOOKUP(C187,数据集标准分类!E:F,2,0)</f>
        <v>#REF!</v>
      </c>
      <c r="F187" s="29" t="e">
        <f>VLOOKUP(D187,数据集标准分类!G:H,2,0)</f>
        <v>#N/A</v>
      </c>
      <c r="G187" s="29" t="s">
        <v>739</v>
      </c>
      <c r="H187" s="29" t="s">
        <v>740</v>
      </c>
      <c r="I187" s="29" t="s">
        <v>741</v>
      </c>
      <c r="J187" s="29" t="s">
        <v>742</v>
      </c>
      <c r="K187" s="29" t="s">
        <v>743</v>
      </c>
      <c r="L187" s="250">
        <v>28</v>
      </c>
      <c r="M187" s="251"/>
    </row>
    <row r="188" ht="46" spans="1:13">
      <c r="A188" s="248" t="s">
        <v>4175</v>
      </c>
      <c r="B188" s="45" t="s">
        <v>4174</v>
      </c>
      <c r="C188" s="249" t="e">
        <f>VLOOKUP(D188,#REF!,2,0)</f>
        <v>#REF!</v>
      </c>
      <c r="D188" s="29" t="s">
        <v>662</v>
      </c>
      <c r="E188" s="18" t="e">
        <f>VLOOKUP(C188,数据集标准分类!E:F,2,0)</f>
        <v>#REF!</v>
      </c>
      <c r="F188" s="29" t="e">
        <f>VLOOKUP(D188,数据集标准分类!G:H,2,0)</f>
        <v>#N/A</v>
      </c>
      <c r="G188" s="29" t="s">
        <v>744</v>
      </c>
      <c r="H188" s="29" t="s">
        <v>745</v>
      </c>
      <c r="I188" s="29" t="s">
        <v>746</v>
      </c>
      <c r="J188" s="29" t="s">
        <v>747</v>
      </c>
      <c r="K188" s="29" t="s">
        <v>748</v>
      </c>
      <c r="L188" s="250">
        <v>29</v>
      </c>
      <c r="M188" s="251"/>
    </row>
    <row r="189" ht="31" spans="1:13">
      <c r="A189" s="248" t="s">
        <v>4175</v>
      </c>
      <c r="B189" s="45" t="s">
        <v>4174</v>
      </c>
      <c r="C189" s="249" t="e">
        <f>VLOOKUP(D189,#REF!,2,0)</f>
        <v>#REF!</v>
      </c>
      <c r="D189" s="29" t="s">
        <v>662</v>
      </c>
      <c r="E189" s="18" t="e">
        <f>VLOOKUP(C189,数据集标准分类!E:F,2,0)</f>
        <v>#REF!</v>
      </c>
      <c r="F189" s="29" t="e">
        <f>VLOOKUP(D189,数据集标准分类!G:H,2,0)</f>
        <v>#N/A</v>
      </c>
      <c r="G189" s="29" t="s">
        <v>749</v>
      </c>
      <c r="H189" s="29" t="s">
        <v>750</v>
      </c>
      <c r="I189" s="29" t="s">
        <v>751</v>
      </c>
      <c r="J189" s="29" t="s">
        <v>752</v>
      </c>
      <c r="K189" s="29" t="s">
        <v>753</v>
      </c>
      <c r="L189" s="250">
        <v>30</v>
      </c>
      <c r="M189" s="251"/>
    </row>
    <row r="190" ht="31" spans="1:13">
      <c r="A190" s="248" t="s">
        <v>4175</v>
      </c>
      <c r="B190" s="45" t="s">
        <v>4174</v>
      </c>
      <c r="C190" s="249" t="e">
        <f>VLOOKUP(D190,#REF!,2,0)</f>
        <v>#REF!</v>
      </c>
      <c r="D190" s="29" t="s">
        <v>662</v>
      </c>
      <c r="E190" s="18" t="e">
        <f>VLOOKUP(C190,数据集标准分类!E:F,2,0)</f>
        <v>#REF!</v>
      </c>
      <c r="F190" s="29" t="e">
        <f>VLOOKUP(D190,数据集标准分类!G:H,2,0)</f>
        <v>#N/A</v>
      </c>
      <c r="G190" s="29" t="s">
        <v>754</v>
      </c>
      <c r="H190" s="29" t="s">
        <v>755</v>
      </c>
      <c r="I190" s="29" t="s">
        <v>756</v>
      </c>
      <c r="J190" s="29" t="s">
        <v>757</v>
      </c>
      <c r="K190" s="29" t="s">
        <v>758</v>
      </c>
      <c r="L190" s="250">
        <v>31</v>
      </c>
      <c r="M190" s="251"/>
    </row>
    <row r="191" ht="31" spans="1:13">
      <c r="A191" s="248" t="s">
        <v>4175</v>
      </c>
      <c r="B191" s="45" t="s">
        <v>4174</v>
      </c>
      <c r="C191" s="249" t="e">
        <f>VLOOKUP(D191,#REF!,2,0)</f>
        <v>#REF!</v>
      </c>
      <c r="D191" s="29" t="s">
        <v>662</v>
      </c>
      <c r="E191" s="18" t="e">
        <f>VLOOKUP(C191,数据集标准分类!E:F,2,0)</f>
        <v>#REF!</v>
      </c>
      <c r="F191" s="29" t="e">
        <f>VLOOKUP(D191,数据集标准分类!G:H,2,0)</f>
        <v>#N/A</v>
      </c>
      <c r="G191" s="29" t="s">
        <v>759</v>
      </c>
      <c r="H191" s="29" t="s">
        <v>760</v>
      </c>
      <c r="I191" s="29" t="s">
        <v>761</v>
      </c>
      <c r="J191" s="29" t="s">
        <v>762</v>
      </c>
      <c r="K191" s="29" t="s">
        <v>763</v>
      </c>
      <c r="L191" s="250">
        <v>32</v>
      </c>
      <c r="M191" s="251"/>
    </row>
    <row r="192" ht="31" spans="1:13">
      <c r="A192" s="248" t="s">
        <v>4175</v>
      </c>
      <c r="B192" s="45" t="s">
        <v>4174</v>
      </c>
      <c r="C192" s="249" t="e">
        <f>VLOOKUP(D192,#REF!,2,0)</f>
        <v>#REF!</v>
      </c>
      <c r="D192" s="29" t="s">
        <v>662</v>
      </c>
      <c r="E192" s="18" t="e">
        <f>VLOOKUP(C192,数据集标准分类!E:F,2,0)</f>
        <v>#REF!</v>
      </c>
      <c r="F192" s="29" t="e">
        <f>VLOOKUP(D192,数据集标准分类!G:H,2,0)</f>
        <v>#N/A</v>
      </c>
      <c r="G192" s="29" t="s">
        <v>764</v>
      </c>
      <c r="H192" s="29" t="s">
        <v>765</v>
      </c>
      <c r="I192" s="29" t="s">
        <v>766</v>
      </c>
      <c r="J192" s="29" t="s">
        <v>767</v>
      </c>
      <c r="K192" s="29" t="s">
        <v>768</v>
      </c>
      <c r="L192" s="250">
        <v>33</v>
      </c>
      <c r="M192" s="251"/>
    </row>
    <row r="193" ht="31" spans="1:13">
      <c r="A193" s="248" t="s">
        <v>4175</v>
      </c>
      <c r="B193" s="45" t="s">
        <v>4174</v>
      </c>
      <c r="C193" s="249" t="e">
        <f>VLOOKUP(D193,#REF!,2,0)</f>
        <v>#REF!</v>
      </c>
      <c r="D193" s="29" t="s">
        <v>662</v>
      </c>
      <c r="E193" s="18" t="e">
        <f>VLOOKUP(C193,数据集标准分类!E:F,2,0)</f>
        <v>#REF!</v>
      </c>
      <c r="F193" s="29" t="e">
        <f>VLOOKUP(D193,数据集标准分类!G:H,2,0)</f>
        <v>#N/A</v>
      </c>
      <c r="G193" s="29" t="s">
        <v>769</v>
      </c>
      <c r="H193" s="29" t="s">
        <v>770</v>
      </c>
      <c r="I193" s="29" t="s">
        <v>771</v>
      </c>
      <c r="J193" s="29" t="s">
        <v>772</v>
      </c>
      <c r="K193" s="29" t="s">
        <v>773</v>
      </c>
      <c r="L193" s="250">
        <v>34</v>
      </c>
      <c r="M193" s="251"/>
    </row>
    <row r="194" ht="31" spans="1:13">
      <c r="A194" s="248" t="s">
        <v>4175</v>
      </c>
      <c r="B194" s="45" t="s">
        <v>4174</v>
      </c>
      <c r="C194" s="249" t="e">
        <f>VLOOKUP(D194,#REF!,2,0)</f>
        <v>#REF!</v>
      </c>
      <c r="D194" s="29" t="s">
        <v>662</v>
      </c>
      <c r="E194" s="18" t="e">
        <f>VLOOKUP(C194,数据集标准分类!E:F,2,0)</f>
        <v>#REF!</v>
      </c>
      <c r="F194" s="29" t="e">
        <f>VLOOKUP(D194,数据集标准分类!G:H,2,0)</f>
        <v>#N/A</v>
      </c>
      <c r="G194" s="29" t="s">
        <v>774</v>
      </c>
      <c r="H194" s="29" t="s">
        <v>775</v>
      </c>
      <c r="I194" s="29" t="s">
        <v>776</v>
      </c>
      <c r="J194" s="29" t="s">
        <v>777</v>
      </c>
      <c r="K194" s="29" t="s">
        <v>778</v>
      </c>
      <c r="L194" s="250">
        <v>35</v>
      </c>
      <c r="M194" s="251"/>
    </row>
    <row r="195" ht="31" spans="1:13">
      <c r="A195" s="248" t="s">
        <v>4175</v>
      </c>
      <c r="B195" s="45" t="s">
        <v>4174</v>
      </c>
      <c r="C195" s="249" t="e">
        <f>VLOOKUP(D195,#REF!,2,0)</f>
        <v>#REF!</v>
      </c>
      <c r="D195" s="29" t="s">
        <v>662</v>
      </c>
      <c r="E195" s="18" t="e">
        <f>VLOOKUP(C195,数据集标准分类!E:F,2,0)</f>
        <v>#REF!</v>
      </c>
      <c r="F195" s="29" t="e">
        <f>VLOOKUP(D195,数据集标准分类!G:H,2,0)</f>
        <v>#N/A</v>
      </c>
      <c r="G195" s="29" t="s">
        <v>779</v>
      </c>
      <c r="H195" s="29" t="s">
        <v>780</v>
      </c>
      <c r="I195" s="29" t="s">
        <v>781</v>
      </c>
      <c r="J195" s="29" t="s">
        <v>782</v>
      </c>
      <c r="K195" s="29" t="s">
        <v>783</v>
      </c>
      <c r="L195" s="250">
        <v>36</v>
      </c>
      <c r="M195" s="251"/>
    </row>
    <row r="196" ht="46" spans="1:13">
      <c r="A196" s="248" t="s">
        <v>4175</v>
      </c>
      <c r="B196" s="45" t="s">
        <v>4174</v>
      </c>
      <c r="C196" s="249" t="e">
        <f>VLOOKUP(D196,#REF!,2,0)</f>
        <v>#REF!</v>
      </c>
      <c r="D196" s="29" t="s">
        <v>662</v>
      </c>
      <c r="E196" s="18" t="e">
        <f>VLOOKUP(C196,数据集标准分类!E:F,2,0)</f>
        <v>#REF!</v>
      </c>
      <c r="F196" s="29" t="e">
        <f>VLOOKUP(D196,数据集标准分类!G:H,2,0)</f>
        <v>#N/A</v>
      </c>
      <c r="G196" s="29" t="s">
        <v>784</v>
      </c>
      <c r="H196" s="29" t="s">
        <v>785</v>
      </c>
      <c r="I196" s="29" t="s">
        <v>786</v>
      </c>
      <c r="J196" s="29" t="s">
        <v>787</v>
      </c>
      <c r="K196" s="29" t="s">
        <v>788</v>
      </c>
      <c r="L196" s="250">
        <v>37</v>
      </c>
      <c r="M196" s="251"/>
    </row>
    <row r="197" ht="31" spans="1:13">
      <c r="A197" s="248" t="s">
        <v>4175</v>
      </c>
      <c r="B197" s="45" t="s">
        <v>4174</v>
      </c>
      <c r="C197" s="249" t="e">
        <f>VLOOKUP(D197,#REF!,2,0)</f>
        <v>#REF!</v>
      </c>
      <c r="D197" s="29" t="s">
        <v>662</v>
      </c>
      <c r="E197" s="18" t="e">
        <f>VLOOKUP(C197,数据集标准分类!E:F,2,0)</f>
        <v>#REF!</v>
      </c>
      <c r="F197" s="29" t="e">
        <f>VLOOKUP(D197,数据集标准分类!G:H,2,0)</f>
        <v>#N/A</v>
      </c>
      <c r="G197" s="29" t="s">
        <v>789</v>
      </c>
      <c r="H197" s="29" t="s">
        <v>790</v>
      </c>
      <c r="I197" s="29" t="s">
        <v>790</v>
      </c>
      <c r="J197" s="29" t="s">
        <v>791</v>
      </c>
      <c r="K197" s="29" t="s">
        <v>792</v>
      </c>
      <c r="L197" s="250">
        <v>38</v>
      </c>
      <c r="M197" s="251"/>
    </row>
    <row r="198" ht="46" spans="1:13">
      <c r="A198" s="248" t="s">
        <v>4175</v>
      </c>
      <c r="B198" s="45" t="s">
        <v>4174</v>
      </c>
      <c r="C198" s="249" t="e">
        <f>VLOOKUP(D198,#REF!,2,0)</f>
        <v>#REF!</v>
      </c>
      <c r="D198" s="29" t="s">
        <v>662</v>
      </c>
      <c r="E198" s="18" t="e">
        <f>VLOOKUP(C198,数据集标准分类!E:F,2,0)</f>
        <v>#REF!</v>
      </c>
      <c r="F198" s="29" t="e">
        <f>VLOOKUP(D198,数据集标准分类!G:H,2,0)</f>
        <v>#N/A</v>
      </c>
      <c r="G198" s="29" t="s">
        <v>793</v>
      </c>
      <c r="H198" s="29" t="s">
        <v>794</v>
      </c>
      <c r="I198" s="29" t="s">
        <v>795</v>
      </c>
      <c r="J198" s="29" t="s">
        <v>796</v>
      </c>
      <c r="K198" s="29" t="s">
        <v>797</v>
      </c>
      <c r="L198" s="250">
        <v>39</v>
      </c>
      <c r="M198" s="251"/>
    </row>
    <row r="199" ht="46" spans="1:13">
      <c r="A199" s="248" t="s">
        <v>4175</v>
      </c>
      <c r="B199" s="45" t="s">
        <v>4174</v>
      </c>
      <c r="C199" s="249" t="e">
        <f>VLOOKUP(D199,#REF!,2,0)</f>
        <v>#REF!</v>
      </c>
      <c r="D199" s="29" t="s">
        <v>662</v>
      </c>
      <c r="E199" s="18" t="e">
        <f>VLOOKUP(C199,数据集标准分类!E:F,2,0)</f>
        <v>#REF!</v>
      </c>
      <c r="F199" s="29" t="e">
        <f>VLOOKUP(D199,数据集标准分类!G:H,2,0)</f>
        <v>#N/A</v>
      </c>
      <c r="G199" s="29" t="s">
        <v>798</v>
      </c>
      <c r="H199" s="29" t="s">
        <v>799</v>
      </c>
      <c r="I199" s="29" t="s">
        <v>800</v>
      </c>
      <c r="J199" s="29" t="s">
        <v>801</v>
      </c>
      <c r="K199" s="29" t="s">
        <v>802</v>
      </c>
      <c r="L199" s="250">
        <v>40</v>
      </c>
      <c r="M199" s="251"/>
    </row>
    <row r="200" ht="24" customHeight="1" spans="1:13">
      <c r="A200" s="248" t="s">
        <v>4175</v>
      </c>
      <c r="B200" s="45" t="s">
        <v>4174</v>
      </c>
      <c r="C200" s="249" t="e">
        <f>VLOOKUP(D200,#REF!,2,0)</f>
        <v>#REF!</v>
      </c>
      <c r="D200" s="29" t="s">
        <v>662</v>
      </c>
      <c r="E200" s="18" t="e">
        <f>VLOOKUP(C200,数据集标准分类!E:F,2,0)</f>
        <v>#REF!</v>
      </c>
      <c r="F200" s="29" t="e">
        <f>VLOOKUP(D200,数据集标准分类!G:H,2,0)</f>
        <v>#N/A</v>
      </c>
      <c r="G200" s="29" t="s">
        <v>803</v>
      </c>
      <c r="H200" s="29" t="s">
        <v>804</v>
      </c>
      <c r="I200" s="29" t="s">
        <v>805</v>
      </c>
      <c r="J200" s="29" t="s">
        <v>806</v>
      </c>
      <c r="K200" s="29" t="s">
        <v>807</v>
      </c>
      <c r="L200" s="250">
        <v>41</v>
      </c>
      <c r="M200" s="251"/>
    </row>
    <row r="201" ht="46" spans="1:13">
      <c r="A201" s="248" t="s">
        <v>4175</v>
      </c>
      <c r="B201" s="45" t="s">
        <v>4174</v>
      </c>
      <c r="C201" s="249" t="e">
        <f>VLOOKUP(D201,#REF!,2,0)</f>
        <v>#REF!</v>
      </c>
      <c r="D201" s="29" t="s">
        <v>662</v>
      </c>
      <c r="E201" s="18" t="e">
        <f>VLOOKUP(C201,数据集标准分类!E:F,2,0)</f>
        <v>#REF!</v>
      </c>
      <c r="F201" s="29" t="e">
        <f>VLOOKUP(D201,数据集标准分类!G:H,2,0)</f>
        <v>#N/A</v>
      </c>
      <c r="G201" s="29" t="s">
        <v>808</v>
      </c>
      <c r="H201" s="29" t="s">
        <v>809</v>
      </c>
      <c r="I201" s="29" t="s">
        <v>810</v>
      </c>
      <c r="J201" s="29" t="s">
        <v>811</v>
      </c>
      <c r="K201" s="29" t="s">
        <v>812</v>
      </c>
      <c r="L201" s="250">
        <v>42</v>
      </c>
      <c r="M201" s="251"/>
    </row>
    <row r="202" ht="46" spans="1:13">
      <c r="A202" s="248" t="s">
        <v>4175</v>
      </c>
      <c r="B202" s="45" t="s">
        <v>4174</v>
      </c>
      <c r="C202" s="249" t="e">
        <f>VLOOKUP(D202,#REF!,2,0)</f>
        <v>#REF!</v>
      </c>
      <c r="D202" s="29" t="s">
        <v>662</v>
      </c>
      <c r="E202" s="18" t="e">
        <f>VLOOKUP(C202,数据集标准分类!E:F,2,0)</f>
        <v>#REF!</v>
      </c>
      <c r="F202" s="29" t="e">
        <f>VLOOKUP(D202,数据集标准分类!G:H,2,0)</f>
        <v>#N/A</v>
      </c>
      <c r="G202" s="29" t="s">
        <v>813</v>
      </c>
      <c r="H202" s="29" t="s">
        <v>814</v>
      </c>
      <c r="I202" s="29" t="s">
        <v>815</v>
      </c>
      <c r="J202" s="29" t="s">
        <v>816</v>
      </c>
      <c r="K202" s="29" t="s">
        <v>817</v>
      </c>
      <c r="L202" s="250">
        <v>43</v>
      </c>
      <c r="M202" s="251"/>
    </row>
    <row r="203" ht="46" spans="1:13">
      <c r="A203" s="248" t="s">
        <v>4175</v>
      </c>
      <c r="B203" s="45" t="s">
        <v>4174</v>
      </c>
      <c r="C203" s="249" t="e">
        <f>VLOOKUP(D203,#REF!,2,0)</f>
        <v>#REF!</v>
      </c>
      <c r="D203" s="29" t="s">
        <v>662</v>
      </c>
      <c r="E203" s="18" t="e">
        <f>VLOOKUP(C203,数据集标准分类!E:F,2,0)</f>
        <v>#REF!</v>
      </c>
      <c r="F203" s="29" t="e">
        <f>VLOOKUP(D203,数据集标准分类!G:H,2,0)</f>
        <v>#N/A</v>
      </c>
      <c r="G203" s="29" t="s">
        <v>818</v>
      </c>
      <c r="H203" s="29" t="s">
        <v>819</v>
      </c>
      <c r="I203" s="29" t="s">
        <v>820</v>
      </c>
      <c r="J203" s="29" t="s">
        <v>821</v>
      </c>
      <c r="K203" s="29" t="s">
        <v>822</v>
      </c>
      <c r="L203" s="250">
        <v>44</v>
      </c>
      <c r="M203" s="251"/>
    </row>
    <row r="204" ht="31" spans="1:13">
      <c r="A204" s="248" t="s">
        <v>4175</v>
      </c>
      <c r="B204" s="45" t="s">
        <v>4174</v>
      </c>
      <c r="C204" s="249" t="e">
        <f>VLOOKUP(D204,#REF!,2,0)</f>
        <v>#REF!</v>
      </c>
      <c r="D204" s="29" t="s">
        <v>662</v>
      </c>
      <c r="E204" s="18" t="e">
        <f>VLOOKUP(C204,数据集标准分类!E:F,2,0)</f>
        <v>#REF!</v>
      </c>
      <c r="F204" s="29" t="e">
        <f>VLOOKUP(D204,数据集标准分类!G:H,2,0)</f>
        <v>#N/A</v>
      </c>
      <c r="G204" s="29" t="s">
        <v>823</v>
      </c>
      <c r="H204" s="29" t="s">
        <v>824</v>
      </c>
      <c r="I204" s="29" t="s">
        <v>825</v>
      </c>
      <c r="J204" s="29" t="s">
        <v>826</v>
      </c>
      <c r="K204" s="29" t="s">
        <v>827</v>
      </c>
      <c r="L204" s="250">
        <v>45</v>
      </c>
      <c r="M204" s="251"/>
    </row>
    <row r="205" ht="16.8" spans="1:13">
      <c r="A205" s="248" t="s">
        <v>4175</v>
      </c>
      <c r="B205" s="45" t="s">
        <v>4174</v>
      </c>
      <c r="C205" s="249" t="e">
        <f>VLOOKUP(D205,#REF!,2,0)</f>
        <v>#REF!</v>
      </c>
      <c r="D205" s="29" t="s">
        <v>662</v>
      </c>
      <c r="E205" s="18" t="e">
        <f>VLOOKUP(C205,数据集标准分类!E:F,2,0)</f>
        <v>#REF!</v>
      </c>
      <c r="F205" s="29" t="e">
        <f>VLOOKUP(D205,数据集标准分类!G:H,2,0)</f>
        <v>#N/A</v>
      </c>
      <c r="G205" s="29" t="s">
        <v>828</v>
      </c>
      <c r="H205" s="29" t="s">
        <v>829</v>
      </c>
      <c r="I205" s="29" t="s">
        <v>830</v>
      </c>
      <c r="J205" s="29" t="s">
        <v>831</v>
      </c>
      <c r="K205" s="29" t="s">
        <v>832</v>
      </c>
      <c r="L205" s="250">
        <v>46</v>
      </c>
      <c r="M205" s="251"/>
    </row>
    <row r="206" ht="31" spans="1:13">
      <c r="A206" s="248" t="s">
        <v>4175</v>
      </c>
      <c r="B206" s="45" t="s">
        <v>4174</v>
      </c>
      <c r="C206" s="249" t="e">
        <f>VLOOKUP(D206,#REF!,2,0)</f>
        <v>#REF!</v>
      </c>
      <c r="D206" s="29" t="s">
        <v>662</v>
      </c>
      <c r="E206" s="18" t="e">
        <f>VLOOKUP(C206,数据集标准分类!E:F,2,0)</f>
        <v>#REF!</v>
      </c>
      <c r="F206" s="29" t="e">
        <f>VLOOKUP(D206,数据集标准分类!G:H,2,0)</f>
        <v>#N/A</v>
      </c>
      <c r="G206" s="29" t="s">
        <v>833</v>
      </c>
      <c r="H206" s="29" t="s">
        <v>834</v>
      </c>
      <c r="I206" s="29" t="s">
        <v>835</v>
      </c>
      <c r="J206" s="29" t="s">
        <v>836</v>
      </c>
      <c r="K206" s="29" t="s">
        <v>837</v>
      </c>
      <c r="L206" s="250">
        <v>47</v>
      </c>
      <c r="M206" s="251"/>
    </row>
    <row r="207" ht="16.8" spans="1:13">
      <c r="A207" s="248" t="s">
        <v>4175</v>
      </c>
      <c r="B207" s="45" t="s">
        <v>4174</v>
      </c>
      <c r="C207" s="249" t="e">
        <f>VLOOKUP(D207,#REF!,2,0)</f>
        <v>#REF!</v>
      </c>
      <c r="D207" s="29" t="s">
        <v>662</v>
      </c>
      <c r="E207" s="18" t="e">
        <f>VLOOKUP(C207,数据集标准分类!E:F,2,0)</f>
        <v>#REF!</v>
      </c>
      <c r="F207" s="29" t="e">
        <f>VLOOKUP(D207,数据集标准分类!G:H,2,0)</f>
        <v>#N/A</v>
      </c>
      <c r="G207" s="29" t="s">
        <v>838</v>
      </c>
      <c r="H207" s="29" t="s">
        <v>839</v>
      </c>
      <c r="I207" s="29" t="s">
        <v>840</v>
      </c>
      <c r="J207" s="29" t="s">
        <v>841</v>
      </c>
      <c r="K207" s="29" t="s">
        <v>842</v>
      </c>
      <c r="L207" s="250">
        <v>48</v>
      </c>
      <c r="M207" s="251"/>
    </row>
    <row r="208" ht="31" spans="1:13">
      <c r="A208" s="248" t="s">
        <v>4175</v>
      </c>
      <c r="B208" s="45" t="s">
        <v>4174</v>
      </c>
      <c r="C208" s="249" t="e">
        <f>VLOOKUP(D208,#REF!,2,0)</f>
        <v>#REF!</v>
      </c>
      <c r="D208" s="29" t="s">
        <v>662</v>
      </c>
      <c r="E208" s="18" t="e">
        <f>VLOOKUP(C208,数据集标准分类!E:F,2,0)</f>
        <v>#REF!</v>
      </c>
      <c r="F208" s="29" t="e">
        <f>VLOOKUP(D208,数据集标准分类!G:H,2,0)</f>
        <v>#N/A</v>
      </c>
      <c r="G208" s="29" t="s">
        <v>843</v>
      </c>
      <c r="H208" s="29" t="s">
        <v>844</v>
      </c>
      <c r="I208" s="29" t="s">
        <v>845</v>
      </c>
      <c r="J208" s="29" t="s">
        <v>846</v>
      </c>
      <c r="K208" s="29" t="s">
        <v>847</v>
      </c>
      <c r="L208" s="250">
        <v>49</v>
      </c>
      <c r="M208" s="251"/>
    </row>
    <row r="209" ht="31" spans="1:13">
      <c r="A209" s="248" t="s">
        <v>4175</v>
      </c>
      <c r="B209" s="45" t="s">
        <v>4174</v>
      </c>
      <c r="C209" s="249" t="e">
        <f>VLOOKUP(D209,#REF!,2,0)</f>
        <v>#REF!</v>
      </c>
      <c r="D209" s="29" t="s">
        <v>662</v>
      </c>
      <c r="E209" s="18" t="e">
        <f>VLOOKUP(C209,数据集标准分类!E:F,2,0)</f>
        <v>#REF!</v>
      </c>
      <c r="F209" s="29" t="e">
        <f>VLOOKUP(D209,数据集标准分类!G:H,2,0)</f>
        <v>#N/A</v>
      </c>
      <c r="G209" s="29" t="s">
        <v>848</v>
      </c>
      <c r="H209" s="29" t="s">
        <v>849</v>
      </c>
      <c r="I209" s="29" t="s">
        <v>850</v>
      </c>
      <c r="J209" s="29" t="s">
        <v>851</v>
      </c>
      <c r="K209" s="29" t="s">
        <v>852</v>
      </c>
      <c r="L209" s="250">
        <v>50</v>
      </c>
      <c r="M209" s="251"/>
    </row>
    <row r="210" ht="31" spans="1:13">
      <c r="A210" s="248" t="s">
        <v>4175</v>
      </c>
      <c r="B210" s="45" t="s">
        <v>4174</v>
      </c>
      <c r="C210" s="249" t="e">
        <f>VLOOKUP(D210,#REF!,2,0)</f>
        <v>#REF!</v>
      </c>
      <c r="D210" s="29" t="s">
        <v>662</v>
      </c>
      <c r="E210" s="18" t="e">
        <f>VLOOKUP(C210,数据集标准分类!E:F,2,0)</f>
        <v>#REF!</v>
      </c>
      <c r="F210" s="29" t="e">
        <f>VLOOKUP(D210,数据集标准分类!G:H,2,0)</f>
        <v>#N/A</v>
      </c>
      <c r="G210" s="29" t="s">
        <v>853</v>
      </c>
      <c r="H210" s="29" t="s">
        <v>854</v>
      </c>
      <c r="I210" s="29" t="s">
        <v>855</v>
      </c>
      <c r="J210" s="29" t="s">
        <v>856</v>
      </c>
      <c r="K210" s="29" t="s">
        <v>857</v>
      </c>
      <c r="L210" s="250">
        <v>51</v>
      </c>
      <c r="M210" s="251"/>
    </row>
    <row r="211" ht="31" spans="1:13">
      <c r="A211" s="248" t="s">
        <v>4175</v>
      </c>
      <c r="B211" s="45" t="s">
        <v>4174</v>
      </c>
      <c r="C211" s="249" t="e">
        <f>VLOOKUP(D211,#REF!,2,0)</f>
        <v>#REF!</v>
      </c>
      <c r="D211" s="29" t="s">
        <v>662</v>
      </c>
      <c r="E211" s="18" t="e">
        <f>VLOOKUP(C211,数据集标准分类!E:F,2,0)</f>
        <v>#REF!</v>
      </c>
      <c r="F211" s="29" t="e">
        <f>VLOOKUP(D211,数据集标准分类!G:H,2,0)</f>
        <v>#N/A</v>
      </c>
      <c r="G211" s="29" t="s">
        <v>858</v>
      </c>
      <c r="H211" s="29" t="s">
        <v>859</v>
      </c>
      <c r="I211" s="29" t="s">
        <v>860</v>
      </c>
      <c r="J211" s="29" t="s">
        <v>861</v>
      </c>
      <c r="K211" s="29" t="s">
        <v>862</v>
      </c>
      <c r="L211" s="250">
        <v>52</v>
      </c>
      <c r="M211" s="251"/>
    </row>
    <row r="212" ht="16.8" spans="1:13">
      <c r="A212" s="248" t="s">
        <v>4175</v>
      </c>
      <c r="B212" s="45" t="s">
        <v>4174</v>
      </c>
      <c r="C212" s="249" t="e">
        <f>VLOOKUP(D212,#REF!,2,0)</f>
        <v>#REF!</v>
      </c>
      <c r="D212" s="29" t="s">
        <v>662</v>
      </c>
      <c r="E212" s="18" t="e">
        <f>VLOOKUP(C212,数据集标准分类!E:F,2,0)</f>
        <v>#REF!</v>
      </c>
      <c r="F212" s="29" t="e">
        <f>VLOOKUP(D212,数据集标准分类!G:H,2,0)</f>
        <v>#N/A</v>
      </c>
      <c r="G212" s="29" t="s">
        <v>863</v>
      </c>
      <c r="H212" s="29" t="s">
        <v>864</v>
      </c>
      <c r="I212" s="29" t="s">
        <v>865</v>
      </c>
      <c r="J212" s="29" t="s">
        <v>866</v>
      </c>
      <c r="K212" s="29" t="s">
        <v>867</v>
      </c>
      <c r="L212" s="250">
        <v>53</v>
      </c>
      <c r="M212" s="251"/>
    </row>
    <row r="213" ht="24" customHeight="1" spans="1:13">
      <c r="A213" s="248" t="s">
        <v>4175</v>
      </c>
      <c r="B213" s="45" t="s">
        <v>4174</v>
      </c>
      <c r="C213" s="249" t="e">
        <f>VLOOKUP(D213,#REF!,2,0)</f>
        <v>#REF!</v>
      </c>
      <c r="D213" s="29" t="s">
        <v>662</v>
      </c>
      <c r="E213" s="18" t="e">
        <f>VLOOKUP(C213,数据集标准分类!E:F,2,0)</f>
        <v>#REF!</v>
      </c>
      <c r="F213" s="29" t="e">
        <f>VLOOKUP(D213,数据集标准分类!G:H,2,0)</f>
        <v>#N/A</v>
      </c>
      <c r="G213" s="29" t="s">
        <v>868</v>
      </c>
      <c r="H213" s="29" t="s">
        <v>869</v>
      </c>
      <c r="I213" s="29" t="s">
        <v>870</v>
      </c>
      <c r="J213" s="29" t="s">
        <v>871</v>
      </c>
      <c r="K213" s="29" t="s">
        <v>872</v>
      </c>
      <c r="L213" s="250">
        <v>54</v>
      </c>
      <c r="M213" s="251"/>
    </row>
    <row r="214" ht="16.8" spans="1:13">
      <c r="A214" s="248" t="s">
        <v>4175</v>
      </c>
      <c r="B214" s="45" t="s">
        <v>4174</v>
      </c>
      <c r="C214" s="249" t="e">
        <f>VLOOKUP(D214,#REF!,2,0)</f>
        <v>#REF!</v>
      </c>
      <c r="D214" s="29" t="s">
        <v>662</v>
      </c>
      <c r="E214" s="18" t="e">
        <f>VLOOKUP(C214,数据集标准分类!E:F,2,0)</f>
        <v>#REF!</v>
      </c>
      <c r="F214" s="29" t="e">
        <f>VLOOKUP(D214,数据集标准分类!G:H,2,0)</f>
        <v>#N/A</v>
      </c>
      <c r="G214" s="29" t="s">
        <v>873</v>
      </c>
      <c r="H214" s="29" t="s">
        <v>874</v>
      </c>
      <c r="I214" s="29" t="s">
        <v>875</v>
      </c>
      <c r="J214" s="29" t="s">
        <v>876</v>
      </c>
      <c r="K214" s="29" t="s">
        <v>877</v>
      </c>
      <c r="L214" s="250">
        <v>55</v>
      </c>
      <c r="M214" s="251"/>
    </row>
    <row r="215" ht="31" spans="1:13">
      <c r="A215" s="248" t="s">
        <v>4175</v>
      </c>
      <c r="B215" s="45" t="s">
        <v>4174</v>
      </c>
      <c r="C215" s="249" t="e">
        <f>VLOOKUP(D215,#REF!,2,0)</f>
        <v>#REF!</v>
      </c>
      <c r="D215" s="29" t="s">
        <v>662</v>
      </c>
      <c r="E215" s="18" t="e">
        <f>VLOOKUP(C215,数据集标准分类!E:F,2,0)</f>
        <v>#REF!</v>
      </c>
      <c r="F215" s="29" t="e">
        <f>VLOOKUP(D215,数据集标准分类!G:H,2,0)</f>
        <v>#N/A</v>
      </c>
      <c r="G215" s="29" t="s">
        <v>878</v>
      </c>
      <c r="H215" s="29" t="s">
        <v>879</v>
      </c>
      <c r="I215" s="29" t="s">
        <v>880</v>
      </c>
      <c r="J215" s="29" t="s">
        <v>881</v>
      </c>
      <c r="K215" s="29" t="s">
        <v>882</v>
      </c>
      <c r="L215" s="250">
        <v>56</v>
      </c>
      <c r="M215" s="251"/>
    </row>
    <row r="216" ht="31" spans="1:13">
      <c r="A216" s="248" t="s">
        <v>4175</v>
      </c>
      <c r="B216" s="45" t="s">
        <v>4174</v>
      </c>
      <c r="C216" s="249" t="e">
        <f>VLOOKUP(D216,#REF!,2,0)</f>
        <v>#REF!</v>
      </c>
      <c r="D216" s="29" t="s">
        <v>662</v>
      </c>
      <c r="E216" s="18" t="e">
        <f>VLOOKUP(C216,数据集标准分类!E:F,2,0)</f>
        <v>#REF!</v>
      </c>
      <c r="F216" s="29" t="e">
        <f>VLOOKUP(D216,数据集标准分类!G:H,2,0)</f>
        <v>#N/A</v>
      </c>
      <c r="G216" s="29" t="s">
        <v>883</v>
      </c>
      <c r="H216" s="29" t="s">
        <v>884</v>
      </c>
      <c r="I216" s="29" t="s">
        <v>885</v>
      </c>
      <c r="J216" s="29" t="s">
        <v>886</v>
      </c>
      <c r="K216" s="29" t="s">
        <v>887</v>
      </c>
      <c r="L216" s="250">
        <v>57</v>
      </c>
      <c r="M216" s="251"/>
    </row>
    <row r="217" ht="31" spans="1:13">
      <c r="A217" s="248" t="s">
        <v>4175</v>
      </c>
      <c r="B217" s="45" t="s">
        <v>4174</v>
      </c>
      <c r="C217" s="249" t="e">
        <f>VLOOKUP(D217,#REF!,2,0)</f>
        <v>#REF!</v>
      </c>
      <c r="D217" s="29" t="s">
        <v>662</v>
      </c>
      <c r="E217" s="18" t="e">
        <f>VLOOKUP(C217,数据集标准分类!E:F,2,0)</f>
        <v>#REF!</v>
      </c>
      <c r="F217" s="29" t="e">
        <f>VLOOKUP(D217,数据集标准分类!G:H,2,0)</f>
        <v>#N/A</v>
      </c>
      <c r="G217" s="29" t="s">
        <v>888</v>
      </c>
      <c r="H217" s="29" t="s">
        <v>889</v>
      </c>
      <c r="I217" s="29" t="s">
        <v>890</v>
      </c>
      <c r="J217" s="29" t="s">
        <v>891</v>
      </c>
      <c r="K217" s="29" t="s">
        <v>892</v>
      </c>
      <c r="L217" s="250">
        <v>58</v>
      </c>
      <c r="M217" s="251"/>
    </row>
    <row r="218" ht="31" spans="1:13">
      <c r="A218" s="248" t="s">
        <v>4175</v>
      </c>
      <c r="B218" s="45" t="s">
        <v>4174</v>
      </c>
      <c r="C218" s="249" t="e">
        <f>VLOOKUP(D218,#REF!,2,0)</f>
        <v>#REF!</v>
      </c>
      <c r="D218" s="29" t="s">
        <v>662</v>
      </c>
      <c r="E218" s="18" t="e">
        <f>VLOOKUP(C218,数据集标准分类!E:F,2,0)</f>
        <v>#REF!</v>
      </c>
      <c r="F218" s="29" t="e">
        <f>VLOOKUP(D218,数据集标准分类!G:H,2,0)</f>
        <v>#N/A</v>
      </c>
      <c r="G218" s="64" t="s">
        <v>893</v>
      </c>
      <c r="H218" s="29" t="s">
        <v>894</v>
      </c>
      <c r="I218" s="29" t="s">
        <v>895</v>
      </c>
      <c r="J218" s="29" t="s">
        <v>896</v>
      </c>
      <c r="K218" s="29" t="s">
        <v>897</v>
      </c>
      <c r="L218" s="250">
        <v>59</v>
      </c>
      <c r="M218" s="251"/>
    </row>
    <row r="219" ht="16.8" spans="1:13">
      <c r="A219" s="248" t="s">
        <v>4175</v>
      </c>
      <c r="B219" s="45" t="s">
        <v>4174</v>
      </c>
      <c r="C219" s="249" t="e">
        <f>VLOOKUP(D219,#REF!,2,0)</f>
        <v>#REF!</v>
      </c>
      <c r="D219" s="29" t="s">
        <v>662</v>
      </c>
      <c r="E219" s="18" t="e">
        <f>VLOOKUP(C219,数据集标准分类!E:F,2,0)</f>
        <v>#REF!</v>
      </c>
      <c r="F219" s="29" t="e">
        <f>VLOOKUP(D219,数据集标准分类!G:H,2,0)</f>
        <v>#N/A</v>
      </c>
      <c r="G219" s="29" t="s">
        <v>898</v>
      </c>
      <c r="H219" s="29" t="s">
        <v>899</v>
      </c>
      <c r="I219" s="29" t="s">
        <v>900</v>
      </c>
      <c r="J219" s="29" t="s">
        <v>901</v>
      </c>
      <c r="K219" s="29" t="s">
        <v>902</v>
      </c>
      <c r="L219" s="250">
        <v>60</v>
      </c>
      <c r="M219" s="251"/>
    </row>
    <row r="220" ht="31" spans="1:13">
      <c r="A220" s="248" t="s">
        <v>4175</v>
      </c>
      <c r="B220" s="45" t="s">
        <v>4174</v>
      </c>
      <c r="C220" s="249" t="e">
        <f>VLOOKUP(D220,#REF!,2,0)</f>
        <v>#REF!</v>
      </c>
      <c r="D220" s="29" t="s">
        <v>662</v>
      </c>
      <c r="E220" s="18" t="e">
        <f>VLOOKUP(C220,数据集标准分类!E:F,2,0)</f>
        <v>#REF!</v>
      </c>
      <c r="F220" s="29" t="e">
        <f>VLOOKUP(D220,数据集标准分类!G:H,2,0)</f>
        <v>#N/A</v>
      </c>
      <c r="G220" s="29" t="s">
        <v>903</v>
      </c>
      <c r="H220" s="29" t="s">
        <v>904</v>
      </c>
      <c r="I220" s="29" t="s">
        <v>905</v>
      </c>
      <c r="J220" s="29" t="s">
        <v>906</v>
      </c>
      <c r="K220" s="29" t="s">
        <v>907</v>
      </c>
      <c r="L220" s="250">
        <v>61</v>
      </c>
      <c r="M220" s="251"/>
    </row>
    <row r="221" ht="31" spans="1:13">
      <c r="A221" s="248" t="s">
        <v>4175</v>
      </c>
      <c r="B221" s="45" t="s">
        <v>4174</v>
      </c>
      <c r="C221" s="249" t="e">
        <f>VLOOKUP(D221,#REF!,2,0)</f>
        <v>#REF!</v>
      </c>
      <c r="D221" s="29" t="s">
        <v>662</v>
      </c>
      <c r="E221" s="18" t="e">
        <f>VLOOKUP(C221,数据集标准分类!E:F,2,0)</f>
        <v>#REF!</v>
      </c>
      <c r="F221" s="29" t="e">
        <f>VLOOKUP(D221,数据集标准分类!G:H,2,0)</f>
        <v>#N/A</v>
      </c>
      <c r="G221" s="29" t="s">
        <v>908</v>
      </c>
      <c r="H221" s="29" t="s">
        <v>909</v>
      </c>
      <c r="I221" s="29" t="s">
        <v>910</v>
      </c>
      <c r="J221" s="29" t="s">
        <v>911</v>
      </c>
      <c r="K221" s="29" t="s">
        <v>912</v>
      </c>
      <c r="L221" s="250">
        <v>62</v>
      </c>
      <c r="M221" s="251"/>
    </row>
    <row r="222" ht="31" spans="1:13">
      <c r="A222" s="248" t="s">
        <v>4175</v>
      </c>
      <c r="B222" s="45" t="s">
        <v>4174</v>
      </c>
      <c r="C222" s="249" t="e">
        <f>VLOOKUP(D222,#REF!,2,0)</f>
        <v>#REF!</v>
      </c>
      <c r="D222" s="29" t="s">
        <v>662</v>
      </c>
      <c r="E222" s="18" t="e">
        <f>VLOOKUP(C222,数据集标准分类!E:F,2,0)</f>
        <v>#REF!</v>
      </c>
      <c r="F222" s="29" t="e">
        <f>VLOOKUP(D222,数据集标准分类!G:H,2,0)</f>
        <v>#N/A</v>
      </c>
      <c r="G222" s="29" t="s">
        <v>913</v>
      </c>
      <c r="H222" s="29" t="s">
        <v>914</v>
      </c>
      <c r="I222" s="29" t="s">
        <v>915</v>
      </c>
      <c r="J222" s="29" t="s">
        <v>916</v>
      </c>
      <c r="K222" s="29" t="s">
        <v>917</v>
      </c>
      <c r="L222" s="250">
        <v>63</v>
      </c>
      <c r="M222" s="251"/>
    </row>
    <row r="223" ht="46" spans="1:13">
      <c r="A223" s="248" t="s">
        <v>4175</v>
      </c>
      <c r="B223" s="45" t="s">
        <v>4174</v>
      </c>
      <c r="C223" s="249" t="e">
        <f>VLOOKUP(D223,#REF!,2,0)</f>
        <v>#REF!</v>
      </c>
      <c r="D223" s="29" t="s">
        <v>923</v>
      </c>
      <c r="E223" s="18" t="e">
        <f>VLOOKUP(C223,数据集标准分类!E:F,2,0)</f>
        <v>#REF!</v>
      </c>
      <c r="F223" s="29" t="e">
        <f>VLOOKUP(D223,数据集标准分类!G:H,2,0)</f>
        <v>#N/A</v>
      </c>
      <c r="G223" s="29" t="s">
        <v>152</v>
      </c>
      <c r="H223" s="29" t="s">
        <v>153</v>
      </c>
      <c r="I223" s="29" t="s">
        <v>154</v>
      </c>
      <c r="J223" s="29" t="s">
        <v>155</v>
      </c>
      <c r="K223" s="29" t="s">
        <v>156</v>
      </c>
      <c r="L223" s="250">
        <v>1</v>
      </c>
      <c r="M223" s="251"/>
    </row>
    <row r="224" ht="46" spans="1:13">
      <c r="A224" s="248" t="s">
        <v>4175</v>
      </c>
      <c r="B224" s="45" t="s">
        <v>4174</v>
      </c>
      <c r="C224" s="249" t="e">
        <f>VLOOKUP(D224,#REF!,2,0)</f>
        <v>#REF!</v>
      </c>
      <c r="D224" s="29" t="s">
        <v>923</v>
      </c>
      <c r="E224" s="18" t="e">
        <f>VLOOKUP(C224,数据集标准分类!E:F,2,0)</f>
        <v>#REF!</v>
      </c>
      <c r="F224" s="29" t="e">
        <f>VLOOKUP(D224,数据集标准分类!G:H,2,0)</f>
        <v>#N/A</v>
      </c>
      <c r="G224" s="29" t="s">
        <v>157</v>
      </c>
      <c r="H224" s="29" t="s">
        <v>158</v>
      </c>
      <c r="I224" s="29" t="s">
        <v>159</v>
      </c>
      <c r="J224" s="29" t="s">
        <v>160</v>
      </c>
      <c r="K224" s="29" t="s">
        <v>161</v>
      </c>
      <c r="L224" s="250">
        <v>2</v>
      </c>
      <c r="M224" s="251"/>
    </row>
    <row r="225" ht="61" spans="1:13">
      <c r="A225" s="248" t="s">
        <v>4175</v>
      </c>
      <c r="B225" s="45" t="s">
        <v>4174</v>
      </c>
      <c r="C225" s="249" t="e">
        <f>VLOOKUP(D225,#REF!,2,0)</f>
        <v>#REF!</v>
      </c>
      <c r="D225" s="29" t="s">
        <v>923</v>
      </c>
      <c r="E225" s="18" t="e">
        <f>VLOOKUP(C225,数据集标准分类!E:F,2,0)</f>
        <v>#REF!</v>
      </c>
      <c r="F225" s="29" t="e">
        <f>VLOOKUP(D225,数据集标准分类!G:H,2,0)</f>
        <v>#N/A</v>
      </c>
      <c r="G225" s="29" t="s">
        <v>663</v>
      </c>
      <c r="H225" s="29" t="s">
        <v>664</v>
      </c>
      <c r="I225" s="29" t="s">
        <v>665</v>
      </c>
      <c r="J225" s="29" t="s">
        <v>666</v>
      </c>
      <c r="K225" s="29" t="s">
        <v>667</v>
      </c>
      <c r="L225" s="250">
        <v>3</v>
      </c>
      <c r="M225" s="251"/>
    </row>
    <row r="226" ht="31" spans="1:13">
      <c r="A226" s="248" t="s">
        <v>4175</v>
      </c>
      <c r="B226" s="45" t="s">
        <v>4174</v>
      </c>
      <c r="C226" s="249" t="e">
        <f>VLOOKUP(D226,#REF!,2,0)</f>
        <v>#REF!</v>
      </c>
      <c r="D226" s="29" t="s">
        <v>923</v>
      </c>
      <c r="E226" s="18" t="e">
        <f>VLOOKUP(C226,数据集标准分类!E:F,2,0)</f>
        <v>#REF!</v>
      </c>
      <c r="F226" s="29" t="e">
        <f>VLOOKUP(D226,数据集标准分类!G:H,2,0)</f>
        <v>#N/A</v>
      </c>
      <c r="G226" s="29" t="s">
        <v>668</v>
      </c>
      <c r="H226" s="29" t="s">
        <v>669</v>
      </c>
      <c r="I226" s="29" t="s">
        <v>670</v>
      </c>
      <c r="J226" s="29" t="s">
        <v>671</v>
      </c>
      <c r="K226" s="29" t="s">
        <v>672</v>
      </c>
      <c r="L226" s="250">
        <v>4</v>
      </c>
      <c r="M226" s="251"/>
    </row>
    <row r="227" ht="16.8" spans="1:13">
      <c r="A227" s="248" t="s">
        <v>4175</v>
      </c>
      <c r="B227" s="45" t="s">
        <v>4174</v>
      </c>
      <c r="C227" s="249" t="e">
        <f>VLOOKUP(D227,#REF!,2,0)</f>
        <v>#REF!</v>
      </c>
      <c r="D227" s="29" t="s">
        <v>923</v>
      </c>
      <c r="E227" s="18" t="e">
        <f>VLOOKUP(C227,数据集标准分类!E:F,2,0)</f>
        <v>#REF!</v>
      </c>
      <c r="F227" s="29" t="e">
        <f>VLOOKUP(D227,数据集标准分类!G:H,2,0)</f>
        <v>#N/A</v>
      </c>
      <c r="G227" s="29" t="s">
        <v>924</v>
      </c>
      <c r="H227" s="29" t="s">
        <v>925</v>
      </c>
      <c r="I227" s="29" t="s">
        <v>926</v>
      </c>
      <c r="J227" s="29" t="s">
        <v>927</v>
      </c>
      <c r="K227" s="29" t="s">
        <v>928</v>
      </c>
      <c r="L227" s="250">
        <v>5</v>
      </c>
      <c r="M227" s="251"/>
    </row>
    <row r="228" ht="31" spans="1:13">
      <c r="A228" s="248" t="s">
        <v>4175</v>
      </c>
      <c r="B228" s="45" t="s">
        <v>4174</v>
      </c>
      <c r="C228" s="249" t="e">
        <f>VLOOKUP(D228,#REF!,2,0)</f>
        <v>#REF!</v>
      </c>
      <c r="D228" s="29" t="s">
        <v>923</v>
      </c>
      <c r="E228" s="18" t="e">
        <f>VLOOKUP(C228,数据集标准分类!E:F,2,0)</f>
        <v>#REF!</v>
      </c>
      <c r="F228" s="29" t="e">
        <f>VLOOKUP(D228,数据集标准分类!G:H,2,0)</f>
        <v>#N/A</v>
      </c>
      <c r="G228" s="29" t="s">
        <v>929</v>
      </c>
      <c r="H228" s="29" t="s">
        <v>930</v>
      </c>
      <c r="I228" s="29" t="s">
        <v>931</v>
      </c>
      <c r="J228" s="29" t="s">
        <v>932</v>
      </c>
      <c r="K228" s="29" t="s">
        <v>933</v>
      </c>
      <c r="L228" s="250">
        <v>6</v>
      </c>
      <c r="M228" s="251"/>
    </row>
    <row r="229" ht="16.8" spans="1:13">
      <c r="A229" s="248" t="s">
        <v>4175</v>
      </c>
      <c r="B229" s="45" t="s">
        <v>4174</v>
      </c>
      <c r="C229" s="249" t="e">
        <f>VLOOKUP(D229,#REF!,2,0)</f>
        <v>#REF!</v>
      </c>
      <c r="D229" s="29" t="s">
        <v>923</v>
      </c>
      <c r="E229" s="18" t="e">
        <f>VLOOKUP(C229,数据集标准分类!E:F,2,0)</f>
        <v>#REF!</v>
      </c>
      <c r="F229" s="29" t="e">
        <f>VLOOKUP(D229,数据集标准分类!G:H,2,0)</f>
        <v>#N/A</v>
      </c>
      <c r="G229" s="29" t="s">
        <v>934</v>
      </c>
      <c r="H229" s="29" t="s">
        <v>935</v>
      </c>
      <c r="I229" s="29" t="s">
        <v>936</v>
      </c>
      <c r="J229" s="29" t="s">
        <v>937</v>
      </c>
      <c r="K229" s="29" t="s">
        <v>938</v>
      </c>
      <c r="L229" s="250">
        <v>7</v>
      </c>
      <c r="M229" s="251"/>
    </row>
    <row r="230" ht="46" spans="1:13">
      <c r="A230" s="248" t="s">
        <v>4175</v>
      </c>
      <c r="B230" s="45" t="s">
        <v>4174</v>
      </c>
      <c r="C230" s="249" t="e">
        <f>VLOOKUP(D230,#REF!,2,0)</f>
        <v>#REF!</v>
      </c>
      <c r="D230" s="29" t="s">
        <v>923</v>
      </c>
      <c r="E230" s="18" t="e">
        <f>VLOOKUP(C230,数据集标准分类!E:F,2,0)</f>
        <v>#REF!</v>
      </c>
      <c r="F230" s="29" t="e">
        <f>VLOOKUP(D230,数据集标准分类!G:H,2,0)</f>
        <v>#N/A</v>
      </c>
      <c r="G230" s="29" t="s">
        <v>784</v>
      </c>
      <c r="H230" s="29" t="s">
        <v>785</v>
      </c>
      <c r="I230" s="29" t="s">
        <v>786</v>
      </c>
      <c r="J230" s="29" t="s">
        <v>787</v>
      </c>
      <c r="K230" s="29" t="s">
        <v>788</v>
      </c>
      <c r="L230" s="250">
        <v>8</v>
      </c>
      <c r="M230" s="251"/>
    </row>
    <row r="231" ht="31" spans="1:13">
      <c r="A231" s="248" t="s">
        <v>4175</v>
      </c>
      <c r="B231" s="45" t="s">
        <v>4174</v>
      </c>
      <c r="C231" s="249" t="e">
        <f>VLOOKUP(D231,#REF!,2,0)</f>
        <v>#REF!</v>
      </c>
      <c r="D231" s="29" t="s">
        <v>923</v>
      </c>
      <c r="E231" s="18" t="e">
        <f>VLOOKUP(C231,数据集标准分类!E:F,2,0)</f>
        <v>#REF!</v>
      </c>
      <c r="F231" s="29" t="e">
        <f>VLOOKUP(D231,数据集标准分类!G:H,2,0)</f>
        <v>#N/A</v>
      </c>
      <c r="G231" s="29" t="s">
        <v>789</v>
      </c>
      <c r="H231" s="29" t="s">
        <v>790</v>
      </c>
      <c r="I231" s="29" t="s">
        <v>790</v>
      </c>
      <c r="J231" s="29" t="s">
        <v>791</v>
      </c>
      <c r="K231" s="29" t="s">
        <v>792</v>
      </c>
      <c r="L231" s="250">
        <v>9</v>
      </c>
      <c r="M231" s="251"/>
    </row>
    <row r="232" ht="24" customHeight="1" spans="1:13">
      <c r="A232" s="248" t="s">
        <v>4175</v>
      </c>
      <c r="B232" s="45" t="s">
        <v>4174</v>
      </c>
      <c r="C232" s="249" t="e">
        <f>VLOOKUP(D232,#REF!,2,0)</f>
        <v>#REF!</v>
      </c>
      <c r="D232" s="29" t="s">
        <v>923</v>
      </c>
      <c r="E232" s="18" t="e">
        <f>VLOOKUP(C232,数据集标准分类!E:F,2,0)</f>
        <v>#REF!</v>
      </c>
      <c r="F232" s="29" t="e">
        <f>VLOOKUP(D232,数据集标准分类!G:H,2,0)</f>
        <v>#N/A</v>
      </c>
      <c r="G232" s="29" t="s">
        <v>939</v>
      </c>
      <c r="H232" s="29" t="s">
        <v>940</v>
      </c>
      <c r="I232" s="29" t="s">
        <v>941</v>
      </c>
      <c r="J232" s="29" t="s">
        <v>942</v>
      </c>
      <c r="K232" s="29" t="s">
        <v>797</v>
      </c>
      <c r="L232" s="250">
        <v>10</v>
      </c>
      <c r="M232" s="251"/>
    </row>
    <row r="233" ht="46" spans="1:13">
      <c r="A233" s="248" t="s">
        <v>4175</v>
      </c>
      <c r="B233" s="45" t="s">
        <v>4174</v>
      </c>
      <c r="C233" s="249" t="e">
        <f>VLOOKUP(D233,#REF!,2,0)</f>
        <v>#REF!</v>
      </c>
      <c r="D233" s="29" t="s">
        <v>923</v>
      </c>
      <c r="E233" s="18" t="e">
        <f>VLOOKUP(C233,数据集标准分类!E:F,2,0)</f>
        <v>#REF!</v>
      </c>
      <c r="F233" s="29" t="e">
        <f>VLOOKUP(D233,数据集标准分类!G:H,2,0)</f>
        <v>#N/A</v>
      </c>
      <c r="G233" s="29" t="s">
        <v>943</v>
      </c>
      <c r="H233" s="29" t="s">
        <v>944</v>
      </c>
      <c r="I233" s="29" t="s">
        <v>945</v>
      </c>
      <c r="J233" s="29" t="s">
        <v>946</v>
      </c>
      <c r="K233" s="29" t="s">
        <v>947</v>
      </c>
      <c r="L233" s="250">
        <v>11</v>
      </c>
      <c r="M233" s="251"/>
    </row>
    <row r="234" ht="46" spans="1:13">
      <c r="A234" s="248" t="s">
        <v>4175</v>
      </c>
      <c r="B234" s="45" t="s">
        <v>4174</v>
      </c>
      <c r="C234" s="249" t="e">
        <f>VLOOKUP(D234,#REF!,2,0)</f>
        <v>#REF!</v>
      </c>
      <c r="D234" s="29" t="s">
        <v>923</v>
      </c>
      <c r="E234" s="18" t="e">
        <f>VLOOKUP(C234,数据集标准分类!E:F,2,0)</f>
        <v>#REF!</v>
      </c>
      <c r="F234" s="29" t="e">
        <f>VLOOKUP(D234,数据集标准分类!G:H,2,0)</f>
        <v>#N/A</v>
      </c>
      <c r="G234" s="29" t="s">
        <v>948</v>
      </c>
      <c r="H234" s="29" t="s">
        <v>949</v>
      </c>
      <c r="I234" s="29" t="s">
        <v>950</v>
      </c>
      <c r="J234" s="29" t="s">
        <v>951</v>
      </c>
      <c r="K234" s="29" t="s">
        <v>807</v>
      </c>
      <c r="L234" s="250">
        <v>12</v>
      </c>
      <c r="M234" s="251"/>
    </row>
    <row r="235" ht="46" spans="1:13">
      <c r="A235" s="248" t="s">
        <v>4175</v>
      </c>
      <c r="B235" s="45" t="s">
        <v>4174</v>
      </c>
      <c r="C235" s="249" t="e">
        <f>VLOOKUP(D235,#REF!,2,0)</f>
        <v>#REF!</v>
      </c>
      <c r="D235" s="29" t="s">
        <v>923</v>
      </c>
      <c r="E235" s="18" t="e">
        <f>VLOOKUP(C235,数据集标准分类!E:F,2,0)</f>
        <v>#REF!</v>
      </c>
      <c r="F235" s="29" t="e">
        <f>VLOOKUP(D235,数据集标准分类!G:H,2,0)</f>
        <v>#N/A</v>
      </c>
      <c r="G235" s="29" t="s">
        <v>952</v>
      </c>
      <c r="H235" s="29" t="s">
        <v>953</v>
      </c>
      <c r="I235" s="29" t="s">
        <v>954</v>
      </c>
      <c r="J235" s="29" t="s">
        <v>955</v>
      </c>
      <c r="K235" s="29" t="s">
        <v>956</v>
      </c>
      <c r="L235" s="250">
        <v>13</v>
      </c>
      <c r="M235" s="251"/>
    </row>
    <row r="236" ht="46" spans="1:13">
      <c r="A236" s="248" t="s">
        <v>4175</v>
      </c>
      <c r="B236" s="45" t="s">
        <v>4174</v>
      </c>
      <c r="C236" s="249" t="e">
        <f>VLOOKUP(D236,#REF!,2,0)</f>
        <v>#REF!</v>
      </c>
      <c r="D236" s="29" t="s">
        <v>923</v>
      </c>
      <c r="E236" s="18" t="e">
        <f>VLOOKUP(C236,数据集标准分类!E:F,2,0)</f>
        <v>#REF!</v>
      </c>
      <c r="F236" s="29" t="e">
        <f>VLOOKUP(D236,数据集标准分类!G:H,2,0)</f>
        <v>#N/A</v>
      </c>
      <c r="G236" s="29" t="s">
        <v>957</v>
      </c>
      <c r="H236" s="29" t="s">
        <v>958</v>
      </c>
      <c r="I236" s="29" t="s">
        <v>959</v>
      </c>
      <c r="J236" s="29" t="s">
        <v>960</v>
      </c>
      <c r="K236" s="29" t="s">
        <v>817</v>
      </c>
      <c r="L236" s="250">
        <v>14</v>
      </c>
      <c r="M236" s="251"/>
    </row>
    <row r="237" ht="46" spans="1:13">
      <c r="A237" s="248" t="s">
        <v>4175</v>
      </c>
      <c r="B237" s="45" t="s">
        <v>4174</v>
      </c>
      <c r="C237" s="249" t="e">
        <f>VLOOKUP(D237,#REF!,2,0)</f>
        <v>#REF!</v>
      </c>
      <c r="D237" s="29" t="s">
        <v>923</v>
      </c>
      <c r="E237" s="18" t="e">
        <f>VLOOKUP(C237,数据集标准分类!E:F,2,0)</f>
        <v>#REF!</v>
      </c>
      <c r="F237" s="29" t="e">
        <f>VLOOKUP(D237,数据集标准分类!G:H,2,0)</f>
        <v>#N/A</v>
      </c>
      <c r="G237" s="29" t="s">
        <v>961</v>
      </c>
      <c r="H237" s="29" t="s">
        <v>962</v>
      </c>
      <c r="I237" s="29" t="s">
        <v>963</v>
      </c>
      <c r="J237" s="29" t="s">
        <v>964</v>
      </c>
      <c r="K237" s="29" t="s">
        <v>965</v>
      </c>
      <c r="L237" s="250">
        <v>15</v>
      </c>
      <c r="M237" s="251"/>
    </row>
    <row r="238" ht="16.8" spans="1:13">
      <c r="A238" s="248" t="s">
        <v>4175</v>
      </c>
      <c r="B238" s="45" t="s">
        <v>4174</v>
      </c>
      <c r="C238" s="249" t="e">
        <f>VLOOKUP(D238,#REF!,2,0)</f>
        <v>#REF!</v>
      </c>
      <c r="D238" s="29" t="s">
        <v>923</v>
      </c>
      <c r="E238" s="18" t="e">
        <f>VLOOKUP(C238,数据集标准分类!E:F,2,0)</f>
        <v>#REF!</v>
      </c>
      <c r="F238" s="29" t="e">
        <f>VLOOKUP(D238,数据集标准分类!G:H,2,0)</f>
        <v>#N/A</v>
      </c>
      <c r="G238" s="29" t="s">
        <v>966</v>
      </c>
      <c r="H238" s="29" t="s">
        <v>967</v>
      </c>
      <c r="I238" s="29" t="s">
        <v>968</v>
      </c>
      <c r="J238" s="29" t="s">
        <v>969</v>
      </c>
      <c r="K238" s="29" t="s">
        <v>970</v>
      </c>
      <c r="L238" s="250">
        <v>16</v>
      </c>
      <c r="M238" s="251"/>
    </row>
    <row r="239" ht="16.8" spans="1:13">
      <c r="A239" s="248" t="s">
        <v>4175</v>
      </c>
      <c r="B239" s="45" t="s">
        <v>4174</v>
      </c>
      <c r="C239" s="249" t="e">
        <f>VLOOKUP(D239,#REF!,2,0)</f>
        <v>#REF!</v>
      </c>
      <c r="D239" s="29" t="s">
        <v>923</v>
      </c>
      <c r="E239" s="18" t="e">
        <f>VLOOKUP(C239,数据集标准分类!E:F,2,0)</f>
        <v>#REF!</v>
      </c>
      <c r="F239" s="29" t="e">
        <f>VLOOKUP(D239,数据集标准分类!G:H,2,0)</f>
        <v>#N/A</v>
      </c>
      <c r="G239" s="29" t="s">
        <v>971</v>
      </c>
      <c r="H239" s="29" t="s">
        <v>972</v>
      </c>
      <c r="I239" s="29" t="s">
        <v>973</v>
      </c>
      <c r="J239" s="29" t="s">
        <v>974</v>
      </c>
      <c r="K239" s="29" t="s">
        <v>975</v>
      </c>
      <c r="L239" s="250">
        <v>17</v>
      </c>
      <c r="M239" s="251"/>
    </row>
    <row r="240" ht="31" spans="1:13">
      <c r="A240" s="248" t="s">
        <v>4175</v>
      </c>
      <c r="B240" s="45" t="s">
        <v>4174</v>
      </c>
      <c r="C240" s="249" t="e">
        <f>VLOOKUP(D240,#REF!,2,0)</f>
        <v>#REF!</v>
      </c>
      <c r="D240" s="29" t="s">
        <v>923</v>
      </c>
      <c r="E240" s="18" t="e">
        <f>VLOOKUP(C240,数据集标准分类!E:F,2,0)</f>
        <v>#REF!</v>
      </c>
      <c r="F240" s="29" t="e">
        <f>VLOOKUP(D240,数据集标准分类!G:H,2,0)</f>
        <v>#N/A</v>
      </c>
      <c r="G240" s="29" t="s">
        <v>976</v>
      </c>
      <c r="H240" s="29" t="s">
        <v>977</v>
      </c>
      <c r="I240" s="29" t="s">
        <v>978</v>
      </c>
      <c r="J240" s="29" t="s">
        <v>979</v>
      </c>
      <c r="K240" s="29" t="s">
        <v>980</v>
      </c>
      <c r="L240" s="250">
        <v>18</v>
      </c>
      <c r="M240" s="251"/>
    </row>
    <row r="241" ht="31" spans="1:13">
      <c r="A241" s="248" t="s">
        <v>4175</v>
      </c>
      <c r="B241" s="45" t="s">
        <v>4174</v>
      </c>
      <c r="C241" s="249" t="e">
        <f>VLOOKUP(D241,#REF!,2,0)</f>
        <v>#REF!</v>
      </c>
      <c r="D241" s="29" t="s">
        <v>923</v>
      </c>
      <c r="E241" s="18" t="e">
        <f>VLOOKUP(C241,数据集标准分类!E:F,2,0)</f>
        <v>#REF!</v>
      </c>
      <c r="F241" s="29" t="e">
        <f>VLOOKUP(D241,数据集标准分类!G:H,2,0)</f>
        <v>#N/A</v>
      </c>
      <c r="G241" s="29" t="s">
        <v>981</v>
      </c>
      <c r="H241" s="29" t="s">
        <v>982</v>
      </c>
      <c r="I241" s="29" t="s">
        <v>983</v>
      </c>
      <c r="J241" s="29" t="s">
        <v>984</v>
      </c>
      <c r="K241" s="29" t="s">
        <v>985</v>
      </c>
      <c r="L241" s="250">
        <v>19</v>
      </c>
      <c r="M241" s="251"/>
    </row>
    <row r="242" ht="31" spans="1:13">
      <c r="A242" s="248" t="s">
        <v>4175</v>
      </c>
      <c r="B242" s="45" t="s">
        <v>4174</v>
      </c>
      <c r="C242" s="249" t="e">
        <f>VLOOKUP(D242,#REF!,2,0)</f>
        <v>#REF!</v>
      </c>
      <c r="D242" s="29" t="s">
        <v>923</v>
      </c>
      <c r="E242" s="18" t="e">
        <f>VLOOKUP(C242,数据集标准分类!E:F,2,0)</f>
        <v>#REF!</v>
      </c>
      <c r="F242" s="29" t="e">
        <f>VLOOKUP(D242,数据集标准分类!G:H,2,0)</f>
        <v>#N/A</v>
      </c>
      <c r="G242" s="29" t="s">
        <v>986</v>
      </c>
      <c r="H242" s="29" t="s">
        <v>987</v>
      </c>
      <c r="I242" s="29" t="s">
        <v>988</v>
      </c>
      <c r="J242" s="29" t="s">
        <v>989</v>
      </c>
      <c r="K242" s="29" t="s">
        <v>990</v>
      </c>
      <c r="L242" s="250">
        <v>20</v>
      </c>
      <c r="M242" s="251"/>
    </row>
    <row r="243" ht="31" spans="1:13">
      <c r="A243" s="248" t="s">
        <v>4175</v>
      </c>
      <c r="B243" s="45" t="s">
        <v>4174</v>
      </c>
      <c r="C243" s="249" t="e">
        <f>VLOOKUP(D243,#REF!,2,0)</f>
        <v>#REF!</v>
      </c>
      <c r="D243" s="29" t="s">
        <v>923</v>
      </c>
      <c r="E243" s="18" t="e">
        <f>VLOOKUP(C243,数据集标准分类!E:F,2,0)</f>
        <v>#REF!</v>
      </c>
      <c r="F243" s="29" t="e">
        <f>VLOOKUP(D243,数据集标准分类!G:H,2,0)</f>
        <v>#N/A</v>
      </c>
      <c r="G243" s="29" t="s">
        <v>991</v>
      </c>
      <c r="H243" s="29" t="s">
        <v>992</v>
      </c>
      <c r="I243" s="29" t="s">
        <v>993</v>
      </c>
      <c r="J243" s="29" t="s">
        <v>994</v>
      </c>
      <c r="K243" s="29" t="s">
        <v>995</v>
      </c>
      <c r="L243" s="250">
        <v>21</v>
      </c>
      <c r="M243" s="251"/>
    </row>
    <row r="244" ht="31" spans="1:13">
      <c r="A244" s="248" t="s">
        <v>4175</v>
      </c>
      <c r="B244" s="45" t="s">
        <v>4174</v>
      </c>
      <c r="C244" s="249" t="e">
        <f>VLOOKUP(D244,#REF!,2,0)</f>
        <v>#REF!</v>
      </c>
      <c r="D244" s="29" t="s">
        <v>923</v>
      </c>
      <c r="E244" s="18" t="e">
        <f>VLOOKUP(C244,数据集标准分类!E:F,2,0)</f>
        <v>#REF!</v>
      </c>
      <c r="F244" s="29" t="e">
        <f>VLOOKUP(D244,数据集标准分类!G:H,2,0)</f>
        <v>#N/A</v>
      </c>
      <c r="G244" s="29" t="s">
        <v>996</v>
      </c>
      <c r="H244" s="29" t="s">
        <v>997</v>
      </c>
      <c r="I244" s="29" t="s">
        <v>998</v>
      </c>
      <c r="J244" s="29" t="s">
        <v>999</v>
      </c>
      <c r="K244" s="29" t="s">
        <v>1000</v>
      </c>
      <c r="L244" s="250">
        <v>22</v>
      </c>
      <c r="M244" s="251"/>
    </row>
    <row r="245" ht="31" spans="1:13">
      <c r="A245" s="248" t="s">
        <v>4175</v>
      </c>
      <c r="B245" s="45" t="s">
        <v>4174</v>
      </c>
      <c r="C245" s="249" t="e">
        <f>VLOOKUP(D245,#REF!,2,0)</f>
        <v>#REF!</v>
      </c>
      <c r="D245" s="29" t="s">
        <v>923</v>
      </c>
      <c r="E245" s="18" t="e">
        <f>VLOOKUP(C245,数据集标准分类!E:F,2,0)</f>
        <v>#REF!</v>
      </c>
      <c r="F245" s="29" t="e">
        <f>VLOOKUP(D245,数据集标准分类!G:H,2,0)</f>
        <v>#N/A</v>
      </c>
      <c r="G245" s="29" t="s">
        <v>1001</v>
      </c>
      <c r="H245" s="29" t="s">
        <v>1002</v>
      </c>
      <c r="I245" s="29" t="s">
        <v>1003</v>
      </c>
      <c r="J245" s="29" t="s">
        <v>1004</v>
      </c>
      <c r="K245" s="29" t="s">
        <v>1005</v>
      </c>
      <c r="L245" s="250">
        <v>23</v>
      </c>
      <c r="M245" s="251"/>
    </row>
    <row r="246" ht="16.8" spans="1:13">
      <c r="A246" s="248" t="s">
        <v>4175</v>
      </c>
      <c r="B246" s="45" t="s">
        <v>4174</v>
      </c>
      <c r="C246" s="249" t="e">
        <f>VLOOKUP(D246,#REF!,2,0)</f>
        <v>#REF!</v>
      </c>
      <c r="D246" s="29" t="s">
        <v>923</v>
      </c>
      <c r="E246" s="18" t="e">
        <f>VLOOKUP(C246,数据集标准分类!E:F,2,0)</f>
        <v>#REF!</v>
      </c>
      <c r="F246" s="29" t="e">
        <f>VLOOKUP(D246,数据集标准分类!G:H,2,0)</f>
        <v>#N/A</v>
      </c>
      <c r="G246" s="29" t="s">
        <v>1006</v>
      </c>
      <c r="H246" s="29" t="s">
        <v>1007</v>
      </c>
      <c r="I246" s="29" t="s">
        <v>1008</v>
      </c>
      <c r="J246" s="29" t="s">
        <v>1009</v>
      </c>
      <c r="K246" s="29" t="s">
        <v>1010</v>
      </c>
      <c r="L246" s="250">
        <v>24</v>
      </c>
      <c r="M246" s="251"/>
    </row>
    <row r="247" ht="31" spans="1:13">
      <c r="A247" s="248" t="s">
        <v>4175</v>
      </c>
      <c r="B247" s="45" t="s">
        <v>4174</v>
      </c>
      <c r="C247" s="249" t="e">
        <f>VLOOKUP(D247,#REF!,2,0)</f>
        <v>#REF!</v>
      </c>
      <c r="D247" s="29" t="s">
        <v>923</v>
      </c>
      <c r="E247" s="18" t="e">
        <f>VLOOKUP(C247,数据集标准分类!E:F,2,0)</f>
        <v>#REF!</v>
      </c>
      <c r="F247" s="29" t="e">
        <f>VLOOKUP(D247,数据集标准分类!G:H,2,0)</f>
        <v>#N/A</v>
      </c>
      <c r="G247" s="29" t="s">
        <v>1011</v>
      </c>
      <c r="H247" s="29" t="s">
        <v>1012</v>
      </c>
      <c r="I247" s="29" t="s">
        <v>1013</v>
      </c>
      <c r="J247" s="29" t="s">
        <v>1014</v>
      </c>
      <c r="K247" s="29" t="s">
        <v>1015</v>
      </c>
      <c r="L247" s="250">
        <v>25</v>
      </c>
      <c r="M247" s="251"/>
    </row>
    <row r="248" ht="46" spans="1:13">
      <c r="A248" s="248" t="s">
        <v>4175</v>
      </c>
      <c r="B248" s="45" t="s">
        <v>4174</v>
      </c>
      <c r="C248" s="249" t="e">
        <f>VLOOKUP(D248,#REF!,2,0)</f>
        <v>#REF!</v>
      </c>
      <c r="D248" s="29" t="s">
        <v>1016</v>
      </c>
      <c r="E248" s="18" t="e">
        <f>VLOOKUP(C248,数据集标准分类!E:F,2,0)</f>
        <v>#REF!</v>
      </c>
      <c r="F248" s="29" t="e">
        <f>VLOOKUP(D248,数据集标准分类!G:H,2,0)</f>
        <v>#N/A</v>
      </c>
      <c r="G248" s="29" t="s">
        <v>152</v>
      </c>
      <c r="H248" s="29" t="s">
        <v>153</v>
      </c>
      <c r="I248" s="29" t="s">
        <v>154</v>
      </c>
      <c r="J248" s="29" t="s">
        <v>155</v>
      </c>
      <c r="K248" s="29" t="s">
        <v>156</v>
      </c>
      <c r="L248" s="250">
        <v>1</v>
      </c>
      <c r="M248" s="251"/>
    </row>
    <row r="249" ht="31" spans="1:13">
      <c r="A249" s="248" t="s">
        <v>4175</v>
      </c>
      <c r="B249" s="45" t="s">
        <v>4174</v>
      </c>
      <c r="C249" s="249" t="e">
        <f>VLOOKUP(D249,#REF!,2,0)</f>
        <v>#REF!</v>
      </c>
      <c r="D249" s="29" t="s">
        <v>1016</v>
      </c>
      <c r="E249" s="18" t="e">
        <f>VLOOKUP(C249,数据集标准分类!E:F,2,0)</f>
        <v>#REF!</v>
      </c>
      <c r="F249" s="29" t="e">
        <f>VLOOKUP(D249,数据集标准分类!G:H,2,0)</f>
        <v>#N/A</v>
      </c>
      <c r="G249" s="29" t="s">
        <v>1017</v>
      </c>
      <c r="H249" s="29" t="s">
        <v>1018</v>
      </c>
      <c r="I249" s="29" t="s">
        <v>1019</v>
      </c>
      <c r="J249" s="29" t="s">
        <v>1020</v>
      </c>
      <c r="K249" s="29" t="s">
        <v>1021</v>
      </c>
      <c r="L249" s="250">
        <v>2</v>
      </c>
      <c r="M249" s="251"/>
    </row>
    <row r="250" ht="16.8" spans="1:13">
      <c r="A250" s="248" t="s">
        <v>4175</v>
      </c>
      <c r="B250" s="45" t="s">
        <v>4174</v>
      </c>
      <c r="C250" s="249" t="e">
        <f>VLOOKUP(D250,#REF!,2,0)</f>
        <v>#REF!</v>
      </c>
      <c r="D250" s="29" t="s">
        <v>1016</v>
      </c>
      <c r="E250" s="18" t="e">
        <f>VLOOKUP(C250,数据集标准分类!E:F,2,0)</f>
        <v>#REF!</v>
      </c>
      <c r="F250" s="29" t="e">
        <f>VLOOKUP(D250,数据集标准分类!G:H,2,0)</f>
        <v>#N/A</v>
      </c>
      <c r="G250" s="29" t="s">
        <v>924</v>
      </c>
      <c r="H250" s="29" t="s">
        <v>925</v>
      </c>
      <c r="I250" s="29" t="s">
        <v>926</v>
      </c>
      <c r="J250" s="29" t="s">
        <v>927</v>
      </c>
      <c r="K250" s="29" t="s">
        <v>928</v>
      </c>
      <c r="L250" s="250">
        <v>3</v>
      </c>
      <c r="M250" s="251"/>
    </row>
    <row r="251" ht="46" spans="1:13">
      <c r="A251" s="248" t="s">
        <v>4175</v>
      </c>
      <c r="B251" s="45" t="s">
        <v>4174</v>
      </c>
      <c r="C251" s="249" t="e">
        <f>VLOOKUP(D251,#REF!,2,0)</f>
        <v>#REF!</v>
      </c>
      <c r="D251" s="29" t="s">
        <v>1016</v>
      </c>
      <c r="E251" s="18" t="e">
        <f>VLOOKUP(C251,数据集标准分类!E:F,2,0)</f>
        <v>#REF!</v>
      </c>
      <c r="F251" s="29" t="e">
        <f>VLOOKUP(D251,数据集标准分类!G:H,2,0)</f>
        <v>#N/A</v>
      </c>
      <c r="G251" s="29" t="s">
        <v>784</v>
      </c>
      <c r="H251" s="29" t="s">
        <v>785</v>
      </c>
      <c r="I251" s="29" t="s">
        <v>786</v>
      </c>
      <c r="J251" s="29" t="s">
        <v>787</v>
      </c>
      <c r="K251" s="29" t="s">
        <v>788</v>
      </c>
      <c r="L251" s="250">
        <v>4</v>
      </c>
      <c r="M251" s="251"/>
    </row>
    <row r="252" ht="31" spans="1:13">
      <c r="A252" s="248" t="s">
        <v>4175</v>
      </c>
      <c r="B252" s="45" t="s">
        <v>4174</v>
      </c>
      <c r="C252" s="249" t="e">
        <f>VLOOKUP(D252,#REF!,2,0)</f>
        <v>#REF!</v>
      </c>
      <c r="D252" s="29" t="s">
        <v>1016</v>
      </c>
      <c r="E252" s="18" t="e">
        <f>VLOOKUP(C252,数据集标准分类!E:F,2,0)</f>
        <v>#REF!</v>
      </c>
      <c r="F252" s="29" t="e">
        <f>VLOOKUP(D252,数据集标准分类!G:H,2,0)</f>
        <v>#N/A</v>
      </c>
      <c r="G252" s="29" t="s">
        <v>789</v>
      </c>
      <c r="H252" s="29" t="s">
        <v>790</v>
      </c>
      <c r="I252" s="29" t="s">
        <v>790</v>
      </c>
      <c r="J252" s="29" t="s">
        <v>791</v>
      </c>
      <c r="K252" s="29" t="s">
        <v>792</v>
      </c>
      <c r="L252" s="250">
        <v>5</v>
      </c>
      <c r="M252" s="251"/>
    </row>
    <row r="253" ht="46" spans="1:13">
      <c r="A253" s="248" t="s">
        <v>4175</v>
      </c>
      <c r="B253" s="45" t="s">
        <v>4174</v>
      </c>
      <c r="C253" s="249" t="e">
        <f>VLOOKUP(D253,#REF!,2,0)</f>
        <v>#REF!</v>
      </c>
      <c r="D253" s="29" t="s">
        <v>1016</v>
      </c>
      <c r="E253" s="18" t="e">
        <f>VLOOKUP(C253,数据集标准分类!E:F,2,0)</f>
        <v>#REF!</v>
      </c>
      <c r="F253" s="29" t="e">
        <f>VLOOKUP(D253,数据集标准分类!G:H,2,0)</f>
        <v>#N/A</v>
      </c>
      <c r="G253" s="29" t="s">
        <v>939</v>
      </c>
      <c r="H253" s="29" t="s">
        <v>940</v>
      </c>
      <c r="I253" s="29" t="s">
        <v>941</v>
      </c>
      <c r="J253" s="29" t="s">
        <v>942</v>
      </c>
      <c r="K253" s="29" t="s">
        <v>797</v>
      </c>
      <c r="L253" s="250">
        <v>6</v>
      </c>
      <c r="M253" s="251"/>
    </row>
    <row r="254" ht="46" spans="1:13">
      <c r="A254" s="248" t="s">
        <v>4175</v>
      </c>
      <c r="B254" s="45" t="s">
        <v>4174</v>
      </c>
      <c r="C254" s="249" t="e">
        <f>VLOOKUP(D254,#REF!,2,0)</f>
        <v>#REF!</v>
      </c>
      <c r="D254" s="29" t="s">
        <v>1016</v>
      </c>
      <c r="E254" s="18" t="e">
        <f>VLOOKUP(C254,数据集标准分类!E:F,2,0)</f>
        <v>#REF!</v>
      </c>
      <c r="F254" s="29" t="e">
        <f>VLOOKUP(D254,数据集标准分类!G:H,2,0)</f>
        <v>#N/A</v>
      </c>
      <c r="G254" s="29" t="s">
        <v>943</v>
      </c>
      <c r="H254" s="29" t="s">
        <v>944</v>
      </c>
      <c r="I254" s="29" t="s">
        <v>945</v>
      </c>
      <c r="J254" s="29" t="s">
        <v>946</v>
      </c>
      <c r="K254" s="29" t="s">
        <v>947</v>
      </c>
      <c r="L254" s="250">
        <v>7</v>
      </c>
      <c r="M254" s="251"/>
    </row>
    <row r="255" ht="46" spans="1:13">
      <c r="A255" s="248" t="s">
        <v>4175</v>
      </c>
      <c r="B255" s="45" t="s">
        <v>4174</v>
      </c>
      <c r="C255" s="249" t="e">
        <f>VLOOKUP(D255,#REF!,2,0)</f>
        <v>#REF!</v>
      </c>
      <c r="D255" s="29" t="s">
        <v>1016</v>
      </c>
      <c r="E255" s="18" t="e">
        <f>VLOOKUP(C255,数据集标准分类!E:F,2,0)</f>
        <v>#REF!</v>
      </c>
      <c r="F255" s="29" t="e">
        <f>VLOOKUP(D255,数据集标准分类!G:H,2,0)</f>
        <v>#N/A</v>
      </c>
      <c r="G255" s="29" t="s">
        <v>948</v>
      </c>
      <c r="H255" s="29" t="s">
        <v>949</v>
      </c>
      <c r="I255" s="29" t="s">
        <v>950</v>
      </c>
      <c r="J255" s="29" t="s">
        <v>951</v>
      </c>
      <c r="K255" s="29" t="s">
        <v>807</v>
      </c>
      <c r="L255" s="250">
        <v>8</v>
      </c>
      <c r="M255" s="251"/>
    </row>
    <row r="256" ht="46" spans="1:13">
      <c r="A256" s="248" t="s">
        <v>4175</v>
      </c>
      <c r="B256" s="45" t="s">
        <v>4174</v>
      </c>
      <c r="C256" s="249" t="e">
        <f>VLOOKUP(D256,#REF!,2,0)</f>
        <v>#REF!</v>
      </c>
      <c r="D256" s="29" t="s">
        <v>1016</v>
      </c>
      <c r="E256" s="18" t="e">
        <f>VLOOKUP(C256,数据集标准分类!E:F,2,0)</f>
        <v>#REF!</v>
      </c>
      <c r="F256" s="29" t="e">
        <f>VLOOKUP(D256,数据集标准分类!G:H,2,0)</f>
        <v>#N/A</v>
      </c>
      <c r="G256" s="29" t="s">
        <v>952</v>
      </c>
      <c r="H256" s="29" t="s">
        <v>953</v>
      </c>
      <c r="I256" s="29" t="s">
        <v>954</v>
      </c>
      <c r="J256" s="29" t="s">
        <v>955</v>
      </c>
      <c r="K256" s="29" t="s">
        <v>956</v>
      </c>
      <c r="L256" s="250">
        <v>9</v>
      </c>
      <c r="M256" s="251"/>
    </row>
    <row r="257" ht="46" spans="1:13">
      <c r="A257" s="248" t="s">
        <v>4175</v>
      </c>
      <c r="B257" s="45" t="s">
        <v>4174</v>
      </c>
      <c r="C257" s="249" t="e">
        <f>VLOOKUP(D257,#REF!,2,0)</f>
        <v>#REF!</v>
      </c>
      <c r="D257" s="29" t="s">
        <v>1016</v>
      </c>
      <c r="E257" s="18" t="e">
        <f>VLOOKUP(C257,数据集标准分类!E:F,2,0)</f>
        <v>#REF!</v>
      </c>
      <c r="F257" s="29" t="e">
        <f>VLOOKUP(D257,数据集标准分类!G:H,2,0)</f>
        <v>#N/A</v>
      </c>
      <c r="G257" s="29" t="s">
        <v>957</v>
      </c>
      <c r="H257" s="29" t="s">
        <v>958</v>
      </c>
      <c r="I257" s="29" t="s">
        <v>959</v>
      </c>
      <c r="J257" s="29" t="s">
        <v>960</v>
      </c>
      <c r="K257" s="29" t="s">
        <v>817</v>
      </c>
      <c r="L257" s="250">
        <v>10</v>
      </c>
      <c r="M257" s="251"/>
    </row>
    <row r="258" ht="46" spans="1:13">
      <c r="A258" s="248" t="s">
        <v>4175</v>
      </c>
      <c r="B258" s="45" t="s">
        <v>4174</v>
      </c>
      <c r="C258" s="249" t="e">
        <f>VLOOKUP(D258,#REF!,2,0)</f>
        <v>#REF!</v>
      </c>
      <c r="D258" s="29" t="s">
        <v>1016</v>
      </c>
      <c r="E258" s="18" t="e">
        <f>VLOOKUP(C258,数据集标准分类!E:F,2,0)</f>
        <v>#REF!</v>
      </c>
      <c r="F258" s="29" t="e">
        <f>VLOOKUP(D258,数据集标准分类!G:H,2,0)</f>
        <v>#N/A</v>
      </c>
      <c r="G258" s="29" t="s">
        <v>961</v>
      </c>
      <c r="H258" s="29" t="s">
        <v>962</v>
      </c>
      <c r="I258" s="29" t="s">
        <v>963</v>
      </c>
      <c r="J258" s="29" t="s">
        <v>964</v>
      </c>
      <c r="K258" s="29" t="s">
        <v>965</v>
      </c>
      <c r="L258" s="250">
        <v>11</v>
      </c>
      <c r="M258" s="251"/>
    </row>
    <row r="259" ht="16.8" spans="1:13">
      <c r="A259" s="248" t="s">
        <v>4175</v>
      </c>
      <c r="B259" s="45" t="s">
        <v>4174</v>
      </c>
      <c r="C259" s="249" t="e">
        <f>VLOOKUP(D259,#REF!,2,0)</f>
        <v>#REF!</v>
      </c>
      <c r="D259" s="29" t="s">
        <v>1016</v>
      </c>
      <c r="E259" s="18" t="e">
        <f>VLOOKUP(C259,数据集标准分类!E:F,2,0)</f>
        <v>#REF!</v>
      </c>
      <c r="F259" s="29" t="e">
        <f>VLOOKUP(D259,数据集标准分类!G:H,2,0)</f>
        <v>#N/A</v>
      </c>
      <c r="G259" s="29" t="s">
        <v>966</v>
      </c>
      <c r="H259" s="29" t="s">
        <v>967</v>
      </c>
      <c r="I259" s="29" t="s">
        <v>968</v>
      </c>
      <c r="J259" s="29" t="s">
        <v>969</v>
      </c>
      <c r="K259" s="29" t="s">
        <v>970</v>
      </c>
      <c r="L259" s="250">
        <v>12</v>
      </c>
      <c r="M259" s="251"/>
    </row>
    <row r="260" ht="31" spans="1:13">
      <c r="A260" s="248" t="s">
        <v>4175</v>
      </c>
      <c r="B260" s="45" t="s">
        <v>4174</v>
      </c>
      <c r="C260" s="249" t="e">
        <f>VLOOKUP(D260,#REF!,2,0)</f>
        <v>#REF!</v>
      </c>
      <c r="D260" s="29" t="s">
        <v>1016</v>
      </c>
      <c r="E260" s="18" t="e">
        <f>VLOOKUP(C260,数据集标准分类!E:F,2,0)</f>
        <v>#REF!</v>
      </c>
      <c r="F260" s="29" t="e">
        <f>VLOOKUP(D260,数据集标准分类!G:H,2,0)</f>
        <v>#N/A</v>
      </c>
      <c r="G260" s="29" t="s">
        <v>1022</v>
      </c>
      <c r="H260" s="29" t="s">
        <v>1023</v>
      </c>
      <c r="I260" s="29" t="s">
        <v>1024</v>
      </c>
      <c r="J260" s="29" t="s">
        <v>1025</v>
      </c>
      <c r="K260" s="29" t="s">
        <v>1026</v>
      </c>
      <c r="L260" s="250">
        <v>13</v>
      </c>
      <c r="M260" s="251"/>
    </row>
    <row r="261" ht="31" spans="1:13">
      <c r="A261" s="248" t="s">
        <v>4175</v>
      </c>
      <c r="B261" s="45" t="s">
        <v>4174</v>
      </c>
      <c r="C261" s="249" t="e">
        <f>VLOOKUP(D261,#REF!,2,0)</f>
        <v>#REF!</v>
      </c>
      <c r="D261" s="29" t="s">
        <v>1016</v>
      </c>
      <c r="E261" s="18" t="e">
        <f>VLOOKUP(C261,数据集标准分类!E:F,2,0)</f>
        <v>#REF!</v>
      </c>
      <c r="F261" s="29" t="e">
        <f>VLOOKUP(D261,数据集标准分类!G:H,2,0)</f>
        <v>#N/A</v>
      </c>
      <c r="G261" s="29" t="s">
        <v>1027</v>
      </c>
      <c r="H261" s="29" t="s">
        <v>1028</v>
      </c>
      <c r="I261" s="29" t="s">
        <v>1029</v>
      </c>
      <c r="J261" s="29" t="s">
        <v>1030</v>
      </c>
      <c r="K261" s="29" t="s">
        <v>1031</v>
      </c>
      <c r="L261" s="250">
        <v>14</v>
      </c>
      <c r="M261" s="251"/>
    </row>
    <row r="262" ht="31" spans="1:13">
      <c r="A262" s="248" t="s">
        <v>4175</v>
      </c>
      <c r="B262" s="45" t="s">
        <v>4174</v>
      </c>
      <c r="C262" s="249" t="e">
        <f>VLOOKUP(D262,#REF!,2,0)</f>
        <v>#REF!</v>
      </c>
      <c r="D262" s="29" t="s">
        <v>1016</v>
      </c>
      <c r="E262" s="18" t="e">
        <f>VLOOKUP(C262,数据集标准分类!E:F,2,0)</f>
        <v>#REF!</v>
      </c>
      <c r="F262" s="29" t="e">
        <f>VLOOKUP(D262,数据集标准分类!G:H,2,0)</f>
        <v>#N/A</v>
      </c>
      <c r="G262" s="29" t="s">
        <v>1032</v>
      </c>
      <c r="H262" s="29" t="s">
        <v>1033</v>
      </c>
      <c r="I262" s="29" t="s">
        <v>1034</v>
      </c>
      <c r="J262" s="29" t="s">
        <v>1035</v>
      </c>
      <c r="K262" s="29" t="s">
        <v>1036</v>
      </c>
      <c r="L262" s="250">
        <v>15</v>
      </c>
      <c r="M262" s="251"/>
    </row>
    <row r="263" ht="31" spans="1:13">
      <c r="A263" s="248" t="s">
        <v>4175</v>
      </c>
      <c r="B263" s="45" t="s">
        <v>4174</v>
      </c>
      <c r="C263" s="249" t="e">
        <f>VLOOKUP(D263,#REF!,2,0)</f>
        <v>#REF!</v>
      </c>
      <c r="D263" s="29" t="s">
        <v>1016</v>
      </c>
      <c r="E263" s="18" t="e">
        <f>VLOOKUP(C263,数据集标准分类!E:F,2,0)</f>
        <v>#REF!</v>
      </c>
      <c r="F263" s="29" t="e">
        <f>VLOOKUP(D263,数据集标准分类!G:H,2,0)</f>
        <v>#N/A</v>
      </c>
      <c r="G263" s="29" t="s">
        <v>1037</v>
      </c>
      <c r="H263" s="29" t="s">
        <v>1038</v>
      </c>
      <c r="I263" s="29" t="s">
        <v>1039</v>
      </c>
      <c r="J263" s="29" t="s">
        <v>1040</v>
      </c>
      <c r="K263" s="29" t="s">
        <v>1041</v>
      </c>
      <c r="L263" s="250">
        <v>16</v>
      </c>
      <c r="M263" s="251"/>
    </row>
    <row r="264" ht="31" spans="1:13">
      <c r="A264" s="248" t="s">
        <v>4175</v>
      </c>
      <c r="B264" s="45" t="s">
        <v>4174</v>
      </c>
      <c r="C264" s="249" t="e">
        <f>VLOOKUP(D264,#REF!,2,0)</f>
        <v>#REF!</v>
      </c>
      <c r="D264" s="29" t="s">
        <v>1016</v>
      </c>
      <c r="E264" s="18" t="e">
        <f>VLOOKUP(C264,数据集标准分类!E:F,2,0)</f>
        <v>#REF!</v>
      </c>
      <c r="F264" s="29" t="e">
        <f>VLOOKUP(D264,数据集标准分类!G:H,2,0)</f>
        <v>#N/A</v>
      </c>
      <c r="G264" s="29" t="s">
        <v>1042</v>
      </c>
      <c r="H264" s="29" t="s">
        <v>1043</v>
      </c>
      <c r="I264" s="29" t="s">
        <v>1044</v>
      </c>
      <c r="J264" s="29" t="s">
        <v>1045</v>
      </c>
      <c r="K264" s="29" t="s">
        <v>1046</v>
      </c>
      <c r="L264" s="250">
        <v>17</v>
      </c>
      <c r="M264" s="251"/>
    </row>
    <row r="265" ht="31" spans="1:13">
      <c r="A265" s="248" t="s">
        <v>4175</v>
      </c>
      <c r="B265" s="45" t="s">
        <v>4174</v>
      </c>
      <c r="C265" s="249" t="e">
        <f>VLOOKUP(D265,#REF!,2,0)</f>
        <v>#REF!</v>
      </c>
      <c r="D265" s="29" t="s">
        <v>1016</v>
      </c>
      <c r="E265" s="18" t="e">
        <f>VLOOKUP(C265,数据集标准分类!E:F,2,0)</f>
        <v>#REF!</v>
      </c>
      <c r="F265" s="29" t="e">
        <f>VLOOKUP(D265,数据集标准分类!G:H,2,0)</f>
        <v>#N/A</v>
      </c>
      <c r="G265" s="29" t="s">
        <v>1047</v>
      </c>
      <c r="H265" s="29" t="s">
        <v>1048</v>
      </c>
      <c r="I265" s="29" t="s">
        <v>1049</v>
      </c>
      <c r="J265" s="29" t="s">
        <v>1050</v>
      </c>
      <c r="K265" s="29" t="s">
        <v>1051</v>
      </c>
      <c r="L265" s="250">
        <v>18</v>
      </c>
      <c r="M265" s="251"/>
    </row>
    <row r="266" ht="31" spans="1:13">
      <c r="A266" s="248" t="s">
        <v>4175</v>
      </c>
      <c r="B266" s="45" t="s">
        <v>4174</v>
      </c>
      <c r="C266" s="249" t="e">
        <f>VLOOKUP(D266,#REF!,2,0)</f>
        <v>#REF!</v>
      </c>
      <c r="D266" s="29" t="s">
        <v>1016</v>
      </c>
      <c r="E266" s="18" t="e">
        <f>VLOOKUP(C266,数据集标准分类!E:F,2,0)</f>
        <v>#REF!</v>
      </c>
      <c r="F266" s="29" t="e">
        <f>VLOOKUP(D266,数据集标准分类!G:H,2,0)</f>
        <v>#N/A</v>
      </c>
      <c r="G266" s="29" t="s">
        <v>1052</v>
      </c>
      <c r="H266" s="29" t="s">
        <v>1053</v>
      </c>
      <c r="I266" s="29" t="s">
        <v>1054</v>
      </c>
      <c r="J266" s="29" t="s">
        <v>1055</v>
      </c>
      <c r="K266" s="29" t="s">
        <v>1056</v>
      </c>
      <c r="L266" s="250">
        <v>19</v>
      </c>
      <c r="M266" s="251"/>
    </row>
    <row r="267" ht="61" spans="1:13">
      <c r="A267" s="248" t="s">
        <v>4175</v>
      </c>
      <c r="B267" s="45" t="s">
        <v>4174</v>
      </c>
      <c r="C267" s="249" t="e">
        <f>VLOOKUP(D267,#REF!,2,0)</f>
        <v>#REF!</v>
      </c>
      <c r="D267" s="29" t="s">
        <v>1057</v>
      </c>
      <c r="E267" s="18" t="e">
        <f>VLOOKUP(C267,数据集标准分类!E:F,2,0)</f>
        <v>#REF!</v>
      </c>
      <c r="F267" s="29" t="e">
        <f>VLOOKUP(D267,数据集标准分类!G:H,2,0)</f>
        <v>#N/A</v>
      </c>
      <c r="G267" s="29" t="s">
        <v>663</v>
      </c>
      <c r="H267" s="29" t="s">
        <v>664</v>
      </c>
      <c r="I267" s="29" t="s">
        <v>665</v>
      </c>
      <c r="J267" s="29" t="s">
        <v>666</v>
      </c>
      <c r="K267" s="29" t="s">
        <v>667</v>
      </c>
      <c r="L267" s="250">
        <v>1</v>
      </c>
      <c r="M267" s="251"/>
    </row>
    <row r="268" ht="76" spans="1:13">
      <c r="A268" s="248" t="s">
        <v>4175</v>
      </c>
      <c r="B268" s="45" t="s">
        <v>4174</v>
      </c>
      <c r="C268" s="249" t="e">
        <f>VLOOKUP(D268,#REF!,2,0)</f>
        <v>#REF!</v>
      </c>
      <c r="D268" s="29" t="s">
        <v>1057</v>
      </c>
      <c r="E268" s="18" t="e">
        <f>VLOOKUP(C268,数据集标准分类!E:F,2,0)</f>
        <v>#REF!</v>
      </c>
      <c r="F268" s="29" t="e">
        <f>VLOOKUP(D268,数据集标准分类!G:H,2,0)</f>
        <v>#N/A</v>
      </c>
      <c r="G268" s="29" t="s">
        <v>1058</v>
      </c>
      <c r="H268" s="29" t="s">
        <v>1059</v>
      </c>
      <c r="I268" s="29" t="s">
        <v>1060</v>
      </c>
      <c r="J268" s="29" t="s">
        <v>1061</v>
      </c>
      <c r="K268" s="29" t="s">
        <v>1062</v>
      </c>
      <c r="L268" s="250">
        <v>2</v>
      </c>
      <c r="M268" s="251"/>
    </row>
    <row r="269" ht="46" spans="1:13">
      <c r="A269" s="248" t="s">
        <v>4175</v>
      </c>
      <c r="B269" s="45" t="s">
        <v>4174</v>
      </c>
      <c r="C269" s="249" t="e">
        <f>VLOOKUP(D269,#REF!,2,0)</f>
        <v>#REF!</v>
      </c>
      <c r="D269" s="29" t="s">
        <v>1057</v>
      </c>
      <c r="E269" s="18" t="e">
        <f>VLOOKUP(C269,数据集标准分类!E:F,2,0)</f>
        <v>#REF!</v>
      </c>
      <c r="F269" s="29" t="e">
        <f>VLOOKUP(D269,数据集标准分类!G:H,2,0)</f>
        <v>#N/A</v>
      </c>
      <c r="G269" s="29" t="s">
        <v>784</v>
      </c>
      <c r="H269" s="29" t="s">
        <v>785</v>
      </c>
      <c r="I269" s="29" t="s">
        <v>786</v>
      </c>
      <c r="J269" s="29" t="s">
        <v>787</v>
      </c>
      <c r="K269" s="29" t="s">
        <v>788</v>
      </c>
      <c r="L269" s="250">
        <v>3</v>
      </c>
      <c r="M269" s="251"/>
    </row>
    <row r="270" ht="16.8" spans="1:13">
      <c r="A270" s="248" t="s">
        <v>4175</v>
      </c>
      <c r="B270" s="45" t="s">
        <v>4174</v>
      </c>
      <c r="C270" s="249" t="e">
        <f>VLOOKUP(D270,#REF!,2,0)</f>
        <v>#REF!</v>
      </c>
      <c r="D270" s="29" t="s">
        <v>1057</v>
      </c>
      <c r="E270" s="18" t="e">
        <f>VLOOKUP(C270,数据集标准分类!E:F,2,0)</f>
        <v>#REF!</v>
      </c>
      <c r="F270" s="29" t="e">
        <f>VLOOKUP(D270,数据集标准分类!G:H,2,0)</f>
        <v>#N/A</v>
      </c>
      <c r="G270" s="29" t="s">
        <v>1063</v>
      </c>
      <c r="H270" s="29" t="s">
        <v>1064</v>
      </c>
      <c r="I270" s="29" t="s">
        <v>1065</v>
      </c>
      <c r="J270" s="29" t="s">
        <v>1066</v>
      </c>
      <c r="K270" s="29" t="s">
        <v>1067</v>
      </c>
      <c r="L270" s="250">
        <v>4</v>
      </c>
      <c r="M270" s="251"/>
    </row>
    <row r="271" ht="46" spans="1:13">
      <c r="A271" s="248" t="s">
        <v>4175</v>
      </c>
      <c r="B271" s="45" t="s">
        <v>4174</v>
      </c>
      <c r="C271" s="249" t="e">
        <f>VLOOKUP(D271,#REF!,2,0)</f>
        <v>#REF!</v>
      </c>
      <c r="D271" s="29" t="s">
        <v>1057</v>
      </c>
      <c r="E271" s="18" t="e">
        <f>VLOOKUP(C271,数据集标准分类!E:F,2,0)</f>
        <v>#REF!</v>
      </c>
      <c r="F271" s="29" t="e">
        <f>VLOOKUP(D271,数据集标准分类!G:H,2,0)</f>
        <v>#N/A</v>
      </c>
      <c r="G271" s="29" t="s">
        <v>798</v>
      </c>
      <c r="H271" s="29" t="s">
        <v>799</v>
      </c>
      <c r="I271" s="29" t="s">
        <v>800</v>
      </c>
      <c r="J271" s="29" t="s">
        <v>801</v>
      </c>
      <c r="K271" s="29" t="s">
        <v>802</v>
      </c>
      <c r="L271" s="250">
        <v>5</v>
      </c>
      <c r="M271" s="251"/>
    </row>
    <row r="272" ht="46" spans="1:13">
      <c r="A272" s="248" t="s">
        <v>4175</v>
      </c>
      <c r="B272" s="45" t="s">
        <v>4174</v>
      </c>
      <c r="C272" s="249" t="e">
        <f>VLOOKUP(D272,#REF!,2,0)</f>
        <v>#REF!</v>
      </c>
      <c r="D272" s="29" t="s">
        <v>1057</v>
      </c>
      <c r="E272" s="18" t="e">
        <f>VLOOKUP(C272,数据集标准分类!E:F,2,0)</f>
        <v>#REF!</v>
      </c>
      <c r="F272" s="29" t="e">
        <f>VLOOKUP(D272,数据集标准分类!G:H,2,0)</f>
        <v>#N/A</v>
      </c>
      <c r="G272" s="29" t="s">
        <v>808</v>
      </c>
      <c r="H272" s="29" t="s">
        <v>809</v>
      </c>
      <c r="I272" s="29" t="s">
        <v>810</v>
      </c>
      <c r="J272" s="29" t="s">
        <v>811</v>
      </c>
      <c r="K272" s="29" t="s">
        <v>812</v>
      </c>
      <c r="L272" s="250">
        <v>6</v>
      </c>
      <c r="M272" s="251"/>
    </row>
    <row r="273" ht="24" customHeight="1" spans="1:13">
      <c r="A273" s="248" t="s">
        <v>4175</v>
      </c>
      <c r="B273" s="45" t="s">
        <v>4174</v>
      </c>
      <c r="C273" s="249" t="e">
        <f>VLOOKUP(D273,#REF!,2,0)</f>
        <v>#REF!</v>
      </c>
      <c r="D273" s="29" t="s">
        <v>1057</v>
      </c>
      <c r="E273" s="18" t="e">
        <f>VLOOKUP(C273,数据集标准分类!E:F,2,0)</f>
        <v>#REF!</v>
      </c>
      <c r="F273" s="29" t="e">
        <f>VLOOKUP(D273,数据集标准分类!G:H,2,0)</f>
        <v>#N/A</v>
      </c>
      <c r="G273" s="29" t="s">
        <v>818</v>
      </c>
      <c r="H273" s="29" t="s">
        <v>819</v>
      </c>
      <c r="I273" s="29" t="s">
        <v>820</v>
      </c>
      <c r="J273" s="29" t="s">
        <v>821</v>
      </c>
      <c r="K273" s="29" t="s">
        <v>822</v>
      </c>
      <c r="L273" s="250">
        <v>7</v>
      </c>
      <c r="M273" s="251"/>
    </row>
    <row r="274" ht="31" spans="1:13">
      <c r="A274" s="248" t="s">
        <v>4175</v>
      </c>
      <c r="B274" s="45" t="s">
        <v>4174</v>
      </c>
      <c r="C274" s="249" t="e">
        <f>VLOOKUP(D274,#REF!,2,0)</f>
        <v>#REF!</v>
      </c>
      <c r="D274" s="29" t="s">
        <v>1057</v>
      </c>
      <c r="E274" s="18" t="e">
        <f>VLOOKUP(C274,数据集标准分类!E:F,2,0)</f>
        <v>#REF!</v>
      </c>
      <c r="F274" s="29" t="e">
        <f>VLOOKUP(D274,数据集标准分类!G:H,2,0)</f>
        <v>#N/A</v>
      </c>
      <c r="G274" s="29" t="s">
        <v>1068</v>
      </c>
      <c r="H274" s="29" t="s">
        <v>1069</v>
      </c>
      <c r="I274" s="29" t="s">
        <v>1070</v>
      </c>
      <c r="J274" s="29" t="s">
        <v>1071</v>
      </c>
      <c r="K274" s="29" t="s">
        <v>1072</v>
      </c>
      <c r="L274" s="250">
        <v>8</v>
      </c>
      <c r="M274" s="251"/>
    </row>
    <row r="275" ht="31" spans="1:13">
      <c r="A275" s="248" t="s">
        <v>4175</v>
      </c>
      <c r="B275" s="45" t="s">
        <v>4174</v>
      </c>
      <c r="C275" s="249" t="e">
        <f>VLOOKUP(D275,#REF!,2,0)</f>
        <v>#REF!</v>
      </c>
      <c r="D275" s="29" t="s">
        <v>1057</v>
      </c>
      <c r="E275" s="18" t="e">
        <f>VLOOKUP(C275,数据集标准分类!E:F,2,0)</f>
        <v>#REF!</v>
      </c>
      <c r="F275" s="29" t="e">
        <f>VLOOKUP(D275,数据集标准分类!G:H,2,0)</f>
        <v>#N/A</v>
      </c>
      <c r="G275" s="29" t="s">
        <v>1073</v>
      </c>
      <c r="H275" s="29" t="s">
        <v>1074</v>
      </c>
      <c r="I275" s="29" t="s">
        <v>1075</v>
      </c>
      <c r="J275" s="29" t="s">
        <v>1076</v>
      </c>
      <c r="K275" s="29" t="s">
        <v>1077</v>
      </c>
      <c r="L275" s="250">
        <v>9</v>
      </c>
      <c r="M275" s="251"/>
    </row>
    <row r="276" ht="31" spans="1:13">
      <c r="A276" s="248" t="s">
        <v>4175</v>
      </c>
      <c r="B276" s="45" t="s">
        <v>4174</v>
      </c>
      <c r="C276" s="249" t="e">
        <f>VLOOKUP(D276,#REF!,2,0)</f>
        <v>#REF!</v>
      </c>
      <c r="D276" s="29" t="s">
        <v>1057</v>
      </c>
      <c r="E276" s="18" t="e">
        <f>VLOOKUP(C276,数据集标准分类!E:F,2,0)</f>
        <v>#REF!</v>
      </c>
      <c r="F276" s="29" t="e">
        <f>VLOOKUP(D276,数据集标准分类!G:H,2,0)</f>
        <v>#N/A</v>
      </c>
      <c r="G276" s="29" t="s">
        <v>1078</v>
      </c>
      <c r="H276" s="29" t="s">
        <v>1079</v>
      </c>
      <c r="I276" s="29" t="s">
        <v>1080</v>
      </c>
      <c r="J276" s="29" t="s">
        <v>1081</v>
      </c>
      <c r="K276" s="29" t="s">
        <v>1082</v>
      </c>
      <c r="L276" s="250">
        <v>10</v>
      </c>
      <c r="M276" s="251"/>
    </row>
    <row r="277" ht="31" spans="1:13">
      <c r="A277" s="248" t="s">
        <v>4175</v>
      </c>
      <c r="B277" s="45" t="s">
        <v>4174</v>
      </c>
      <c r="C277" s="249" t="e">
        <f>VLOOKUP(D277,#REF!,2,0)</f>
        <v>#REF!</v>
      </c>
      <c r="D277" s="29" t="s">
        <v>1057</v>
      </c>
      <c r="E277" s="18" t="e">
        <f>VLOOKUP(C277,数据集标准分类!E:F,2,0)</f>
        <v>#REF!</v>
      </c>
      <c r="F277" s="29" t="e">
        <f>VLOOKUP(D277,数据集标准分类!G:H,2,0)</f>
        <v>#N/A</v>
      </c>
      <c r="G277" s="29" t="s">
        <v>1083</v>
      </c>
      <c r="H277" s="29" t="s">
        <v>1084</v>
      </c>
      <c r="I277" s="29" t="s">
        <v>1085</v>
      </c>
      <c r="J277" s="29" t="s">
        <v>1086</v>
      </c>
      <c r="K277" s="29" t="s">
        <v>1087</v>
      </c>
      <c r="L277" s="250">
        <v>11</v>
      </c>
      <c r="M277" s="251"/>
    </row>
    <row r="278" ht="31" spans="1:13">
      <c r="A278" s="248" t="s">
        <v>4175</v>
      </c>
      <c r="B278" s="45" t="s">
        <v>4174</v>
      </c>
      <c r="C278" s="249" t="e">
        <f>VLOOKUP(D278,#REF!,2,0)</f>
        <v>#REF!</v>
      </c>
      <c r="D278" s="29" t="s">
        <v>1057</v>
      </c>
      <c r="E278" s="18" t="e">
        <f>VLOOKUP(C278,数据集标准分类!E:F,2,0)</f>
        <v>#REF!</v>
      </c>
      <c r="F278" s="29" t="e">
        <f>VLOOKUP(D278,数据集标准分类!G:H,2,0)</f>
        <v>#N/A</v>
      </c>
      <c r="G278" s="29" t="s">
        <v>789</v>
      </c>
      <c r="H278" s="29" t="s">
        <v>790</v>
      </c>
      <c r="I278" s="29" t="s">
        <v>790</v>
      </c>
      <c r="J278" s="29" t="s">
        <v>791</v>
      </c>
      <c r="K278" s="29" t="s">
        <v>792</v>
      </c>
      <c r="L278" s="250">
        <v>12</v>
      </c>
      <c r="M278" s="251"/>
    </row>
    <row r="279" ht="31" spans="1:13">
      <c r="A279" s="248" t="s">
        <v>4175</v>
      </c>
      <c r="B279" s="45" t="s">
        <v>4174</v>
      </c>
      <c r="C279" s="249" t="e">
        <f>VLOOKUP(D279,#REF!,2,0)</f>
        <v>#REF!</v>
      </c>
      <c r="D279" s="29" t="s">
        <v>1096</v>
      </c>
      <c r="E279" s="18" t="e">
        <f>VLOOKUP(C279,数据集标准分类!E:F,2,0)</f>
        <v>#REF!</v>
      </c>
      <c r="F279" s="29" t="e">
        <f>VLOOKUP(D279,数据集标准分类!G:H,2,0)</f>
        <v>#N/A</v>
      </c>
      <c r="G279" s="29" t="s">
        <v>1097</v>
      </c>
      <c r="H279" s="29" t="s">
        <v>1098</v>
      </c>
      <c r="I279" s="29" t="s">
        <v>1099</v>
      </c>
      <c r="J279" s="29" t="s">
        <v>1100</v>
      </c>
      <c r="K279" s="29" t="s">
        <v>1101</v>
      </c>
      <c r="L279" s="250">
        <v>1</v>
      </c>
      <c r="M279" s="251"/>
    </row>
    <row r="280" ht="31" spans="1:13">
      <c r="A280" s="248" t="s">
        <v>4175</v>
      </c>
      <c r="B280" s="45" t="s">
        <v>4174</v>
      </c>
      <c r="C280" s="249" t="e">
        <f>VLOOKUP(D280,#REF!,2,0)</f>
        <v>#REF!</v>
      </c>
      <c r="D280" s="29" t="s">
        <v>1096</v>
      </c>
      <c r="E280" s="18" t="e">
        <f>VLOOKUP(C280,数据集标准分类!E:F,2,0)</f>
        <v>#REF!</v>
      </c>
      <c r="F280" s="29" t="e">
        <f>VLOOKUP(D280,数据集标准分类!G:H,2,0)</f>
        <v>#N/A</v>
      </c>
      <c r="G280" s="65" t="s">
        <v>1102</v>
      </c>
      <c r="H280" s="29" t="s">
        <v>1103</v>
      </c>
      <c r="I280" s="29" t="s">
        <v>1104</v>
      </c>
      <c r="J280" s="29" t="s">
        <v>1105</v>
      </c>
      <c r="K280" s="29" t="s">
        <v>1106</v>
      </c>
      <c r="L280" s="250">
        <v>2</v>
      </c>
      <c r="M280" s="251"/>
    </row>
    <row r="281" ht="46" spans="1:13">
      <c r="A281" s="248" t="s">
        <v>4175</v>
      </c>
      <c r="B281" s="45" t="s">
        <v>4174</v>
      </c>
      <c r="C281" s="249" t="e">
        <f>VLOOKUP(D281,#REF!,2,0)</f>
        <v>#REF!</v>
      </c>
      <c r="D281" s="29" t="s">
        <v>1096</v>
      </c>
      <c r="E281" s="18" t="e">
        <f>VLOOKUP(C281,数据集标准分类!E:F,2,0)</f>
        <v>#REF!</v>
      </c>
      <c r="F281" s="29" t="e">
        <f>VLOOKUP(D281,数据集标准分类!G:H,2,0)</f>
        <v>#N/A</v>
      </c>
      <c r="G281" s="29" t="s">
        <v>1006</v>
      </c>
      <c r="H281" s="29" t="s">
        <v>1007</v>
      </c>
      <c r="I281" s="29" t="s">
        <v>1008</v>
      </c>
      <c r="J281" s="29" t="s">
        <v>1009</v>
      </c>
      <c r="K281" s="29" t="s">
        <v>1107</v>
      </c>
      <c r="L281" s="250">
        <v>3</v>
      </c>
      <c r="M281" s="251"/>
    </row>
    <row r="282" ht="46" spans="1:13">
      <c r="A282" s="248" t="s">
        <v>4175</v>
      </c>
      <c r="B282" s="45" t="s">
        <v>4174</v>
      </c>
      <c r="C282" s="249" t="e">
        <f>VLOOKUP(D282,#REF!,2,0)</f>
        <v>#REF!</v>
      </c>
      <c r="D282" s="29" t="s">
        <v>1096</v>
      </c>
      <c r="E282" s="18" t="e">
        <f>VLOOKUP(C282,数据集标准分类!E:F,2,0)</f>
        <v>#REF!</v>
      </c>
      <c r="F282" s="29" t="e">
        <f>VLOOKUP(D282,数据集标准分类!G:H,2,0)</f>
        <v>#N/A</v>
      </c>
      <c r="G282" s="29" t="s">
        <v>784</v>
      </c>
      <c r="H282" s="29" t="s">
        <v>785</v>
      </c>
      <c r="I282" s="29" t="s">
        <v>786</v>
      </c>
      <c r="J282" s="29" t="s">
        <v>787</v>
      </c>
      <c r="K282" s="29" t="s">
        <v>788</v>
      </c>
      <c r="L282" s="250">
        <v>4</v>
      </c>
      <c r="M282" s="251"/>
    </row>
    <row r="283" ht="46" spans="1:13">
      <c r="A283" s="248" t="s">
        <v>4175</v>
      </c>
      <c r="B283" s="45" t="s">
        <v>4174</v>
      </c>
      <c r="C283" s="249" t="e">
        <f>VLOOKUP(D283,#REF!,2,0)</f>
        <v>#REF!</v>
      </c>
      <c r="D283" s="29" t="s">
        <v>1096</v>
      </c>
      <c r="E283" s="18" t="e">
        <f>VLOOKUP(C283,数据集标准分类!E:F,2,0)</f>
        <v>#REF!</v>
      </c>
      <c r="F283" s="29" t="e">
        <f>VLOOKUP(D283,数据集标准分类!G:H,2,0)</f>
        <v>#N/A</v>
      </c>
      <c r="G283" s="29" t="s">
        <v>1092</v>
      </c>
      <c r="H283" s="29" t="s">
        <v>1093</v>
      </c>
      <c r="I283" s="29" t="s">
        <v>1094</v>
      </c>
      <c r="J283" s="29" t="s">
        <v>1095</v>
      </c>
      <c r="K283" s="29" t="s">
        <v>1108</v>
      </c>
      <c r="L283" s="250">
        <v>5</v>
      </c>
      <c r="M283" s="251"/>
    </row>
    <row r="284" ht="16.8" spans="1:13">
      <c r="A284" s="248" t="s">
        <v>4175</v>
      </c>
      <c r="B284" s="45" t="s">
        <v>4174</v>
      </c>
      <c r="C284" s="249" t="e">
        <f>VLOOKUP(D284,#REF!,2,0)</f>
        <v>#REF!</v>
      </c>
      <c r="D284" s="29" t="s">
        <v>1096</v>
      </c>
      <c r="E284" s="18" t="e">
        <f>VLOOKUP(C284,数据集标准分类!E:F,2,0)</f>
        <v>#REF!</v>
      </c>
      <c r="F284" s="29" t="e">
        <f>VLOOKUP(D284,数据集标准分类!G:H,2,0)</f>
        <v>#N/A</v>
      </c>
      <c r="G284" s="29" t="s">
        <v>1109</v>
      </c>
      <c r="H284" s="29" t="s">
        <v>1110</v>
      </c>
      <c r="I284" s="29" t="s">
        <v>1111</v>
      </c>
      <c r="J284" s="29" t="s">
        <v>1112</v>
      </c>
      <c r="K284" s="29" t="s">
        <v>1113</v>
      </c>
      <c r="L284" s="250">
        <v>6</v>
      </c>
      <c r="M284" s="251"/>
    </row>
    <row r="285" ht="16.8" spans="1:13">
      <c r="A285" s="248" t="s">
        <v>4175</v>
      </c>
      <c r="B285" s="45" t="s">
        <v>4174</v>
      </c>
      <c r="C285" s="249" t="e">
        <f>VLOOKUP(D285,#REF!,2,0)</f>
        <v>#REF!</v>
      </c>
      <c r="D285" s="29" t="s">
        <v>1096</v>
      </c>
      <c r="E285" s="18" t="e">
        <f>VLOOKUP(C285,数据集标准分类!E:F,2,0)</f>
        <v>#REF!</v>
      </c>
      <c r="F285" s="29" t="e">
        <f>VLOOKUP(D285,数据集标准分类!G:H,2,0)</f>
        <v>#N/A</v>
      </c>
      <c r="G285" s="29" t="s">
        <v>201</v>
      </c>
      <c r="H285" s="29" t="s">
        <v>202</v>
      </c>
      <c r="I285" s="29" t="s">
        <v>203</v>
      </c>
      <c r="J285" s="29" t="s">
        <v>204</v>
      </c>
      <c r="K285" s="29" t="s">
        <v>1114</v>
      </c>
      <c r="L285" s="250">
        <v>7</v>
      </c>
      <c r="M285" s="251"/>
    </row>
    <row r="286" ht="31" spans="1:13">
      <c r="A286" s="248" t="s">
        <v>4175</v>
      </c>
      <c r="B286" s="45" t="s">
        <v>4174</v>
      </c>
      <c r="C286" s="249" t="e">
        <f>VLOOKUP(D286,#REF!,2,0)</f>
        <v>#REF!</v>
      </c>
      <c r="D286" s="29" t="s">
        <v>1125</v>
      </c>
      <c r="E286" s="18" t="e">
        <f>VLOOKUP(C286,数据集标准分类!E:F,2,0)</f>
        <v>#REF!</v>
      </c>
      <c r="F286" s="29" t="e">
        <f>VLOOKUP(D286,数据集标准分类!G:H,2,0)</f>
        <v>#N/A</v>
      </c>
      <c r="G286" s="29" t="s">
        <v>1126</v>
      </c>
      <c r="H286" s="29" t="s">
        <v>1127</v>
      </c>
      <c r="I286" s="29" t="s">
        <v>1128</v>
      </c>
      <c r="J286" s="29" t="s">
        <v>1129</v>
      </c>
      <c r="K286" s="29" t="s">
        <v>1130</v>
      </c>
      <c r="L286" s="250">
        <v>1</v>
      </c>
      <c r="M286" s="251"/>
    </row>
    <row r="287" ht="31" spans="1:13">
      <c r="A287" s="248" t="s">
        <v>4175</v>
      </c>
      <c r="B287" s="45" t="s">
        <v>4174</v>
      </c>
      <c r="C287" s="249" t="e">
        <f>VLOOKUP(D287,#REF!,2,0)</f>
        <v>#REF!</v>
      </c>
      <c r="D287" s="29" t="s">
        <v>1125</v>
      </c>
      <c r="E287" s="18" t="e">
        <f>VLOOKUP(C287,数据集标准分类!E:F,2,0)</f>
        <v>#REF!</v>
      </c>
      <c r="F287" s="29" t="e">
        <f>VLOOKUP(D287,数据集标准分类!G:H,2,0)</f>
        <v>#N/A</v>
      </c>
      <c r="G287" s="29" t="s">
        <v>1133</v>
      </c>
      <c r="H287" s="29" t="s">
        <v>1134</v>
      </c>
      <c r="I287" s="29" t="s">
        <v>1135</v>
      </c>
      <c r="J287" s="29" t="s">
        <v>1136</v>
      </c>
      <c r="K287" s="29" t="s">
        <v>1137</v>
      </c>
      <c r="L287" s="250">
        <v>2</v>
      </c>
      <c r="M287" s="251"/>
    </row>
    <row r="288" ht="46" spans="1:13">
      <c r="A288" s="248" t="s">
        <v>4175</v>
      </c>
      <c r="B288" s="45" t="s">
        <v>4174</v>
      </c>
      <c r="C288" s="249" t="e">
        <f>VLOOKUP(D288,#REF!,2,0)</f>
        <v>#REF!</v>
      </c>
      <c r="D288" s="29" t="s">
        <v>1125</v>
      </c>
      <c r="E288" s="18" t="e">
        <f>VLOOKUP(C288,数据集标准分类!E:F,2,0)</f>
        <v>#REF!</v>
      </c>
      <c r="F288" s="29" t="e">
        <f>VLOOKUP(D288,数据集标准分类!G:H,2,0)</f>
        <v>#N/A</v>
      </c>
      <c r="G288" s="29" t="s">
        <v>1006</v>
      </c>
      <c r="H288" s="29" t="s">
        <v>1007</v>
      </c>
      <c r="I288" s="29" t="s">
        <v>1008</v>
      </c>
      <c r="J288" s="29" t="s">
        <v>1009</v>
      </c>
      <c r="K288" s="29" t="s">
        <v>1107</v>
      </c>
      <c r="L288" s="250">
        <v>3</v>
      </c>
      <c r="M288" s="251"/>
    </row>
    <row r="289" ht="46" spans="1:13">
      <c r="A289" s="248" t="s">
        <v>4175</v>
      </c>
      <c r="B289" s="45" t="s">
        <v>4174</v>
      </c>
      <c r="C289" s="249" t="e">
        <f>VLOOKUP(D289,#REF!,2,0)</f>
        <v>#REF!</v>
      </c>
      <c r="D289" s="29" t="s">
        <v>1125</v>
      </c>
      <c r="E289" s="18" t="e">
        <f>VLOOKUP(C289,数据集标准分类!E:F,2,0)</f>
        <v>#REF!</v>
      </c>
      <c r="F289" s="29" t="e">
        <f>VLOOKUP(D289,数据集标准分类!G:H,2,0)</f>
        <v>#N/A</v>
      </c>
      <c r="G289" s="29" t="s">
        <v>784</v>
      </c>
      <c r="H289" s="29" t="s">
        <v>785</v>
      </c>
      <c r="I289" s="29" t="s">
        <v>786</v>
      </c>
      <c r="J289" s="29" t="s">
        <v>787</v>
      </c>
      <c r="K289" s="29" t="s">
        <v>788</v>
      </c>
      <c r="L289" s="250">
        <v>4</v>
      </c>
      <c r="M289" s="251"/>
    </row>
    <row r="290" ht="46" spans="1:13">
      <c r="A290" s="248" t="s">
        <v>4175</v>
      </c>
      <c r="B290" s="45" t="s">
        <v>4174</v>
      </c>
      <c r="C290" s="249" t="e">
        <f>VLOOKUP(D290,#REF!,2,0)</f>
        <v>#REF!</v>
      </c>
      <c r="D290" s="29" t="s">
        <v>1125</v>
      </c>
      <c r="E290" s="18" t="e">
        <f>VLOOKUP(C290,数据集标准分类!E:F,2,0)</f>
        <v>#REF!</v>
      </c>
      <c r="F290" s="29" t="e">
        <f>VLOOKUP(D290,数据集标准分类!G:H,2,0)</f>
        <v>#N/A</v>
      </c>
      <c r="G290" s="29" t="s">
        <v>1092</v>
      </c>
      <c r="H290" s="29" t="s">
        <v>1093</v>
      </c>
      <c r="I290" s="29" t="s">
        <v>1094</v>
      </c>
      <c r="J290" s="29" t="s">
        <v>1095</v>
      </c>
      <c r="K290" s="29" t="s">
        <v>1108</v>
      </c>
      <c r="L290" s="250">
        <v>5</v>
      </c>
      <c r="M290" s="251"/>
    </row>
    <row r="291" ht="16.8" spans="1:13">
      <c r="A291" s="248" t="s">
        <v>4175</v>
      </c>
      <c r="B291" s="45" t="s">
        <v>4174</v>
      </c>
      <c r="C291" s="249" t="e">
        <f>VLOOKUP(D291,#REF!,2,0)</f>
        <v>#REF!</v>
      </c>
      <c r="D291" s="29" t="s">
        <v>1125</v>
      </c>
      <c r="E291" s="18" t="e">
        <f>VLOOKUP(C291,数据集标准分类!E:F,2,0)</f>
        <v>#REF!</v>
      </c>
      <c r="F291" s="29" t="e">
        <f>VLOOKUP(D291,数据集标准分类!G:H,2,0)</f>
        <v>#N/A</v>
      </c>
      <c r="G291" s="29" t="s">
        <v>1109</v>
      </c>
      <c r="H291" s="29" t="s">
        <v>1110</v>
      </c>
      <c r="I291" s="29" t="s">
        <v>1111</v>
      </c>
      <c r="J291" s="29" t="s">
        <v>1112</v>
      </c>
      <c r="K291" s="29" t="s">
        <v>1113</v>
      </c>
      <c r="L291" s="250">
        <v>6</v>
      </c>
      <c r="M291" s="251"/>
    </row>
    <row r="292" ht="16.8" spans="1:13">
      <c r="A292" s="248" t="s">
        <v>4175</v>
      </c>
      <c r="B292" s="45" t="s">
        <v>4174</v>
      </c>
      <c r="C292" s="249" t="e">
        <f>VLOOKUP(D292,#REF!,2,0)</f>
        <v>#REF!</v>
      </c>
      <c r="D292" s="29" t="s">
        <v>1125</v>
      </c>
      <c r="E292" s="18" t="e">
        <f>VLOOKUP(C292,数据集标准分类!E:F,2,0)</f>
        <v>#REF!</v>
      </c>
      <c r="F292" s="29" t="e">
        <f>VLOOKUP(D292,数据集标准分类!G:H,2,0)</f>
        <v>#N/A</v>
      </c>
      <c r="G292" s="29" t="s">
        <v>201</v>
      </c>
      <c r="H292" s="29" t="s">
        <v>202</v>
      </c>
      <c r="I292" s="29" t="s">
        <v>203</v>
      </c>
      <c r="J292" s="29" t="s">
        <v>204</v>
      </c>
      <c r="K292" s="29" t="s">
        <v>1114</v>
      </c>
      <c r="L292" s="250">
        <v>7</v>
      </c>
      <c r="M292" s="251"/>
    </row>
    <row r="293" ht="31" spans="1:13">
      <c r="A293" s="248" t="s">
        <v>4175</v>
      </c>
      <c r="B293" s="45" t="s">
        <v>4174</v>
      </c>
      <c r="C293" s="249" t="e">
        <f>VLOOKUP(D293,#REF!,2,0)</f>
        <v>#REF!</v>
      </c>
      <c r="D293" s="29" t="s">
        <v>1125</v>
      </c>
      <c r="E293" s="18" t="e">
        <f>VLOOKUP(C293,数据集标准分类!E:F,2,0)</f>
        <v>#REF!</v>
      </c>
      <c r="F293" s="29" t="e">
        <f>VLOOKUP(D293,数据集标准分类!G:H,2,0)</f>
        <v>#N/A</v>
      </c>
      <c r="G293" s="29" t="s">
        <v>1083</v>
      </c>
      <c r="H293" s="29" t="s">
        <v>1084</v>
      </c>
      <c r="I293" s="29" t="s">
        <v>1085</v>
      </c>
      <c r="J293" s="29" t="s">
        <v>1086</v>
      </c>
      <c r="K293" s="29" t="s">
        <v>1087</v>
      </c>
      <c r="L293" s="250">
        <v>8</v>
      </c>
      <c r="M293" s="251"/>
    </row>
    <row r="294" ht="46" spans="1:13">
      <c r="A294" s="248" t="s">
        <v>4175</v>
      </c>
      <c r="B294" s="45" t="s">
        <v>4174</v>
      </c>
      <c r="C294" s="249" t="e">
        <f>VLOOKUP(D294,#REF!,2,0)</f>
        <v>#REF!</v>
      </c>
      <c r="D294" s="29" t="s">
        <v>1138</v>
      </c>
      <c r="E294" s="18" t="e">
        <f>VLOOKUP(C294,数据集标准分类!E:F,2,0)</f>
        <v>#REF!</v>
      </c>
      <c r="F294" s="29" t="e">
        <f>VLOOKUP(D294,数据集标准分类!G:H,2,0)</f>
        <v>#N/A</v>
      </c>
      <c r="G294" s="29" t="s">
        <v>1139</v>
      </c>
      <c r="H294" s="29" t="s">
        <v>1140</v>
      </c>
      <c r="I294" s="29" t="s">
        <v>1141</v>
      </c>
      <c r="J294" s="29" t="s">
        <v>1142</v>
      </c>
      <c r="K294" s="29" t="s">
        <v>1143</v>
      </c>
      <c r="L294" s="250">
        <v>1</v>
      </c>
      <c r="M294" s="251"/>
    </row>
    <row r="295" ht="31" spans="1:13">
      <c r="A295" s="248" t="s">
        <v>4175</v>
      </c>
      <c r="B295" s="45" t="s">
        <v>4174</v>
      </c>
      <c r="C295" s="249" t="e">
        <f>VLOOKUP(D295,#REF!,2,0)</f>
        <v>#REF!</v>
      </c>
      <c r="D295" s="29" t="s">
        <v>1138</v>
      </c>
      <c r="E295" s="18" t="e">
        <f>VLOOKUP(C295,数据集标准分类!E:F,2,0)</f>
        <v>#REF!</v>
      </c>
      <c r="F295" s="29" t="e">
        <f>VLOOKUP(D295,数据集标准分类!G:H,2,0)</f>
        <v>#N/A</v>
      </c>
      <c r="G295" s="29" t="s">
        <v>1144</v>
      </c>
      <c r="H295" s="29" t="s">
        <v>1145</v>
      </c>
      <c r="I295" s="29" t="s">
        <v>1146</v>
      </c>
      <c r="J295" s="29" t="s">
        <v>1147</v>
      </c>
      <c r="K295" s="29" t="s">
        <v>1148</v>
      </c>
      <c r="L295" s="250">
        <v>2</v>
      </c>
      <c r="M295" s="251"/>
    </row>
    <row r="296" ht="46" spans="1:13">
      <c r="A296" s="248" t="s">
        <v>4175</v>
      </c>
      <c r="B296" s="45" t="s">
        <v>4174</v>
      </c>
      <c r="C296" s="249" t="e">
        <f>VLOOKUP(D296,#REF!,2,0)</f>
        <v>#REF!</v>
      </c>
      <c r="D296" s="29" t="s">
        <v>1138</v>
      </c>
      <c r="E296" s="18" t="e">
        <f>VLOOKUP(C296,数据集标准分类!E:F,2,0)</f>
        <v>#REF!</v>
      </c>
      <c r="F296" s="29" t="e">
        <f>VLOOKUP(D296,数据集标准分类!G:H,2,0)</f>
        <v>#N/A</v>
      </c>
      <c r="G296" s="29" t="s">
        <v>784</v>
      </c>
      <c r="H296" s="29" t="s">
        <v>785</v>
      </c>
      <c r="I296" s="29" t="s">
        <v>786</v>
      </c>
      <c r="J296" s="29" t="s">
        <v>787</v>
      </c>
      <c r="K296" s="29" t="s">
        <v>788</v>
      </c>
      <c r="L296" s="250">
        <v>3</v>
      </c>
      <c r="M296" s="251"/>
    </row>
    <row r="297" ht="46" spans="1:13">
      <c r="A297" s="248" t="s">
        <v>4175</v>
      </c>
      <c r="B297" s="45" t="s">
        <v>4174</v>
      </c>
      <c r="C297" s="249" t="e">
        <f>VLOOKUP(D297,#REF!,2,0)</f>
        <v>#REF!</v>
      </c>
      <c r="D297" s="29" t="s">
        <v>1138</v>
      </c>
      <c r="E297" s="18" t="e">
        <f>VLOOKUP(C297,数据集标准分类!E:F,2,0)</f>
        <v>#REF!</v>
      </c>
      <c r="F297" s="29" t="e">
        <f>VLOOKUP(D297,数据集标准分类!G:H,2,0)</f>
        <v>#N/A</v>
      </c>
      <c r="G297" s="29" t="s">
        <v>1092</v>
      </c>
      <c r="H297" s="29" t="s">
        <v>1093</v>
      </c>
      <c r="I297" s="29" t="s">
        <v>1094</v>
      </c>
      <c r="J297" s="29" t="s">
        <v>1095</v>
      </c>
      <c r="K297" s="29" t="s">
        <v>1108</v>
      </c>
      <c r="L297" s="250">
        <v>4</v>
      </c>
      <c r="M297" s="251"/>
    </row>
    <row r="298" ht="31" spans="1:13">
      <c r="A298" s="248" t="s">
        <v>4175</v>
      </c>
      <c r="B298" s="45" t="s">
        <v>4174</v>
      </c>
      <c r="C298" s="249" t="e">
        <f>VLOOKUP(D298,#REF!,2,0)</f>
        <v>#REF!</v>
      </c>
      <c r="D298" s="29" t="s">
        <v>1138</v>
      </c>
      <c r="E298" s="18" t="e">
        <f>VLOOKUP(C298,数据集标准分类!E:F,2,0)</f>
        <v>#REF!</v>
      </c>
      <c r="F298" s="29" t="e">
        <f>VLOOKUP(D298,数据集标准分类!G:H,2,0)</f>
        <v>#N/A</v>
      </c>
      <c r="G298" s="29" t="s">
        <v>1006</v>
      </c>
      <c r="H298" s="29" t="s">
        <v>1007</v>
      </c>
      <c r="I298" s="29" t="s">
        <v>1008</v>
      </c>
      <c r="J298" s="29" t="s">
        <v>1009</v>
      </c>
      <c r="K298" s="29" t="s">
        <v>1149</v>
      </c>
      <c r="L298" s="250">
        <v>5</v>
      </c>
      <c r="M298" s="251"/>
    </row>
    <row r="299" ht="16.8" spans="1:13">
      <c r="A299" s="248" t="s">
        <v>4175</v>
      </c>
      <c r="B299" s="45" t="s">
        <v>4174</v>
      </c>
      <c r="C299" s="249" t="e">
        <f>VLOOKUP(D299,#REF!,2,0)</f>
        <v>#REF!</v>
      </c>
      <c r="D299" s="29" t="s">
        <v>1138</v>
      </c>
      <c r="E299" s="18" t="e">
        <f>VLOOKUP(C299,数据集标准分类!E:F,2,0)</f>
        <v>#REF!</v>
      </c>
      <c r="F299" s="29" t="e">
        <f>VLOOKUP(D299,数据集标准分类!G:H,2,0)</f>
        <v>#N/A</v>
      </c>
      <c r="G299" s="29" t="s">
        <v>201</v>
      </c>
      <c r="H299" s="29" t="s">
        <v>202</v>
      </c>
      <c r="I299" s="29" t="s">
        <v>203</v>
      </c>
      <c r="J299" s="29" t="s">
        <v>204</v>
      </c>
      <c r="K299" s="29" t="s">
        <v>1114</v>
      </c>
      <c r="L299" s="250">
        <v>6</v>
      </c>
      <c r="M299" s="251"/>
    </row>
    <row r="300" ht="31" spans="1:13">
      <c r="A300" s="248" t="s">
        <v>4175</v>
      </c>
      <c r="B300" s="45" t="s">
        <v>4174</v>
      </c>
      <c r="C300" s="249" t="e">
        <f>VLOOKUP(D300,#REF!,2,0)</f>
        <v>#REF!</v>
      </c>
      <c r="D300" s="29" t="s">
        <v>1138</v>
      </c>
      <c r="E300" s="18" t="e">
        <f>VLOOKUP(C300,数据集标准分类!E:F,2,0)</f>
        <v>#REF!</v>
      </c>
      <c r="F300" s="29" t="e">
        <f>VLOOKUP(D300,数据集标准分类!G:H,2,0)</f>
        <v>#N/A</v>
      </c>
      <c r="G300" s="29" t="s">
        <v>1150</v>
      </c>
      <c r="H300" s="29" t="s">
        <v>1151</v>
      </c>
      <c r="I300" s="29" t="s">
        <v>1152</v>
      </c>
      <c r="J300" s="29" t="s">
        <v>1153</v>
      </c>
      <c r="K300" s="29" t="s">
        <v>1154</v>
      </c>
      <c r="L300" s="250">
        <v>7</v>
      </c>
      <c r="M300" s="251"/>
    </row>
    <row r="301" ht="46" spans="1:13">
      <c r="A301" s="248" t="s">
        <v>4175</v>
      </c>
      <c r="B301" s="45" t="s">
        <v>4174</v>
      </c>
      <c r="C301" s="249" t="e">
        <f>VLOOKUP(D301,#REF!,2,0)</f>
        <v>#REF!</v>
      </c>
      <c r="D301" s="29" t="s">
        <v>1171</v>
      </c>
      <c r="E301" s="18" t="e">
        <f>VLOOKUP(C301,数据集标准分类!E:F,2,0)</f>
        <v>#REF!</v>
      </c>
      <c r="F301" s="29" t="e">
        <f>VLOOKUP(D301,数据集标准分类!G:H,2,0)</f>
        <v>#N/A</v>
      </c>
      <c r="G301" s="29" t="s">
        <v>152</v>
      </c>
      <c r="H301" s="29" t="s">
        <v>153</v>
      </c>
      <c r="I301" s="29" t="s">
        <v>154</v>
      </c>
      <c r="J301" s="29" t="s">
        <v>155</v>
      </c>
      <c r="K301" s="29" t="s">
        <v>156</v>
      </c>
      <c r="L301" s="250">
        <v>1</v>
      </c>
      <c r="M301" s="251"/>
    </row>
    <row r="302" ht="61" spans="1:13">
      <c r="A302" s="248" t="s">
        <v>4175</v>
      </c>
      <c r="B302" s="45" t="s">
        <v>4174</v>
      </c>
      <c r="C302" s="249" t="e">
        <f>VLOOKUP(D302,#REF!,2,0)</f>
        <v>#REF!</v>
      </c>
      <c r="D302" s="29" t="s">
        <v>1171</v>
      </c>
      <c r="E302" s="18" t="e">
        <f>VLOOKUP(C302,数据集标准分类!E:F,2,0)</f>
        <v>#REF!</v>
      </c>
      <c r="F302" s="29" t="e">
        <f>VLOOKUP(D302,数据集标准分类!G:H,2,0)</f>
        <v>#N/A</v>
      </c>
      <c r="G302" s="29" t="s">
        <v>663</v>
      </c>
      <c r="H302" s="29" t="s">
        <v>664</v>
      </c>
      <c r="I302" s="29" t="s">
        <v>665</v>
      </c>
      <c r="J302" s="29" t="s">
        <v>666</v>
      </c>
      <c r="K302" s="29" t="s">
        <v>667</v>
      </c>
      <c r="L302" s="250">
        <v>2</v>
      </c>
      <c r="M302" s="251"/>
    </row>
    <row r="303" ht="16.8" spans="1:13">
      <c r="A303" s="248" t="s">
        <v>4175</v>
      </c>
      <c r="B303" s="45" t="s">
        <v>4174</v>
      </c>
      <c r="C303" s="249" t="e">
        <f>VLOOKUP(D303,#REF!,2,0)</f>
        <v>#REF!</v>
      </c>
      <c r="D303" s="29" t="s">
        <v>1171</v>
      </c>
      <c r="E303" s="18" t="e">
        <f>VLOOKUP(C303,数据集标准分类!E:F,2,0)</f>
        <v>#REF!</v>
      </c>
      <c r="F303" s="29" t="e">
        <f>VLOOKUP(D303,数据集标准分类!G:H,2,0)</f>
        <v>#N/A</v>
      </c>
      <c r="G303" s="29" t="s">
        <v>924</v>
      </c>
      <c r="H303" s="29" t="s">
        <v>925</v>
      </c>
      <c r="I303" s="29" t="s">
        <v>926</v>
      </c>
      <c r="J303" s="29" t="s">
        <v>927</v>
      </c>
      <c r="K303" s="29" t="s">
        <v>928</v>
      </c>
      <c r="L303" s="250">
        <v>3</v>
      </c>
      <c r="M303" s="251"/>
    </row>
    <row r="304" ht="46" spans="1:13">
      <c r="A304" s="248" t="s">
        <v>4175</v>
      </c>
      <c r="B304" s="45" t="s">
        <v>4174</v>
      </c>
      <c r="C304" s="249" t="e">
        <f>VLOOKUP(D304,#REF!,2,0)</f>
        <v>#REF!</v>
      </c>
      <c r="D304" s="29" t="s">
        <v>1171</v>
      </c>
      <c r="E304" s="18" t="e">
        <f>VLOOKUP(C304,数据集标准分类!E:F,2,0)</f>
        <v>#REF!</v>
      </c>
      <c r="F304" s="29" t="e">
        <f>VLOOKUP(D304,数据集标准分类!G:H,2,0)</f>
        <v>#N/A</v>
      </c>
      <c r="G304" s="29" t="s">
        <v>784</v>
      </c>
      <c r="H304" s="29" t="s">
        <v>785</v>
      </c>
      <c r="I304" s="29" t="s">
        <v>786</v>
      </c>
      <c r="J304" s="29" t="s">
        <v>787</v>
      </c>
      <c r="K304" s="29" t="s">
        <v>788</v>
      </c>
      <c r="L304" s="250">
        <v>4</v>
      </c>
      <c r="M304" s="251"/>
    </row>
    <row r="305" ht="46" spans="1:13">
      <c r="A305" s="248" t="s">
        <v>4175</v>
      </c>
      <c r="B305" s="45" t="s">
        <v>4174</v>
      </c>
      <c r="C305" s="249" t="e">
        <f>VLOOKUP(D305,#REF!,2,0)</f>
        <v>#REF!</v>
      </c>
      <c r="D305" s="29" t="s">
        <v>1171</v>
      </c>
      <c r="E305" s="18" t="e">
        <f>VLOOKUP(C305,数据集标准分类!E:F,2,0)</f>
        <v>#REF!</v>
      </c>
      <c r="F305" s="29" t="e">
        <f>VLOOKUP(D305,数据集标准分类!G:H,2,0)</f>
        <v>#N/A</v>
      </c>
      <c r="G305" s="29" t="s">
        <v>943</v>
      </c>
      <c r="H305" s="29" t="s">
        <v>944</v>
      </c>
      <c r="I305" s="29" t="s">
        <v>945</v>
      </c>
      <c r="J305" s="29" t="s">
        <v>946</v>
      </c>
      <c r="K305" s="29" t="s">
        <v>947</v>
      </c>
      <c r="L305" s="250">
        <v>5</v>
      </c>
      <c r="M305" s="251"/>
    </row>
    <row r="306" ht="46" spans="1:13">
      <c r="A306" s="248" t="s">
        <v>4175</v>
      </c>
      <c r="B306" s="45" t="s">
        <v>4174</v>
      </c>
      <c r="C306" s="249" t="e">
        <f>VLOOKUP(D306,#REF!,2,0)</f>
        <v>#REF!</v>
      </c>
      <c r="D306" s="29" t="s">
        <v>1171</v>
      </c>
      <c r="E306" s="18" t="e">
        <f>VLOOKUP(C306,数据集标准分类!E:F,2,0)</f>
        <v>#REF!</v>
      </c>
      <c r="F306" s="29" t="e">
        <f>VLOOKUP(D306,数据集标准分类!G:H,2,0)</f>
        <v>#N/A</v>
      </c>
      <c r="G306" s="29" t="s">
        <v>952</v>
      </c>
      <c r="H306" s="29" t="s">
        <v>953</v>
      </c>
      <c r="I306" s="29" t="s">
        <v>954</v>
      </c>
      <c r="J306" s="29" t="s">
        <v>955</v>
      </c>
      <c r="K306" s="29" t="s">
        <v>956</v>
      </c>
      <c r="L306" s="250">
        <v>6</v>
      </c>
      <c r="M306" s="251"/>
    </row>
    <row r="307" ht="46" spans="1:13">
      <c r="A307" s="248" t="s">
        <v>4175</v>
      </c>
      <c r="B307" s="45" t="s">
        <v>4174</v>
      </c>
      <c r="C307" s="249" t="e">
        <f>VLOOKUP(D307,#REF!,2,0)</f>
        <v>#REF!</v>
      </c>
      <c r="D307" s="29" t="s">
        <v>1171</v>
      </c>
      <c r="E307" s="18" t="e">
        <f>VLOOKUP(C307,数据集标准分类!E:F,2,0)</f>
        <v>#REF!</v>
      </c>
      <c r="F307" s="29" t="e">
        <f>VLOOKUP(D307,数据集标准分类!G:H,2,0)</f>
        <v>#N/A</v>
      </c>
      <c r="G307" s="29" t="s">
        <v>961</v>
      </c>
      <c r="H307" s="29" t="s">
        <v>962</v>
      </c>
      <c r="I307" s="29" t="s">
        <v>963</v>
      </c>
      <c r="J307" s="29" t="s">
        <v>964</v>
      </c>
      <c r="K307" s="29" t="s">
        <v>965</v>
      </c>
      <c r="L307" s="250">
        <v>7</v>
      </c>
      <c r="M307" s="251"/>
    </row>
    <row r="308" ht="31" spans="1:13">
      <c r="A308" s="248" t="s">
        <v>4175</v>
      </c>
      <c r="B308" s="45" t="s">
        <v>4174</v>
      </c>
      <c r="C308" s="249" t="e">
        <f>VLOOKUP(D308,#REF!,2,0)</f>
        <v>#REF!</v>
      </c>
      <c r="D308" s="29" t="s">
        <v>1171</v>
      </c>
      <c r="E308" s="18" t="e">
        <f>VLOOKUP(C308,数据集标准分类!E:F,2,0)</f>
        <v>#REF!</v>
      </c>
      <c r="F308" s="29" t="e">
        <f>VLOOKUP(D308,数据集标准分类!G:H,2,0)</f>
        <v>#N/A</v>
      </c>
      <c r="G308" s="29" t="s">
        <v>789</v>
      </c>
      <c r="H308" s="29" t="s">
        <v>790</v>
      </c>
      <c r="I308" s="29" t="s">
        <v>790</v>
      </c>
      <c r="J308" s="29" t="s">
        <v>791</v>
      </c>
      <c r="K308" s="29" t="s">
        <v>792</v>
      </c>
      <c r="L308" s="250">
        <v>8</v>
      </c>
      <c r="M308" s="251"/>
    </row>
    <row r="309" ht="16.8" spans="1:13">
      <c r="A309" s="248" t="s">
        <v>4175</v>
      </c>
      <c r="B309" s="45" t="s">
        <v>4174</v>
      </c>
      <c r="C309" s="249" t="e">
        <f>VLOOKUP(D309,#REF!,2,0)</f>
        <v>#REF!</v>
      </c>
      <c r="D309" s="29" t="s">
        <v>1171</v>
      </c>
      <c r="E309" s="18" t="e">
        <f>VLOOKUP(C309,数据集标准分类!E:F,2,0)</f>
        <v>#REF!</v>
      </c>
      <c r="F309" s="29" t="e">
        <f>VLOOKUP(D309,数据集标准分类!G:H,2,0)</f>
        <v>#N/A</v>
      </c>
      <c r="G309" s="29" t="s">
        <v>966</v>
      </c>
      <c r="H309" s="29" t="s">
        <v>967</v>
      </c>
      <c r="I309" s="29" t="s">
        <v>968</v>
      </c>
      <c r="J309" s="29" t="s">
        <v>969</v>
      </c>
      <c r="K309" s="29" t="s">
        <v>970</v>
      </c>
      <c r="L309" s="250">
        <v>9</v>
      </c>
      <c r="M309" s="251"/>
    </row>
    <row r="310" ht="16.8" spans="1:13">
      <c r="A310" s="248" t="s">
        <v>4175</v>
      </c>
      <c r="B310" s="45" t="s">
        <v>4174</v>
      </c>
      <c r="C310" s="249" t="e">
        <f>VLOOKUP(D310,#REF!,2,0)</f>
        <v>#REF!</v>
      </c>
      <c r="D310" s="29" t="s">
        <v>1171</v>
      </c>
      <c r="E310" s="18" t="e">
        <f>VLOOKUP(C310,数据集标准分类!E:F,2,0)</f>
        <v>#REF!</v>
      </c>
      <c r="F310" s="29" t="e">
        <f>VLOOKUP(D310,数据集标准分类!G:H,2,0)</f>
        <v>#N/A</v>
      </c>
      <c r="G310" s="29" t="s">
        <v>1172</v>
      </c>
      <c r="H310" s="29" t="s">
        <v>1173</v>
      </c>
      <c r="I310" s="29" t="s">
        <v>1174</v>
      </c>
      <c r="J310" s="29" t="s">
        <v>1175</v>
      </c>
      <c r="K310" s="29" t="s">
        <v>1176</v>
      </c>
      <c r="L310" s="250">
        <v>10</v>
      </c>
      <c r="M310" s="251"/>
    </row>
    <row r="311" ht="46" spans="1:13">
      <c r="A311" s="248" t="s">
        <v>4175</v>
      </c>
      <c r="B311" s="45" t="s">
        <v>4174</v>
      </c>
      <c r="C311" s="249" t="e">
        <f>VLOOKUP(D311,#REF!,2,0)</f>
        <v>#REF!</v>
      </c>
      <c r="D311" s="29" t="s">
        <v>1171</v>
      </c>
      <c r="E311" s="18" t="e">
        <f>VLOOKUP(C311,数据集标准分类!E:F,2,0)</f>
        <v>#REF!</v>
      </c>
      <c r="F311" s="29" t="e">
        <f>VLOOKUP(D311,数据集标准分类!G:H,2,0)</f>
        <v>#N/A</v>
      </c>
      <c r="G311" s="29" t="s">
        <v>1177</v>
      </c>
      <c r="H311" s="29" t="s">
        <v>1178</v>
      </c>
      <c r="I311" s="29" t="s">
        <v>1179</v>
      </c>
      <c r="J311" s="29" t="s">
        <v>1180</v>
      </c>
      <c r="K311" s="29" t="s">
        <v>1181</v>
      </c>
      <c r="L311" s="250">
        <v>11</v>
      </c>
      <c r="M311" s="251"/>
    </row>
    <row r="312" ht="46" spans="1:13">
      <c r="A312" s="248" t="s">
        <v>4175</v>
      </c>
      <c r="B312" s="45" t="s">
        <v>4174</v>
      </c>
      <c r="C312" s="249" t="e">
        <f>VLOOKUP(D312,#REF!,2,0)</f>
        <v>#REF!</v>
      </c>
      <c r="D312" s="29" t="s">
        <v>1171</v>
      </c>
      <c r="E312" s="18" t="e">
        <f>VLOOKUP(C312,数据集标准分类!E:F,2,0)</f>
        <v>#REF!</v>
      </c>
      <c r="F312" s="29" t="e">
        <f>VLOOKUP(D312,数据集标准分类!G:H,2,0)</f>
        <v>#N/A</v>
      </c>
      <c r="G312" s="29" t="s">
        <v>1182</v>
      </c>
      <c r="H312" s="29" t="s">
        <v>1183</v>
      </c>
      <c r="I312" s="29" t="s">
        <v>1184</v>
      </c>
      <c r="J312" s="29" t="s">
        <v>1185</v>
      </c>
      <c r="K312" s="29" t="s">
        <v>1186</v>
      </c>
      <c r="L312" s="250">
        <v>12</v>
      </c>
      <c r="M312" s="251"/>
    </row>
    <row r="313" ht="46" spans="1:13">
      <c r="A313" s="248" t="s">
        <v>4175</v>
      </c>
      <c r="B313" s="45" t="s">
        <v>4174</v>
      </c>
      <c r="C313" s="249" t="e">
        <f>VLOOKUP(D313,#REF!,2,0)</f>
        <v>#REF!</v>
      </c>
      <c r="D313" s="29" t="s">
        <v>1171</v>
      </c>
      <c r="E313" s="18" t="e">
        <f>VLOOKUP(C313,数据集标准分类!E:F,2,0)</f>
        <v>#REF!</v>
      </c>
      <c r="F313" s="29" t="e">
        <f>VLOOKUP(D313,数据集标准分类!G:H,2,0)</f>
        <v>#N/A</v>
      </c>
      <c r="G313" s="29" t="s">
        <v>1187</v>
      </c>
      <c r="H313" s="29" t="s">
        <v>1188</v>
      </c>
      <c r="I313" s="29" t="s">
        <v>1189</v>
      </c>
      <c r="J313" s="29" t="s">
        <v>1190</v>
      </c>
      <c r="K313" s="29" t="s">
        <v>1191</v>
      </c>
      <c r="L313" s="250">
        <v>13</v>
      </c>
      <c r="M313" s="251"/>
    </row>
    <row r="314" ht="31" spans="1:13">
      <c r="A314" s="248" t="s">
        <v>4175</v>
      </c>
      <c r="B314" s="45" t="s">
        <v>4174</v>
      </c>
      <c r="C314" s="249" t="e">
        <f>VLOOKUP(D314,#REF!,2,0)</f>
        <v>#REF!</v>
      </c>
      <c r="D314" s="29" t="s">
        <v>1171</v>
      </c>
      <c r="E314" s="18" t="e">
        <f>VLOOKUP(C314,数据集标准分类!E:F,2,0)</f>
        <v>#REF!</v>
      </c>
      <c r="F314" s="29" t="e">
        <f>VLOOKUP(D314,数据集标准分类!G:H,2,0)</f>
        <v>#N/A</v>
      </c>
      <c r="G314" s="29" t="s">
        <v>1192</v>
      </c>
      <c r="H314" s="29" t="s">
        <v>1193</v>
      </c>
      <c r="I314" s="29" t="s">
        <v>1194</v>
      </c>
      <c r="J314" s="29" t="s">
        <v>1195</v>
      </c>
      <c r="K314" s="29" t="s">
        <v>1196</v>
      </c>
      <c r="L314" s="250">
        <v>14</v>
      </c>
      <c r="M314" s="251"/>
    </row>
    <row r="315" ht="46" spans="1:13">
      <c r="A315" s="248" t="s">
        <v>4175</v>
      </c>
      <c r="B315" s="45" t="s">
        <v>4174</v>
      </c>
      <c r="C315" s="249" t="e">
        <f>VLOOKUP(D315,#REF!,2,0)</f>
        <v>#REF!</v>
      </c>
      <c r="D315" s="29" t="s">
        <v>1171</v>
      </c>
      <c r="E315" s="18" t="e">
        <f>VLOOKUP(C315,数据集标准分类!E:F,2,0)</f>
        <v>#REF!</v>
      </c>
      <c r="F315" s="29" t="e">
        <f>VLOOKUP(D315,数据集标准分类!G:H,2,0)</f>
        <v>#N/A</v>
      </c>
      <c r="G315" s="29" t="s">
        <v>1083</v>
      </c>
      <c r="H315" s="29" t="s">
        <v>1084</v>
      </c>
      <c r="I315" s="29" t="s">
        <v>1085</v>
      </c>
      <c r="J315" s="29" t="s">
        <v>1086</v>
      </c>
      <c r="K315" s="29" t="s">
        <v>1197</v>
      </c>
      <c r="L315" s="250">
        <v>15</v>
      </c>
      <c r="M315" s="251"/>
    </row>
    <row r="316" ht="46" spans="1:13">
      <c r="A316" s="248" t="s">
        <v>4175</v>
      </c>
      <c r="B316" s="45" t="s">
        <v>4174</v>
      </c>
      <c r="C316" s="249" t="e">
        <f>VLOOKUP(D316,#REF!,2,0)</f>
        <v>#REF!</v>
      </c>
      <c r="D316" s="29" t="s">
        <v>1214</v>
      </c>
      <c r="E316" s="18" t="e">
        <f>VLOOKUP(C316,数据集标准分类!E:F,2,0)</f>
        <v>#REF!</v>
      </c>
      <c r="F316" s="29" t="e">
        <f>VLOOKUP(D316,数据集标准分类!G:H,2,0)</f>
        <v>#N/A</v>
      </c>
      <c r="G316" s="29" t="s">
        <v>152</v>
      </c>
      <c r="H316" s="29" t="s">
        <v>153</v>
      </c>
      <c r="I316" s="29" t="s">
        <v>154</v>
      </c>
      <c r="J316" s="29" t="s">
        <v>155</v>
      </c>
      <c r="K316" s="29" t="s">
        <v>156</v>
      </c>
      <c r="L316" s="250">
        <v>1</v>
      </c>
      <c r="M316" s="251"/>
    </row>
    <row r="317" ht="61" spans="1:13">
      <c r="A317" s="248" t="s">
        <v>4175</v>
      </c>
      <c r="B317" s="45" t="s">
        <v>4174</v>
      </c>
      <c r="C317" s="249" t="e">
        <f>VLOOKUP(D317,#REF!,2,0)</f>
        <v>#REF!</v>
      </c>
      <c r="D317" s="29" t="s">
        <v>1214</v>
      </c>
      <c r="E317" s="18" t="e">
        <f>VLOOKUP(C317,数据集标准分类!E:F,2,0)</f>
        <v>#REF!</v>
      </c>
      <c r="F317" s="29" t="e">
        <f>VLOOKUP(D317,数据集标准分类!G:H,2,0)</f>
        <v>#N/A</v>
      </c>
      <c r="G317" s="29" t="s">
        <v>663</v>
      </c>
      <c r="H317" s="29" t="s">
        <v>664</v>
      </c>
      <c r="I317" s="29" t="s">
        <v>665</v>
      </c>
      <c r="J317" s="29" t="s">
        <v>666</v>
      </c>
      <c r="K317" s="29" t="s">
        <v>667</v>
      </c>
      <c r="L317" s="250">
        <v>2</v>
      </c>
      <c r="M317" s="251"/>
    </row>
    <row r="318" ht="16.8" spans="1:13">
      <c r="A318" s="248" t="s">
        <v>4175</v>
      </c>
      <c r="B318" s="45" t="s">
        <v>4174</v>
      </c>
      <c r="C318" s="249" t="e">
        <f>VLOOKUP(D318,#REF!,2,0)</f>
        <v>#REF!</v>
      </c>
      <c r="D318" s="29" t="s">
        <v>1214</v>
      </c>
      <c r="E318" s="18" t="e">
        <f>VLOOKUP(C318,数据集标准分类!E:F,2,0)</f>
        <v>#REF!</v>
      </c>
      <c r="F318" s="29" t="e">
        <f>VLOOKUP(D318,数据集标准分类!G:H,2,0)</f>
        <v>#N/A</v>
      </c>
      <c r="G318" s="29" t="s">
        <v>924</v>
      </c>
      <c r="H318" s="29" t="s">
        <v>925</v>
      </c>
      <c r="I318" s="29" t="s">
        <v>926</v>
      </c>
      <c r="J318" s="29" t="s">
        <v>927</v>
      </c>
      <c r="K318" s="29" t="s">
        <v>928</v>
      </c>
      <c r="L318" s="250">
        <v>3</v>
      </c>
      <c r="M318" s="251"/>
    </row>
    <row r="319" ht="46" spans="1:13">
      <c r="A319" s="248" t="s">
        <v>4175</v>
      </c>
      <c r="B319" s="45" t="s">
        <v>4174</v>
      </c>
      <c r="C319" s="249" t="e">
        <f>VLOOKUP(D319,#REF!,2,0)</f>
        <v>#REF!</v>
      </c>
      <c r="D319" s="29" t="s">
        <v>1214</v>
      </c>
      <c r="E319" s="18" t="e">
        <f>VLOOKUP(C319,数据集标准分类!E:F,2,0)</f>
        <v>#REF!</v>
      </c>
      <c r="F319" s="29" t="e">
        <f>VLOOKUP(D319,数据集标准分类!G:H,2,0)</f>
        <v>#N/A</v>
      </c>
      <c r="G319" s="29" t="s">
        <v>784</v>
      </c>
      <c r="H319" s="29" t="s">
        <v>785</v>
      </c>
      <c r="I319" s="29" t="s">
        <v>786</v>
      </c>
      <c r="J319" s="29" t="s">
        <v>787</v>
      </c>
      <c r="K319" s="29" t="s">
        <v>788</v>
      </c>
      <c r="L319" s="250">
        <v>4</v>
      </c>
      <c r="M319" s="251"/>
    </row>
    <row r="320" ht="46" spans="1:13">
      <c r="A320" s="248" t="s">
        <v>4175</v>
      </c>
      <c r="B320" s="45" t="s">
        <v>4174</v>
      </c>
      <c r="C320" s="249" t="e">
        <f>VLOOKUP(D320,#REF!,2,0)</f>
        <v>#REF!</v>
      </c>
      <c r="D320" s="29" t="s">
        <v>1214</v>
      </c>
      <c r="E320" s="18" t="e">
        <f>VLOOKUP(C320,数据集标准分类!E:F,2,0)</f>
        <v>#REF!</v>
      </c>
      <c r="F320" s="29" t="e">
        <f>VLOOKUP(D320,数据集标准分类!G:H,2,0)</f>
        <v>#N/A</v>
      </c>
      <c r="G320" s="29" t="s">
        <v>943</v>
      </c>
      <c r="H320" s="29" t="s">
        <v>944</v>
      </c>
      <c r="I320" s="29" t="s">
        <v>945</v>
      </c>
      <c r="J320" s="29" t="s">
        <v>946</v>
      </c>
      <c r="K320" s="29" t="s">
        <v>947</v>
      </c>
      <c r="L320" s="250">
        <v>5</v>
      </c>
      <c r="M320" s="251"/>
    </row>
    <row r="321" ht="46" spans="1:13">
      <c r="A321" s="248" t="s">
        <v>4175</v>
      </c>
      <c r="B321" s="45" t="s">
        <v>4174</v>
      </c>
      <c r="C321" s="249" t="e">
        <f>VLOOKUP(D321,#REF!,2,0)</f>
        <v>#REF!</v>
      </c>
      <c r="D321" s="29" t="s">
        <v>1214</v>
      </c>
      <c r="E321" s="18" t="e">
        <f>VLOOKUP(C321,数据集标准分类!E:F,2,0)</f>
        <v>#REF!</v>
      </c>
      <c r="F321" s="29" t="e">
        <f>VLOOKUP(D321,数据集标准分类!G:H,2,0)</f>
        <v>#N/A</v>
      </c>
      <c r="G321" s="29" t="s">
        <v>952</v>
      </c>
      <c r="H321" s="29" t="s">
        <v>953</v>
      </c>
      <c r="I321" s="29" t="s">
        <v>954</v>
      </c>
      <c r="J321" s="29" t="s">
        <v>955</v>
      </c>
      <c r="K321" s="29" t="s">
        <v>956</v>
      </c>
      <c r="L321" s="250">
        <v>6</v>
      </c>
      <c r="M321" s="251"/>
    </row>
    <row r="322" ht="46" spans="1:13">
      <c r="A322" s="248" t="s">
        <v>4175</v>
      </c>
      <c r="B322" s="45" t="s">
        <v>4174</v>
      </c>
      <c r="C322" s="249" t="e">
        <f>VLOOKUP(D322,#REF!,2,0)</f>
        <v>#REF!</v>
      </c>
      <c r="D322" s="29" t="s">
        <v>1214</v>
      </c>
      <c r="E322" s="18" t="e">
        <f>VLOOKUP(C322,数据集标准分类!E:F,2,0)</f>
        <v>#REF!</v>
      </c>
      <c r="F322" s="29" t="e">
        <f>VLOOKUP(D322,数据集标准分类!G:H,2,0)</f>
        <v>#N/A</v>
      </c>
      <c r="G322" s="29" t="s">
        <v>961</v>
      </c>
      <c r="H322" s="29" t="s">
        <v>962</v>
      </c>
      <c r="I322" s="29" t="s">
        <v>963</v>
      </c>
      <c r="J322" s="29" t="s">
        <v>964</v>
      </c>
      <c r="K322" s="29" t="s">
        <v>965</v>
      </c>
      <c r="L322" s="250">
        <v>7</v>
      </c>
      <c r="M322" s="251"/>
    </row>
    <row r="323" ht="31" spans="1:13">
      <c r="A323" s="248" t="s">
        <v>4175</v>
      </c>
      <c r="B323" s="45" t="s">
        <v>4174</v>
      </c>
      <c r="C323" s="249" t="e">
        <f>VLOOKUP(D323,#REF!,2,0)</f>
        <v>#REF!</v>
      </c>
      <c r="D323" s="29" t="s">
        <v>1214</v>
      </c>
      <c r="E323" s="18" t="e">
        <f>VLOOKUP(C323,数据集标准分类!E:F,2,0)</f>
        <v>#REF!</v>
      </c>
      <c r="F323" s="29" t="e">
        <f>VLOOKUP(D323,数据集标准分类!G:H,2,0)</f>
        <v>#N/A</v>
      </c>
      <c r="G323" s="29" t="s">
        <v>789</v>
      </c>
      <c r="H323" s="29" t="s">
        <v>790</v>
      </c>
      <c r="I323" s="29" t="s">
        <v>790</v>
      </c>
      <c r="J323" s="29" t="s">
        <v>791</v>
      </c>
      <c r="K323" s="29" t="s">
        <v>792</v>
      </c>
      <c r="L323" s="250">
        <v>8</v>
      </c>
      <c r="M323" s="251"/>
    </row>
    <row r="324" ht="16.8" spans="1:13">
      <c r="A324" s="248" t="s">
        <v>4175</v>
      </c>
      <c r="B324" s="45" t="s">
        <v>4174</v>
      </c>
      <c r="C324" s="249" t="e">
        <f>VLOOKUP(D324,#REF!,2,0)</f>
        <v>#REF!</v>
      </c>
      <c r="D324" s="29" t="s">
        <v>1214</v>
      </c>
      <c r="E324" s="18" t="e">
        <f>VLOOKUP(C324,数据集标准分类!E:F,2,0)</f>
        <v>#REF!</v>
      </c>
      <c r="F324" s="29" t="e">
        <f>VLOOKUP(D324,数据集标准分类!G:H,2,0)</f>
        <v>#N/A</v>
      </c>
      <c r="G324" s="29" t="s">
        <v>966</v>
      </c>
      <c r="H324" s="29" t="s">
        <v>967</v>
      </c>
      <c r="I324" s="29" t="s">
        <v>968</v>
      </c>
      <c r="J324" s="29" t="s">
        <v>969</v>
      </c>
      <c r="K324" s="29" t="s">
        <v>970</v>
      </c>
      <c r="L324" s="250">
        <v>9</v>
      </c>
      <c r="M324" s="251"/>
    </row>
    <row r="325" ht="16.8" spans="1:13">
      <c r="A325" s="248" t="s">
        <v>4175</v>
      </c>
      <c r="B325" s="45" t="s">
        <v>4174</v>
      </c>
      <c r="C325" s="249" t="e">
        <f>VLOOKUP(D325,#REF!,2,0)</f>
        <v>#REF!</v>
      </c>
      <c r="D325" s="29" t="s">
        <v>1214</v>
      </c>
      <c r="E325" s="18" t="e">
        <f>VLOOKUP(C325,数据集标准分类!E:F,2,0)</f>
        <v>#REF!</v>
      </c>
      <c r="F325" s="29" t="e">
        <f>VLOOKUP(D325,数据集标准分类!G:H,2,0)</f>
        <v>#N/A</v>
      </c>
      <c r="G325" s="29" t="s">
        <v>1172</v>
      </c>
      <c r="H325" s="29" t="s">
        <v>1173</v>
      </c>
      <c r="I325" s="29" t="s">
        <v>1174</v>
      </c>
      <c r="J325" s="29" t="s">
        <v>1175</v>
      </c>
      <c r="K325" s="29" t="s">
        <v>1176</v>
      </c>
      <c r="L325" s="250">
        <v>10</v>
      </c>
      <c r="M325" s="251"/>
    </row>
    <row r="326" ht="46" spans="1:13">
      <c r="A326" s="248" t="s">
        <v>4175</v>
      </c>
      <c r="B326" s="45" t="s">
        <v>4174</v>
      </c>
      <c r="C326" s="249" t="e">
        <f>VLOOKUP(D326,#REF!,2,0)</f>
        <v>#REF!</v>
      </c>
      <c r="D326" s="29" t="s">
        <v>1214</v>
      </c>
      <c r="E326" s="18" t="e">
        <f>VLOOKUP(C326,数据集标准分类!E:F,2,0)</f>
        <v>#REF!</v>
      </c>
      <c r="F326" s="29" t="e">
        <f>VLOOKUP(D326,数据集标准分类!G:H,2,0)</f>
        <v>#N/A</v>
      </c>
      <c r="G326" s="29" t="s">
        <v>1177</v>
      </c>
      <c r="H326" s="29" t="s">
        <v>1178</v>
      </c>
      <c r="I326" s="29" t="s">
        <v>1179</v>
      </c>
      <c r="J326" s="29" t="s">
        <v>1180</v>
      </c>
      <c r="K326" s="29" t="s">
        <v>1215</v>
      </c>
      <c r="L326" s="250">
        <v>11</v>
      </c>
      <c r="M326" s="251"/>
    </row>
    <row r="327" ht="46" spans="1:13">
      <c r="A327" s="248" t="s">
        <v>4175</v>
      </c>
      <c r="B327" s="45" t="s">
        <v>4174</v>
      </c>
      <c r="C327" s="249" t="e">
        <f>VLOOKUP(D327,#REF!,2,0)</f>
        <v>#REF!</v>
      </c>
      <c r="D327" s="29" t="s">
        <v>1214</v>
      </c>
      <c r="E327" s="18" t="e">
        <f>VLOOKUP(C327,数据集标准分类!E:F,2,0)</f>
        <v>#REF!</v>
      </c>
      <c r="F327" s="29" t="e">
        <f>VLOOKUP(D327,数据集标准分类!G:H,2,0)</f>
        <v>#N/A</v>
      </c>
      <c r="G327" s="29" t="s">
        <v>1182</v>
      </c>
      <c r="H327" s="29" t="s">
        <v>1183</v>
      </c>
      <c r="I327" s="29" t="s">
        <v>1184</v>
      </c>
      <c r="J327" s="29" t="s">
        <v>1185</v>
      </c>
      <c r="K327" s="29" t="s">
        <v>1216</v>
      </c>
      <c r="L327" s="250">
        <v>12</v>
      </c>
      <c r="M327" s="251"/>
    </row>
    <row r="328" ht="46" spans="1:13">
      <c r="A328" s="248" t="s">
        <v>4175</v>
      </c>
      <c r="B328" s="45" t="s">
        <v>4174</v>
      </c>
      <c r="C328" s="249" t="e">
        <f>VLOOKUP(D328,#REF!,2,0)</f>
        <v>#REF!</v>
      </c>
      <c r="D328" s="29" t="s">
        <v>1214</v>
      </c>
      <c r="E328" s="18" t="e">
        <f>VLOOKUP(C328,数据集标准分类!E:F,2,0)</f>
        <v>#REF!</v>
      </c>
      <c r="F328" s="29" t="e">
        <f>VLOOKUP(D328,数据集标准分类!G:H,2,0)</f>
        <v>#N/A</v>
      </c>
      <c r="G328" s="29" t="s">
        <v>1187</v>
      </c>
      <c r="H328" s="29" t="s">
        <v>1188</v>
      </c>
      <c r="I328" s="29" t="s">
        <v>1189</v>
      </c>
      <c r="J328" s="29" t="s">
        <v>1190</v>
      </c>
      <c r="K328" s="29" t="s">
        <v>1217</v>
      </c>
      <c r="L328" s="250">
        <v>13</v>
      </c>
      <c r="M328" s="251"/>
    </row>
    <row r="329" ht="16.8" spans="1:13">
      <c r="A329" s="248" t="s">
        <v>4175</v>
      </c>
      <c r="B329" s="45" t="s">
        <v>4174</v>
      </c>
      <c r="C329" s="249" t="e">
        <f>VLOOKUP(D329,#REF!,2,0)</f>
        <v>#REF!</v>
      </c>
      <c r="D329" s="29" t="s">
        <v>1214</v>
      </c>
      <c r="E329" s="18" t="e">
        <f>VLOOKUP(C329,数据集标准分类!E:F,2,0)</f>
        <v>#REF!</v>
      </c>
      <c r="F329" s="29" t="e">
        <f>VLOOKUP(D329,数据集标准分类!G:H,2,0)</f>
        <v>#N/A</v>
      </c>
      <c r="G329" s="29" t="s">
        <v>1218</v>
      </c>
      <c r="H329" s="29" t="s">
        <v>1219</v>
      </c>
      <c r="I329" s="29" t="s">
        <v>1220</v>
      </c>
      <c r="J329" s="29" t="s">
        <v>1221</v>
      </c>
      <c r="K329" s="29" t="s">
        <v>1222</v>
      </c>
      <c r="L329" s="250">
        <v>14</v>
      </c>
      <c r="M329" s="251"/>
    </row>
    <row r="330" ht="46" spans="1:13">
      <c r="A330" s="248" t="s">
        <v>4175</v>
      </c>
      <c r="B330" s="45" t="s">
        <v>4174</v>
      </c>
      <c r="C330" s="249" t="e">
        <f>VLOOKUP(D330,#REF!,2,0)</f>
        <v>#REF!</v>
      </c>
      <c r="D330" s="29" t="s">
        <v>1214</v>
      </c>
      <c r="E330" s="18" t="e">
        <f>VLOOKUP(C330,数据集标准分类!E:F,2,0)</f>
        <v>#REF!</v>
      </c>
      <c r="F330" s="29" t="e">
        <f>VLOOKUP(D330,数据集标准分类!G:H,2,0)</f>
        <v>#N/A</v>
      </c>
      <c r="G330" s="29" t="s">
        <v>1083</v>
      </c>
      <c r="H330" s="29" t="s">
        <v>1084</v>
      </c>
      <c r="I330" s="29" t="s">
        <v>1085</v>
      </c>
      <c r="J330" s="29" t="s">
        <v>1086</v>
      </c>
      <c r="K330" s="29" t="s">
        <v>1223</v>
      </c>
      <c r="L330" s="250">
        <v>15</v>
      </c>
      <c r="M330" s="251"/>
    </row>
    <row r="331" ht="31" spans="1:13">
      <c r="A331" s="248" t="s">
        <v>4175</v>
      </c>
      <c r="B331" s="45" t="s">
        <v>4174</v>
      </c>
      <c r="C331" s="249" t="e">
        <f>VLOOKUP(D331,#REF!,2,0)</f>
        <v>#REF!</v>
      </c>
      <c r="D331" s="29" t="s">
        <v>1214</v>
      </c>
      <c r="E331" s="18" t="e">
        <f>VLOOKUP(C331,数据集标准分类!E:F,2,0)</f>
        <v>#REF!</v>
      </c>
      <c r="F331" s="29" t="e">
        <f>VLOOKUP(D331,数据集标准分类!G:H,2,0)</f>
        <v>#N/A</v>
      </c>
      <c r="G331" s="29" t="s">
        <v>1006</v>
      </c>
      <c r="H331" s="29" t="s">
        <v>1007</v>
      </c>
      <c r="I331" s="29" t="s">
        <v>1008</v>
      </c>
      <c r="J331" s="29" t="s">
        <v>1009</v>
      </c>
      <c r="K331" s="29" t="s">
        <v>1149</v>
      </c>
      <c r="L331" s="250">
        <v>16</v>
      </c>
      <c r="M331" s="251"/>
    </row>
    <row r="332" ht="16.8" spans="1:13">
      <c r="A332" s="248" t="s">
        <v>4175</v>
      </c>
      <c r="B332" s="45" t="s">
        <v>4174</v>
      </c>
      <c r="C332" s="249" t="e">
        <f>VLOOKUP(D332,#REF!,2,0)</f>
        <v>#REF!</v>
      </c>
      <c r="D332" s="29" t="s">
        <v>1214</v>
      </c>
      <c r="E332" s="18" t="e">
        <f>VLOOKUP(C332,数据集标准分类!E:F,2,0)</f>
        <v>#REF!</v>
      </c>
      <c r="F332" s="29" t="e">
        <f>VLOOKUP(D332,数据集标准分类!G:H,2,0)</f>
        <v>#N/A</v>
      </c>
      <c r="G332" s="29" t="s">
        <v>1109</v>
      </c>
      <c r="H332" s="29" t="s">
        <v>1110</v>
      </c>
      <c r="I332" s="29" t="s">
        <v>1111</v>
      </c>
      <c r="J332" s="29" t="s">
        <v>1112</v>
      </c>
      <c r="K332" s="29" t="s">
        <v>1113</v>
      </c>
      <c r="L332" s="250">
        <v>17</v>
      </c>
      <c r="M332" s="251"/>
    </row>
    <row r="333" ht="16.8" spans="1:13">
      <c r="A333" s="248" t="s">
        <v>4175</v>
      </c>
      <c r="B333" s="45" t="s">
        <v>4174</v>
      </c>
      <c r="C333" s="249" t="e">
        <f>VLOOKUP(D333,#REF!,2,0)</f>
        <v>#REF!</v>
      </c>
      <c r="D333" s="29" t="s">
        <v>1214</v>
      </c>
      <c r="E333" s="18" t="e">
        <f>VLOOKUP(C333,数据集标准分类!E:F,2,0)</f>
        <v>#REF!</v>
      </c>
      <c r="F333" s="29" t="e">
        <f>VLOOKUP(D333,数据集标准分类!G:H,2,0)</f>
        <v>#N/A</v>
      </c>
      <c r="G333" s="29" t="s">
        <v>201</v>
      </c>
      <c r="H333" s="29" t="s">
        <v>202</v>
      </c>
      <c r="I333" s="29" t="s">
        <v>203</v>
      </c>
      <c r="J333" s="29" t="s">
        <v>204</v>
      </c>
      <c r="K333" s="29" t="s">
        <v>1114</v>
      </c>
      <c r="L333" s="250">
        <v>18</v>
      </c>
      <c r="M333" s="251"/>
    </row>
    <row r="334" ht="31" spans="1:13">
      <c r="A334" s="248" t="s">
        <v>4175</v>
      </c>
      <c r="B334" s="45" t="s">
        <v>4174</v>
      </c>
      <c r="C334" s="249" t="e">
        <f>VLOOKUP(D334,#REF!,2,0)</f>
        <v>#REF!</v>
      </c>
      <c r="D334" s="29" t="s">
        <v>1214</v>
      </c>
      <c r="E334" s="18" t="e">
        <f>VLOOKUP(C334,数据集标准分类!E:F,2,0)</f>
        <v>#REF!</v>
      </c>
      <c r="F334" s="29" t="e">
        <f>VLOOKUP(D334,数据集标准分类!G:H,2,0)</f>
        <v>#N/A</v>
      </c>
      <c r="G334" s="29" t="s">
        <v>1192</v>
      </c>
      <c r="H334" s="29" t="s">
        <v>1193</v>
      </c>
      <c r="I334" s="29" t="s">
        <v>1194</v>
      </c>
      <c r="J334" s="29" t="s">
        <v>1195</v>
      </c>
      <c r="K334" s="29" t="s">
        <v>1196</v>
      </c>
      <c r="L334" s="250">
        <v>19</v>
      </c>
      <c r="M334" s="251"/>
    </row>
    <row r="335" ht="31" spans="1:13">
      <c r="A335" s="248" t="s">
        <v>4175</v>
      </c>
      <c r="B335" s="45" t="s">
        <v>4174</v>
      </c>
      <c r="C335" s="249" t="e">
        <f>VLOOKUP(D335,#REF!,2,0)</f>
        <v>#REF!</v>
      </c>
      <c r="D335" s="29" t="s">
        <v>1224</v>
      </c>
      <c r="E335" s="18" t="e">
        <f>VLOOKUP(C335,数据集标准分类!E:F,2,0)</f>
        <v>#REF!</v>
      </c>
      <c r="F335" s="29" t="e">
        <f>VLOOKUP(D335,数据集标准分类!G:H,2,0)</f>
        <v>#N/A</v>
      </c>
      <c r="G335" s="29" t="s">
        <v>569</v>
      </c>
      <c r="H335" s="29" t="s">
        <v>570</v>
      </c>
      <c r="I335" s="29" t="s">
        <v>571</v>
      </c>
      <c r="J335" s="29" t="s">
        <v>572</v>
      </c>
      <c r="K335" s="29" t="s">
        <v>1225</v>
      </c>
      <c r="L335" s="250">
        <v>1</v>
      </c>
      <c r="M335" s="251"/>
    </row>
    <row r="336" ht="46" spans="1:13">
      <c r="A336" s="248" t="s">
        <v>4175</v>
      </c>
      <c r="B336" s="45" t="s">
        <v>4174</v>
      </c>
      <c r="C336" s="249" t="e">
        <f>VLOOKUP(D336,#REF!,2,0)</f>
        <v>#REF!</v>
      </c>
      <c r="D336" s="29" t="s">
        <v>1224</v>
      </c>
      <c r="E336" s="18" t="e">
        <f>VLOOKUP(C336,数据集标准分类!E:F,2,0)</f>
        <v>#REF!</v>
      </c>
      <c r="F336" s="29" t="e">
        <f>VLOOKUP(D336,数据集标准分类!G:H,2,0)</f>
        <v>#N/A</v>
      </c>
      <c r="G336" s="29" t="s">
        <v>152</v>
      </c>
      <c r="H336" s="29" t="s">
        <v>153</v>
      </c>
      <c r="I336" s="29" t="s">
        <v>154</v>
      </c>
      <c r="J336" s="29" t="s">
        <v>155</v>
      </c>
      <c r="K336" s="29" t="s">
        <v>156</v>
      </c>
      <c r="L336" s="250">
        <v>2</v>
      </c>
      <c r="M336" s="251"/>
    </row>
    <row r="337" ht="31" spans="1:13">
      <c r="A337" s="248" t="s">
        <v>4175</v>
      </c>
      <c r="B337" s="45" t="s">
        <v>4174</v>
      </c>
      <c r="C337" s="249" t="e">
        <f>VLOOKUP(D337,#REF!,2,0)</f>
        <v>#REF!</v>
      </c>
      <c r="D337" s="29" t="s">
        <v>1224</v>
      </c>
      <c r="E337" s="18" t="e">
        <f>VLOOKUP(C337,数据集标准分类!E:F,2,0)</f>
        <v>#REF!</v>
      </c>
      <c r="F337" s="29" t="e">
        <f>VLOOKUP(D337,数据集标准分类!G:H,2,0)</f>
        <v>#N/A</v>
      </c>
      <c r="G337" s="29" t="s">
        <v>1226</v>
      </c>
      <c r="H337" s="29" t="s">
        <v>1227</v>
      </c>
      <c r="I337" s="29" t="s">
        <v>1228</v>
      </c>
      <c r="J337" s="29" t="s">
        <v>1229</v>
      </c>
      <c r="K337" s="29" t="s">
        <v>1230</v>
      </c>
      <c r="L337" s="250">
        <v>3</v>
      </c>
      <c r="M337" s="251"/>
    </row>
    <row r="338" ht="61" spans="1:13">
      <c r="A338" s="248" t="s">
        <v>4175</v>
      </c>
      <c r="B338" s="45" t="s">
        <v>4174</v>
      </c>
      <c r="C338" s="249" t="e">
        <f>VLOOKUP(D338,#REF!,2,0)</f>
        <v>#REF!</v>
      </c>
      <c r="D338" s="29" t="s">
        <v>1224</v>
      </c>
      <c r="E338" s="18" t="e">
        <f>VLOOKUP(C338,数据集标准分类!E:F,2,0)</f>
        <v>#REF!</v>
      </c>
      <c r="F338" s="29" t="e">
        <f>VLOOKUP(D338,数据集标准分类!G:H,2,0)</f>
        <v>#N/A</v>
      </c>
      <c r="G338" s="29" t="s">
        <v>663</v>
      </c>
      <c r="H338" s="29" t="s">
        <v>664</v>
      </c>
      <c r="I338" s="29" t="s">
        <v>665</v>
      </c>
      <c r="J338" s="29" t="s">
        <v>666</v>
      </c>
      <c r="K338" s="29" t="s">
        <v>667</v>
      </c>
      <c r="L338" s="250">
        <v>4</v>
      </c>
      <c r="M338" s="251"/>
    </row>
    <row r="339" ht="16.8" spans="1:13">
      <c r="A339" s="248" t="s">
        <v>4175</v>
      </c>
      <c r="B339" s="45" t="s">
        <v>4174</v>
      </c>
      <c r="C339" s="249" t="e">
        <f>VLOOKUP(D339,#REF!,2,0)</f>
        <v>#REF!</v>
      </c>
      <c r="D339" s="29" t="s">
        <v>1224</v>
      </c>
      <c r="E339" s="18" t="e">
        <f>VLOOKUP(C339,数据集标准分类!E:F,2,0)</f>
        <v>#REF!</v>
      </c>
      <c r="F339" s="29" t="e">
        <f>VLOOKUP(D339,数据集标准分类!G:H,2,0)</f>
        <v>#N/A</v>
      </c>
      <c r="G339" s="29" t="s">
        <v>924</v>
      </c>
      <c r="H339" s="29" t="s">
        <v>925</v>
      </c>
      <c r="I339" s="29" t="s">
        <v>926</v>
      </c>
      <c r="J339" s="29" t="s">
        <v>927</v>
      </c>
      <c r="K339" s="29" t="s">
        <v>928</v>
      </c>
      <c r="L339" s="250">
        <v>5</v>
      </c>
      <c r="M339" s="251"/>
    </row>
    <row r="340" customHeight="1" spans="1:13">
      <c r="A340" s="248" t="s">
        <v>4175</v>
      </c>
      <c r="B340" s="45" t="s">
        <v>4174</v>
      </c>
      <c r="C340" s="249" t="e">
        <f>VLOOKUP(D340,#REF!,2,0)</f>
        <v>#REF!</v>
      </c>
      <c r="D340" s="29" t="s">
        <v>1224</v>
      </c>
      <c r="E340" s="18" t="e">
        <f>VLOOKUP(C340,数据集标准分类!E:F,2,0)</f>
        <v>#REF!</v>
      </c>
      <c r="F340" s="29" t="e">
        <f>VLOOKUP(D340,数据集标准分类!G:H,2,0)</f>
        <v>#N/A</v>
      </c>
      <c r="G340" s="29" t="s">
        <v>784</v>
      </c>
      <c r="H340" s="29" t="s">
        <v>785</v>
      </c>
      <c r="I340" s="29" t="s">
        <v>786</v>
      </c>
      <c r="J340" s="29" t="s">
        <v>787</v>
      </c>
      <c r="K340" s="29" t="s">
        <v>788</v>
      </c>
      <c r="L340" s="250">
        <v>6</v>
      </c>
      <c r="M340" s="251"/>
    </row>
    <row r="341" ht="46" spans="1:13">
      <c r="A341" s="248" t="s">
        <v>4175</v>
      </c>
      <c r="B341" s="45" t="s">
        <v>4174</v>
      </c>
      <c r="C341" s="249" t="e">
        <f>VLOOKUP(D341,#REF!,2,0)</f>
        <v>#REF!</v>
      </c>
      <c r="D341" s="29" t="s">
        <v>1224</v>
      </c>
      <c r="E341" s="18" t="e">
        <f>VLOOKUP(C341,数据集标准分类!E:F,2,0)</f>
        <v>#REF!</v>
      </c>
      <c r="F341" s="29" t="e">
        <f>VLOOKUP(D341,数据集标准分类!G:H,2,0)</f>
        <v>#N/A</v>
      </c>
      <c r="G341" s="29" t="s">
        <v>943</v>
      </c>
      <c r="H341" s="29" t="s">
        <v>944</v>
      </c>
      <c r="I341" s="29" t="s">
        <v>945</v>
      </c>
      <c r="J341" s="29" t="s">
        <v>946</v>
      </c>
      <c r="K341" s="29" t="s">
        <v>947</v>
      </c>
      <c r="L341" s="250">
        <v>7</v>
      </c>
      <c r="M341" s="251"/>
    </row>
    <row r="342" ht="46" spans="1:13">
      <c r="A342" s="248" t="s">
        <v>4175</v>
      </c>
      <c r="B342" s="45" t="s">
        <v>4174</v>
      </c>
      <c r="C342" s="249" t="e">
        <f>VLOOKUP(D342,#REF!,2,0)</f>
        <v>#REF!</v>
      </c>
      <c r="D342" s="29" t="s">
        <v>1224</v>
      </c>
      <c r="E342" s="18" t="e">
        <f>VLOOKUP(C342,数据集标准分类!E:F,2,0)</f>
        <v>#REF!</v>
      </c>
      <c r="F342" s="29" t="e">
        <f>VLOOKUP(D342,数据集标准分类!G:H,2,0)</f>
        <v>#N/A</v>
      </c>
      <c r="G342" s="29" t="s">
        <v>952</v>
      </c>
      <c r="H342" s="29" t="s">
        <v>953</v>
      </c>
      <c r="I342" s="29" t="s">
        <v>954</v>
      </c>
      <c r="J342" s="29" t="s">
        <v>955</v>
      </c>
      <c r="K342" s="29" t="s">
        <v>956</v>
      </c>
      <c r="L342" s="250">
        <v>8</v>
      </c>
      <c r="M342" s="251"/>
    </row>
    <row r="343" ht="46" spans="1:13">
      <c r="A343" s="248" t="s">
        <v>4175</v>
      </c>
      <c r="B343" s="45" t="s">
        <v>4174</v>
      </c>
      <c r="C343" s="249" t="e">
        <f>VLOOKUP(D343,#REF!,2,0)</f>
        <v>#REF!</v>
      </c>
      <c r="D343" s="29" t="s">
        <v>1224</v>
      </c>
      <c r="E343" s="18" t="e">
        <f>VLOOKUP(C343,数据集标准分类!E:F,2,0)</f>
        <v>#REF!</v>
      </c>
      <c r="F343" s="29" t="e">
        <f>VLOOKUP(D343,数据集标准分类!G:H,2,0)</f>
        <v>#N/A</v>
      </c>
      <c r="G343" s="29" t="s">
        <v>961</v>
      </c>
      <c r="H343" s="29" t="s">
        <v>962</v>
      </c>
      <c r="I343" s="29" t="s">
        <v>963</v>
      </c>
      <c r="J343" s="29" t="s">
        <v>964</v>
      </c>
      <c r="K343" s="29" t="s">
        <v>965</v>
      </c>
      <c r="L343" s="250">
        <v>9</v>
      </c>
      <c r="M343" s="251"/>
    </row>
    <row r="344" ht="31" spans="1:13">
      <c r="A344" s="248" t="s">
        <v>4175</v>
      </c>
      <c r="B344" s="45" t="s">
        <v>4174</v>
      </c>
      <c r="C344" s="249" t="e">
        <f>VLOOKUP(D344,#REF!,2,0)</f>
        <v>#REF!</v>
      </c>
      <c r="D344" s="29" t="s">
        <v>1224</v>
      </c>
      <c r="E344" s="18" t="e">
        <f>VLOOKUP(C344,数据集标准分类!E:F,2,0)</f>
        <v>#REF!</v>
      </c>
      <c r="F344" s="29" t="e">
        <f>VLOOKUP(D344,数据集标准分类!G:H,2,0)</f>
        <v>#N/A</v>
      </c>
      <c r="G344" s="29" t="s">
        <v>789</v>
      </c>
      <c r="H344" s="29" t="s">
        <v>790</v>
      </c>
      <c r="I344" s="29" t="s">
        <v>790</v>
      </c>
      <c r="J344" s="29" t="s">
        <v>791</v>
      </c>
      <c r="K344" s="29" t="s">
        <v>792</v>
      </c>
      <c r="L344" s="250">
        <v>10</v>
      </c>
      <c r="M344" s="251"/>
    </row>
    <row r="345" ht="16.8" spans="1:13">
      <c r="A345" s="248" t="s">
        <v>4175</v>
      </c>
      <c r="B345" s="45" t="s">
        <v>4174</v>
      </c>
      <c r="C345" s="249" t="e">
        <f>VLOOKUP(D345,#REF!,2,0)</f>
        <v>#REF!</v>
      </c>
      <c r="D345" s="29" t="s">
        <v>1224</v>
      </c>
      <c r="E345" s="18" t="e">
        <f>VLOOKUP(C345,数据集标准分类!E:F,2,0)</f>
        <v>#REF!</v>
      </c>
      <c r="F345" s="29" t="e">
        <f>VLOOKUP(D345,数据集标准分类!G:H,2,0)</f>
        <v>#N/A</v>
      </c>
      <c r="G345" s="29" t="s">
        <v>1109</v>
      </c>
      <c r="H345" s="29" t="s">
        <v>1110</v>
      </c>
      <c r="I345" s="29" t="s">
        <v>1111</v>
      </c>
      <c r="J345" s="29" t="s">
        <v>1112</v>
      </c>
      <c r="K345" s="29" t="s">
        <v>1113</v>
      </c>
      <c r="L345" s="250">
        <v>11</v>
      </c>
      <c r="M345" s="251"/>
    </row>
    <row r="346" ht="16.8" spans="1:13">
      <c r="A346" s="248" t="s">
        <v>4175</v>
      </c>
      <c r="B346" s="45" t="s">
        <v>4174</v>
      </c>
      <c r="C346" s="249" t="e">
        <f>VLOOKUP(D346,#REF!,2,0)</f>
        <v>#REF!</v>
      </c>
      <c r="D346" s="29" t="s">
        <v>1224</v>
      </c>
      <c r="E346" s="18" t="e">
        <f>VLOOKUP(C346,数据集标准分类!E:F,2,0)</f>
        <v>#REF!</v>
      </c>
      <c r="F346" s="29" t="e">
        <f>VLOOKUP(D346,数据集标准分类!G:H,2,0)</f>
        <v>#N/A</v>
      </c>
      <c r="G346" s="29" t="s">
        <v>201</v>
      </c>
      <c r="H346" s="29" t="s">
        <v>202</v>
      </c>
      <c r="I346" s="29" t="s">
        <v>203</v>
      </c>
      <c r="J346" s="29" t="s">
        <v>204</v>
      </c>
      <c r="K346" s="29" t="s">
        <v>1114</v>
      </c>
      <c r="L346" s="250">
        <v>12</v>
      </c>
      <c r="M346" s="251"/>
    </row>
    <row r="347" ht="46" spans="1:13">
      <c r="A347" s="248" t="s">
        <v>4175</v>
      </c>
      <c r="B347" s="45" t="s">
        <v>4174</v>
      </c>
      <c r="C347" s="249" t="e">
        <f>VLOOKUP(D347,#REF!,2,0)</f>
        <v>#REF!</v>
      </c>
      <c r="D347" s="29" t="s">
        <v>1224</v>
      </c>
      <c r="E347" s="18" t="e">
        <f>VLOOKUP(C347,数据集标准分类!E:F,2,0)</f>
        <v>#REF!</v>
      </c>
      <c r="F347" s="29" t="e">
        <f>VLOOKUP(D347,数据集标准分类!G:H,2,0)</f>
        <v>#N/A</v>
      </c>
      <c r="G347" s="29" t="s">
        <v>1006</v>
      </c>
      <c r="H347" s="29" t="s">
        <v>1007</v>
      </c>
      <c r="I347" s="29" t="s">
        <v>1008</v>
      </c>
      <c r="J347" s="29" t="s">
        <v>1009</v>
      </c>
      <c r="K347" s="29" t="s">
        <v>1107</v>
      </c>
      <c r="L347" s="250">
        <v>13</v>
      </c>
      <c r="M347" s="251"/>
    </row>
    <row r="348" ht="16.8" spans="1:13">
      <c r="A348" s="248" t="s">
        <v>4175</v>
      </c>
      <c r="B348" s="45" t="s">
        <v>4174</v>
      </c>
      <c r="C348" s="249" t="e">
        <f>VLOOKUP(D348,#REF!,2,0)</f>
        <v>#REF!</v>
      </c>
      <c r="D348" s="29" t="s">
        <v>1224</v>
      </c>
      <c r="E348" s="18" t="e">
        <f>VLOOKUP(C348,数据集标准分类!E:F,2,0)</f>
        <v>#REF!</v>
      </c>
      <c r="F348" s="29" t="e">
        <f>VLOOKUP(D348,数据集标准分类!G:H,2,0)</f>
        <v>#N/A</v>
      </c>
      <c r="G348" s="29" t="s">
        <v>966</v>
      </c>
      <c r="H348" s="29" t="s">
        <v>967</v>
      </c>
      <c r="I348" s="29" t="s">
        <v>968</v>
      </c>
      <c r="J348" s="29" t="s">
        <v>969</v>
      </c>
      <c r="K348" s="29" t="s">
        <v>970</v>
      </c>
      <c r="L348" s="250">
        <v>14</v>
      </c>
      <c r="M348" s="251"/>
    </row>
    <row r="349" ht="16.8" spans="1:13">
      <c r="A349" s="248" t="s">
        <v>4175</v>
      </c>
      <c r="B349" s="45" t="s">
        <v>4174</v>
      </c>
      <c r="C349" s="249" t="e">
        <f>VLOOKUP(D349,#REF!,2,0)</f>
        <v>#REF!</v>
      </c>
      <c r="D349" s="29" t="s">
        <v>1224</v>
      </c>
      <c r="E349" s="18" t="e">
        <f>VLOOKUP(C349,数据集标准分类!E:F,2,0)</f>
        <v>#REF!</v>
      </c>
      <c r="F349" s="29" t="e">
        <f>VLOOKUP(D349,数据集标准分类!G:H,2,0)</f>
        <v>#N/A</v>
      </c>
      <c r="G349" s="29" t="s">
        <v>1172</v>
      </c>
      <c r="H349" s="29" t="s">
        <v>1173</v>
      </c>
      <c r="I349" s="29" t="s">
        <v>1174</v>
      </c>
      <c r="J349" s="29" t="s">
        <v>1175</v>
      </c>
      <c r="K349" s="29" t="s">
        <v>1176</v>
      </c>
      <c r="L349" s="250">
        <v>15</v>
      </c>
      <c r="M349" s="251"/>
    </row>
    <row r="350" ht="46" spans="1:13">
      <c r="A350" s="248" t="s">
        <v>4175</v>
      </c>
      <c r="B350" s="45" t="s">
        <v>4174</v>
      </c>
      <c r="C350" s="249" t="e">
        <f>VLOOKUP(D350,#REF!,2,0)</f>
        <v>#REF!</v>
      </c>
      <c r="D350" s="29" t="s">
        <v>1224</v>
      </c>
      <c r="E350" s="18" t="e">
        <f>VLOOKUP(C350,数据集标准分类!E:F,2,0)</f>
        <v>#REF!</v>
      </c>
      <c r="F350" s="29" t="e">
        <f>VLOOKUP(D350,数据集标准分类!G:H,2,0)</f>
        <v>#N/A</v>
      </c>
      <c r="G350" s="29" t="s">
        <v>1177</v>
      </c>
      <c r="H350" s="29" t="s">
        <v>1178</v>
      </c>
      <c r="I350" s="29" t="s">
        <v>1179</v>
      </c>
      <c r="J350" s="29" t="s">
        <v>1180</v>
      </c>
      <c r="K350" s="29" t="s">
        <v>1231</v>
      </c>
      <c r="L350" s="250">
        <v>16</v>
      </c>
      <c r="M350" s="251"/>
    </row>
    <row r="351" ht="46" spans="1:13">
      <c r="A351" s="248" t="s">
        <v>4175</v>
      </c>
      <c r="B351" s="45" t="s">
        <v>4174</v>
      </c>
      <c r="C351" s="249" t="e">
        <f>VLOOKUP(D351,#REF!,2,0)</f>
        <v>#REF!</v>
      </c>
      <c r="D351" s="29" t="s">
        <v>1224</v>
      </c>
      <c r="E351" s="18" t="e">
        <f>VLOOKUP(C351,数据集标准分类!E:F,2,0)</f>
        <v>#REF!</v>
      </c>
      <c r="F351" s="29" t="e">
        <f>VLOOKUP(D351,数据集标准分类!G:H,2,0)</f>
        <v>#N/A</v>
      </c>
      <c r="G351" s="29" t="s">
        <v>1182</v>
      </c>
      <c r="H351" s="29" t="s">
        <v>1183</v>
      </c>
      <c r="I351" s="29" t="s">
        <v>1184</v>
      </c>
      <c r="J351" s="29" t="s">
        <v>1185</v>
      </c>
      <c r="K351" s="29" t="s">
        <v>1232</v>
      </c>
      <c r="L351" s="250">
        <v>17</v>
      </c>
      <c r="M351" s="251"/>
    </row>
    <row r="352" ht="46" spans="1:13">
      <c r="A352" s="248" t="s">
        <v>4175</v>
      </c>
      <c r="B352" s="45" t="s">
        <v>4174</v>
      </c>
      <c r="C352" s="249" t="e">
        <f>VLOOKUP(D352,#REF!,2,0)</f>
        <v>#REF!</v>
      </c>
      <c r="D352" s="29" t="s">
        <v>1224</v>
      </c>
      <c r="E352" s="18" t="e">
        <f>VLOOKUP(C352,数据集标准分类!E:F,2,0)</f>
        <v>#REF!</v>
      </c>
      <c r="F352" s="29" t="e">
        <f>VLOOKUP(D352,数据集标准分类!G:H,2,0)</f>
        <v>#N/A</v>
      </c>
      <c r="G352" s="29" t="s">
        <v>1187</v>
      </c>
      <c r="H352" s="29" t="s">
        <v>1188</v>
      </c>
      <c r="I352" s="29" t="s">
        <v>1189</v>
      </c>
      <c r="J352" s="29" t="s">
        <v>1190</v>
      </c>
      <c r="K352" s="29" t="s">
        <v>1233</v>
      </c>
      <c r="L352" s="250">
        <v>18</v>
      </c>
      <c r="M352" s="251"/>
    </row>
    <row r="353" ht="31" spans="1:13">
      <c r="A353" s="248" t="s">
        <v>4175</v>
      </c>
      <c r="B353" s="45" t="s">
        <v>4174</v>
      </c>
      <c r="C353" s="249" t="e">
        <f>VLOOKUP(D353,#REF!,2,0)</f>
        <v>#REF!</v>
      </c>
      <c r="D353" s="29" t="s">
        <v>1224</v>
      </c>
      <c r="E353" s="18" t="e">
        <f>VLOOKUP(C353,数据集标准分类!E:F,2,0)</f>
        <v>#REF!</v>
      </c>
      <c r="F353" s="29" t="e">
        <f>VLOOKUP(D353,数据集标准分类!G:H,2,0)</f>
        <v>#N/A</v>
      </c>
      <c r="G353" s="29" t="s">
        <v>1234</v>
      </c>
      <c r="H353" s="29" t="s">
        <v>1235</v>
      </c>
      <c r="I353" s="29" t="s">
        <v>1236</v>
      </c>
      <c r="J353" s="29" t="s">
        <v>1237</v>
      </c>
      <c r="K353" s="29" t="s">
        <v>1238</v>
      </c>
      <c r="L353" s="250">
        <v>19</v>
      </c>
      <c r="M353" s="251"/>
    </row>
    <row r="354" ht="31" spans="1:13">
      <c r="A354" s="248" t="s">
        <v>4175</v>
      </c>
      <c r="B354" s="45" t="s">
        <v>4174</v>
      </c>
      <c r="C354" s="249" t="e">
        <f>VLOOKUP(D354,#REF!,2,0)</f>
        <v>#REF!</v>
      </c>
      <c r="D354" s="29" t="s">
        <v>1239</v>
      </c>
      <c r="E354" s="18" t="e">
        <f>VLOOKUP(C354,数据集标准分类!E:F,2,0)</f>
        <v>#REF!</v>
      </c>
      <c r="F354" s="29" t="e">
        <f>VLOOKUP(D354,数据集标准分类!G:H,2,0)</f>
        <v>#N/A</v>
      </c>
      <c r="G354" s="29" t="s">
        <v>1240</v>
      </c>
      <c r="H354" s="29" t="s">
        <v>1241</v>
      </c>
      <c r="I354" s="29" t="s">
        <v>1242</v>
      </c>
      <c r="J354" s="29" t="s">
        <v>1243</v>
      </c>
      <c r="K354" s="29" t="s">
        <v>1244</v>
      </c>
      <c r="L354" s="250">
        <v>1</v>
      </c>
      <c r="M354" s="251"/>
    </row>
    <row r="355" ht="31" spans="1:13">
      <c r="A355" s="248" t="s">
        <v>4175</v>
      </c>
      <c r="B355" s="45" t="s">
        <v>4174</v>
      </c>
      <c r="C355" s="249" t="e">
        <f>VLOOKUP(D355,#REF!,2,0)</f>
        <v>#REF!</v>
      </c>
      <c r="D355" s="29" t="s">
        <v>1239</v>
      </c>
      <c r="E355" s="18" t="e">
        <f>VLOOKUP(C355,数据集标准分类!E:F,2,0)</f>
        <v>#REF!</v>
      </c>
      <c r="F355" s="29" t="e">
        <f>VLOOKUP(D355,数据集标准分类!G:H,2,0)</f>
        <v>#N/A</v>
      </c>
      <c r="G355" s="29" t="s">
        <v>172</v>
      </c>
      <c r="H355" s="29" t="s">
        <v>173</v>
      </c>
      <c r="I355" s="29" t="s">
        <v>174</v>
      </c>
      <c r="J355" s="29" t="s">
        <v>175</v>
      </c>
      <c r="K355" s="29" t="s">
        <v>1245</v>
      </c>
      <c r="L355" s="250">
        <v>2</v>
      </c>
      <c r="M355" s="251"/>
    </row>
    <row r="356" ht="16.8" spans="1:13">
      <c r="A356" s="248" t="s">
        <v>4175</v>
      </c>
      <c r="B356" s="45" t="s">
        <v>4174</v>
      </c>
      <c r="C356" s="249" t="e">
        <f>VLOOKUP(D356,#REF!,2,0)</f>
        <v>#REF!</v>
      </c>
      <c r="D356" s="29" t="s">
        <v>1239</v>
      </c>
      <c r="E356" s="18" t="e">
        <f>VLOOKUP(C356,数据集标准分类!E:F,2,0)</f>
        <v>#REF!</v>
      </c>
      <c r="F356" s="29" t="e">
        <f>VLOOKUP(D356,数据集标准分类!G:H,2,0)</f>
        <v>#N/A</v>
      </c>
      <c r="G356" s="29" t="s">
        <v>1250</v>
      </c>
      <c r="H356" s="29" t="s">
        <v>1251</v>
      </c>
      <c r="I356" s="29" t="s">
        <v>1252</v>
      </c>
      <c r="J356" s="29" t="s">
        <v>1253</v>
      </c>
      <c r="K356" s="29" t="s">
        <v>1254</v>
      </c>
      <c r="L356" s="250">
        <v>3</v>
      </c>
      <c r="M356" s="251"/>
    </row>
    <row r="357" ht="16.8" spans="1:13">
      <c r="A357" s="248" t="s">
        <v>4175</v>
      </c>
      <c r="B357" s="45" t="s">
        <v>4174</v>
      </c>
      <c r="C357" s="249" t="e">
        <f>VLOOKUP(D357,#REF!,2,0)</f>
        <v>#REF!</v>
      </c>
      <c r="D357" s="29" t="s">
        <v>1239</v>
      </c>
      <c r="E357" s="18" t="e">
        <f>VLOOKUP(C357,数据集标准分类!E:F,2,0)</f>
        <v>#REF!</v>
      </c>
      <c r="F357" s="29" t="e">
        <f>VLOOKUP(D357,数据集标准分类!G:H,2,0)</f>
        <v>#N/A</v>
      </c>
      <c r="G357" s="29" t="s">
        <v>1255</v>
      </c>
      <c r="H357" s="29" t="s">
        <v>1256</v>
      </c>
      <c r="I357" s="29" t="s">
        <v>1257</v>
      </c>
      <c r="J357" s="29" t="s">
        <v>1258</v>
      </c>
      <c r="K357" s="29" t="s">
        <v>1259</v>
      </c>
      <c r="L357" s="250">
        <v>4</v>
      </c>
      <c r="M357" s="251"/>
    </row>
    <row r="358" ht="46" spans="1:13">
      <c r="A358" s="248" t="s">
        <v>4175</v>
      </c>
      <c r="B358" s="45" t="s">
        <v>4174</v>
      </c>
      <c r="C358" s="249" t="e">
        <f>VLOOKUP(D358,#REF!,2,0)</f>
        <v>#REF!</v>
      </c>
      <c r="D358" s="29" t="s">
        <v>1239</v>
      </c>
      <c r="E358" s="18" t="e">
        <f>VLOOKUP(C358,数据集标准分类!E:F,2,0)</f>
        <v>#REF!</v>
      </c>
      <c r="F358" s="29" t="e">
        <f>VLOOKUP(D358,数据集标准分类!G:H,2,0)</f>
        <v>#N/A</v>
      </c>
      <c r="G358" s="29" t="s">
        <v>192</v>
      </c>
      <c r="H358" s="29" t="s">
        <v>193</v>
      </c>
      <c r="I358" s="29" t="s">
        <v>194</v>
      </c>
      <c r="J358" s="29" t="s">
        <v>195</v>
      </c>
      <c r="K358" s="29" t="s">
        <v>385</v>
      </c>
      <c r="L358" s="250">
        <v>5</v>
      </c>
      <c r="M358" s="251"/>
    </row>
    <row r="359" ht="16.8" spans="1:13">
      <c r="A359" s="248" t="s">
        <v>4175</v>
      </c>
      <c r="B359" s="45" t="s">
        <v>4174</v>
      </c>
      <c r="C359" s="249" t="e">
        <f>VLOOKUP(D359,#REF!,2,0)</f>
        <v>#REF!</v>
      </c>
      <c r="D359" s="29" t="s">
        <v>1239</v>
      </c>
      <c r="E359" s="18" t="e">
        <f>VLOOKUP(C359,数据集标准分类!E:F,2,0)</f>
        <v>#REF!</v>
      </c>
      <c r="F359" s="29" t="e">
        <f>VLOOKUP(D359,数据集标准分类!G:H,2,0)</f>
        <v>#N/A</v>
      </c>
      <c r="G359" s="29" t="s">
        <v>396</v>
      </c>
      <c r="H359" s="29" t="s">
        <v>397</v>
      </c>
      <c r="I359" s="29" t="s">
        <v>398</v>
      </c>
      <c r="J359" s="29" t="s">
        <v>399</v>
      </c>
      <c r="K359" s="29" t="s">
        <v>1260</v>
      </c>
      <c r="L359" s="250">
        <v>6</v>
      </c>
      <c r="M359" s="251"/>
    </row>
    <row r="360" ht="31" spans="1:13">
      <c r="A360" s="248" t="s">
        <v>4175</v>
      </c>
      <c r="B360" s="45" t="s">
        <v>4174</v>
      </c>
      <c r="C360" s="249" t="e">
        <f>VLOOKUP(D360,#REF!,2,0)</f>
        <v>#REF!</v>
      </c>
      <c r="D360" s="29" t="s">
        <v>1239</v>
      </c>
      <c r="E360" s="18" t="e">
        <f>VLOOKUP(C360,数据集标准分类!E:F,2,0)</f>
        <v>#REF!</v>
      </c>
      <c r="F360" s="29" t="e">
        <f>VLOOKUP(D360,数据集标准分类!G:H,2,0)</f>
        <v>#N/A</v>
      </c>
      <c r="G360" s="29" t="s">
        <v>1261</v>
      </c>
      <c r="H360" s="29" t="s">
        <v>1262</v>
      </c>
      <c r="I360" s="29" t="s">
        <v>1263</v>
      </c>
      <c r="J360" s="29" t="s">
        <v>1264</v>
      </c>
      <c r="K360" s="29" t="s">
        <v>1265</v>
      </c>
      <c r="L360" s="250">
        <v>7</v>
      </c>
      <c r="M360" s="251"/>
    </row>
    <row r="361" ht="31" spans="1:13">
      <c r="A361" s="248" t="s">
        <v>4175</v>
      </c>
      <c r="B361" s="45" t="s">
        <v>4174</v>
      </c>
      <c r="C361" s="249" t="e">
        <f>VLOOKUP(D361,#REF!,2,0)</f>
        <v>#REF!</v>
      </c>
      <c r="D361" s="29" t="s">
        <v>1239</v>
      </c>
      <c r="E361" s="18" t="e">
        <f>VLOOKUP(C361,数据集标准分类!E:F,2,0)</f>
        <v>#REF!</v>
      </c>
      <c r="F361" s="29" t="e">
        <f>VLOOKUP(D361,数据集标准分类!G:H,2,0)</f>
        <v>#N/A</v>
      </c>
      <c r="G361" s="29" t="s">
        <v>1266</v>
      </c>
      <c r="H361" s="29" t="s">
        <v>1267</v>
      </c>
      <c r="I361" s="29" t="s">
        <v>1268</v>
      </c>
      <c r="J361" s="29" t="s">
        <v>1269</v>
      </c>
      <c r="K361" s="29" t="s">
        <v>1270</v>
      </c>
      <c r="L361" s="250">
        <v>8</v>
      </c>
      <c r="M361" s="251"/>
    </row>
    <row r="362" ht="16.8" spans="1:13">
      <c r="A362" s="248" t="s">
        <v>4175</v>
      </c>
      <c r="B362" s="45" t="s">
        <v>4174</v>
      </c>
      <c r="C362" s="249" t="e">
        <f>VLOOKUP(D362,#REF!,2,0)</f>
        <v>#REF!</v>
      </c>
      <c r="D362" s="29" t="s">
        <v>1239</v>
      </c>
      <c r="E362" s="18" t="e">
        <f>VLOOKUP(C362,数据集标准分类!E:F,2,0)</f>
        <v>#REF!</v>
      </c>
      <c r="F362" s="29" t="e">
        <f>VLOOKUP(D362,数据集标准分类!G:H,2,0)</f>
        <v>#N/A</v>
      </c>
      <c r="G362" s="29" t="s">
        <v>216</v>
      </c>
      <c r="H362" s="29" t="s">
        <v>217</v>
      </c>
      <c r="I362" s="29" t="s">
        <v>218</v>
      </c>
      <c r="J362" s="29" t="s">
        <v>219</v>
      </c>
      <c r="K362" s="29" t="s">
        <v>1271</v>
      </c>
      <c r="L362" s="250">
        <v>9</v>
      </c>
      <c r="M362" s="251"/>
    </row>
    <row r="363" ht="16.8" spans="1:13">
      <c r="A363" s="248" t="s">
        <v>4175</v>
      </c>
      <c r="B363" s="45" t="s">
        <v>4174</v>
      </c>
      <c r="C363" s="249" t="e">
        <f>VLOOKUP(D363,#REF!,2,0)</f>
        <v>#REF!</v>
      </c>
      <c r="D363" s="29" t="s">
        <v>1239</v>
      </c>
      <c r="E363" s="18" t="e">
        <f>VLOOKUP(C363,数据集标准分类!E:F,2,0)</f>
        <v>#REF!</v>
      </c>
      <c r="F363" s="29" t="e">
        <f>VLOOKUP(D363,数据集标准分类!G:H,2,0)</f>
        <v>#N/A</v>
      </c>
      <c r="G363" s="29" t="s">
        <v>1272</v>
      </c>
      <c r="H363" s="29" t="s">
        <v>1273</v>
      </c>
      <c r="I363" s="29" t="s">
        <v>1274</v>
      </c>
      <c r="J363" s="29" t="s">
        <v>1275</v>
      </c>
      <c r="K363" s="29" t="s">
        <v>1276</v>
      </c>
      <c r="L363" s="250">
        <v>10</v>
      </c>
      <c r="M363" s="251"/>
    </row>
    <row r="364" ht="31" spans="1:13">
      <c r="A364" s="248" t="s">
        <v>4175</v>
      </c>
      <c r="B364" s="45" t="s">
        <v>4174</v>
      </c>
      <c r="C364" s="249" t="e">
        <f>VLOOKUP(D364,#REF!,2,0)</f>
        <v>#REF!</v>
      </c>
      <c r="D364" s="29" t="s">
        <v>1239</v>
      </c>
      <c r="E364" s="18" t="e">
        <f>VLOOKUP(C364,数据集标准分类!E:F,2,0)</f>
        <v>#REF!</v>
      </c>
      <c r="F364" s="29" t="e">
        <f>VLOOKUP(D364,数据集标准分类!G:H,2,0)</f>
        <v>#N/A</v>
      </c>
      <c r="G364" s="29" t="s">
        <v>1277</v>
      </c>
      <c r="H364" s="29" t="s">
        <v>1278</v>
      </c>
      <c r="I364" s="29" t="s">
        <v>1279</v>
      </c>
      <c r="J364" s="29" t="s">
        <v>1280</v>
      </c>
      <c r="K364" s="29" t="s">
        <v>1281</v>
      </c>
      <c r="L364" s="250">
        <v>11</v>
      </c>
      <c r="M364" s="251"/>
    </row>
    <row r="365" ht="31" spans="1:13">
      <c r="A365" s="248" t="s">
        <v>4175</v>
      </c>
      <c r="B365" s="45" t="s">
        <v>4174</v>
      </c>
      <c r="C365" s="249" t="e">
        <f>VLOOKUP(D365,#REF!,2,0)</f>
        <v>#REF!</v>
      </c>
      <c r="D365" s="29" t="s">
        <v>1239</v>
      </c>
      <c r="E365" s="18" t="e">
        <f>VLOOKUP(C365,数据集标准分类!E:F,2,0)</f>
        <v>#REF!</v>
      </c>
      <c r="F365" s="29" t="e">
        <f>VLOOKUP(D365,数据集标准分类!G:H,2,0)</f>
        <v>#N/A</v>
      </c>
      <c r="G365" s="49" t="s">
        <v>1282</v>
      </c>
      <c r="H365" s="29" t="s">
        <v>1283</v>
      </c>
      <c r="I365" s="29" t="s">
        <v>1284</v>
      </c>
      <c r="J365" s="29" t="s">
        <v>1285</v>
      </c>
      <c r="K365" s="29" t="s">
        <v>1286</v>
      </c>
      <c r="L365" s="250">
        <v>12</v>
      </c>
      <c r="M365" s="251"/>
    </row>
    <row r="366" ht="31" spans="1:13">
      <c r="A366" s="248" t="s">
        <v>4175</v>
      </c>
      <c r="B366" s="45" t="s">
        <v>4174</v>
      </c>
      <c r="C366" s="249" t="e">
        <f>VLOOKUP(D366,#REF!,2,0)</f>
        <v>#REF!</v>
      </c>
      <c r="D366" s="29" t="s">
        <v>1239</v>
      </c>
      <c r="E366" s="18" t="e">
        <f>VLOOKUP(C366,数据集标准分类!E:F,2,0)</f>
        <v>#REF!</v>
      </c>
      <c r="F366" s="29" t="e">
        <f>VLOOKUP(D366,数据集标准分类!G:H,2,0)</f>
        <v>#N/A</v>
      </c>
      <c r="G366" s="29" t="s">
        <v>1287</v>
      </c>
      <c r="H366" s="29" t="s">
        <v>1288</v>
      </c>
      <c r="I366" s="29" t="s">
        <v>1289</v>
      </c>
      <c r="J366" s="29" t="s">
        <v>1290</v>
      </c>
      <c r="K366" s="29" t="s">
        <v>1291</v>
      </c>
      <c r="L366" s="250">
        <v>13</v>
      </c>
      <c r="M366" s="251"/>
    </row>
    <row r="367" ht="16.8" spans="1:13">
      <c r="A367" s="248" t="s">
        <v>4175</v>
      </c>
      <c r="B367" s="45" t="s">
        <v>4174</v>
      </c>
      <c r="C367" s="249" t="e">
        <f>VLOOKUP(D367,#REF!,2,0)</f>
        <v>#REF!</v>
      </c>
      <c r="D367" s="29" t="s">
        <v>1239</v>
      </c>
      <c r="E367" s="18" t="e">
        <f>VLOOKUP(C367,数据集标准分类!E:F,2,0)</f>
        <v>#REF!</v>
      </c>
      <c r="F367" s="29" t="e">
        <f>VLOOKUP(D367,数据集标准分类!G:H,2,0)</f>
        <v>#N/A</v>
      </c>
      <c r="G367" s="29" t="s">
        <v>779</v>
      </c>
      <c r="H367" s="29" t="s">
        <v>780</v>
      </c>
      <c r="I367" s="29" t="s">
        <v>781</v>
      </c>
      <c r="J367" s="29" t="s">
        <v>782</v>
      </c>
      <c r="K367" s="29" t="s">
        <v>1292</v>
      </c>
      <c r="L367" s="250">
        <v>14</v>
      </c>
      <c r="M367" s="251"/>
    </row>
    <row r="368" ht="31" spans="1:13">
      <c r="A368" s="248" t="s">
        <v>4175</v>
      </c>
      <c r="B368" s="45" t="s">
        <v>4174</v>
      </c>
      <c r="C368" s="249" t="e">
        <f>VLOOKUP(D368,#REF!,2,0)</f>
        <v>#REF!</v>
      </c>
      <c r="D368" s="29" t="s">
        <v>1239</v>
      </c>
      <c r="E368" s="18" t="e">
        <f>VLOOKUP(C368,数据集标准分类!E:F,2,0)</f>
        <v>#REF!</v>
      </c>
      <c r="F368" s="29" t="e">
        <f>VLOOKUP(D368,数据集标准分类!G:H,2,0)</f>
        <v>#N/A</v>
      </c>
      <c r="G368" s="29" t="s">
        <v>1293</v>
      </c>
      <c r="H368" s="29" t="s">
        <v>1294</v>
      </c>
      <c r="I368" s="29" t="s">
        <v>1295</v>
      </c>
      <c r="J368" s="29" t="s">
        <v>1296</v>
      </c>
      <c r="K368" s="29" t="s">
        <v>1297</v>
      </c>
      <c r="L368" s="250">
        <v>15</v>
      </c>
      <c r="M368" s="251"/>
    </row>
    <row r="369" ht="31" spans="1:13">
      <c r="A369" s="248" t="s">
        <v>4175</v>
      </c>
      <c r="B369" s="45" t="s">
        <v>4174</v>
      </c>
      <c r="C369" s="249" t="e">
        <f>VLOOKUP(D369,#REF!,2,0)</f>
        <v>#REF!</v>
      </c>
      <c r="D369" s="29" t="s">
        <v>1239</v>
      </c>
      <c r="E369" s="18" t="e">
        <f>VLOOKUP(C369,数据集标准分类!E:F,2,0)</f>
        <v>#REF!</v>
      </c>
      <c r="F369" s="29" t="e">
        <f>VLOOKUP(D369,数据集标准分类!G:H,2,0)</f>
        <v>#N/A</v>
      </c>
      <c r="G369" s="29" t="s">
        <v>1298</v>
      </c>
      <c r="H369" s="29" t="s">
        <v>1299</v>
      </c>
      <c r="I369" s="29" t="s">
        <v>1300</v>
      </c>
      <c r="J369" s="29" t="s">
        <v>1301</v>
      </c>
      <c r="K369" s="29" t="s">
        <v>1302</v>
      </c>
      <c r="L369" s="250">
        <v>16</v>
      </c>
      <c r="M369" s="251"/>
    </row>
    <row r="370" ht="31" spans="1:13">
      <c r="A370" s="248" t="s">
        <v>4175</v>
      </c>
      <c r="B370" s="45" t="s">
        <v>4174</v>
      </c>
      <c r="C370" s="249" t="e">
        <f>VLOOKUP(D370,#REF!,2,0)</f>
        <v>#REF!</v>
      </c>
      <c r="D370" s="29" t="s">
        <v>1239</v>
      </c>
      <c r="E370" s="18" t="e">
        <f>VLOOKUP(C370,数据集标准分类!E:F,2,0)</f>
        <v>#REF!</v>
      </c>
      <c r="F370" s="29" t="e">
        <f>VLOOKUP(D370,数据集标准分类!G:H,2,0)</f>
        <v>#N/A</v>
      </c>
      <c r="G370" s="29" t="s">
        <v>1192</v>
      </c>
      <c r="H370" s="29" t="s">
        <v>1193</v>
      </c>
      <c r="I370" s="29" t="s">
        <v>1194</v>
      </c>
      <c r="J370" s="29" t="s">
        <v>1195</v>
      </c>
      <c r="K370" s="29" t="s">
        <v>1196</v>
      </c>
      <c r="L370" s="250">
        <v>17</v>
      </c>
      <c r="M370" s="251"/>
    </row>
    <row r="371" ht="61" spans="1:13">
      <c r="A371" s="248" t="s">
        <v>4175</v>
      </c>
      <c r="B371" s="45" t="s">
        <v>4174</v>
      </c>
      <c r="C371" s="249" t="e">
        <f>VLOOKUP(D371,#REF!,2,0)</f>
        <v>#REF!</v>
      </c>
      <c r="D371" s="29" t="s">
        <v>1322</v>
      </c>
      <c r="E371" s="18" t="e">
        <f>VLOOKUP(C371,数据集标准分类!E:F,2,0)</f>
        <v>#REF!</v>
      </c>
      <c r="F371" s="29" t="e">
        <f>VLOOKUP(D371,数据集标准分类!G:H,2,0)</f>
        <v>#N/A</v>
      </c>
      <c r="G371" s="29" t="s">
        <v>77</v>
      </c>
      <c r="H371" s="29" t="s">
        <v>78</v>
      </c>
      <c r="I371" s="29" t="s">
        <v>79</v>
      </c>
      <c r="J371" s="29" t="s">
        <v>80</v>
      </c>
      <c r="K371" s="29" t="s">
        <v>310</v>
      </c>
      <c r="L371" s="250">
        <v>1</v>
      </c>
      <c r="M371" s="251"/>
    </row>
    <row r="372" ht="61" spans="1:13">
      <c r="A372" s="248" t="s">
        <v>4175</v>
      </c>
      <c r="B372" s="45" t="s">
        <v>4174</v>
      </c>
      <c r="C372" s="249" t="e">
        <f>VLOOKUP(D372,#REF!,2,0)</f>
        <v>#REF!</v>
      </c>
      <c r="D372" s="29" t="s">
        <v>1322</v>
      </c>
      <c r="E372" s="18" t="e">
        <f>VLOOKUP(C372,数据集标准分类!E:F,2,0)</f>
        <v>#REF!</v>
      </c>
      <c r="F372" s="29" t="e">
        <f>VLOOKUP(D372,数据集标准分类!G:H,2,0)</f>
        <v>#N/A</v>
      </c>
      <c r="G372" s="29" t="s">
        <v>82</v>
      </c>
      <c r="H372" s="29" t="s">
        <v>83</v>
      </c>
      <c r="I372" s="29" t="s">
        <v>84</v>
      </c>
      <c r="J372" s="29" t="s">
        <v>85</v>
      </c>
      <c r="K372" s="29" t="s">
        <v>311</v>
      </c>
      <c r="L372" s="250">
        <v>2</v>
      </c>
      <c r="M372" s="251"/>
    </row>
    <row r="373" ht="31" spans="1:13">
      <c r="A373" s="248" t="s">
        <v>4175</v>
      </c>
      <c r="B373" s="45" t="s">
        <v>4174</v>
      </c>
      <c r="C373" s="249" t="e">
        <f>VLOOKUP(D373,#REF!,2,0)</f>
        <v>#REF!</v>
      </c>
      <c r="D373" s="29" t="s">
        <v>1322</v>
      </c>
      <c r="E373" s="18" t="e">
        <f>VLOOKUP(C373,数据集标准分类!E:F,2,0)</f>
        <v>#REF!</v>
      </c>
      <c r="F373" s="29" t="e">
        <f>VLOOKUP(D373,数据集标准分类!G:H,2,0)</f>
        <v>#N/A</v>
      </c>
      <c r="G373" s="29" t="s">
        <v>1323</v>
      </c>
      <c r="H373" s="29" t="s">
        <v>1324</v>
      </c>
      <c r="I373" s="29" t="s">
        <v>1325</v>
      </c>
      <c r="J373" s="29" t="s">
        <v>1326</v>
      </c>
      <c r="K373" s="29" t="s">
        <v>1327</v>
      </c>
      <c r="L373" s="250">
        <v>3</v>
      </c>
      <c r="M373" s="251"/>
    </row>
    <row r="374" ht="31" spans="1:13">
      <c r="A374" s="248" t="s">
        <v>4175</v>
      </c>
      <c r="B374" s="45" t="s">
        <v>4174</v>
      </c>
      <c r="C374" s="249" t="e">
        <f>VLOOKUP(D374,#REF!,2,0)</f>
        <v>#REF!</v>
      </c>
      <c r="D374" s="29" t="s">
        <v>1322</v>
      </c>
      <c r="E374" s="18" t="e">
        <f>VLOOKUP(C374,数据集标准分类!E:F,2,0)</f>
        <v>#REF!</v>
      </c>
      <c r="F374" s="29" t="e">
        <f>VLOOKUP(D374,数据集标准分类!G:H,2,0)</f>
        <v>#N/A</v>
      </c>
      <c r="G374" s="29" t="s">
        <v>172</v>
      </c>
      <c r="H374" s="29" t="s">
        <v>173</v>
      </c>
      <c r="I374" s="29" t="s">
        <v>174</v>
      </c>
      <c r="J374" s="29" t="s">
        <v>175</v>
      </c>
      <c r="K374" s="29" t="s">
        <v>1245</v>
      </c>
      <c r="L374" s="250">
        <v>4</v>
      </c>
      <c r="M374" s="251"/>
    </row>
    <row r="375" ht="16.8" spans="1:13">
      <c r="A375" s="248" t="s">
        <v>4175</v>
      </c>
      <c r="B375" s="45" t="s">
        <v>4174</v>
      </c>
      <c r="C375" s="249" t="e">
        <f>VLOOKUP(D375,#REF!,2,0)</f>
        <v>#REF!</v>
      </c>
      <c r="D375" s="29" t="s">
        <v>1322</v>
      </c>
      <c r="E375" s="18" t="e">
        <f>VLOOKUP(C375,数据集标准分类!E:F,2,0)</f>
        <v>#REF!</v>
      </c>
      <c r="F375" s="29" t="e">
        <f>VLOOKUP(D375,数据集标准分类!G:H,2,0)</f>
        <v>#N/A</v>
      </c>
      <c r="G375" s="29" t="s">
        <v>1328</v>
      </c>
      <c r="H375" s="29" t="s">
        <v>1329</v>
      </c>
      <c r="I375" s="29" t="s">
        <v>1330</v>
      </c>
      <c r="J375" s="29" t="s">
        <v>1331</v>
      </c>
      <c r="K375" s="29" t="s">
        <v>1332</v>
      </c>
      <c r="L375" s="250">
        <v>5</v>
      </c>
      <c r="M375" s="251"/>
    </row>
    <row r="376" ht="61" spans="1:13">
      <c r="A376" s="248" t="s">
        <v>4175</v>
      </c>
      <c r="B376" s="45" t="s">
        <v>4174</v>
      </c>
      <c r="C376" s="249" t="e">
        <f>VLOOKUP(D376,#REF!,2,0)</f>
        <v>#REF!</v>
      </c>
      <c r="D376" s="29" t="s">
        <v>1322</v>
      </c>
      <c r="E376" s="18" t="e">
        <f>VLOOKUP(C376,数据集标准分类!E:F,2,0)</f>
        <v>#REF!</v>
      </c>
      <c r="F376" s="29" t="e">
        <f>VLOOKUP(D376,数据集标准分类!G:H,2,0)</f>
        <v>#N/A</v>
      </c>
      <c r="G376" s="29" t="s">
        <v>1333</v>
      </c>
      <c r="H376" s="29" t="s">
        <v>1334</v>
      </c>
      <c r="I376" s="29" t="s">
        <v>1335</v>
      </c>
      <c r="J376" s="29" t="s">
        <v>1336</v>
      </c>
      <c r="K376" s="29" t="s">
        <v>1337</v>
      </c>
      <c r="L376" s="250">
        <v>6</v>
      </c>
      <c r="M376" s="251"/>
    </row>
    <row r="377" ht="61" spans="1:13">
      <c r="A377" s="248" t="s">
        <v>4175</v>
      </c>
      <c r="B377" s="45" t="s">
        <v>4174</v>
      </c>
      <c r="C377" s="249" t="e">
        <f>VLOOKUP(D377,#REF!,2,0)</f>
        <v>#REF!</v>
      </c>
      <c r="D377" s="29" t="s">
        <v>1322</v>
      </c>
      <c r="E377" s="18" t="e">
        <f>VLOOKUP(C377,数据集标准分类!E:F,2,0)</f>
        <v>#REF!</v>
      </c>
      <c r="F377" s="29" t="e">
        <f>VLOOKUP(D377,数据集标准分类!G:H,2,0)</f>
        <v>#N/A</v>
      </c>
      <c r="G377" s="29" t="s">
        <v>1338</v>
      </c>
      <c r="H377" s="29" t="s">
        <v>1339</v>
      </c>
      <c r="I377" s="29" t="s">
        <v>1340</v>
      </c>
      <c r="J377" s="29" t="s">
        <v>1341</v>
      </c>
      <c r="K377" s="29" t="s">
        <v>1342</v>
      </c>
      <c r="L377" s="250">
        <v>7</v>
      </c>
      <c r="M377" s="251"/>
    </row>
    <row r="378" ht="31" spans="1:13">
      <c r="A378" s="248" t="s">
        <v>4175</v>
      </c>
      <c r="B378" s="45" t="s">
        <v>4174</v>
      </c>
      <c r="C378" s="249" t="e">
        <f>VLOOKUP(D378,#REF!,2,0)</f>
        <v>#REF!</v>
      </c>
      <c r="D378" s="29" t="s">
        <v>1322</v>
      </c>
      <c r="E378" s="18" t="e">
        <f>VLOOKUP(C378,数据集标准分类!E:F,2,0)</f>
        <v>#REF!</v>
      </c>
      <c r="F378" s="29" t="e">
        <f>VLOOKUP(D378,数据集标准分类!G:H,2,0)</f>
        <v>#N/A</v>
      </c>
      <c r="G378" s="29" t="s">
        <v>1343</v>
      </c>
      <c r="H378" s="29" t="s">
        <v>1344</v>
      </c>
      <c r="I378" s="29" t="s">
        <v>1345</v>
      </c>
      <c r="J378" s="29" t="s">
        <v>1346</v>
      </c>
      <c r="K378" s="29" t="s">
        <v>1347</v>
      </c>
      <c r="L378" s="250">
        <v>8</v>
      </c>
      <c r="M378" s="251"/>
    </row>
    <row r="379" ht="16.8" spans="1:13">
      <c r="A379" s="248" t="s">
        <v>4175</v>
      </c>
      <c r="B379" s="45" t="s">
        <v>4174</v>
      </c>
      <c r="C379" s="249" t="e">
        <f>VLOOKUP(D379,#REF!,2,0)</f>
        <v>#REF!</v>
      </c>
      <c r="D379" s="29" t="s">
        <v>1322</v>
      </c>
      <c r="E379" s="18" t="e">
        <f>VLOOKUP(C379,数据集标准分类!E:F,2,0)</f>
        <v>#REF!</v>
      </c>
      <c r="F379" s="29" t="e">
        <f>VLOOKUP(D379,数据集标准分类!G:H,2,0)</f>
        <v>#N/A</v>
      </c>
      <c r="G379" s="29" t="s">
        <v>1133</v>
      </c>
      <c r="H379" s="29" t="s">
        <v>1134</v>
      </c>
      <c r="I379" s="29" t="s">
        <v>1135</v>
      </c>
      <c r="J379" s="29" t="s">
        <v>1136</v>
      </c>
      <c r="K379" s="29" t="s">
        <v>1348</v>
      </c>
      <c r="L379" s="250">
        <v>9</v>
      </c>
      <c r="M379" s="251"/>
    </row>
    <row r="380" ht="31" spans="1:13">
      <c r="A380" s="248" t="s">
        <v>4175</v>
      </c>
      <c r="B380" s="45" t="s">
        <v>4174</v>
      </c>
      <c r="C380" s="249" t="e">
        <f>VLOOKUP(D380,#REF!,2,0)</f>
        <v>#REF!</v>
      </c>
      <c r="D380" s="29" t="s">
        <v>1322</v>
      </c>
      <c r="E380" s="18" t="e">
        <f>VLOOKUP(C380,数据集标准分类!E:F,2,0)</f>
        <v>#REF!</v>
      </c>
      <c r="F380" s="29" t="e">
        <f>VLOOKUP(D380,数据集标准分类!G:H,2,0)</f>
        <v>#N/A</v>
      </c>
      <c r="G380" s="29" t="s">
        <v>1349</v>
      </c>
      <c r="H380" s="29" t="s">
        <v>1350</v>
      </c>
      <c r="I380" s="29" t="s">
        <v>1351</v>
      </c>
      <c r="J380" s="29" t="s">
        <v>1352</v>
      </c>
      <c r="K380" s="29" t="s">
        <v>1353</v>
      </c>
      <c r="L380" s="250">
        <v>10</v>
      </c>
      <c r="M380" s="251"/>
    </row>
    <row r="381" ht="31" spans="1:13">
      <c r="A381" s="248" t="s">
        <v>4175</v>
      </c>
      <c r="B381" s="45" t="s">
        <v>4174</v>
      </c>
      <c r="C381" s="249" t="e">
        <f>VLOOKUP(D381,#REF!,2,0)</f>
        <v>#REF!</v>
      </c>
      <c r="D381" s="29" t="s">
        <v>1322</v>
      </c>
      <c r="E381" s="18" t="e">
        <f>VLOOKUP(C381,数据集标准分类!E:F,2,0)</f>
        <v>#REF!</v>
      </c>
      <c r="F381" s="29" t="e">
        <f>VLOOKUP(D381,数据集标准分类!G:H,2,0)</f>
        <v>#N/A</v>
      </c>
      <c r="G381" s="29" t="s">
        <v>1354</v>
      </c>
      <c r="H381" s="29" t="s">
        <v>1355</v>
      </c>
      <c r="I381" s="29" t="s">
        <v>1356</v>
      </c>
      <c r="J381" s="29" t="s">
        <v>1357</v>
      </c>
      <c r="K381" s="29" t="s">
        <v>1358</v>
      </c>
      <c r="L381" s="250">
        <v>11</v>
      </c>
      <c r="M381" s="251"/>
    </row>
    <row r="382" ht="46" spans="1:13">
      <c r="A382" s="248" t="s">
        <v>4175</v>
      </c>
      <c r="B382" s="45" t="s">
        <v>4174</v>
      </c>
      <c r="C382" s="249" t="e">
        <f>VLOOKUP(D382,#REF!,2,0)</f>
        <v>#REF!</v>
      </c>
      <c r="D382" s="29" t="s">
        <v>1322</v>
      </c>
      <c r="E382" s="18" t="e">
        <f>VLOOKUP(C382,数据集标准分类!E:F,2,0)</f>
        <v>#REF!</v>
      </c>
      <c r="F382" s="29" t="e">
        <f>VLOOKUP(D382,数据集标准分类!G:H,2,0)</f>
        <v>#N/A</v>
      </c>
      <c r="G382" s="29" t="s">
        <v>1359</v>
      </c>
      <c r="H382" s="29" t="s">
        <v>1360</v>
      </c>
      <c r="I382" s="29" t="s">
        <v>1361</v>
      </c>
      <c r="J382" s="29" t="s">
        <v>1362</v>
      </c>
      <c r="K382" s="29" t="s">
        <v>1363</v>
      </c>
      <c r="L382" s="250">
        <v>12</v>
      </c>
      <c r="M382" s="251"/>
    </row>
    <row r="383" ht="46" spans="1:13">
      <c r="A383" s="248" t="s">
        <v>4175</v>
      </c>
      <c r="B383" s="45" t="s">
        <v>4174</v>
      </c>
      <c r="C383" s="249" t="e">
        <f>VLOOKUP(D383,#REF!,2,0)</f>
        <v>#REF!</v>
      </c>
      <c r="D383" s="29" t="s">
        <v>1322</v>
      </c>
      <c r="E383" s="18" t="e">
        <f>VLOOKUP(C383,数据集标准分类!E:F,2,0)</f>
        <v>#REF!</v>
      </c>
      <c r="F383" s="29" t="e">
        <f>VLOOKUP(D383,数据集标准分类!G:H,2,0)</f>
        <v>#N/A</v>
      </c>
      <c r="G383" s="29" t="s">
        <v>1364</v>
      </c>
      <c r="H383" s="29" t="s">
        <v>1365</v>
      </c>
      <c r="I383" s="29" t="s">
        <v>1366</v>
      </c>
      <c r="J383" s="29" t="s">
        <v>1367</v>
      </c>
      <c r="K383" s="29" t="s">
        <v>1368</v>
      </c>
      <c r="L383" s="250">
        <v>13</v>
      </c>
      <c r="M383" s="251"/>
    </row>
    <row r="384" ht="31" spans="1:13">
      <c r="A384" s="248" t="s">
        <v>4175</v>
      </c>
      <c r="B384" s="45" t="s">
        <v>4174</v>
      </c>
      <c r="C384" s="249" t="e">
        <f>VLOOKUP(D384,#REF!,2,0)</f>
        <v>#REF!</v>
      </c>
      <c r="D384" s="29" t="s">
        <v>1322</v>
      </c>
      <c r="E384" s="18" t="e">
        <f>VLOOKUP(C384,数据集标准分类!E:F,2,0)</f>
        <v>#REF!</v>
      </c>
      <c r="F384" s="29" t="e">
        <f>VLOOKUP(D384,数据集标准分类!G:H,2,0)</f>
        <v>#N/A</v>
      </c>
      <c r="G384" s="29" t="s">
        <v>1369</v>
      </c>
      <c r="H384" s="29" t="s">
        <v>1370</v>
      </c>
      <c r="I384" s="29" t="s">
        <v>1371</v>
      </c>
      <c r="J384" s="29" t="s">
        <v>1372</v>
      </c>
      <c r="K384" s="29" t="s">
        <v>1373</v>
      </c>
      <c r="L384" s="250">
        <v>14</v>
      </c>
      <c r="M384" s="251"/>
    </row>
    <row r="385" ht="31" spans="1:13">
      <c r="A385" s="248" t="s">
        <v>4175</v>
      </c>
      <c r="B385" s="45" t="s">
        <v>4174</v>
      </c>
      <c r="C385" s="249" t="e">
        <f>VLOOKUP(D385,#REF!,2,0)</f>
        <v>#REF!</v>
      </c>
      <c r="D385" s="29" t="s">
        <v>1322</v>
      </c>
      <c r="E385" s="18" t="e">
        <f>VLOOKUP(C385,数据集标准分类!E:F,2,0)</f>
        <v>#REF!</v>
      </c>
      <c r="F385" s="29" t="e">
        <f>VLOOKUP(D385,数据集标准分类!G:H,2,0)</f>
        <v>#N/A</v>
      </c>
      <c r="G385" s="29" t="s">
        <v>1374</v>
      </c>
      <c r="H385" s="29" t="s">
        <v>1375</v>
      </c>
      <c r="I385" s="29" t="s">
        <v>1376</v>
      </c>
      <c r="J385" s="29" t="s">
        <v>1377</v>
      </c>
      <c r="K385" s="29" t="s">
        <v>1378</v>
      </c>
      <c r="L385" s="250">
        <v>15</v>
      </c>
      <c r="M385" s="251"/>
    </row>
    <row r="386" ht="16.8" spans="1:13">
      <c r="A386" s="248" t="s">
        <v>4175</v>
      </c>
      <c r="B386" s="45" t="s">
        <v>4174</v>
      </c>
      <c r="C386" s="249" t="e">
        <f>VLOOKUP(D386,#REF!,2,0)</f>
        <v>#REF!</v>
      </c>
      <c r="D386" s="29" t="s">
        <v>1322</v>
      </c>
      <c r="E386" s="18" t="e">
        <f>VLOOKUP(C386,数据集标准分类!E:F,2,0)</f>
        <v>#REF!</v>
      </c>
      <c r="F386" s="29" t="e">
        <f>VLOOKUP(D386,数据集标准分类!G:H,2,0)</f>
        <v>#N/A</v>
      </c>
      <c r="G386" s="29" t="s">
        <v>1379</v>
      </c>
      <c r="H386" s="29" t="s">
        <v>1380</v>
      </c>
      <c r="I386" s="29" t="s">
        <v>1381</v>
      </c>
      <c r="J386" s="29" t="s">
        <v>1382</v>
      </c>
      <c r="K386" s="29" t="s">
        <v>1383</v>
      </c>
      <c r="L386" s="250">
        <v>16</v>
      </c>
      <c r="M386" s="251"/>
    </row>
    <row r="387" ht="31" spans="1:13">
      <c r="A387" s="248" t="s">
        <v>4175</v>
      </c>
      <c r="B387" s="45" t="s">
        <v>4174</v>
      </c>
      <c r="C387" s="249" t="e">
        <f>VLOOKUP(D387,#REF!,2,0)</f>
        <v>#REF!</v>
      </c>
      <c r="D387" s="29" t="s">
        <v>1322</v>
      </c>
      <c r="E387" s="18" t="e">
        <f>VLOOKUP(C387,数据集标准分类!E:F,2,0)</f>
        <v>#REF!</v>
      </c>
      <c r="F387" s="29" t="e">
        <f>VLOOKUP(D387,数据集标准分类!G:H,2,0)</f>
        <v>#N/A</v>
      </c>
      <c r="G387" s="29" t="s">
        <v>1384</v>
      </c>
      <c r="H387" s="29" t="s">
        <v>1385</v>
      </c>
      <c r="I387" s="29" t="s">
        <v>1386</v>
      </c>
      <c r="J387" s="29" t="s">
        <v>1387</v>
      </c>
      <c r="K387" s="29" t="s">
        <v>1388</v>
      </c>
      <c r="L387" s="250">
        <v>17</v>
      </c>
      <c r="M387" s="251"/>
    </row>
    <row r="388" ht="16.8" spans="1:13">
      <c r="A388" s="248" t="s">
        <v>4175</v>
      </c>
      <c r="B388" s="45" t="s">
        <v>4174</v>
      </c>
      <c r="C388" s="249" t="e">
        <f>VLOOKUP(D388,#REF!,2,0)</f>
        <v>#REF!</v>
      </c>
      <c r="D388" s="29" t="s">
        <v>1322</v>
      </c>
      <c r="E388" s="18" t="e">
        <f>VLOOKUP(C388,数据集标准分类!E:F,2,0)</f>
        <v>#REF!</v>
      </c>
      <c r="F388" s="29" t="e">
        <f>VLOOKUP(D388,数据集标准分类!G:H,2,0)</f>
        <v>#N/A</v>
      </c>
      <c r="G388" s="29" t="s">
        <v>1389</v>
      </c>
      <c r="H388" s="29" t="s">
        <v>1390</v>
      </c>
      <c r="I388" s="29" t="s">
        <v>1391</v>
      </c>
      <c r="J388" s="29" t="s">
        <v>1392</v>
      </c>
      <c r="K388" s="29" t="s">
        <v>1393</v>
      </c>
      <c r="L388" s="250">
        <v>18</v>
      </c>
      <c r="M388" s="251"/>
    </row>
    <row r="389" ht="31" spans="1:13">
      <c r="A389" s="248" t="s">
        <v>4175</v>
      </c>
      <c r="B389" s="45" t="s">
        <v>4174</v>
      </c>
      <c r="C389" s="249" t="e">
        <f>VLOOKUP(D389,#REF!,2,0)</f>
        <v>#REF!</v>
      </c>
      <c r="D389" s="29" t="s">
        <v>1322</v>
      </c>
      <c r="E389" s="18" t="e">
        <f>VLOOKUP(C389,数据集标准分类!E:F,2,0)</f>
        <v>#REF!</v>
      </c>
      <c r="F389" s="29" t="e">
        <f>VLOOKUP(D389,数据集标准分类!G:H,2,0)</f>
        <v>#N/A</v>
      </c>
      <c r="G389" s="29" t="s">
        <v>1394</v>
      </c>
      <c r="H389" s="29" t="s">
        <v>1395</v>
      </c>
      <c r="I389" s="29" t="s">
        <v>1396</v>
      </c>
      <c r="J389" s="29" t="s">
        <v>1397</v>
      </c>
      <c r="K389" s="29" t="s">
        <v>1398</v>
      </c>
      <c r="L389" s="250">
        <v>19</v>
      </c>
      <c r="M389" s="251"/>
    </row>
    <row r="390" ht="46" spans="1:13">
      <c r="A390" s="248" t="s">
        <v>4175</v>
      </c>
      <c r="B390" s="45" t="s">
        <v>4174</v>
      </c>
      <c r="C390" s="249" t="e">
        <f>VLOOKUP(D390,#REF!,2,0)</f>
        <v>#REF!</v>
      </c>
      <c r="D390" s="29" t="s">
        <v>1403</v>
      </c>
      <c r="E390" s="18" t="e">
        <f>VLOOKUP(C390,数据集标准分类!E:F,2,0)</f>
        <v>#REF!</v>
      </c>
      <c r="F390" s="29" t="e">
        <f>VLOOKUP(D390,数据集标准分类!G:H,2,0)</f>
        <v>#N/A</v>
      </c>
      <c r="G390" s="29" t="s">
        <v>245</v>
      </c>
      <c r="H390" s="29" t="s">
        <v>246</v>
      </c>
      <c r="I390" s="29" t="s">
        <v>247</v>
      </c>
      <c r="J390" s="29" t="s">
        <v>248</v>
      </c>
      <c r="K390" s="29" t="s">
        <v>1404</v>
      </c>
      <c r="L390" s="250">
        <v>1</v>
      </c>
      <c r="M390" s="251"/>
    </row>
    <row r="391" ht="31" spans="1:13">
      <c r="A391" s="248" t="s">
        <v>4175</v>
      </c>
      <c r="B391" s="45" t="s">
        <v>4174</v>
      </c>
      <c r="C391" s="249" t="e">
        <f>VLOOKUP(D391,#REF!,2,0)</f>
        <v>#REF!</v>
      </c>
      <c r="D391" s="29" t="s">
        <v>1403</v>
      </c>
      <c r="E391" s="18" t="e">
        <f>VLOOKUP(C391,数据集标准分类!E:F,2,0)</f>
        <v>#REF!</v>
      </c>
      <c r="F391" s="29" t="e">
        <f>VLOOKUP(D391,数据集标准分类!G:H,2,0)</f>
        <v>#N/A</v>
      </c>
      <c r="G391" s="64" t="s">
        <v>1405</v>
      </c>
      <c r="H391" s="29" t="s">
        <v>1406</v>
      </c>
      <c r="I391" s="29" t="s">
        <v>1407</v>
      </c>
      <c r="J391" s="29" t="s">
        <v>1408</v>
      </c>
      <c r="K391" s="29" t="s">
        <v>1409</v>
      </c>
      <c r="L391" s="250">
        <v>2</v>
      </c>
      <c r="M391" s="251"/>
    </row>
    <row r="392" ht="46" spans="1:13">
      <c r="A392" s="248" t="s">
        <v>4175</v>
      </c>
      <c r="B392" s="45" t="s">
        <v>4174</v>
      </c>
      <c r="C392" s="249" t="e">
        <f>VLOOKUP(D392,#REF!,2,0)</f>
        <v>#REF!</v>
      </c>
      <c r="D392" s="29" t="s">
        <v>1403</v>
      </c>
      <c r="E392" s="18" t="e">
        <f>VLOOKUP(C392,数据集标准分类!E:F,2,0)</f>
        <v>#REF!</v>
      </c>
      <c r="F392" s="29" t="e">
        <f>VLOOKUP(D392,数据集标准分类!G:H,2,0)</f>
        <v>#N/A</v>
      </c>
      <c r="G392" s="29" t="s">
        <v>1410</v>
      </c>
      <c r="H392" s="29" t="s">
        <v>1411</v>
      </c>
      <c r="I392" s="29" t="s">
        <v>1412</v>
      </c>
      <c r="J392" s="29" t="s">
        <v>1413</v>
      </c>
      <c r="K392" s="29" t="s">
        <v>1414</v>
      </c>
      <c r="L392" s="250">
        <v>3</v>
      </c>
      <c r="M392" s="251"/>
    </row>
    <row r="393" ht="107" spans="1:13">
      <c r="A393" s="248" t="s">
        <v>4175</v>
      </c>
      <c r="B393" s="45" t="s">
        <v>4174</v>
      </c>
      <c r="C393" s="249" t="e">
        <f>VLOOKUP(D393,#REF!,2,0)</f>
        <v>#REF!</v>
      </c>
      <c r="D393" s="29" t="s">
        <v>1403</v>
      </c>
      <c r="E393" s="18" t="e">
        <f>VLOOKUP(C393,数据集标准分类!E:F,2,0)</f>
        <v>#REF!</v>
      </c>
      <c r="F393" s="29" t="e">
        <f>VLOOKUP(D393,数据集标准分类!G:H,2,0)</f>
        <v>#N/A</v>
      </c>
      <c r="G393" s="64" t="s">
        <v>1027</v>
      </c>
      <c r="H393" s="29" t="s">
        <v>1028</v>
      </c>
      <c r="I393" s="29" t="s">
        <v>1029</v>
      </c>
      <c r="J393" s="29" t="s">
        <v>1030</v>
      </c>
      <c r="K393" s="29" t="s">
        <v>1415</v>
      </c>
      <c r="L393" s="250">
        <v>4</v>
      </c>
      <c r="M393" s="251"/>
    </row>
    <row r="394" ht="31" spans="1:13">
      <c r="A394" s="248" t="s">
        <v>4175</v>
      </c>
      <c r="B394" s="45" t="s">
        <v>4174</v>
      </c>
      <c r="C394" s="249" t="e">
        <f>VLOOKUP(D394,#REF!,2,0)</f>
        <v>#REF!</v>
      </c>
      <c r="D394" s="29" t="s">
        <v>1403</v>
      </c>
      <c r="E394" s="18" t="e">
        <f>VLOOKUP(C394,数据集标准分类!E:F,2,0)</f>
        <v>#REF!</v>
      </c>
      <c r="F394" s="29" t="e">
        <f>VLOOKUP(D394,数据集标准分类!G:H,2,0)</f>
        <v>#N/A</v>
      </c>
      <c r="G394" s="64" t="s">
        <v>1032</v>
      </c>
      <c r="H394" s="29" t="s">
        <v>1033</v>
      </c>
      <c r="I394" s="29" t="s">
        <v>1034</v>
      </c>
      <c r="J394" s="29" t="s">
        <v>1035</v>
      </c>
      <c r="K394" s="29" t="s">
        <v>1416</v>
      </c>
      <c r="L394" s="250">
        <v>5</v>
      </c>
      <c r="M394" s="251"/>
    </row>
    <row r="395" ht="31" spans="1:13">
      <c r="A395" s="248" t="s">
        <v>4175</v>
      </c>
      <c r="B395" s="45" t="s">
        <v>4174</v>
      </c>
      <c r="C395" s="249" t="e">
        <f>VLOOKUP(D395,#REF!,2,0)</f>
        <v>#REF!</v>
      </c>
      <c r="D395" s="29" t="s">
        <v>1403</v>
      </c>
      <c r="E395" s="18" t="e">
        <f>VLOOKUP(C395,数据集标准分类!E:F,2,0)</f>
        <v>#REF!</v>
      </c>
      <c r="F395" s="29" t="e">
        <f>VLOOKUP(D395,数据集标准分类!G:H,2,0)</f>
        <v>#N/A</v>
      </c>
      <c r="G395" s="29" t="s">
        <v>1133</v>
      </c>
      <c r="H395" s="29" t="s">
        <v>1134</v>
      </c>
      <c r="I395" s="29" t="s">
        <v>1135</v>
      </c>
      <c r="J395" s="29" t="s">
        <v>1136</v>
      </c>
      <c r="K395" s="29" t="s">
        <v>1417</v>
      </c>
      <c r="L395" s="250">
        <v>6</v>
      </c>
      <c r="M395" s="251"/>
    </row>
    <row r="396" ht="31" spans="1:13">
      <c r="A396" s="248" t="s">
        <v>4175</v>
      </c>
      <c r="B396" s="45" t="s">
        <v>4174</v>
      </c>
      <c r="C396" s="249" t="e">
        <f>VLOOKUP(D396,#REF!,2,0)</f>
        <v>#REF!</v>
      </c>
      <c r="D396" s="29" t="s">
        <v>1403</v>
      </c>
      <c r="E396" s="18" t="e">
        <f>VLOOKUP(C396,数据集标准分类!E:F,2,0)</f>
        <v>#REF!</v>
      </c>
      <c r="F396" s="29" t="e">
        <f>VLOOKUP(D396,数据集标准分类!G:H,2,0)</f>
        <v>#N/A</v>
      </c>
      <c r="G396" s="29" t="s">
        <v>1418</v>
      </c>
      <c r="H396" s="29" t="s">
        <v>1419</v>
      </c>
      <c r="I396" s="29" t="s">
        <v>1420</v>
      </c>
      <c r="J396" s="29" t="s">
        <v>1421</v>
      </c>
      <c r="K396" s="29" t="s">
        <v>1422</v>
      </c>
      <c r="L396" s="250">
        <v>7</v>
      </c>
      <c r="M396" s="251"/>
    </row>
    <row r="397" ht="46" spans="1:13">
      <c r="A397" s="248" t="s">
        <v>4175</v>
      </c>
      <c r="B397" s="45" t="s">
        <v>4174</v>
      </c>
      <c r="C397" s="249" t="e">
        <f>VLOOKUP(D397,#REF!,2,0)</f>
        <v>#REF!</v>
      </c>
      <c r="D397" s="29" t="s">
        <v>1423</v>
      </c>
      <c r="E397" s="18" t="e">
        <f>VLOOKUP(C397,数据集标准分类!E:F,2,0)</f>
        <v>#REF!</v>
      </c>
      <c r="F397" s="29" t="e">
        <f>VLOOKUP(D397,数据集标准分类!G:H,2,0)</f>
        <v>#N/A</v>
      </c>
      <c r="G397" s="29" t="s">
        <v>192</v>
      </c>
      <c r="H397" s="29" t="s">
        <v>193</v>
      </c>
      <c r="I397" s="29" t="s">
        <v>194</v>
      </c>
      <c r="J397" s="29" t="s">
        <v>195</v>
      </c>
      <c r="K397" s="29" t="s">
        <v>385</v>
      </c>
      <c r="L397" s="250">
        <v>1</v>
      </c>
      <c r="M397" s="251"/>
    </row>
    <row r="398" ht="16.8" spans="1:13">
      <c r="A398" s="248" t="s">
        <v>4175</v>
      </c>
      <c r="B398" s="45" t="s">
        <v>4174</v>
      </c>
      <c r="C398" s="249" t="e">
        <f>VLOOKUP(D398,#REF!,2,0)</f>
        <v>#REF!</v>
      </c>
      <c r="D398" s="29" t="s">
        <v>1423</v>
      </c>
      <c r="E398" s="18" t="e">
        <f>VLOOKUP(C398,数据集标准分类!E:F,2,0)</f>
        <v>#REF!</v>
      </c>
      <c r="F398" s="29" t="e">
        <f>VLOOKUP(D398,数据集标准分类!G:H,2,0)</f>
        <v>#N/A</v>
      </c>
      <c r="G398" s="29" t="s">
        <v>396</v>
      </c>
      <c r="H398" s="29" t="s">
        <v>397</v>
      </c>
      <c r="I398" s="29" t="s">
        <v>398</v>
      </c>
      <c r="J398" s="29" t="s">
        <v>399</v>
      </c>
      <c r="K398" s="29" t="s">
        <v>1260</v>
      </c>
      <c r="L398" s="250">
        <v>2</v>
      </c>
      <c r="M398" s="251"/>
    </row>
    <row r="399" ht="24" customHeight="1" spans="1:13">
      <c r="A399" s="248" t="s">
        <v>4175</v>
      </c>
      <c r="B399" s="45" t="s">
        <v>4174</v>
      </c>
      <c r="C399" s="249" t="e">
        <f>VLOOKUP(D399,#REF!,2,0)</f>
        <v>#REF!</v>
      </c>
      <c r="D399" s="29" t="s">
        <v>1423</v>
      </c>
      <c r="E399" s="18" t="e">
        <f>VLOOKUP(C399,数据集标准分类!E:F,2,0)</f>
        <v>#REF!</v>
      </c>
      <c r="F399" s="29" t="e">
        <f>VLOOKUP(D399,数据集标准分类!G:H,2,0)</f>
        <v>#N/A</v>
      </c>
      <c r="G399" s="29" t="s">
        <v>1261</v>
      </c>
      <c r="H399" s="29" t="s">
        <v>1262</v>
      </c>
      <c r="I399" s="29" t="s">
        <v>1263</v>
      </c>
      <c r="J399" s="29" t="s">
        <v>1264</v>
      </c>
      <c r="K399" s="29" t="s">
        <v>1429</v>
      </c>
      <c r="L399" s="250">
        <v>3</v>
      </c>
      <c r="M399" s="251"/>
    </row>
    <row r="400" ht="46" spans="1:13">
      <c r="A400" s="248" t="s">
        <v>4175</v>
      </c>
      <c r="B400" s="45" t="s">
        <v>4174</v>
      </c>
      <c r="C400" s="249" t="e">
        <f>VLOOKUP(D400,#REF!,2,0)</f>
        <v>#REF!</v>
      </c>
      <c r="D400" s="29" t="s">
        <v>1423</v>
      </c>
      <c r="E400" s="18" t="e">
        <f>VLOOKUP(C400,数据集标准分类!E:F,2,0)</f>
        <v>#REF!</v>
      </c>
      <c r="F400" s="29" t="e">
        <f>VLOOKUP(D400,数据集标准分类!G:H,2,0)</f>
        <v>#N/A</v>
      </c>
      <c r="G400" s="29" t="s">
        <v>1430</v>
      </c>
      <c r="H400" s="29" t="s">
        <v>1431</v>
      </c>
      <c r="I400" s="29" t="s">
        <v>1432</v>
      </c>
      <c r="J400" s="29" t="s">
        <v>1433</v>
      </c>
      <c r="K400" s="29" t="s">
        <v>1434</v>
      </c>
      <c r="L400" s="250">
        <v>4</v>
      </c>
      <c r="M400" s="251"/>
    </row>
    <row r="401" ht="46" spans="1:13">
      <c r="A401" s="248" t="s">
        <v>4175</v>
      </c>
      <c r="B401" s="45" t="s">
        <v>4174</v>
      </c>
      <c r="C401" s="249" t="e">
        <f>VLOOKUP(D401,#REF!,2,0)</f>
        <v>#REF!</v>
      </c>
      <c r="D401" s="29" t="s">
        <v>1423</v>
      </c>
      <c r="E401" s="18" t="e">
        <f>VLOOKUP(C401,数据集标准分类!E:F,2,0)</f>
        <v>#REF!</v>
      </c>
      <c r="F401" s="29" t="e">
        <f>VLOOKUP(D401,数据集标准分类!G:H,2,0)</f>
        <v>#N/A</v>
      </c>
      <c r="G401" s="29" t="s">
        <v>421</v>
      </c>
      <c r="H401" s="29" t="s">
        <v>422</v>
      </c>
      <c r="I401" s="29" t="s">
        <v>423</v>
      </c>
      <c r="J401" s="29" t="s">
        <v>424</v>
      </c>
      <c r="K401" s="29" t="s">
        <v>425</v>
      </c>
      <c r="L401" s="250">
        <v>5</v>
      </c>
      <c r="M401" s="251"/>
    </row>
    <row r="402" ht="16.8" spans="1:13">
      <c r="A402" s="248" t="s">
        <v>4175</v>
      </c>
      <c r="B402" s="45" t="s">
        <v>4174</v>
      </c>
      <c r="C402" s="249" t="e">
        <f>VLOOKUP(D402,#REF!,2,0)</f>
        <v>#REF!</v>
      </c>
      <c r="D402" s="29" t="s">
        <v>1423</v>
      </c>
      <c r="E402" s="18" t="e">
        <f>VLOOKUP(C402,数据集标准分类!E:F,2,0)</f>
        <v>#REF!</v>
      </c>
      <c r="F402" s="29" t="e">
        <f>VLOOKUP(D402,数据集标准分类!G:H,2,0)</f>
        <v>#N/A</v>
      </c>
      <c r="G402" s="29" t="s">
        <v>1435</v>
      </c>
      <c r="H402" s="29" t="s">
        <v>1436</v>
      </c>
      <c r="I402" s="29" t="s">
        <v>1437</v>
      </c>
      <c r="J402" s="29" t="s">
        <v>1438</v>
      </c>
      <c r="K402" s="29" t="s">
        <v>1439</v>
      </c>
      <c r="L402" s="250">
        <v>6</v>
      </c>
      <c r="M402" s="251"/>
    </row>
    <row r="403" ht="31" spans="1:13">
      <c r="A403" s="248" t="s">
        <v>4175</v>
      </c>
      <c r="B403" s="45" t="s">
        <v>4174</v>
      </c>
      <c r="C403" s="249" t="e">
        <f>VLOOKUP(D403,#REF!,2,0)</f>
        <v>#REF!</v>
      </c>
      <c r="D403" s="29" t="s">
        <v>1423</v>
      </c>
      <c r="E403" s="18" t="e">
        <f>VLOOKUP(C403,数据集标准分类!E:F,2,0)</f>
        <v>#REF!</v>
      </c>
      <c r="F403" s="29" t="e">
        <f>VLOOKUP(D403,数据集标准分类!G:H,2,0)</f>
        <v>#N/A</v>
      </c>
      <c r="G403" s="29" t="s">
        <v>1440</v>
      </c>
      <c r="H403" s="29" t="s">
        <v>1441</v>
      </c>
      <c r="I403" s="29" t="s">
        <v>1442</v>
      </c>
      <c r="J403" s="29" t="s">
        <v>1443</v>
      </c>
      <c r="K403" s="29" t="s">
        <v>1444</v>
      </c>
      <c r="L403" s="250">
        <v>7</v>
      </c>
      <c r="M403" s="251"/>
    </row>
    <row r="404" ht="31" spans="1:13">
      <c r="A404" s="248" t="s">
        <v>4175</v>
      </c>
      <c r="B404" s="45" t="s">
        <v>4174</v>
      </c>
      <c r="C404" s="249" t="e">
        <f>VLOOKUP(D404,#REF!,2,0)</f>
        <v>#REF!</v>
      </c>
      <c r="D404" s="29" t="s">
        <v>1423</v>
      </c>
      <c r="E404" s="18" t="e">
        <f>VLOOKUP(C404,数据集标准分类!E:F,2,0)</f>
        <v>#REF!</v>
      </c>
      <c r="F404" s="29" t="e">
        <f>VLOOKUP(D404,数据集标准分类!G:H,2,0)</f>
        <v>#N/A</v>
      </c>
      <c r="G404" s="29" t="s">
        <v>172</v>
      </c>
      <c r="H404" s="29" t="s">
        <v>173</v>
      </c>
      <c r="I404" s="29" t="s">
        <v>174</v>
      </c>
      <c r="J404" s="29" t="s">
        <v>175</v>
      </c>
      <c r="K404" s="29" t="s">
        <v>1445</v>
      </c>
      <c r="L404" s="250">
        <v>8</v>
      </c>
      <c r="M404" s="251"/>
    </row>
    <row r="405" ht="16.8" spans="1:13">
      <c r="A405" s="248" t="s">
        <v>4175</v>
      </c>
      <c r="B405" s="45" t="s">
        <v>4174</v>
      </c>
      <c r="C405" s="249" t="e">
        <f>VLOOKUP(D405,#REF!,2,0)</f>
        <v>#REF!</v>
      </c>
      <c r="D405" s="29" t="s">
        <v>1423</v>
      </c>
      <c r="E405" s="18" t="e">
        <f>VLOOKUP(C405,数据集标准分类!E:F,2,0)</f>
        <v>#REF!</v>
      </c>
      <c r="F405" s="29" t="e">
        <f>VLOOKUP(D405,数据集标准分类!G:H,2,0)</f>
        <v>#N/A</v>
      </c>
      <c r="G405" s="29" t="s">
        <v>1063</v>
      </c>
      <c r="H405" s="29" t="s">
        <v>1064</v>
      </c>
      <c r="I405" s="29" t="s">
        <v>1065</v>
      </c>
      <c r="J405" s="29" t="s">
        <v>1066</v>
      </c>
      <c r="K405" s="29" t="s">
        <v>1067</v>
      </c>
      <c r="L405" s="250">
        <v>9</v>
      </c>
      <c r="M405" s="251"/>
    </row>
    <row r="406" ht="31" spans="1:13">
      <c r="A406" s="248" t="s">
        <v>4175</v>
      </c>
      <c r="B406" s="45" t="s">
        <v>4174</v>
      </c>
      <c r="C406" s="249" t="e">
        <f>VLOOKUP(D406,#REF!,2,0)</f>
        <v>#REF!</v>
      </c>
      <c r="D406" s="29" t="s">
        <v>1423</v>
      </c>
      <c r="E406" s="18" t="e">
        <f>VLOOKUP(C406,数据集标准分类!E:F,2,0)</f>
        <v>#REF!</v>
      </c>
      <c r="F406" s="29" t="e">
        <f>VLOOKUP(D406,数据集标准分类!G:H,2,0)</f>
        <v>#N/A</v>
      </c>
      <c r="G406" s="29" t="s">
        <v>1446</v>
      </c>
      <c r="H406" s="29" t="s">
        <v>1447</v>
      </c>
      <c r="I406" s="29" t="s">
        <v>1448</v>
      </c>
      <c r="J406" s="29" t="s">
        <v>1449</v>
      </c>
      <c r="K406" s="29" t="s">
        <v>1196</v>
      </c>
      <c r="L406" s="250">
        <v>10</v>
      </c>
      <c r="M406" s="251"/>
    </row>
    <row r="407" ht="31" spans="1:13">
      <c r="A407" s="248" t="s">
        <v>4175</v>
      </c>
      <c r="B407" s="45" t="s">
        <v>4174</v>
      </c>
      <c r="C407" s="249" t="e">
        <f>VLOOKUP(D407,#REF!,2,0)</f>
        <v>#REF!</v>
      </c>
      <c r="D407" s="29" t="s">
        <v>1450</v>
      </c>
      <c r="E407" s="18" t="e">
        <f>VLOOKUP(C407,数据集标准分类!E:F,2,0)</f>
        <v>#REF!</v>
      </c>
      <c r="F407" s="29" t="e">
        <f>VLOOKUP(D407,数据集标准分类!G:H,2,0)</f>
        <v>#N/A</v>
      </c>
      <c r="G407" s="29" t="s">
        <v>508</v>
      </c>
      <c r="H407" s="29" t="s">
        <v>509</v>
      </c>
      <c r="I407" s="29" t="s">
        <v>510</v>
      </c>
      <c r="J407" s="29" t="s">
        <v>511</v>
      </c>
      <c r="K407" s="29" t="s">
        <v>116</v>
      </c>
      <c r="L407" s="250">
        <v>1</v>
      </c>
      <c r="M407" s="251"/>
    </row>
    <row r="408" ht="31" spans="1:13">
      <c r="A408" s="248" t="s">
        <v>4175</v>
      </c>
      <c r="B408" s="45" t="s">
        <v>4174</v>
      </c>
      <c r="C408" s="249" t="e">
        <f>VLOOKUP(D408,#REF!,2,0)</f>
        <v>#REF!</v>
      </c>
      <c r="D408" s="29" t="s">
        <v>1450</v>
      </c>
      <c r="E408" s="18" t="e">
        <f>VLOOKUP(C408,数据集标准分类!E:F,2,0)</f>
        <v>#REF!</v>
      </c>
      <c r="F408" s="29" t="e">
        <f>VLOOKUP(D408,数据集标准分类!G:H,2,0)</f>
        <v>#N/A</v>
      </c>
      <c r="G408" s="29" t="s">
        <v>87</v>
      </c>
      <c r="H408" s="29" t="s">
        <v>88</v>
      </c>
      <c r="I408" s="29" t="s">
        <v>89</v>
      </c>
      <c r="J408" s="29" t="s">
        <v>90</v>
      </c>
      <c r="K408" s="29" t="s">
        <v>91</v>
      </c>
      <c r="L408" s="250">
        <v>2</v>
      </c>
      <c r="M408" s="251"/>
    </row>
    <row r="409" ht="31" spans="1:13">
      <c r="A409" s="248" t="s">
        <v>4175</v>
      </c>
      <c r="B409" s="45" t="s">
        <v>4174</v>
      </c>
      <c r="C409" s="249" t="e">
        <f>VLOOKUP(D409,#REF!,2,0)</f>
        <v>#REF!</v>
      </c>
      <c r="D409" s="29" t="s">
        <v>1450</v>
      </c>
      <c r="E409" s="18" t="e">
        <f>VLOOKUP(C409,数据集标准分类!E:F,2,0)</f>
        <v>#REF!</v>
      </c>
      <c r="F409" s="29" t="e">
        <f>VLOOKUP(D409,数据集标准分类!G:H,2,0)</f>
        <v>#N/A</v>
      </c>
      <c r="G409" s="29" t="s">
        <v>97</v>
      </c>
      <c r="H409" s="29" t="s">
        <v>98</v>
      </c>
      <c r="I409" s="29" t="s">
        <v>99</v>
      </c>
      <c r="J409" s="29" t="s">
        <v>100</v>
      </c>
      <c r="K409" s="29" t="s">
        <v>106</v>
      </c>
      <c r="L409" s="250">
        <v>3</v>
      </c>
      <c r="M409" s="251"/>
    </row>
    <row r="410" ht="31" spans="1:13">
      <c r="A410" s="248" t="s">
        <v>4175</v>
      </c>
      <c r="B410" s="45" t="s">
        <v>4174</v>
      </c>
      <c r="C410" s="249" t="e">
        <f>VLOOKUP(D410,#REF!,2,0)</f>
        <v>#REF!</v>
      </c>
      <c r="D410" s="29" t="s">
        <v>1450</v>
      </c>
      <c r="E410" s="18" t="e">
        <f>VLOOKUP(C410,数据集标准分类!E:F,2,0)</f>
        <v>#REF!</v>
      </c>
      <c r="F410" s="29" t="e">
        <f>VLOOKUP(D410,数据集标准分类!G:H,2,0)</f>
        <v>#N/A</v>
      </c>
      <c r="G410" s="29" t="s">
        <v>1451</v>
      </c>
      <c r="H410" s="29" t="s">
        <v>1452</v>
      </c>
      <c r="I410" s="29" t="s">
        <v>1453</v>
      </c>
      <c r="J410" s="29" t="s">
        <v>1454</v>
      </c>
      <c r="K410" s="29" t="s">
        <v>1455</v>
      </c>
      <c r="L410" s="250">
        <v>4</v>
      </c>
      <c r="M410" s="251"/>
    </row>
    <row r="411" ht="16.8" spans="1:13">
      <c r="A411" s="248" t="s">
        <v>4175</v>
      </c>
      <c r="B411" s="45" t="s">
        <v>4174</v>
      </c>
      <c r="C411" s="249" t="e">
        <f>VLOOKUP(D411,#REF!,2,0)</f>
        <v>#REF!</v>
      </c>
      <c r="D411" s="29" t="s">
        <v>1450</v>
      </c>
      <c r="E411" s="18" t="e">
        <f>VLOOKUP(C411,数据集标准分类!E:F,2,0)</f>
        <v>#REF!</v>
      </c>
      <c r="F411" s="29" t="e">
        <f>VLOOKUP(D411,数据集标准分类!G:H,2,0)</f>
        <v>#N/A</v>
      </c>
      <c r="G411" s="29" t="s">
        <v>1456</v>
      </c>
      <c r="H411" s="29" t="s">
        <v>1457</v>
      </c>
      <c r="I411" s="29" t="s">
        <v>1458</v>
      </c>
      <c r="J411" s="29" t="s">
        <v>1459</v>
      </c>
      <c r="K411" s="29" t="s">
        <v>1460</v>
      </c>
      <c r="L411" s="250">
        <v>5</v>
      </c>
      <c r="M411" s="251"/>
    </row>
    <row r="412" ht="16.8" spans="1:13">
      <c r="A412" s="248" t="s">
        <v>4175</v>
      </c>
      <c r="B412" s="45" t="s">
        <v>4174</v>
      </c>
      <c r="C412" s="249" t="e">
        <f>VLOOKUP(D412,#REF!,2,0)</f>
        <v>#REF!</v>
      </c>
      <c r="D412" s="29" t="s">
        <v>1450</v>
      </c>
      <c r="E412" s="18" t="e">
        <f>VLOOKUP(C412,数据集标准分类!E:F,2,0)</f>
        <v>#REF!</v>
      </c>
      <c r="F412" s="29" t="e">
        <f>VLOOKUP(D412,数据集标准分类!G:H,2,0)</f>
        <v>#N/A</v>
      </c>
      <c r="G412" s="29" t="s">
        <v>1133</v>
      </c>
      <c r="H412" s="29" t="s">
        <v>1134</v>
      </c>
      <c r="I412" s="29" t="s">
        <v>1135</v>
      </c>
      <c r="J412" s="29" t="s">
        <v>1136</v>
      </c>
      <c r="K412" s="29" t="s">
        <v>1461</v>
      </c>
      <c r="L412" s="250">
        <v>6</v>
      </c>
      <c r="M412" s="251"/>
    </row>
    <row r="413" ht="46" spans="1:13">
      <c r="A413" s="248" t="s">
        <v>4175</v>
      </c>
      <c r="B413" s="45" t="s">
        <v>4174</v>
      </c>
      <c r="C413" s="249" t="e">
        <f>VLOOKUP(D413,#REF!,2,0)</f>
        <v>#REF!</v>
      </c>
      <c r="D413" s="29" t="s">
        <v>1450</v>
      </c>
      <c r="E413" s="18" t="e">
        <f>VLOOKUP(C413,数据集标准分类!E:F,2,0)</f>
        <v>#REF!</v>
      </c>
      <c r="F413" s="29" t="e">
        <f>VLOOKUP(D413,数据集标准分类!G:H,2,0)</f>
        <v>#N/A</v>
      </c>
      <c r="G413" s="29" t="s">
        <v>245</v>
      </c>
      <c r="H413" s="29" t="s">
        <v>246</v>
      </c>
      <c r="I413" s="29" t="s">
        <v>247</v>
      </c>
      <c r="J413" s="29" t="s">
        <v>248</v>
      </c>
      <c r="K413" s="29" t="s">
        <v>1462</v>
      </c>
      <c r="L413" s="250">
        <v>7</v>
      </c>
      <c r="M413" s="251"/>
    </row>
    <row r="414" ht="31" spans="1:13">
      <c r="A414" s="248" t="s">
        <v>4175</v>
      </c>
      <c r="B414" s="45" t="s">
        <v>4174</v>
      </c>
      <c r="C414" s="249" t="e">
        <f>VLOOKUP(D414,#REF!,2,0)</f>
        <v>#REF!</v>
      </c>
      <c r="D414" s="29" t="s">
        <v>1450</v>
      </c>
      <c r="E414" s="18" t="e">
        <f>VLOOKUP(C414,数据集标准分类!E:F,2,0)</f>
        <v>#REF!</v>
      </c>
      <c r="F414" s="29" t="e">
        <f>VLOOKUP(D414,数据集标准分类!G:H,2,0)</f>
        <v>#N/A</v>
      </c>
      <c r="G414" s="29" t="s">
        <v>172</v>
      </c>
      <c r="H414" s="29" t="s">
        <v>173</v>
      </c>
      <c r="I414" s="29" t="s">
        <v>174</v>
      </c>
      <c r="J414" s="29" t="s">
        <v>175</v>
      </c>
      <c r="K414" s="29" t="s">
        <v>1245</v>
      </c>
      <c r="L414" s="250">
        <v>8</v>
      </c>
      <c r="M414" s="251"/>
    </row>
    <row r="415" ht="46" spans="1:13">
      <c r="A415" s="248" t="s">
        <v>4175</v>
      </c>
      <c r="B415" s="45" t="s">
        <v>4174</v>
      </c>
      <c r="C415" s="249" t="e">
        <f>VLOOKUP(D415,#REF!,2,0)</f>
        <v>#REF!</v>
      </c>
      <c r="D415" s="29" t="s">
        <v>1450</v>
      </c>
      <c r="E415" s="18" t="e">
        <f>VLOOKUP(C415,数据集标准分类!E:F,2,0)</f>
        <v>#REF!</v>
      </c>
      <c r="F415" s="29" t="e">
        <f>VLOOKUP(D415,数据集标准分类!G:H,2,0)</f>
        <v>#N/A</v>
      </c>
      <c r="G415" s="29" t="s">
        <v>1463</v>
      </c>
      <c r="H415" s="29" t="s">
        <v>1464</v>
      </c>
      <c r="I415" s="29" t="s">
        <v>1465</v>
      </c>
      <c r="J415" s="29" t="s">
        <v>1466</v>
      </c>
      <c r="K415" s="29" t="s">
        <v>1467</v>
      </c>
      <c r="L415" s="250">
        <v>9</v>
      </c>
      <c r="M415" s="251"/>
    </row>
    <row r="416" ht="16.8" spans="1:13">
      <c r="A416" s="248" t="s">
        <v>4175</v>
      </c>
      <c r="B416" s="45" t="s">
        <v>4174</v>
      </c>
      <c r="C416" s="249" t="e">
        <f>VLOOKUP(D416,#REF!,2,0)</f>
        <v>#REF!</v>
      </c>
      <c r="D416" s="29" t="s">
        <v>1450</v>
      </c>
      <c r="E416" s="18" t="e">
        <f>VLOOKUP(C416,数据集标准分类!E:F,2,0)</f>
        <v>#REF!</v>
      </c>
      <c r="F416" s="29" t="e">
        <f>VLOOKUP(D416,数据集标准分类!G:H,2,0)</f>
        <v>#N/A</v>
      </c>
      <c r="G416" s="29" t="s">
        <v>934</v>
      </c>
      <c r="H416" s="29" t="s">
        <v>935</v>
      </c>
      <c r="I416" s="29" t="s">
        <v>936</v>
      </c>
      <c r="J416" s="29" t="s">
        <v>937</v>
      </c>
      <c r="K416" s="29" t="s">
        <v>1468</v>
      </c>
      <c r="L416" s="250">
        <v>10</v>
      </c>
      <c r="M416" s="251"/>
    </row>
    <row r="417" ht="46" spans="1:13">
      <c r="A417" s="248" t="s">
        <v>4175</v>
      </c>
      <c r="B417" s="45" t="s">
        <v>4174</v>
      </c>
      <c r="C417" s="249" t="e">
        <f>VLOOKUP(D417,#REF!,2,0)</f>
        <v>#REF!</v>
      </c>
      <c r="D417" s="29" t="s">
        <v>1450</v>
      </c>
      <c r="E417" s="18" t="e">
        <f>VLOOKUP(C417,数据集标准分类!E:F,2,0)</f>
        <v>#REF!</v>
      </c>
      <c r="F417" s="29" t="e">
        <f>VLOOKUP(D417,数据集标准分类!G:H,2,0)</f>
        <v>#N/A</v>
      </c>
      <c r="G417" s="29" t="s">
        <v>1469</v>
      </c>
      <c r="H417" s="29" t="s">
        <v>1470</v>
      </c>
      <c r="I417" s="29" t="s">
        <v>1471</v>
      </c>
      <c r="J417" s="29" t="s">
        <v>1472</v>
      </c>
      <c r="K417" s="29" t="s">
        <v>1473</v>
      </c>
      <c r="L417" s="250">
        <v>11</v>
      </c>
      <c r="M417" s="251"/>
    </row>
    <row r="418" ht="31" spans="1:13">
      <c r="A418" s="248" t="s">
        <v>4175</v>
      </c>
      <c r="B418" s="45" t="s">
        <v>4174</v>
      </c>
      <c r="C418" s="249" t="e">
        <f>VLOOKUP(D418,#REF!,2,0)</f>
        <v>#REF!</v>
      </c>
      <c r="D418" s="29" t="s">
        <v>1450</v>
      </c>
      <c r="E418" s="18" t="e">
        <f>VLOOKUP(C418,数据集标准分类!E:F,2,0)</f>
        <v>#REF!</v>
      </c>
      <c r="F418" s="29" t="e">
        <f>VLOOKUP(D418,数据集标准分类!G:H,2,0)</f>
        <v>#N/A</v>
      </c>
      <c r="G418" s="29" t="s">
        <v>779</v>
      </c>
      <c r="H418" s="29" t="s">
        <v>780</v>
      </c>
      <c r="I418" s="29" t="s">
        <v>781</v>
      </c>
      <c r="J418" s="29" t="s">
        <v>782</v>
      </c>
      <c r="K418" s="29" t="s">
        <v>783</v>
      </c>
      <c r="L418" s="250">
        <v>12</v>
      </c>
      <c r="M418" s="251"/>
    </row>
    <row r="419" ht="46" spans="1:13">
      <c r="A419" s="248" t="s">
        <v>4175</v>
      </c>
      <c r="B419" s="45" t="s">
        <v>4174</v>
      </c>
      <c r="C419" s="249" t="e">
        <f>VLOOKUP(D419,#REF!,2,0)</f>
        <v>#REF!</v>
      </c>
      <c r="D419" s="29" t="s">
        <v>1450</v>
      </c>
      <c r="E419" s="18" t="e">
        <f>VLOOKUP(C419,数据集标准分类!E:F,2,0)</f>
        <v>#REF!</v>
      </c>
      <c r="F419" s="29" t="e">
        <f>VLOOKUP(D419,数据集标准分类!G:H,2,0)</f>
        <v>#N/A</v>
      </c>
      <c r="G419" s="29" t="s">
        <v>192</v>
      </c>
      <c r="H419" s="29" t="s">
        <v>193</v>
      </c>
      <c r="I419" s="29" t="s">
        <v>194</v>
      </c>
      <c r="J419" s="29" t="s">
        <v>195</v>
      </c>
      <c r="K419" s="29" t="s">
        <v>385</v>
      </c>
      <c r="L419" s="250">
        <v>13</v>
      </c>
      <c r="M419" s="251"/>
    </row>
    <row r="420" ht="46" spans="1:13">
      <c r="A420" s="248" t="s">
        <v>4175</v>
      </c>
      <c r="B420" s="45" t="s">
        <v>4174</v>
      </c>
      <c r="C420" s="249" t="e">
        <f>VLOOKUP(D420,#REF!,2,0)</f>
        <v>#REF!</v>
      </c>
      <c r="D420" s="29" t="s">
        <v>1450</v>
      </c>
      <c r="E420" s="18" t="e">
        <f>VLOOKUP(C420,数据集标准分类!E:F,2,0)</f>
        <v>#REF!</v>
      </c>
      <c r="F420" s="29" t="e">
        <f>VLOOKUP(D420,数据集标准分类!G:H,2,0)</f>
        <v>#N/A</v>
      </c>
      <c r="G420" s="29" t="s">
        <v>1474</v>
      </c>
      <c r="H420" s="29" t="s">
        <v>1475</v>
      </c>
      <c r="I420" s="29" t="s">
        <v>1476</v>
      </c>
      <c r="J420" s="29" t="s">
        <v>1477</v>
      </c>
      <c r="K420" s="29" t="s">
        <v>1478</v>
      </c>
      <c r="L420" s="250">
        <v>14</v>
      </c>
      <c r="M420" s="251"/>
    </row>
    <row r="421" ht="46" spans="1:13">
      <c r="A421" s="248" t="s">
        <v>4175</v>
      </c>
      <c r="B421" s="45" t="s">
        <v>4174</v>
      </c>
      <c r="C421" s="249" t="e">
        <f>VLOOKUP(D421,#REF!,2,0)</f>
        <v>#REF!</v>
      </c>
      <c r="D421" s="29" t="s">
        <v>1450</v>
      </c>
      <c r="E421" s="18" t="e">
        <f>VLOOKUP(C421,数据集标准分类!E:F,2,0)</f>
        <v>#REF!</v>
      </c>
      <c r="F421" s="29" t="e">
        <f>VLOOKUP(D421,数据集标准分类!G:H,2,0)</f>
        <v>#N/A</v>
      </c>
      <c r="G421" s="29" t="s">
        <v>1234</v>
      </c>
      <c r="H421" s="29" t="s">
        <v>1235</v>
      </c>
      <c r="I421" s="29" t="s">
        <v>1236</v>
      </c>
      <c r="J421" s="29" t="s">
        <v>1237</v>
      </c>
      <c r="K421" s="29" t="s">
        <v>1479</v>
      </c>
      <c r="L421" s="250">
        <v>15</v>
      </c>
      <c r="M421" s="251"/>
    </row>
    <row r="422" ht="31" spans="1:13">
      <c r="A422" s="248" t="s">
        <v>4175</v>
      </c>
      <c r="B422" s="45" t="s">
        <v>4174</v>
      </c>
      <c r="C422" s="249" t="e">
        <f>VLOOKUP(D422,#REF!,2,0)</f>
        <v>#REF!</v>
      </c>
      <c r="D422" s="29" t="s">
        <v>1450</v>
      </c>
      <c r="E422" s="18" t="e">
        <f>VLOOKUP(C422,数据集标准分类!E:F,2,0)</f>
        <v>#REF!</v>
      </c>
      <c r="F422" s="29" t="e">
        <f>VLOOKUP(D422,数据集标准分类!G:H,2,0)</f>
        <v>#N/A</v>
      </c>
      <c r="G422" s="29" t="s">
        <v>1480</v>
      </c>
      <c r="H422" s="29" t="s">
        <v>1481</v>
      </c>
      <c r="I422" s="29" t="s">
        <v>1482</v>
      </c>
      <c r="J422" s="29" t="s">
        <v>1483</v>
      </c>
      <c r="K422" s="29" t="s">
        <v>1484</v>
      </c>
      <c r="L422" s="250">
        <v>16</v>
      </c>
      <c r="M422" s="251"/>
    </row>
    <row r="423" ht="46" spans="1:13">
      <c r="A423" s="248" t="s">
        <v>4175</v>
      </c>
      <c r="B423" s="45" t="s">
        <v>4174</v>
      </c>
      <c r="C423" s="249" t="e">
        <f>VLOOKUP(D423,#REF!,2,0)</f>
        <v>#REF!</v>
      </c>
      <c r="D423" s="29" t="s">
        <v>1450</v>
      </c>
      <c r="E423" s="18" t="e">
        <f>VLOOKUP(C423,数据集标准分类!E:F,2,0)</f>
        <v>#REF!</v>
      </c>
      <c r="F423" s="29" t="e">
        <f>VLOOKUP(D423,数据集标准分类!G:H,2,0)</f>
        <v>#N/A</v>
      </c>
      <c r="G423" s="29" t="s">
        <v>1485</v>
      </c>
      <c r="H423" s="29" t="s">
        <v>1486</v>
      </c>
      <c r="I423" s="29" t="s">
        <v>1487</v>
      </c>
      <c r="J423" s="29" t="s">
        <v>1488</v>
      </c>
      <c r="K423" s="29" t="s">
        <v>1489</v>
      </c>
      <c r="L423" s="250">
        <v>17</v>
      </c>
      <c r="M423" s="251"/>
    </row>
    <row r="424" ht="31" spans="1:13">
      <c r="A424" s="248" t="s">
        <v>4175</v>
      </c>
      <c r="B424" s="45" t="s">
        <v>4174</v>
      </c>
      <c r="C424" s="249" t="e">
        <f>VLOOKUP(D424,#REF!,2,0)</f>
        <v>#REF!</v>
      </c>
      <c r="D424" s="29" t="s">
        <v>1450</v>
      </c>
      <c r="E424" s="18" t="e">
        <f>VLOOKUP(C424,数据集标准分类!E:F,2,0)</f>
        <v>#REF!</v>
      </c>
      <c r="F424" s="29" t="e">
        <f>VLOOKUP(D424,数据集标准分类!G:H,2,0)</f>
        <v>#N/A</v>
      </c>
      <c r="G424" s="29" t="s">
        <v>1490</v>
      </c>
      <c r="H424" s="29" t="s">
        <v>1491</v>
      </c>
      <c r="I424" s="29" t="s">
        <v>1492</v>
      </c>
      <c r="J424" s="29" t="s">
        <v>1493</v>
      </c>
      <c r="K424" s="29" t="s">
        <v>1494</v>
      </c>
      <c r="L424" s="250">
        <v>18</v>
      </c>
      <c r="M424" s="251"/>
    </row>
    <row r="425" ht="16.8" spans="1:13">
      <c r="A425" s="248" t="s">
        <v>4175</v>
      </c>
      <c r="B425" s="45" t="s">
        <v>4174</v>
      </c>
      <c r="C425" s="249" t="e">
        <f>VLOOKUP(D425,#REF!,2,0)</f>
        <v>#REF!</v>
      </c>
      <c r="D425" s="29" t="s">
        <v>1508</v>
      </c>
      <c r="E425" s="18" t="e">
        <f>VLOOKUP(C425,数据集标准分类!E:F,2,0)</f>
        <v>#REF!</v>
      </c>
      <c r="F425" s="29" t="e">
        <f>VLOOKUP(D425,数据集标准分类!G:H,2,0)</f>
        <v>#N/A</v>
      </c>
      <c r="G425" s="29" t="s">
        <v>1509</v>
      </c>
      <c r="H425" s="29" t="s">
        <v>1510</v>
      </c>
      <c r="I425" s="29" t="s">
        <v>1511</v>
      </c>
      <c r="J425" s="29" t="s">
        <v>1512</v>
      </c>
      <c r="K425" s="29" t="s">
        <v>1513</v>
      </c>
      <c r="L425" s="250">
        <v>1</v>
      </c>
      <c r="M425" s="251"/>
    </row>
    <row r="426" ht="31" spans="1:13">
      <c r="A426" s="248" t="s">
        <v>4175</v>
      </c>
      <c r="B426" s="45" t="s">
        <v>4174</v>
      </c>
      <c r="C426" s="249" t="e">
        <f>VLOOKUP(D426,#REF!,2,0)</f>
        <v>#REF!</v>
      </c>
      <c r="D426" s="29" t="s">
        <v>1508</v>
      </c>
      <c r="E426" s="18" t="e">
        <f>VLOOKUP(C426,数据集标准分类!E:F,2,0)</f>
        <v>#REF!</v>
      </c>
      <c r="F426" s="29" t="e">
        <f>VLOOKUP(D426,数据集标准分类!G:H,2,0)</f>
        <v>#N/A</v>
      </c>
      <c r="G426" s="29" t="s">
        <v>779</v>
      </c>
      <c r="H426" s="29" t="s">
        <v>780</v>
      </c>
      <c r="I426" s="29" t="s">
        <v>781</v>
      </c>
      <c r="J426" s="29" t="s">
        <v>782</v>
      </c>
      <c r="K426" s="29" t="s">
        <v>783</v>
      </c>
      <c r="L426" s="250">
        <v>2</v>
      </c>
      <c r="M426" s="251"/>
    </row>
    <row r="427" ht="46" spans="1:13">
      <c r="A427" s="248" t="s">
        <v>4175</v>
      </c>
      <c r="B427" s="45" t="s">
        <v>4174</v>
      </c>
      <c r="C427" s="249" t="e">
        <f>VLOOKUP(D427,#REF!,2,0)</f>
        <v>#REF!</v>
      </c>
      <c r="D427" s="29" t="s">
        <v>1508</v>
      </c>
      <c r="E427" s="18" t="e">
        <f>VLOOKUP(C427,数据集标准分类!E:F,2,0)</f>
        <v>#REF!</v>
      </c>
      <c r="F427" s="29" t="e">
        <f>VLOOKUP(D427,数据集标准分类!G:H,2,0)</f>
        <v>#N/A</v>
      </c>
      <c r="G427" s="29" t="s">
        <v>784</v>
      </c>
      <c r="H427" s="29" t="s">
        <v>785</v>
      </c>
      <c r="I427" s="29" t="s">
        <v>786</v>
      </c>
      <c r="J427" s="29" t="s">
        <v>787</v>
      </c>
      <c r="K427" s="29" t="s">
        <v>788</v>
      </c>
      <c r="L427" s="250">
        <v>3</v>
      </c>
      <c r="M427" s="251"/>
    </row>
    <row r="428" ht="31" spans="1:13">
      <c r="A428" s="248" t="s">
        <v>4175</v>
      </c>
      <c r="B428" s="45" t="s">
        <v>4174</v>
      </c>
      <c r="C428" s="249" t="e">
        <f>VLOOKUP(D428,#REF!,2,0)</f>
        <v>#REF!</v>
      </c>
      <c r="D428" s="29" t="s">
        <v>1508</v>
      </c>
      <c r="E428" s="18" t="e">
        <f>VLOOKUP(C428,数据集标准分类!E:F,2,0)</f>
        <v>#REF!</v>
      </c>
      <c r="F428" s="29" t="e">
        <f>VLOOKUP(D428,数据集标准分类!G:H,2,0)</f>
        <v>#N/A</v>
      </c>
      <c r="G428" s="29" t="s">
        <v>1240</v>
      </c>
      <c r="H428" s="29" t="s">
        <v>1241</v>
      </c>
      <c r="I428" s="29" t="s">
        <v>1242</v>
      </c>
      <c r="J428" s="29" t="s">
        <v>1243</v>
      </c>
      <c r="K428" s="29" t="s">
        <v>1244</v>
      </c>
      <c r="L428" s="250">
        <v>4</v>
      </c>
      <c r="M428" s="251"/>
    </row>
    <row r="429" ht="31" spans="1:13">
      <c r="A429" s="248" t="s">
        <v>4175</v>
      </c>
      <c r="B429" s="45" t="s">
        <v>4174</v>
      </c>
      <c r="C429" s="249" t="e">
        <f>VLOOKUP(D429,#REF!,2,0)</f>
        <v>#REF!</v>
      </c>
      <c r="D429" s="29" t="s">
        <v>1508</v>
      </c>
      <c r="E429" s="18" t="e">
        <f>VLOOKUP(C429,数据集标准分类!E:F,2,0)</f>
        <v>#REF!</v>
      </c>
      <c r="F429" s="29" t="e">
        <f>VLOOKUP(D429,数据集标准分类!G:H,2,0)</f>
        <v>#N/A</v>
      </c>
      <c r="G429" s="29" t="s">
        <v>172</v>
      </c>
      <c r="H429" s="29" t="s">
        <v>173</v>
      </c>
      <c r="I429" s="29" t="s">
        <v>174</v>
      </c>
      <c r="J429" s="29" t="s">
        <v>175</v>
      </c>
      <c r="K429" s="29" t="s">
        <v>176</v>
      </c>
      <c r="L429" s="250">
        <v>5</v>
      </c>
      <c r="M429" s="251"/>
    </row>
    <row r="430" ht="16.8" spans="1:13">
      <c r="A430" s="248" t="s">
        <v>4175</v>
      </c>
      <c r="B430" s="45" t="s">
        <v>4174</v>
      </c>
      <c r="C430" s="249" t="e">
        <f>VLOOKUP(D430,#REF!,2,0)</f>
        <v>#REF!</v>
      </c>
      <c r="D430" s="29" t="s">
        <v>1508</v>
      </c>
      <c r="E430" s="18" t="e">
        <f>VLOOKUP(C430,数据集标准分类!E:F,2,0)</f>
        <v>#REF!</v>
      </c>
      <c r="F430" s="29" t="e">
        <f>VLOOKUP(D430,数据集标准分类!G:H,2,0)</f>
        <v>#N/A</v>
      </c>
      <c r="G430" s="29" t="s">
        <v>1514</v>
      </c>
      <c r="H430" s="29" t="s">
        <v>1515</v>
      </c>
      <c r="I430" s="29" t="s">
        <v>1516</v>
      </c>
      <c r="J430" s="29" t="s">
        <v>1517</v>
      </c>
      <c r="K430" s="29" t="s">
        <v>1518</v>
      </c>
      <c r="L430" s="250">
        <v>6</v>
      </c>
      <c r="M430" s="251"/>
    </row>
    <row r="431" ht="31" spans="1:13">
      <c r="A431" s="248" t="s">
        <v>4175</v>
      </c>
      <c r="B431" s="45" t="s">
        <v>4174</v>
      </c>
      <c r="C431" s="249" t="e">
        <f>VLOOKUP(D431,#REF!,2,0)</f>
        <v>#REF!</v>
      </c>
      <c r="D431" s="29" t="s">
        <v>1508</v>
      </c>
      <c r="E431" s="18" t="e">
        <f>VLOOKUP(C431,数据集标准分类!E:F,2,0)</f>
        <v>#REF!</v>
      </c>
      <c r="F431" s="29" t="e">
        <f>VLOOKUP(D431,数据集标准分类!G:H,2,0)</f>
        <v>#N/A</v>
      </c>
      <c r="G431" s="29" t="s">
        <v>177</v>
      </c>
      <c r="H431" s="29" t="s">
        <v>178</v>
      </c>
      <c r="I431" s="29" t="s">
        <v>179</v>
      </c>
      <c r="J431" s="29" t="s">
        <v>180</v>
      </c>
      <c r="K431" s="29" t="s">
        <v>181</v>
      </c>
      <c r="L431" s="250">
        <v>7</v>
      </c>
      <c r="M431" s="251"/>
    </row>
    <row r="432" ht="24" customHeight="1" spans="1:13">
      <c r="A432" s="248" t="s">
        <v>4175</v>
      </c>
      <c r="B432" s="45" t="s">
        <v>4174</v>
      </c>
      <c r="C432" s="249" t="e">
        <f>VLOOKUP(D432,#REF!,2,0)</f>
        <v>#REF!</v>
      </c>
      <c r="D432" s="29" t="s">
        <v>1508</v>
      </c>
      <c r="E432" s="18" t="e">
        <f>VLOOKUP(C432,数据集标准分类!E:F,2,0)</f>
        <v>#REF!</v>
      </c>
      <c r="F432" s="29" t="e">
        <f>VLOOKUP(D432,数据集标准分类!G:H,2,0)</f>
        <v>#N/A</v>
      </c>
      <c r="G432" s="29" t="s">
        <v>1519</v>
      </c>
      <c r="H432" s="29" t="s">
        <v>1520</v>
      </c>
      <c r="I432" s="29" t="s">
        <v>1521</v>
      </c>
      <c r="J432" s="29" t="s">
        <v>1522</v>
      </c>
      <c r="K432" s="29" t="s">
        <v>1523</v>
      </c>
      <c r="L432" s="250">
        <v>8</v>
      </c>
      <c r="M432" s="251"/>
    </row>
    <row r="433" ht="31" spans="1:13">
      <c r="A433" s="248" t="s">
        <v>4175</v>
      </c>
      <c r="B433" s="45" t="s">
        <v>4174</v>
      </c>
      <c r="C433" s="249" t="e">
        <f>VLOOKUP(D433,#REF!,2,0)</f>
        <v>#REF!</v>
      </c>
      <c r="D433" s="29" t="s">
        <v>1508</v>
      </c>
      <c r="E433" s="18" t="e">
        <f>VLOOKUP(C433,数据集标准分类!E:F,2,0)</f>
        <v>#REF!</v>
      </c>
      <c r="F433" s="29" t="e">
        <f>VLOOKUP(D433,数据集标准分类!G:H,2,0)</f>
        <v>#N/A</v>
      </c>
      <c r="G433" s="29" t="s">
        <v>182</v>
      </c>
      <c r="H433" s="29" t="s">
        <v>183</v>
      </c>
      <c r="I433" s="29" t="s">
        <v>184</v>
      </c>
      <c r="J433" s="29" t="s">
        <v>185</v>
      </c>
      <c r="K433" s="29" t="s">
        <v>186</v>
      </c>
      <c r="L433" s="250">
        <v>9</v>
      </c>
      <c r="M433" s="251"/>
    </row>
    <row r="434" ht="31" spans="1:13">
      <c r="A434" s="248" t="s">
        <v>4175</v>
      </c>
      <c r="B434" s="45" t="s">
        <v>4174</v>
      </c>
      <c r="C434" s="249" t="e">
        <f>VLOOKUP(D434,#REF!,2,0)</f>
        <v>#REF!</v>
      </c>
      <c r="D434" s="29" t="s">
        <v>1508</v>
      </c>
      <c r="E434" s="18" t="e">
        <f>VLOOKUP(C434,数据集标准分类!E:F,2,0)</f>
        <v>#REF!</v>
      </c>
      <c r="F434" s="29" t="e">
        <f>VLOOKUP(D434,数据集标准分类!G:H,2,0)</f>
        <v>#N/A</v>
      </c>
      <c r="G434" s="29" t="s">
        <v>789</v>
      </c>
      <c r="H434" s="29" t="s">
        <v>790</v>
      </c>
      <c r="I434" s="29" t="s">
        <v>790</v>
      </c>
      <c r="J434" s="29" t="s">
        <v>791</v>
      </c>
      <c r="K434" s="29" t="s">
        <v>792</v>
      </c>
      <c r="L434" s="250">
        <v>10</v>
      </c>
      <c r="M434" s="251"/>
    </row>
    <row r="435" ht="16.8" spans="1:13">
      <c r="A435" s="248" t="s">
        <v>4175</v>
      </c>
      <c r="B435" s="45" t="s">
        <v>4174</v>
      </c>
      <c r="C435" s="249" t="e">
        <f>VLOOKUP(D435,#REF!,2,0)</f>
        <v>#REF!</v>
      </c>
      <c r="D435" s="29" t="s">
        <v>1508</v>
      </c>
      <c r="E435" s="18" t="e">
        <f>VLOOKUP(C435,数据集标准分类!E:F,2,0)</f>
        <v>#REF!</v>
      </c>
      <c r="F435" s="29" t="e">
        <f>VLOOKUP(D435,数据集标准分类!G:H,2,0)</f>
        <v>#N/A</v>
      </c>
      <c r="G435" s="64" t="s">
        <v>1524</v>
      </c>
      <c r="H435" s="29" t="s">
        <v>1525</v>
      </c>
      <c r="I435" s="29" t="s">
        <v>1526</v>
      </c>
      <c r="J435" s="29" t="s">
        <v>1527</v>
      </c>
      <c r="K435" s="29" t="s">
        <v>1528</v>
      </c>
      <c r="L435" s="250">
        <v>11</v>
      </c>
      <c r="M435" s="251"/>
    </row>
    <row r="436" ht="16.8" spans="1:13">
      <c r="A436" s="248" t="s">
        <v>4175</v>
      </c>
      <c r="B436" s="45" t="s">
        <v>4174</v>
      </c>
      <c r="C436" s="249" t="e">
        <f>VLOOKUP(D436,#REF!,2,0)</f>
        <v>#REF!</v>
      </c>
      <c r="D436" s="29" t="s">
        <v>1508</v>
      </c>
      <c r="E436" s="18" t="e">
        <f>VLOOKUP(C436,数据集标准分类!E:F,2,0)</f>
        <v>#REF!</v>
      </c>
      <c r="F436" s="29" t="e">
        <f>VLOOKUP(D436,数据集标准分类!G:H,2,0)</f>
        <v>#N/A</v>
      </c>
      <c r="G436" s="29" t="s">
        <v>966</v>
      </c>
      <c r="H436" s="29" t="s">
        <v>967</v>
      </c>
      <c r="I436" s="29" t="s">
        <v>968</v>
      </c>
      <c r="J436" s="29" t="s">
        <v>969</v>
      </c>
      <c r="K436" s="29" t="s">
        <v>970</v>
      </c>
      <c r="L436" s="250">
        <v>12</v>
      </c>
      <c r="M436" s="251"/>
    </row>
    <row r="437" ht="46" spans="1:13">
      <c r="A437" s="248" t="s">
        <v>4175</v>
      </c>
      <c r="B437" s="45" t="s">
        <v>4174</v>
      </c>
      <c r="C437" s="249" t="e">
        <f>VLOOKUP(D437,#REF!,2,0)</f>
        <v>#REF!</v>
      </c>
      <c r="D437" s="29" t="s">
        <v>1508</v>
      </c>
      <c r="E437" s="18" t="e">
        <f>VLOOKUP(C437,数据集标准分类!E:F,2,0)</f>
        <v>#REF!</v>
      </c>
      <c r="F437" s="29" t="e">
        <f>VLOOKUP(D437,数据集标准分类!G:H,2,0)</f>
        <v>#N/A</v>
      </c>
      <c r="G437" s="29" t="s">
        <v>1529</v>
      </c>
      <c r="H437" s="29" t="s">
        <v>1530</v>
      </c>
      <c r="I437" s="29" t="s">
        <v>1531</v>
      </c>
      <c r="J437" s="29" t="s">
        <v>1532</v>
      </c>
      <c r="K437" s="29" t="s">
        <v>1533</v>
      </c>
      <c r="L437" s="250">
        <v>13</v>
      </c>
      <c r="M437" s="251"/>
    </row>
    <row r="438" ht="31" spans="1:13">
      <c r="A438" s="248" t="s">
        <v>4175</v>
      </c>
      <c r="B438" s="45" t="s">
        <v>4174</v>
      </c>
      <c r="C438" s="249" t="e">
        <f>VLOOKUP(D438,#REF!,2,0)</f>
        <v>#REF!</v>
      </c>
      <c r="D438" s="29" t="s">
        <v>1508</v>
      </c>
      <c r="E438" s="18" t="e">
        <f>VLOOKUP(C438,数据集标准分类!E:F,2,0)</f>
        <v>#REF!</v>
      </c>
      <c r="F438" s="29" t="e">
        <f>VLOOKUP(D438,数据集标准分类!G:H,2,0)</f>
        <v>#N/A</v>
      </c>
      <c r="G438" s="29" t="s">
        <v>1534</v>
      </c>
      <c r="H438" s="29" t="s">
        <v>1535</v>
      </c>
      <c r="I438" s="29" t="s">
        <v>1536</v>
      </c>
      <c r="J438" s="29" t="s">
        <v>1537</v>
      </c>
      <c r="K438" s="29" t="s">
        <v>1538</v>
      </c>
      <c r="L438" s="250">
        <v>14</v>
      </c>
      <c r="M438" s="251"/>
    </row>
    <row r="439" ht="46" spans="1:13">
      <c r="A439" s="248" t="s">
        <v>4175</v>
      </c>
      <c r="B439" s="45" t="s">
        <v>4174</v>
      </c>
      <c r="C439" s="249" t="e">
        <f>VLOOKUP(D439,#REF!,2,0)</f>
        <v>#REF!</v>
      </c>
      <c r="D439" s="29" t="s">
        <v>1508</v>
      </c>
      <c r="E439" s="18" t="e">
        <f>VLOOKUP(C439,数据集标准分类!E:F,2,0)</f>
        <v>#REF!</v>
      </c>
      <c r="F439" s="29" t="e">
        <f>VLOOKUP(D439,数据集标准分类!G:H,2,0)</f>
        <v>#N/A</v>
      </c>
      <c r="G439" s="29" t="s">
        <v>1539</v>
      </c>
      <c r="H439" s="29" t="s">
        <v>1540</v>
      </c>
      <c r="I439" s="29" t="s">
        <v>1541</v>
      </c>
      <c r="J439" s="29" t="s">
        <v>1542</v>
      </c>
      <c r="K439" s="29" t="s">
        <v>1543</v>
      </c>
      <c r="L439" s="250">
        <v>15</v>
      </c>
      <c r="M439" s="251"/>
    </row>
    <row r="440" ht="46" spans="1:13">
      <c r="A440" s="248" t="s">
        <v>4175</v>
      </c>
      <c r="B440" s="45" t="s">
        <v>4174</v>
      </c>
      <c r="C440" s="249" t="e">
        <f>VLOOKUP(D440,#REF!,2,0)</f>
        <v>#REF!</v>
      </c>
      <c r="D440" s="29" t="s">
        <v>1508</v>
      </c>
      <c r="E440" s="18" t="e">
        <f>VLOOKUP(C440,数据集标准分类!E:F,2,0)</f>
        <v>#REF!</v>
      </c>
      <c r="F440" s="29" t="e">
        <f>VLOOKUP(D440,数据集标准分类!G:H,2,0)</f>
        <v>#N/A</v>
      </c>
      <c r="G440" s="65" t="s">
        <v>1544</v>
      </c>
      <c r="H440" s="29" t="s">
        <v>1545</v>
      </c>
      <c r="I440" s="29" t="s">
        <v>1546</v>
      </c>
      <c r="J440" s="29" t="s">
        <v>1547</v>
      </c>
      <c r="K440" s="29" t="s">
        <v>1548</v>
      </c>
      <c r="L440" s="250">
        <v>16</v>
      </c>
      <c r="M440" s="251"/>
    </row>
    <row r="441" ht="31" spans="1:13">
      <c r="A441" s="248" t="s">
        <v>4175</v>
      </c>
      <c r="B441" s="45" t="s">
        <v>4174</v>
      </c>
      <c r="C441" s="249" t="e">
        <f>VLOOKUP(D441,#REF!,2,0)</f>
        <v>#REF!</v>
      </c>
      <c r="D441" s="29" t="s">
        <v>1508</v>
      </c>
      <c r="E441" s="18" t="e">
        <f>VLOOKUP(C441,数据集标准分类!E:F,2,0)</f>
        <v>#REF!</v>
      </c>
      <c r="F441" s="29" t="e">
        <f>VLOOKUP(D441,数据集标准分类!G:H,2,0)</f>
        <v>#N/A</v>
      </c>
      <c r="G441" s="228" t="s">
        <v>1549</v>
      </c>
      <c r="H441" s="29" t="s">
        <v>1550</v>
      </c>
      <c r="I441" s="29" t="s">
        <v>1551</v>
      </c>
      <c r="J441" s="29" t="s">
        <v>1552</v>
      </c>
      <c r="K441" s="29" t="s">
        <v>1553</v>
      </c>
      <c r="L441" s="250">
        <v>17</v>
      </c>
      <c r="M441" s="251"/>
    </row>
    <row r="442" ht="31" spans="1:13">
      <c r="A442" s="248" t="s">
        <v>4175</v>
      </c>
      <c r="B442" s="45" t="s">
        <v>4174</v>
      </c>
      <c r="C442" s="249" t="e">
        <f>VLOOKUP(D442,#REF!,2,0)</f>
        <v>#REF!</v>
      </c>
      <c r="D442" s="29" t="s">
        <v>1508</v>
      </c>
      <c r="E442" s="18" t="e">
        <f>VLOOKUP(C442,数据集标准分类!E:F,2,0)</f>
        <v>#REF!</v>
      </c>
      <c r="F442" s="29" t="e">
        <f>VLOOKUP(D442,数据集标准分类!G:H,2,0)</f>
        <v>#N/A</v>
      </c>
      <c r="G442" s="29" t="s">
        <v>1115</v>
      </c>
      <c r="H442" s="29" t="s">
        <v>1116</v>
      </c>
      <c r="I442" s="29" t="s">
        <v>1117</v>
      </c>
      <c r="J442" s="29" t="s">
        <v>1118</v>
      </c>
      <c r="K442" s="29" t="s">
        <v>1554</v>
      </c>
      <c r="L442" s="250">
        <v>18</v>
      </c>
      <c r="M442" s="251"/>
    </row>
    <row r="443" ht="46" spans="1:13">
      <c r="A443" s="248" t="s">
        <v>4175</v>
      </c>
      <c r="B443" s="45" t="s">
        <v>4174</v>
      </c>
      <c r="C443" s="249" t="e">
        <f>VLOOKUP(D443,#REF!,2,0)</f>
        <v>#REF!</v>
      </c>
      <c r="D443" s="29" t="s">
        <v>1508</v>
      </c>
      <c r="E443" s="18" t="e">
        <f>VLOOKUP(C443,数据集标准分类!E:F,2,0)</f>
        <v>#REF!</v>
      </c>
      <c r="F443" s="29" t="e">
        <f>VLOOKUP(D443,数据集标准分类!G:H,2,0)</f>
        <v>#N/A</v>
      </c>
      <c r="G443" s="29" t="s">
        <v>1418</v>
      </c>
      <c r="H443" s="29" t="s">
        <v>1419</v>
      </c>
      <c r="I443" s="29" t="s">
        <v>1420</v>
      </c>
      <c r="J443" s="29" t="s">
        <v>1421</v>
      </c>
      <c r="K443" s="29" t="s">
        <v>1555</v>
      </c>
      <c r="L443" s="250">
        <v>19</v>
      </c>
      <c r="M443" s="251"/>
    </row>
    <row r="444" ht="16.8" spans="1:13">
      <c r="A444" s="248" t="s">
        <v>4175</v>
      </c>
      <c r="B444" s="45" t="s">
        <v>4174</v>
      </c>
      <c r="C444" s="249" t="e">
        <f>VLOOKUP(D444,#REF!,2,0)</f>
        <v>#REF!</v>
      </c>
      <c r="D444" s="29" t="s">
        <v>1508</v>
      </c>
      <c r="E444" s="18" t="e">
        <f>VLOOKUP(C444,数据集标准分类!E:F,2,0)</f>
        <v>#REF!</v>
      </c>
      <c r="F444" s="29" t="e">
        <f>VLOOKUP(D444,数据集标准分类!G:H,2,0)</f>
        <v>#N/A</v>
      </c>
      <c r="G444" s="29" t="s">
        <v>1556</v>
      </c>
      <c r="H444" s="29" t="s">
        <v>1557</v>
      </c>
      <c r="I444" s="29" t="s">
        <v>1558</v>
      </c>
      <c r="J444" s="29" t="s">
        <v>1559</v>
      </c>
      <c r="K444" s="29" t="s">
        <v>1559</v>
      </c>
      <c r="L444" s="250">
        <v>20</v>
      </c>
      <c r="M444" s="251"/>
    </row>
    <row r="445" ht="46" spans="1:13">
      <c r="A445" s="248" t="s">
        <v>4175</v>
      </c>
      <c r="B445" s="45" t="s">
        <v>4174</v>
      </c>
      <c r="C445" s="249" t="e">
        <f>VLOOKUP(D445,#REF!,2,0)</f>
        <v>#REF!</v>
      </c>
      <c r="D445" s="29" t="s">
        <v>1560</v>
      </c>
      <c r="E445" s="18" t="e">
        <f>VLOOKUP(C445,数据集标准分类!E:F,2,0)</f>
        <v>#REF!</v>
      </c>
      <c r="F445" s="29" t="e">
        <f>VLOOKUP(D445,数据集标准分类!G:H,2,0)</f>
        <v>#N/A</v>
      </c>
      <c r="G445" s="29" t="s">
        <v>152</v>
      </c>
      <c r="H445" s="29" t="s">
        <v>153</v>
      </c>
      <c r="I445" s="29" t="s">
        <v>154</v>
      </c>
      <c r="J445" s="29" t="s">
        <v>155</v>
      </c>
      <c r="K445" s="29" t="s">
        <v>156</v>
      </c>
      <c r="L445" s="250">
        <v>1</v>
      </c>
      <c r="M445" s="251"/>
    </row>
    <row r="446" ht="16.8" spans="1:13">
      <c r="A446" s="248" t="s">
        <v>4175</v>
      </c>
      <c r="B446" s="45" t="s">
        <v>4174</v>
      </c>
      <c r="C446" s="249" t="e">
        <f>VLOOKUP(D446,#REF!,2,0)</f>
        <v>#REF!</v>
      </c>
      <c r="D446" s="29" t="s">
        <v>1560</v>
      </c>
      <c r="E446" s="18" t="e">
        <f>VLOOKUP(C446,数据集标准分类!E:F,2,0)</f>
        <v>#REF!</v>
      </c>
      <c r="F446" s="29" t="e">
        <f>VLOOKUP(D446,数据集标准分类!G:H,2,0)</f>
        <v>#N/A</v>
      </c>
      <c r="G446" s="29" t="s">
        <v>924</v>
      </c>
      <c r="H446" s="29" t="s">
        <v>925</v>
      </c>
      <c r="I446" s="29" t="s">
        <v>926</v>
      </c>
      <c r="J446" s="29" t="s">
        <v>927</v>
      </c>
      <c r="K446" s="29" t="s">
        <v>928</v>
      </c>
      <c r="L446" s="250">
        <v>2</v>
      </c>
      <c r="M446" s="251"/>
    </row>
    <row r="447" ht="31" spans="1:13">
      <c r="A447" s="248" t="s">
        <v>4175</v>
      </c>
      <c r="B447" s="45" t="s">
        <v>4174</v>
      </c>
      <c r="C447" s="249" t="e">
        <f>VLOOKUP(D447,#REF!,2,0)</f>
        <v>#REF!</v>
      </c>
      <c r="D447" s="29" t="s">
        <v>1560</v>
      </c>
      <c r="E447" s="18" t="e">
        <f>VLOOKUP(C447,数据集标准分类!E:F,2,0)</f>
        <v>#REF!</v>
      </c>
      <c r="F447" s="29" t="e">
        <f>VLOOKUP(D447,数据集标准分类!G:H,2,0)</f>
        <v>#N/A</v>
      </c>
      <c r="G447" s="29" t="s">
        <v>943</v>
      </c>
      <c r="H447" s="29" t="s">
        <v>944</v>
      </c>
      <c r="I447" s="29" t="s">
        <v>945</v>
      </c>
      <c r="J447" s="29" t="s">
        <v>946</v>
      </c>
      <c r="K447" s="29" t="s">
        <v>1561</v>
      </c>
      <c r="L447" s="250">
        <v>3</v>
      </c>
      <c r="M447" s="251"/>
    </row>
    <row r="448" ht="31" spans="1:13">
      <c r="A448" s="248" t="s">
        <v>4175</v>
      </c>
      <c r="B448" s="45" t="s">
        <v>4174</v>
      </c>
      <c r="C448" s="249" t="e">
        <f>VLOOKUP(D448,#REF!,2,0)</f>
        <v>#REF!</v>
      </c>
      <c r="D448" s="29" t="s">
        <v>1560</v>
      </c>
      <c r="E448" s="18" t="e">
        <f>VLOOKUP(C448,数据集标准分类!E:F,2,0)</f>
        <v>#REF!</v>
      </c>
      <c r="F448" s="29" t="e">
        <f>VLOOKUP(D448,数据集标准分类!G:H,2,0)</f>
        <v>#N/A</v>
      </c>
      <c r="G448" s="29" t="s">
        <v>779</v>
      </c>
      <c r="H448" s="29" t="s">
        <v>780</v>
      </c>
      <c r="I448" s="29" t="s">
        <v>781</v>
      </c>
      <c r="J448" s="29" t="s">
        <v>782</v>
      </c>
      <c r="K448" s="29" t="s">
        <v>1562</v>
      </c>
      <c r="L448" s="250">
        <v>4</v>
      </c>
      <c r="M448" s="251"/>
    </row>
    <row r="449" ht="46" spans="1:13">
      <c r="A449" s="248" t="s">
        <v>4175</v>
      </c>
      <c r="B449" s="45" t="s">
        <v>4174</v>
      </c>
      <c r="C449" s="249" t="e">
        <f>VLOOKUP(D449,#REF!,2,0)</f>
        <v>#REF!</v>
      </c>
      <c r="D449" s="29" t="s">
        <v>1560</v>
      </c>
      <c r="E449" s="18" t="e">
        <f>VLOOKUP(C449,数据集标准分类!E:F,2,0)</f>
        <v>#REF!</v>
      </c>
      <c r="F449" s="29" t="e">
        <f>VLOOKUP(D449,数据集标准分类!G:H,2,0)</f>
        <v>#N/A</v>
      </c>
      <c r="G449" s="29" t="s">
        <v>803</v>
      </c>
      <c r="H449" s="29" t="s">
        <v>804</v>
      </c>
      <c r="I449" s="29" t="s">
        <v>805</v>
      </c>
      <c r="J449" s="29" t="s">
        <v>806</v>
      </c>
      <c r="K449" s="29" t="s">
        <v>788</v>
      </c>
      <c r="L449" s="250">
        <v>5</v>
      </c>
      <c r="M449" s="251"/>
    </row>
    <row r="450" ht="31" spans="1:13">
      <c r="A450" s="248" t="s">
        <v>4175</v>
      </c>
      <c r="B450" s="45" t="s">
        <v>4174</v>
      </c>
      <c r="C450" s="249" t="e">
        <f>VLOOKUP(D450,#REF!,2,0)</f>
        <v>#REF!</v>
      </c>
      <c r="D450" s="29" t="s">
        <v>1560</v>
      </c>
      <c r="E450" s="18" t="e">
        <f>VLOOKUP(C450,数据集标准分类!E:F,2,0)</f>
        <v>#REF!</v>
      </c>
      <c r="F450" s="29" t="e">
        <f>VLOOKUP(D450,数据集标准分类!G:H,2,0)</f>
        <v>#N/A</v>
      </c>
      <c r="G450" s="29" t="s">
        <v>1092</v>
      </c>
      <c r="H450" s="29" t="s">
        <v>1093</v>
      </c>
      <c r="I450" s="29" t="s">
        <v>1094</v>
      </c>
      <c r="J450" s="29" t="s">
        <v>1095</v>
      </c>
      <c r="K450" s="29" t="s">
        <v>792</v>
      </c>
      <c r="L450" s="250">
        <v>6</v>
      </c>
      <c r="M450" s="251"/>
    </row>
    <row r="451" ht="16.8" spans="1:13">
      <c r="A451" s="248" t="s">
        <v>4175</v>
      </c>
      <c r="B451" s="45" t="s">
        <v>4174</v>
      </c>
      <c r="C451" s="249" t="e">
        <f>VLOOKUP(D451,#REF!,2,0)</f>
        <v>#REF!</v>
      </c>
      <c r="D451" s="29" t="s">
        <v>1560</v>
      </c>
      <c r="E451" s="18" t="e">
        <f>VLOOKUP(C451,数据集标准分类!E:F,2,0)</f>
        <v>#REF!</v>
      </c>
      <c r="F451" s="29" t="e">
        <f>VLOOKUP(D451,数据集标准分类!G:H,2,0)</f>
        <v>#N/A</v>
      </c>
      <c r="G451" s="29" t="s">
        <v>966</v>
      </c>
      <c r="H451" s="29" t="s">
        <v>967</v>
      </c>
      <c r="I451" s="29" t="s">
        <v>968</v>
      </c>
      <c r="J451" s="29" t="s">
        <v>969</v>
      </c>
      <c r="K451" s="29" t="s">
        <v>970</v>
      </c>
      <c r="L451" s="250">
        <v>7</v>
      </c>
      <c r="M451" s="251"/>
    </row>
    <row r="452" ht="16.8" spans="1:13">
      <c r="A452" s="248" t="s">
        <v>4175</v>
      </c>
      <c r="B452" s="45" t="s">
        <v>4174</v>
      </c>
      <c r="C452" s="249" t="e">
        <f>VLOOKUP(D452,#REF!,2,0)</f>
        <v>#REF!</v>
      </c>
      <c r="D452" s="29" t="s">
        <v>1560</v>
      </c>
      <c r="E452" s="18" t="e">
        <f>VLOOKUP(C452,数据集标准分类!E:F,2,0)</f>
        <v>#REF!</v>
      </c>
      <c r="F452" s="29" t="e">
        <f>VLOOKUP(D452,数据集标准分类!G:H,2,0)</f>
        <v>#N/A</v>
      </c>
      <c r="G452" s="29" t="s">
        <v>1109</v>
      </c>
      <c r="H452" s="29" t="s">
        <v>1110</v>
      </c>
      <c r="I452" s="29" t="s">
        <v>1111</v>
      </c>
      <c r="J452" s="29" t="s">
        <v>1112</v>
      </c>
      <c r="K452" s="29" t="s">
        <v>1113</v>
      </c>
      <c r="L452" s="250">
        <v>8</v>
      </c>
      <c r="M452" s="251"/>
    </row>
    <row r="453" ht="16.8" spans="1:13">
      <c r="A453" s="248" t="s">
        <v>4175</v>
      </c>
      <c r="B453" s="45" t="s">
        <v>4174</v>
      </c>
      <c r="C453" s="249" t="e">
        <f>VLOOKUP(D453,#REF!,2,0)</f>
        <v>#REF!</v>
      </c>
      <c r="D453" s="29" t="s">
        <v>1560</v>
      </c>
      <c r="E453" s="18" t="e">
        <f>VLOOKUP(C453,数据集标准分类!E:F,2,0)</f>
        <v>#REF!</v>
      </c>
      <c r="F453" s="29" t="e">
        <f>VLOOKUP(D453,数据集标准分类!G:H,2,0)</f>
        <v>#N/A</v>
      </c>
      <c r="G453" s="29" t="s">
        <v>201</v>
      </c>
      <c r="H453" s="29" t="s">
        <v>202</v>
      </c>
      <c r="I453" s="29" t="s">
        <v>203</v>
      </c>
      <c r="J453" s="29" t="s">
        <v>204</v>
      </c>
      <c r="K453" s="29" t="s">
        <v>1114</v>
      </c>
      <c r="L453" s="250">
        <v>9</v>
      </c>
      <c r="M453" s="251"/>
    </row>
    <row r="454" ht="16.8" spans="1:13">
      <c r="A454" s="248" t="s">
        <v>4175</v>
      </c>
      <c r="B454" s="45" t="s">
        <v>4174</v>
      </c>
      <c r="C454" s="249" t="e">
        <f>VLOOKUP(D454,#REF!,2,0)</f>
        <v>#REF!</v>
      </c>
      <c r="D454" s="29" t="s">
        <v>1560</v>
      </c>
      <c r="E454" s="18" t="e">
        <f>VLOOKUP(C454,数据集标准分类!E:F,2,0)</f>
        <v>#REF!</v>
      </c>
      <c r="F454" s="29" t="e">
        <f>VLOOKUP(D454,数据集标准分类!G:H,2,0)</f>
        <v>#N/A</v>
      </c>
      <c r="G454" s="29" t="s">
        <v>1172</v>
      </c>
      <c r="H454" s="29" t="s">
        <v>1173</v>
      </c>
      <c r="I454" s="29" t="s">
        <v>1174</v>
      </c>
      <c r="J454" s="29" t="s">
        <v>1175</v>
      </c>
      <c r="K454" s="29" t="s">
        <v>975</v>
      </c>
      <c r="L454" s="250">
        <v>10</v>
      </c>
      <c r="M454" s="251"/>
    </row>
    <row r="455" ht="46" spans="1:13">
      <c r="A455" s="248" t="s">
        <v>4175</v>
      </c>
      <c r="B455" s="45" t="s">
        <v>4174</v>
      </c>
      <c r="C455" s="249" t="e">
        <f>VLOOKUP(D455,#REF!,2,0)</f>
        <v>#REF!</v>
      </c>
      <c r="D455" s="29" t="s">
        <v>1560</v>
      </c>
      <c r="E455" s="18" t="e">
        <f>VLOOKUP(C455,数据集标准分类!E:F,2,0)</f>
        <v>#REF!</v>
      </c>
      <c r="F455" s="29" t="e">
        <f>VLOOKUP(D455,数据集标准分类!G:H,2,0)</f>
        <v>#N/A</v>
      </c>
      <c r="G455" s="29" t="s">
        <v>157</v>
      </c>
      <c r="H455" s="29" t="s">
        <v>158</v>
      </c>
      <c r="I455" s="29" t="s">
        <v>159</v>
      </c>
      <c r="J455" s="29" t="s">
        <v>160</v>
      </c>
      <c r="K455" s="29" t="s">
        <v>161</v>
      </c>
      <c r="L455" s="250">
        <v>11</v>
      </c>
      <c r="M455" s="251"/>
    </row>
    <row r="456" ht="31" spans="1:13">
      <c r="A456" s="248" t="s">
        <v>4175</v>
      </c>
      <c r="B456" s="45" t="s">
        <v>4174</v>
      </c>
      <c r="C456" s="249" t="e">
        <f>VLOOKUP(D456,#REF!,2,0)</f>
        <v>#REF!</v>
      </c>
      <c r="D456" s="29" t="s">
        <v>1560</v>
      </c>
      <c r="E456" s="18" t="e">
        <f>VLOOKUP(C456,数据集标准分类!E:F,2,0)</f>
        <v>#REF!</v>
      </c>
      <c r="F456" s="29" t="e">
        <f>VLOOKUP(D456,数据集标准分类!G:H,2,0)</f>
        <v>#N/A</v>
      </c>
      <c r="G456" s="29" t="s">
        <v>976</v>
      </c>
      <c r="H456" s="29" t="s">
        <v>977</v>
      </c>
      <c r="I456" s="29" t="s">
        <v>978</v>
      </c>
      <c r="J456" s="29" t="s">
        <v>979</v>
      </c>
      <c r="K456" s="29" t="s">
        <v>1564</v>
      </c>
      <c r="L456" s="250">
        <v>12</v>
      </c>
      <c r="M456" s="251"/>
    </row>
    <row r="457" ht="31" spans="1:13">
      <c r="A457" s="248" t="s">
        <v>4175</v>
      </c>
      <c r="B457" s="45" t="s">
        <v>4174</v>
      </c>
      <c r="C457" s="249" t="e">
        <f>VLOOKUP(D457,#REF!,2,0)</f>
        <v>#REF!</v>
      </c>
      <c r="D457" s="29" t="s">
        <v>1560</v>
      </c>
      <c r="E457" s="18" t="e">
        <f>VLOOKUP(C457,数据集标准分类!E:F,2,0)</f>
        <v>#REF!</v>
      </c>
      <c r="F457" s="29" t="e">
        <f>VLOOKUP(D457,数据集标准分类!G:H,2,0)</f>
        <v>#N/A</v>
      </c>
      <c r="G457" s="29" t="s">
        <v>981</v>
      </c>
      <c r="H457" s="29" t="s">
        <v>982</v>
      </c>
      <c r="I457" s="29" t="s">
        <v>983</v>
      </c>
      <c r="J457" s="29" t="s">
        <v>984</v>
      </c>
      <c r="K457" s="29" t="s">
        <v>985</v>
      </c>
      <c r="L457" s="250">
        <v>13</v>
      </c>
      <c r="M457" s="251"/>
    </row>
    <row r="458" ht="31" spans="1:13">
      <c r="A458" s="248" t="s">
        <v>4175</v>
      </c>
      <c r="B458" s="45" t="s">
        <v>4174</v>
      </c>
      <c r="C458" s="249" t="e">
        <f>VLOOKUP(D458,#REF!,2,0)</f>
        <v>#REF!</v>
      </c>
      <c r="D458" s="29" t="s">
        <v>1560</v>
      </c>
      <c r="E458" s="18" t="e">
        <f>VLOOKUP(C458,数据集标准分类!E:F,2,0)</f>
        <v>#REF!</v>
      </c>
      <c r="F458" s="29" t="e">
        <f>VLOOKUP(D458,数据集标准分类!G:H,2,0)</f>
        <v>#N/A</v>
      </c>
      <c r="G458" s="29" t="s">
        <v>986</v>
      </c>
      <c r="H458" s="29" t="s">
        <v>987</v>
      </c>
      <c r="I458" s="29" t="s">
        <v>988</v>
      </c>
      <c r="J458" s="29" t="s">
        <v>989</v>
      </c>
      <c r="K458" s="29" t="s">
        <v>627</v>
      </c>
      <c r="L458" s="250">
        <v>14</v>
      </c>
      <c r="M458" s="251"/>
    </row>
    <row r="459" ht="31" spans="1:13">
      <c r="A459" s="248" t="s">
        <v>4175</v>
      </c>
      <c r="B459" s="45" t="s">
        <v>4174</v>
      </c>
      <c r="C459" s="249" t="e">
        <f>VLOOKUP(D459,#REF!,2,0)</f>
        <v>#REF!</v>
      </c>
      <c r="D459" s="29" t="s">
        <v>1560</v>
      </c>
      <c r="E459" s="18" t="e">
        <f>VLOOKUP(C459,数据集标准分类!E:F,2,0)</f>
        <v>#REF!</v>
      </c>
      <c r="F459" s="29" t="e">
        <f>VLOOKUP(D459,数据集标准分类!G:H,2,0)</f>
        <v>#N/A</v>
      </c>
      <c r="G459" s="29" t="s">
        <v>991</v>
      </c>
      <c r="H459" s="29" t="s">
        <v>992</v>
      </c>
      <c r="I459" s="29" t="s">
        <v>993</v>
      </c>
      <c r="J459" s="29" t="s">
        <v>994</v>
      </c>
      <c r="K459" s="29" t="s">
        <v>995</v>
      </c>
      <c r="L459" s="250">
        <v>15</v>
      </c>
      <c r="M459" s="251"/>
    </row>
    <row r="460" ht="31" spans="1:13">
      <c r="A460" s="248" t="s">
        <v>4175</v>
      </c>
      <c r="B460" s="45" t="s">
        <v>4174</v>
      </c>
      <c r="C460" s="249" t="e">
        <f>VLOOKUP(D460,#REF!,2,0)</f>
        <v>#REF!</v>
      </c>
      <c r="D460" s="29" t="s">
        <v>1560</v>
      </c>
      <c r="E460" s="18" t="e">
        <f>VLOOKUP(C460,数据集标准分类!E:F,2,0)</f>
        <v>#REF!</v>
      </c>
      <c r="F460" s="29" t="e">
        <f>VLOOKUP(D460,数据集标准分类!G:H,2,0)</f>
        <v>#N/A</v>
      </c>
      <c r="G460" s="29" t="s">
        <v>996</v>
      </c>
      <c r="H460" s="29" t="s">
        <v>997</v>
      </c>
      <c r="I460" s="29" t="s">
        <v>998</v>
      </c>
      <c r="J460" s="29" t="s">
        <v>999</v>
      </c>
      <c r="K460" s="29" t="s">
        <v>1565</v>
      </c>
      <c r="L460" s="250">
        <v>16</v>
      </c>
      <c r="M460" s="251"/>
    </row>
    <row r="461" ht="31" spans="1:13">
      <c r="A461" s="248" t="s">
        <v>4175</v>
      </c>
      <c r="B461" s="45" t="s">
        <v>4174</v>
      </c>
      <c r="C461" s="249" t="e">
        <f>VLOOKUP(D461,#REF!,2,0)</f>
        <v>#REF!</v>
      </c>
      <c r="D461" s="29" t="s">
        <v>1560</v>
      </c>
      <c r="E461" s="18" t="e">
        <f>VLOOKUP(C461,数据集标准分类!E:F,2,0)</f>
        <v>#REF!</v>
      </c>
      <c r="F461" s="29" t="e">
        <f>VLOOKUP(D461,数据集标准分类!G:H,2,0)</f>
        <v>#N/A</v>
      </c>
      <c r="G461" s="29" t="s">
        <v>1001</v>
      </c>
      <c r="H461" s="29" t="s">
        <v>1002</v>
      </c>
      <c r="I461" s="29" t="s">
        <v>1003</v>
      </c>
      <c r="J461" s="29" t="s">
        <v>1004</v>
      </c>
      <c r="K461" s="29" t="s">
        <v>1005</v>
      </c>
      <c r="L461" s="250">
        <v>17</v>
      </c>
      <c r="M461" s="251"/>
    </row>
    <row r="462" ht="24" customHeight="1" spans="1:13">
      <c r="A462" s="248" t="s">
        <v>4175</v>
      </c>
      <c r="B462" s="45" t="s">
        <v>4174</v>
      </c>
      <c r="C462" s="249" t="e">
        <f>VLOOKUP(D462,#REF!,2,0)</f>
        <v>#REF!</v>
      </c>
      <c r="D462" s="29" t="s">
        <v>1560</v>
      </c>
      <c r="E462" s="18" t="e">
        <f>VLOOKUP(C462,数据集标准分类!E:F,2,0)</f>
        <v>#REF!</v>
      </c>
      <c r="F462" s="29" t="e">
        <f>VLOOKUP(D462,数据集标准分类!G:H,2,0)</f>
        <v>#N/A</v>
      </c>
      <c r="G462" s="29" t="s">
        <v>1566</v>
      </c>
      <c r="H462" s="29" t="s">
        <v>1567</v>
      </c>
      <c r="I462" s="29" t="s">
        <v>1568</v>
      </c>
      <c r="J462" s="29" t="s">
        <v>1569</v>
      </c>
      <c r="K462" s="29" t="s">
        <v>1570</v>
      </c>
      <c r="L462" s="250">
        <v>18</v>
      </c>
      <c r="M462" s="251"/>
    </row>
    <row r="463" ht="16.8" spans="1:13">
      <c r="A463" s="248" t="s">
        <v>4175</v>
      </c>
      <c r="B463" s="45" t="s">
        <v>4174</v>
      </c>
      <c r="C463" s="249" t="e">
        <f>VLOOKUP(D463,#REF!,2,0)</f>
        <v>#REF!</v>
      </c>
      <c r="D463" s="29" t="s">
        <v>1560</v>
      </c>
      <c r="E463" s="18" t="e">
        <f>VLOOKUP(C463,数据集标准分类!E:F,2,0)</f>
        <v>#REF!</v>
      </c>
      <c r="F463" s="29" t="e">
        <f>VLOOKUP(D463,数据集标准分类!G:H,2,0)</f>
        <v>#N/A</v>
      </c>
      <c r="G463" s="29" t="s">
        <v>1006</v>
      </c>
      <c r="H463" s="29" t="s">
        <v>1007</v>
      </c>
      <c r="I463" s="29" t="s">
        <v>1008</v>
      </c>
      <c r="J463" s="29" t="s">
        <v>1009</v>
      </c>
      <c r="K463" s="29" t="s">
        <v>1010</v>
      </c>
      <c r="L463" s="250">
        <v>19</v>
      </c>
      <c r="M463" s="251"/>
    </row>
    <row r="464" ht="46" spans="1:13">
      <c r="A464" s="248" t="s">
        <v>4175</v>
      </c>
      <c r="B464" s="45" t="s">
        <v>4174</v>
      </c>
      <c r="C464" s="249" t="e">
        <f>VLOOKUP(D464,#REF!,2,0)</f>
        <v>#REF!</v>
      </c>
      <c r="D464" s="29" t="s">
        <v>1571</v>
      </c>
      <c r="E464" s="18" t="e">
        <f>VLOOKUP(C464,数据集标准分类!E:F,2,0)</f>
        <v>#REF!</v>
      </c>
      <c r="F464" s="29" t="e">
        <f>VLOOKUP(D464,数据集标准分类!G:H,2,0)</f>
        <v>#N/A</v>
      </c>
      <c r="G464" s="29" t="s">
        <v>152</v>
      </c>
      <c r="H464" s="29" t="s">
        <v>153</v>
      </c>
      <c r="I464" s="29" t="s">
        <v>154</v>
      </c>
      <c r="J464" s="29" t="s">
        <v>155</v>
      </c>
      <c r="K464" s="29" t="s">
        <v>156</v>
      </c>
      <c r="L464" s="250">
        <v>1</v>
      </c>
      <c r="M464" s="251"/>
    </row>
    <row r="465" ht="46" spans="1:13">
      <c r="A465" s="248" t="s">
        <v>4175</v>
      </c>
      <c r="B465" s="45" t="s">
        <v>4174</v>
      </c>
      <c r="C465" s="249" t="e">
        <f>VLOOKUP(D465,#REF!,2,0)</f>
        <v>#REF!</v>
      </c>
      <c r="D465" s="29" t="s">
        <v>1571</v>
      </c>
      <c r="E465" s="18" t="e">
        <f>VLOOKUP(C465,数据集标准分类!E:F,2,0)</f>
        <v>#REF!</v>
      </c>
      <c r="F465" s="29" t="e">
        <f>VLOOKUP(D465,数据集标准分类!G:H,2,0)</f>
        <v>#N/A</v>
      </c>
      <c r="G465" s="29" t="s">
        <v>157</v>
      </c>
      <c r="H465" s="29" t="s">
        <v>158</v>
      </c>
      <c r="I465" s="29" t="s">
        <v>159</v>
      </c>
      <c r="J465" s="29" t="s">
        <v>160</v>
      </c>
      <c r="K465" s="29" t="s">
        <v>161</v>
      </c>
      <c r="L465" s="250">
        <v>2</v>
      </c>
      <c r="M465" s="251"/>
    </row>
    <row r="466" ht="31" spans="1:13">
      <c r="A466" s="248" t="s">
        <v>4175</v>
      </c>
      <c r="B466" s="45" t="s">
        <v>4174</v>
      </c>
      <c r="C466" s="249" t="e">
        <f>VLOOKUP(D466,#REF!,2,0)</f>
        <v>#REF!</v>
      </c>
      <c r="D466" s="29" t="s">
        <v>1571</v>
      </c>
      <c r="E466" s="18" t="e">
        <f>VLOOKUP(C466,数据集标准分类!E:F,2,0)</f>
        <v>#REF!</v>
      </c>
      <c r="F466" s="29" t="e">
        <f>VLOOKUP(D466,数据集标准分类!G:H,2,0)</f>
        <v>#N/A</v>
      </c>
      <c r="G466" s="29" t="s">
        <v>574</v>
      </c>
      <c r="H466" s="29" t="s">
        <v>575</v>
      </c>
      <c r="I466" s="29" t="s">
        <v>576</v>
      </c>
      <c r="J466" s="29" t="s">
        <v>577</v>
      </c>
      <c r="K466" s="29" t="s">
        <v>578</v>
      </c>
      <c r="L466" s="250">
        <v>3</v>
      </c>
      <c r="M466" s="251"/>
    </row>
    <row r="467" ht="16.8" spans="1:13">
      <c r="A467" s="248" t="s">
        <v>4175</v>
      </c>
      <c r="B467" s="45" t="s">
        <v>4174</v>
      </c>
      <c r="C467" s="249" t="e">
        <f>VLOOKUP(D467,#REF!,2,0)</f>
        <v>#REF!</v>
      </c>
      <c r="D467" s="29" t="s">
        <v>1571</v>
      </c>
      <c r="E467" s="18" t="e">
        <f>VLOOKUP(C467,数据集标准分类!E:F,2,0)</f>
        <v>#REF!</v>
      </c>
      <c r="F467" s="29" t="e">
        <f>VLOOKUP(D467,数据集标准分类!G:H,2,0)</f>
        <v>#N/A</v>
      </c>
      <c r="G467" s="29" t="s">
        <v>924</v>
      </c>
      <c r="H467" s="29" t="s">
        <v>925</v>
      </c>
      <c r="I467" s="29" t="s">
        <v>926</v>
      </c>
      <c r="J467" s="29" t="s">
        <v>927</v>
      </c>
      <c r="K467" s="29" t="s">
        <v>928</v>
      </c>
      <c r="L467" s="250">
        <v>4</v>
      </c>
      <c r="M467" s="251"/>
    </row>
    <row r="468" ht="31" spans="1:13">
      <c r="A468" s="248" t="s">
        <v>4175</v>
      </c>
      <c r="B468" s="45" t="s">
        <v>4174</v>
      </c>
      <c r="C468" s="249" t="e">
        <f>VLOOKUP(D468,#REF!,2,0)</f>
        <v>#REF!</v>
      </c>
      <c r="D468" s="29" t="s">
        <v>1571</v>
      </c>
      <c r="E468" s="18" t="e">
        <f>VLOOKUP(C468,数据集标准分类!E:F,2,0)</f>
        <v>#REF!</v>
      </c>
      <c r="F468" s="29" t="e">
        <f>VLOOKUP(D468,数据集标准分类!G:H,2,0)</f>
        <v>#N/A</v>
      </c>
      <c r="G468" s="29" t="s">
        <v>1572</v>
      </c>
      <c r="H468" s="29" t="s">
        <v>1573</v>
      </c>
      <c r="I468" s="29" t="s">
        <v>1574</v>
      </c>
      <c r="J468" s="29" t="s">
        <v>1575</v>
      </c>
      <c r="K468" s="29" t="s">
        <v>1562</v>
      </c>
      <c r="L468" s="250">
        <v>5</v>
      </c>
      <c r="M468" s="251"/>
    </row>
    <row r="469" ht="46" spans="1:13">
      <c r="A469" s="248" t="s">
        <v>4175</v>
      </c>
      <c r="B469" s="45" t="s">
        <v>4174</v>
      </c>
      <c r="C469" s="249" t="e">
        <f>VLOOKUP(D469,#REF!,2,0)</f>
        <v>#REF!</v>
      </c>
      <c r="D469" s="29" t="s">
        <v>1571</v>
      </c>
      <c r="E469" s="18" t="e">
        <f>VLOOKUP(C469,数据集标准分类!E:F,2,0)</f>
        <v>#REF!</v>
      </c>
      <c r="F469" s="29" t="e">
        <f>VLOOKUP(D469,数据集标准分类!G:H,2,0)</f>
        <v>#N/A</v>
      </c>
      <c r="G469" s="29" t="s">
        <v>784</v>
      </c>
      <c r="H469" s="29" t="s">
        <v>785</v>
      </c>
      <c r="I469" s="29" t="s">
        <v>786</v>
      </c>
      <c r="J469" s="29" t="s">
        <v>787</v>
      </c>
      <c r="K469" s="29" t="s">
        <v>788</v>
      </c>
      <c r="L469" s="250">
        <v>6</v>
      </c>
      <c r="M469" s="251"/>
    </row>
    <row r="470" ht="46" spans="1:13">
      <c r="A470" s="248" t="s">
        <v>4175</v>
      </c>
      <c r="B470" s="45" t="s">
        <v>4174</v>
      </c>
      <c r="C470" s="249" t="e">
        <f>VLOOKUP(D470,#REF!,2,0)</f>
        <v>#REF!</v>
      </c>
      <c r="D470" s="29" t="s">
        <v>1571</v>
      </c>
      <c r="E470" s="18" t="e">
        <f>VLOOKUP(C470,数据集标准分类!E:F,2,0)</f>
        <v>#REF!</v>
      </c>
      <c r="F470" s="29" t="e">
        <f>VLOOKUP(D470,数据集标准分类!G:H,2,0)</f>
        <v>#N/A</v>
      </c>
      <c r="G470" s="64" t="s">
        <v>943</v>
      </c>
      <c r="H470" s="29" t="s">
        <v>944</v>
      </c>
      <c r="I470" s="29" t="s">
        <v>945</v>
      </c>
      <c r="J470" s="29" t="s">
        <v>946</v>
      </c>
      <c r="K470" s="253" t="s">
        <v>947</v>
      </c>
      <c r="L470" s="250">
        <v>7</v>
      </c>
      <c r="M470" s="251"/>
    </row>
    <row r="471" ht="46" spans="1:13">
      <c r="A471" s="248" t="s">
        <v>4175</v>
      </c>
      <c r="B471" s="45" t="s">
        <v>4174</v>
      </c>
      <c r="C471" s="249" t="e">
        <f>VLOOKUP(D471,#REF!,2,0)</f>
        <v>#REF!</v>
      </c>
      <c r="D471" s="29" t="s">
        <v>1571</v>
      </c>
      <c r="E471" s="18" t="e">
        <f>VLOOKUP(C471,数据集标准分类!E:F,2,0)</f>
        <v>#REF!</v>
      </c>
      <c r="F471" s="29" t="e">
        <f>VLOOKUP(D471,数据集标准分类!G:H,2,0)</f>
        <v>#N/A</v>
      </c>
      <c r="G471" s="29" t="s">
        <v>952</v>
      </c>
      <c r="H471" s="29" t="s">
        <v>953</v>
      </c>
      <c r="I471" s="29" t="s">
        <v>954</v>
      </c>
      <c r="J471" s="29" t="s">
        <v>955</v>
      </c>
      <c r="K471" s="29" t="s">
        <v>956</v>
      </c>
      <c r="L471" s="250">
        <v>8</v>
      </c>
      <c r="M471" s="251"/>
    </row>
    <row r="472" ht="46" spans="1:13">
      <c r="A472" s="248" t="s">
        <v>4175</v>
      </c>
      <c r="B472" s="45" t="s">
        <v>4174</v>
      </c>
      <c r="C472" s="249" t="e">
        <f>VLOOKUP(D472,#REF!,2,0)</f>
        <v>#REF!</v>
      </c>
      <c r="D472" s="29" t="s">
        <v>1571</v>
      </c>
      <c r="E472" s="18" t="e">
        <f>VLOOKUP(C472,数据集标准分类!E:F,2,0)</f>
        <v>#REF!</v>
      </c>
      <c r="F472" s="29" t="e">
        <f>VLOOKUP(D472,数据集标准分类!G:H,2,0)</f>
        <v>#N/A</v>
      </c>
      <c r="G472" s="29" t="s">
        <v>961</v>
      </c>
      <c r="H472" s="29" t="s">
        <v>962</v>
      </c>
      <c r="I472" s="29" t="s">
        <v>963</v>
      </c>
      <c r="J472" s="29" t="s">
        <v>964</v>
      </c>
      <c r="K472" s="29" t="s">
        <v>965</v>
      </c>
      <c r="L472" s="250">
        <v>9</v>
      </c>
      <c r="M472" s="251"/>
    </row>
    <row r="473" ht="31" spans="1:13">
      <c r="A473" s="248" t="s">
        <v>4175</v>
      </c>
      <c r="B473" s="45" t="s">
        <v>4174</v>
      </c>
      <c r="C473" s="249" t="e">
        <f>VLOOKUP(D473,#REF!,2,0)</f>
        <v>#REF!</v>
      </c>
      <c r="D473" s="29" t="s">
        <v>1571</v>
      </c>
      <c r="E473" s="18" t="e">
        <f>VLOOKUP(C473,数据集标准分类!E:F,2,0)</f>
        <v>#REF!</v>
      </c>
      <c r="F473" s="29" t="e">
        <f>VLOOKUP(D473,数据集标准分类!G:H,2,0)</f>
        <v>#N/A</v>
      </c>
      <c r="G473" s="64" t="s">
        <v>981</v>
      </c>
      <c r="H473" s="29" t="s">
        <v>982</v>
      </c>
      <c r="I473" s="29" t="s">
        <v>983</v>
      </c>
      <c r="J473" s="29" t="s">
        <v>984</v>
      </c>
      <c r="K473" s="29" t="s">
        <v>985</v>
      </c>
      <c r="L473" s="250">
        <v>10</v>
      </c>
      <c r="M473" s="251"/>
    </row>
    <row r="474" ht="31" spans="1:13">
      <c r="A474" s="248" t="s">
        <v>4175</v>
      </c>
      <c r="B474" s="45" t="s">
        <v>4174</v>
      </c>
      <c r="C474" s="249" t="e">
        <f>VLOOKUP(D474,#REF!,2,0)</f>
        <v>#REF!</v>
      </c>
      <c r="D474" s="29" t="s">
        <v>1571</v>
      </c>
      <c r="E474" s="18" t="e">
        <f>VLOOKUP(C474,数据集标准分类!E:F,2,0)</f>
        <v>#REF!</v>
      </c>
      <c r="F474" s="29" t="e">
        <f>VLOOKUP(D474,数据集标准分类!G:H,2,0)</f>
        <v>#N/A</v>
      </c>
      <c r="G474" s="29" t="s">
        <v>991</v>
      </c>
      <c r="H474" s="29" t="s">
        <v>992</v>
      </c>
      <c r="I474" s="29" t="s">
        <v>993</v>
      </c>
      <c r="J474" s="29" t="s">
        <v>994</v>
      </c>
      <c r="K474" s="29" t="s">
        <v>995</v>
      </c>
      <c r="L474" s="250">
        <v>11</v>
      </c>
      <c r="M474" s="251"/>
    </row>
    <row r="475" ht="31" spans="1:13">
      <c r="A475" s="248" t="s">
        <v>4175</v>
      </c>
      <c r="B475" s="45" t="s">
        <v>4174</v>
      </c>
      <c r="C475" s="249" t="e">
        <f>VLOOKUP(D475,#REF!,2,0)</f>
        <v>#REF!</v>
      </c>
      <c r="D475" s="29" t="s">
        <v>1571</v>
      </c>
      <c r="E475" s="18" t="e">
        <f>VLOOKUP(C475,数据集标准分类!E:F,2,0)</f>
        <v>#REF!</v>
      </c>
      <c r="F475" s="29" t="e">
        <f>VLOOKUP(D475,数据集标准分类!G:H,2,0)</f>
        <v>#N/A</v>
      </c>
      <c r="G475" s="29" t="s">
        <v>1001</v>
      </c>
      <c r="H475" s="29" t="s">
        <v>1002</v>
      </c>
      <c r="I475" s="29" t="s">
        <v>1003</v>
      </c>
      <c r="J475" s="29" t="s">
        <v>1004</v>
      </c>
      <c r="K475" s="29" t="s">
        <v>1005</v>
      </c>
      <c r="L475" s="250">
        <v>12</v>
      </c>
      <c r="M475" s="251"/>
    </row>
    <row r="476" ht="31" spans="1:13">
      <c r="A476" s="248" t="s">
        <v>4175</v>
      </c>
      <c r="B476" s="45" t="s">
        <v>4174</v>
      </c>
      <c r="C476" s="249" t="e">
        <f>VLOOKUP(D476,#REF!,2,0)</f>
        <v>#REF!</v>
      </c>
      <c r="D476" s="29" t="s">
        <v>1571</v>
      </c>
      <c r="E476" s="18" t="e">
        <f>VLOOKUP(C476,数据集标准分类!E:F,2,0)</f>
        <v>#REF!</v>
      </c>
      <c r="F476" s="29" t="e">
        <f>VLOOKUP(D476,数据集标准分类!G:H,2,0)</f>
        <v>#N/A</v>
      </c>
      <c r="G476" s="29" t="s">
        <v>411</v>
      </c>
      <c r="H476" s="29" t="s">
        <v>412</v>
      </c>
      <c r="I476" s="29" t="s">
        <v>413</v>
      </c>
      <c r="J476" s="29" t="s">
        <v>414</v>
      </c>
      <c r="K476" s="29" t="s">
        <v>415</v>
      </c>
      <c r="L476" s="250">
        <v>13</v>
      </c>
      <c r="M476" s="251"/>
    </row>
    <row r="477" ht="31" spans="1:13">
      <c r="A477" s="248" t="s">
        <v>4175</v>
      </c>
      <c r="B477" s="45" t="s">
        <v>4174</v>
      </c>
      <c r="C477" s="249" t="e">
        <f>VLOOKUP(D477,#REF!,2,0)</f>
        <v>#REF!</v>
      </c>
      <c r="D477" s="29" t="s">
        <v>1571</v>
      </c>
      <c r="E477" s="18" t="e">
        <f>VLOOKUP(C477,数据集标准分类!E:F,2,0)</f>
        <v>#REF!</v>
      </c>
      <c r="F477" s="29" t="e">
        <f>VLOOKUP(D477,数据集标准分类!G:H,2,0)</f>
        <v>#N/A</v>
      </c>
      <c r="G477" s="29" t="s">
        <v>416</v>
      </c>
      <c r="H477" s="29" t="s">
        <v>417</v>
      </c>
      <c r="I477" s="29" t="s">
        <v>418</v>
      </c>
      <c r="J477" s="29" t="s">
        <v>419</v>
      </c>
      <c r="K477" s="29" t="s">
        <v>420</v>
      </c>
      <c r="L477" s="250">
        <v>14</v>
      </c>
      <c r="M477" s="251"/>
    </row>
    <row r="478" ht="46" spans="1:13">
      <c r="A478" s="248" t="s">
        <v>4175</v>
      </c>
      <c r="B478" s="45" t="s">
        <v>4174</v>
      </c>
      <c r="C478" s="249" t="e">
        <f>VLOOKUP(D478,#REF!,2,0)</f>
        <v>#REF!</v>
      </c>
      <c r="D478" s="29" t="s">
        <v>1571</v>
      </c>
      <c r="E478" s="18" t="e">
        <f>VLOOKUP(C478,数据集标准分类!E:F,2,0)</f>
        <v>#REF!</v>
      </c>
      <c r="F478" s="29" t="e">
        <f>VLOOKUP(D478,数据集标准分类!G:H,2,0)</f>
        <v>#N/A</v>
      </c>
      <c r="G478" s="29" t="s">
        <v>192</v>
      </c>
      <c r="H478" s="29" t="s">
        <v>193</v>
      </c>
      <c r="I478" s="29" t="s">
        <v>194</v>
      </c>
      <c r="J478" s="29" t="s">
        <v>195</v>
      </c>
      <c r="K478" s="29" t="s">
        <v>385</v>
      </c>
      <c r="L478" s="250">
        <v>15</v>
      </c>
      <c r="M478" s="251"/>
    </row>
    <row r="479" ht="46" spans="1:13">
      <c r="A479" s="248" t="s">
        <v>4175</v>
      </c>
      <c r="B479" s="45" t="s">
        <v>4174</v>
      </c>
      <c r="C479" s="249" t="e">
        <f>VLOOKUP(D479,#REF!,2,0)</f>
        <v>#REF!</v>
      </c>
      <c r="D479" s="29" t="s">
        <v>1571</v>
      </c>
      <c r="E479" s="18" t="e">
        <f>VLOOKUP(C479,数据集标准分类!E:F,2,0)</f>
        <v>#REF!</v>
      </c>
      <c r="F479" s="29" t="e">
        <f>VLOOKUP(D479,数据集标准分类!G:H,2,0)</f>
        <v>#N/A</v>
      </c>
      <c r="G479" s="29" t="s">
        <v>1474</v>
      </c>
      <c r="H479" s="29" t="s">
        <v>1475</v>
      </c>
      <c r="I479" s="29" t="s">
        <v>1476</v>
      </c>
      <c r="J479" s="29" t="s">
        <v>1477</v>
      </c>
      <c r="K479" s="29" t="s">
        <v>1478</v>
      </c>
      <c r="L479" s="250">
        <v>16</v>
      </c>
      <c r="M479" s="251"/>
    </row>
    <row r="480" ht="46" spans="1:13">
      <c r="A480" s="248" t="s">
        <v>4175</v>
      </c>
      <c r="B480" s="45" t="s">
        <v>4174</v>
      </c>
      <c r="C480" s="249" t="e">
        <f>VLOOKUP(D480,#REF!,2,0)</f>
        <v>#REF!</v>
      </c>
      <c r="D480" s="29" t="s">
        <v>1571</v>
      </c>
      <c r="E480" s="18" t="e">
        <f>VLOOKUP(C480,数据集标准分类!E:F,2,0)</f>
        <v>#REF!</v>
      </c>
      <c r="F480" s="29" t="e">
        <f>VLOOKUP(D480,数据集标准分类!G:H,2,0)</f>
        <v>#N/A</v>
      </c>
      <c r="G480" s="29" t="s">
        <v>421</v>
      </c>
      <c r="H480" s="29" t="s">
        <v>422</v>
      </c>
      <c r="I480" s="29" t="s">
        <v>423</v>
      </c>
      <c r="J480" s="29" t="s">
        <v>424</v>
      </c>
      <c r="K480" s="29" t="s">
        <v>425</v>
      </c>
      <c r="L480" s="250">
        <v>17</v>
      </c>
      <c r="M480" s="251"/>
    </row>
    <row r="481" ht="16.8" spans="1:13">
      <c r="A481" s="248" t="s">
        <v>4175</v>
      </c>
      <c r="B481" s="45" t="s">
        <v>4174</v>
      </c>
      <c r="C481" s="249" t="e">
        <f>VLOOKUP(D481,#REF!,2,0)</f>
        <v>#REF!</v>
      </c>
      <c r="D481" s="29" t="s">
        <v>1571</v>
      </c>
      <c r="E481" s="18" t="e">
        <f>VLOOKUP(C481,数据集标准分类!E:F,2,0)</f>
        <v>#REF!</v>
      </c>
      <c r="F481" s="29" t="e">
        <f>VLOOKUP(D481,数据集标准分类!G:H,2,0)</f>
        <v>#N/A</v>
      </c>
      <c r="G481" s="29" t="s">
        <v>1435</v>
      </c>
      <c r="H481" s="29" t="s">
        <v>1436</v>
      </c>
      <c r="I481" s="29" t="s">
        <v>1437</v>
      </c>
      <c r="J481" s="29" t="s">
        <v>1438</v>
      </c>
      <c r="K481" s="29" t="s">
        <v>1439</v>
      </c>
      <c r="L481" s="250">
        <v>18</v>
      </c>
      <c r="M481" s="251"/>
    </row>
    <row r="482" ht="31" spans="1:13">
      <c r="A482" s="248" t="s">
        <v>4175</v>
      </c>
      <c r="B482" s="45" t="s">
        <v>4174</v>
      </c>
      <c r="C482" s="249" t="e">
        <f>VLOOKUP(D482,#REF!,2,0)</f>
        <v>#REF!</v>
      </c>
      <c r="D482" s="29" t="s">
        <v>1571</v>
      </c>
      <c r="E482" s="18" t="e">
        <f>VLOOKUP(C482,数据集标准分类!E:F,2,0)</f>
        <v>#REF!</v>
      </c>
      <c r="F482" s="29" t="e">
        <f>VLOOKUP(D482,数据集标准分类!G:H,2,0)</f>
        <v>#N/A</v>
      </c>
      <c r="G482" s="29" t="s">
        <v>789</v>
      </c>
      <c r="H482" s="29" t="s">
        <v>790</v>
      </c>
      <c r="I482" s="29" t="s">
        <v>790</v>
      </c>
      <c r="J482" s="29" t="s">
        <v>791</v>
      </c>
      <c r="K482" s="29" t="s">
        <v>792</v>
      </c>
      <c r="L482" s="250">
        <v>19</v>
      </c>
      <c r="M482" s="251"/>
    </row>
    <row r="483" ht="16.8" spans="1:13">
      <c r="A483" s="248" t="s">
        <v>4175</v>
      </c>
      <c r="B483" s="45" t="s">
        <v>4174</v>
      </c>
      <c r="C483" s="249" t="e">
        <f>VLOOKUP(D483,#REF!,2,0)</f>
        <v>#REF!</v>
      </c>
      <c r="D483" s="29" t="s">
        <v>1571</v>
      </c>
      <c r="E483" s="18" t="e">
        <f>VLOOKUP(C483,数据集标准分类!E:F,2,0)</f>
        <v>#REF!</v>
      </c>
      <c r="F483" s="29" t="e">
        <f>VLOOKUP(D483,数据集标准分类!G:H,2,0)</f>
        <v>#N/A</v>
      </c>
      <c r="G483" s="29" t="s">
        <v>1109</v>
      </c>
      <c r="H483" s="29" t="s">
        <v>1110</v>
      </c>
      <c r="I483" s="29" t="s">
        <v>1111</v>
      </c>
      <c r="J483" s="29" t="s">
        <v>1112</v>
      </c>
      <c r="K483" s="29" t="s">
        <v>1113</v>
      </c>
      <c r="L483" s="250">
        <v>20</v>
      </c>
      <c r="M483" s="251"/>
    </row>
    <row r="484" ht="16.8" spans="1:13">
      <c r="A484" s="248" t="s">
        <v>4175</v>
      </c>
      <c r="B484" s="45" t="s">
        <v>4174</v>
      </c>
      <c r="C484" s="249" t="e">
        <f>VLOOKUP(D484,#REF!,2,0)</f>
        <v>#REF!</v>
      </c>
      <c r="D484" s="29" t="s">
        <v>1571</v>
      </c>
      <c r="E484" s="18" t="e">
        <f>VLOOKUP(C484,数据集标准分类!E:F,2,0)</f>
        <v>#REF!</v>
      </c>
      <c r="F484" s="29" t="e">
        <f>VLOOKUP(D484,数据集标准分类!G:H,2,0)</f>
        <v>#N/A</v>
      </c>
      <c r="G484" s="29" t="s">
        <v>201</v>
      </c>
      <c r="H484" s="29" t="s">
        <v>202</v>
      </c>
      <c r="I484" s="29" t="s">
        <v>203</v>
      </c>
      <c r="J484" s="29" t="s">
        <v>204</v>
      </c>
      <c r="K484" s="29" t="s">
        <v>1114</v>
      </c>
      <c r="L484" s="250">
        <v>21</v>
      </c>
      <c r="M484" s="251"/>
    </row>
    <row r="485" ht="16.8" spans="1:13">
      <c r="A485" s="248" t="s">
        <v>4175</v>
      </c>
      <c r="B485" s="45" t="s">
        <v>4174</v>
      </c>
      <c r="C485" s="249" t="e">
        <f>VLOOKUP(D485,#REF!,2,0)</f>
        <v>#REF!</v>
      </c>
      <c r="D485" s="29" t="s">
        <v>1571</v>
      </c>
      <c r="E485" s="18" t="e">
        <f>VLOOKUP(C485,数据集标准分类!E:F,2,0)</f>
        <v>#REF!</v>
      </c>
      <c r="F485" s="29" t="e">
        <f>VLOOKUP(D485,数据集标准分类!G:H,2,0)</f>
        <v>#N/A</v>
      </c>
      <c r="G485" s="29" t="s">
        <v>966</v>
      </c>
      <c r="H485" s="29" t="s">
        <v>967</v>
      </c>
      <c r="I485" s="29" t="s">
        <v>968</v>
      </c>
      <c r="J485" s="29" t="s">
        <v>969</v>
      </c>
      <c r="K485" s="29" t="s">
        <v>970</v>
      </c>
      <c r="L485" s="250">
        <v>22</v>
      </c>
      <c r="M485" s="251"/>
    </row>
    <row r="486" ht="16.8" spans="1:13">
      <c r="A486" s="248" t="s">
        <v>4175</v>
      </c>
      <c r="B486" s="45" t="s">
        <v>4174</v>
      </c>
      <c r="C486" s="249" t="e">
        <f>VLOOKUP(D486,#REF!,2,0)</f>
        <v>#REF!</v>
      </c>
      <c r="D486" s="29" t="s">
        <v>1571</v>
      </c>
      <c r="E486" s="18" t="e">
        <f>VLOOKUP(C486,数据集标准分类!E:F,2,0)</f>
        <v>#REF!</v>
      </c>
      <c r="F486" s="29" t="e">
        <f>VLOOKUP(D486,数据集标准分类!G:H,2,0)</f>
        <v>#N/A</v>
      </c>
      <c r="G486" s="29" t="s">
        <v>971</v>
      </c>
      <c r="H486" s="29" t="s">
        <v>972</v>
      </c>
      <c r="I486" s="29" t="s">
        <v>973</v>
      </c>
      <c r="J486" s="29" t="s">
        <v>974</v>
      </c>
      <c r="K486" s="29" t="s">
        <v>975</v>
      </c>
      <c r="L486" s="250">
        <v>23</v>
      </c>
      <c r="M486" s="251"/>
    </row>
    <row r="487" ht="31" spans="1:13">
      <c r="A487" s="248" t="s">
        <v>4175</v>
      </c>
      <c r="B487" s="45" t="s">
        <v>4174</v>
      </c>
      <c r="C487" s="249" t="e">
        <f>VLOOKUP(D487,#REF!,2,0)</f>
        <v>#REF!</v>
      </c>
      <c r="D487" s="29" t="s">
        <v>1571</v>
      </c>
      <c r="E487" s="18" t="e">
        <f>VLOOKUP(C487,数据集标准分类!E:F,2,0)</f>
        <v>#REF!</v>
      </c>
      <c r="F487" s="29" t="e">
        <f>VLOOKUP(D487,数据集标准分类!G:H,2,0)</f>
        <v>#N/A</v>
      </c>
      <c r="G487" s="29" t="s">
        <v>934</v>
      </c>
      <c r="H487" s="29" t="s">
        <v>935</v>
      </c>
      <c r="I487" s="29" t="s">
        <v>936</v>
      </c>
      <c r="J487" s="29" t="s">
        <v>937</v>
      </c>
      <c r="K487" s="29" t="s">
        <v>1570</v>
      </c>
      <c r="L487" s="250">
        <v>24</v>
      </c>
      <c r="M487" s="251"/>
    </row>
    <row r="488" ht="16.8" spans="1:13">
      <c r="A488" s="248" t="s">
        <v>4175</v>
      </c>
      <c r="B488" s="45" t="s">
        <v>4174</v>
      </c>
      <c r="C488" s="249" t="e">
        <f>VLOOKUP(D488,#REF!,2,0)</f>
        <v>#REF!</v>
      </c>
      <c r="D488" s="29" t="s">
        <v>1571</v>
      </c>
      <c r="E488" s="18" t="e">
        <f>VLOOKUP(C488,数据集标准分类!E:F,2,0)</f>
        <v>#REF!</v>
      </c>
      <c r="F488" s="29" t="e">
        <f>VLOOKUP(D488,数据集标准分类!G:H,2,0)</f>
        <v>#N/A</v>
      </c>
      <c r="G488" s="29" t="s">
        <v>1006</v>
      </c>
      <c r="H488" s="29" t="s">
        <v>1007</v>
      </c>
      <c r="I488" s="29" t="s">
        <v>1008</v>
      </c>
      <c r="J488" s="29" t="s">
        <v>1009</v>
      </c>
      <c r="K488" s="29" t="s">
        <v>1010</v>
      </c>
      <c r="L488" s="250">
        <v>25</v>
      </c>
      <c r="M488" s="251"/>
    </row>
    <row r="489" ht="46" spans="1:13">
      <c r="A489" s="248" t="s">
        <v>4175</v>
      </c>
      <c r="B489" s="45" t="s">
        <v>4174</v>
      </c>
      <c r="C489" s="249" t="e">
        <f>VLOOKUP(D489,#REF!,2,0)</f>
        <v>#REF!</v>
      </c>
      <c r="D489" s="29" t="s">
        <v>1571</v>
      </c>
      <c r="E489" s="18" t="e">
        <f>VLOOKUP(C489,数据集标准分类!E:F,2,0)</f>
        <v>#REF!</v>
      </c>
      <c r="F489" s="29" t="e">
        <f>VLOOKUP(D489,数据集标准分类!G:H,2,0)</f>
        <v>#N/A</v>
      </c>
      <c r="G489" s="29" t="s">
        <v>227</v>
      </c>
      <c r="H489" s="29" t="s">
        <v>228</v>
      </c>
      <c r="I489" s="29" t="s">
        <v>229</v>
      </c>
      <c r="J489" s="29" t="s">
        <v>230</v>
      </c>
      <c r="K489" s="29" t="s">
        <v>231</v>
      </c>
      <c r="L489" s="250">
        <v>26</v>
      </c>
      <c r="M489" s="251"/>
    </row>
    <row r="490" ht="46" spans="1:13">
      <c r="A490" s="248" t="s">
        <v>4175</v>
      </c>
      <c r="B490" s="45" t="s">
        <v>4174</v>
      </c>
      <c r="C490" s="249" t="e">
        <f>VLOOKUP(D490,#REF!,2,0)</f>
        <v>#REF!</v>
      </c>
      <c r="D490" s="29" t="s">
        <v>1576</v>
      </c>
      <c r="E490" s="18" t="e">
        <f>VLOOKUP(C490,数据集标准分类!E:F,2,0)</f>
        <v>#REF!</v>
      </c>
      <c r="F490" s="29" t="e">
        <f>VLOOKUP(D490,数据集标准分类!G:H,2,0)</f>
        <v>#N/A</v>
      </c>
      <c r="G490" s="29" t="s">
        <v>152</v>
      </c>
      <c r="H490" s="29" t="s">
        <v>153</v>
      </c>
      <c r="I490" s="29" t="s">
        <v>154</v>
      </c>
      <c r="J490" s="29" t="s">
        <v>155</v>
      </c>
      <c r="K490" s="29" t="s">
        <v>156</v>
      </c>
      <c r="L490" s="250">
        <v>1</v>
      </c>
      <c r="M490" s="251"/>
    </row>
    <row r="491" ht="31" spans="1:13">
      <c r="A491" s="248" t="s">
        <v>4175</v>
      </c>
      <c r="B491" s="45" t="s">
        <v>4174</v>
      </c>
      <c r="C491" s="249" t="e">
        <f>VLOOKUP(D491,#REF!,2,0)</f>
        <v>#REF!</v>
      </c>
      <c r="D491" s="29" t="s">
        <v>1576</v>
      </c>
      <c r="E491" s="18" t="e">
        <f>VLOOKUP(C491,数据集标准分类!E:F,2,0)</f>
        <v>#REF!</v>
      </c>
      <c r="F491" s="29" t="e">
        <f>VLOOKUP(D491,数据集标准分类!G:H,2,0)</f>
        <v>#N/A</v>
      </c>
      <c r="G491" s="29" t="s">
        <v>943</v>
      </c>
      <c r="H491" s="29" t="s">
        <v>944</v>
      </c>
      <c r="I491" s="29" t="s">
        <v>945</v>
      </c>
      <c r="J491" s="29" t="s">
        <v>946</v>
      </c>
      <c r="K491" s="29" t="s">
        <v>1561</v>
      </c>
      <c r="L491" s="250">
        <v>2</v>
      </c>
      <c r="M491" s="251"/>
    </row>
    <row r="492" ht="16.8" spans="1:13">
      <c r="A492" s="248" t="s">
        <v>4175</v>
      </c>
      <c r="B492" s="45" t="s">
        <v>4174</v>
      </c>
      <c r="C492" s="249" t="e">
        <f>VLOOKUP(D492,#REF!,2,0)</f>
        <v>#REF!</v>
      </c>
      <c r="D492" s="29" t="s">
        <v>1576</v>
      </c>
      <c r="E492" s="18" t="e">
        <f>VLOOKUP(C492,数据集标准分类!E:F,2,0)</f>
        <v>#REF!</v>
      </c>
      <c r="F492" s="29" t="e">
        <f>VLOOKUP(D492,数据集标准分类!G:H,2,0)</f>
        <v>#N/A</v>
      </c>
      <c r="G492" s="29" t="s">
        <v>924</v>
      </c>
      <c r="H492" s="29" t="s">
        <v>925</v>
      </c>
      <c r="I492" s="29" t="s">
        <v>926</v>
      </c>
      <c r="J492" s="29" t="s">
        <v>927</v>
      </c>
      <c r="K492" s="29" t="s">
        <v>928</v>
      </c>
      <c r="L492" s="250">
        <v>3</v>
      </c>
      <c r="M492" s="251"/>
    </row>
    <row r="493" ht="24" customHeight="1" spans="1:13">
      <c r="A493" s="248" t="s">
        <v>4175</v>
      </c>
      <c r="B493" s="45" t="s">
        <v>4174</v>
      </c>
      <c r="C493" s="249" t="e">
        <f>VLOOKUP(D493,#REF!,2,0)</f>
        <v>#REF!</v>
      </c>
      <c r="D493" s="29" t="s">
        <v>1576</v>
      </c>
      <c r="E493" s="18" t="e">
        <f>VLOOKUP(C493,数据集标准分类!E:F,2,0)</f>
        <v>#REF!</v>
      </c>
      <c r="F493" s="29" t="e">
        <f>VLOOKUP(D493,数据集标准分类!G:H,2,0)</f>
        <v>#N/A</v>
      </c>
      <c r="G493" s="29" t="s">
        <v>966</v>
      </c>
      <c r="H493" s="29" t="s">
        <v>967</v>
      </c>
      <c r="I493" s="29" t="s">
        <v>968</v>
      </c>
      <c r="J493" s="29" t="s">
        <v>969</v>
      </c>
      <c r="K493" s="29" t="s">
        <v>970</v>
      </c>
      <c r="L493" s="250">
        <v>4</v>
      </c>
      <c r="M493" s="251"/>
    </row>
    <row r="494" ht="31" spans="1:13">
      <c r="A494" s="248" t="s">
        <v>4175</v>
      </c>
      <c r="B494" s="45" t="s">
        <v>4174</v>
      </c>
      <c r="C494" s="249" t="e">
        <f>VLOOKUP(D494,#REF!,2,0)</f>
        <v>#REF!</v>
      </c>
      <c r="D494" s="29" t="s">
        <v>1576</v>
      </c>
      <c r="E494" s="18" t="e">
        <f>VLOOKUP(C494,数据集标准分类!E:F,2,0)</f>
        <v>#REF!</v>
      </c>
      <c r="F494" s="29" t="e">
        <f>VLOOKUP(D494,数据集标准分类!G:H,2,0)</f>
        <v>#N/A</v>
      </c>
      <c r="G494" s="29" t="s">
        <v>1017</v>
      </c>
      <c r="H494" s="29" t="s">
        <v>1018</v>
      </c>
      <c r="I494" s="29" t="s">
        <v>1019</v>
      </c>
      <c r="J494" s="29" t="s">
        <v>1020</v>
      </c>
      <c r="K494" s="29" t="s">
        <v>1021</v>
      </c>
      <c r="L494" s="250">
        <v>5</v>
      </c>
      <c r="M494" s="251"/>
    </row>
    <row r="495" ht="24" customHeight="1" spans="1:13">
      <c r="A495" s="248" t="s">
        <v>4175</v>
      </c>
      <c r="B495" s="45" t="s">
        <v>4174</v>
      </c>
      <c r="C495" s="249" t="e">
        <f>VLOOKUP(D495,#REF!,2,0)</f>
        <v>#REF!</v>
      </c>
      <c r="D495" s="29" t="s">
        <v>1576</v>
      </c>
      <c r="E495" s="18" t="e">
        <f>VLOOKUP(C495,数据集标准分类!E:F,2,0)</f>
        <v>#REF!</v>
      </c>
      <c r="F495" s="29" t="e">
        <f>VLOOKUP(D495,数据集标准分类!G:H,2,0)</f>
        <v>#N/A</v>
      </c>
      <c r="G495" s="29" t="s">
        <v>1405</v>
      </c>
      <c r="H495" s="29" t="s">
        <v>1406</v>
      </c>
      <c r="I495" s="29" t="s">
        <v>1407</v>
      </c>
      <c r="J495" s="29" t="s">
        <v>1408</v>
      </c>
      <c r="K495" s="29" t="s">
        <v>1409</v>
      </c>
      <c r="L495" s="250">
        <v>6</v>
      </c>
      <c r="M495" s="251"/>
    </row>
    <row r="496" ht="46" spans="1:13">
      <c r="A496" s="248" t="s">
        <v>4175</v>
      </c>
      <c r="B496" s="45" t="s">
        <v>4174</v>
      </c>
      <c r="C496" s="249" t="e">
        <f>VLOOKUP(D496,#REF!,2,0)</f>
        <v>#REF!</v>
      </c>
      <c r="D496" s="29" t="s">
        <v>1576</v>
      </c>
      <c r="E496" s="18" t="e">
        <f>VLOOKUP(C496,数据集标准分类!E:F,2,0)</f>
        <v>#REF!</v>
      </c>
      <c r="F496" s="29" t="e">
        <f>VLOOKUP(D496,数据集标准分类!G:H,2,0)</f>
        <v>#N/A</v>
      </c>
      <c r="G496" s="29" t="s">
        <v>1410</v>
      </c>
      <c r="H496" s="29" t="s">
        <v>1411</v>
      </c>
      <c r="I496" s="29" t="s">
        <v>1412</v>
      </c>
      <c r="J496" s="29" t="s">
        <v>1413</v>
      </c>
      <c r="K496" s="29" t="s">
        <v>1414</v>
      </c>
      <c r="L496" s="250">
        <v>7</v>
      </c>
      <c r="M496" s="251"/>
    </row>
    <row r="497" ht="107" spans="1:13">
      <c r="A497" s="248" t="s">
        <v>4175</v>
      </c>
      <c r="B497" s="45" t="s">
        <v>4174</v>
      </c>
      <c r="C497" s="249" t="e">
        <f>VLOOKUP(D497,#REF!,2,0)</f>
        <v>#REF!</v>
      </c>
      <c r="D497" s="29" t="s">
        <v>1576</v>
      </c>
      <c r="E497" s="18" t="e">
        <f>VLOOKUP(C497,数据集标准分类!E:F,2,0)</f>
        <v>#REF!</v>
      </c>
      <c r="F497" s="29" t="e">
        <f>VLOOKUP(D497,数据集标准分类!G:H,2,0)</f>
        <v>#N/A</v>
      </c>
      <c r="G497" s="29" t="s">
        <v>1027</v>
      </c>
      <c r="H497" s="29" t="s">
        <v>1028</v>
      </c>
      <c r="I497" s="29" t="s">
        <v>1029</v>
      </c>
      <c r="J497" s="29" t="s">
        <v>1030</v>
      </c>
      <c r="K497" s="29" t="s">
        <v>1415</v>
      </c>
      <c r="L497" s="250">
        <v>8</v>
      </c>
      <c r="M497" s="251"/>
    </row>
    <row r="498" ht="31" spans="1:13">
      <c r="A498" s="248" t="s">
        <v>4175</v>
      </c>
      <c r="B498" s="45" t="s">
        <v>4174</v>
      </c>
      <c r="C498" s="249" t="e">
        <f>VLOOKUP(D498,#REF!,2,0)</f>
        <v>#REF!</v>
      </c>
      <c r="D498" s="29" t="s">
        <v>1576</v>
      </c>
      <c r="E498" s="18" t="e">
        <f>VLOOKUP(C498,数据集标准分类!E:F,2,0)</f>
        <v>#REF!</v>
      </c>
      <c r="F498" s="29" t="e">
        <f>VLOOKUP(D498,数据集标准分类!G:H,2,0)</f>
        <v>#N/A</v>
      </c>
      <c r="G498" s="29" t="s">
        <v>1032</v>
      </c>
      <c r="H498" s="29" t="s">
        <v>1033</v>
      </c>
      <c r="I498" s="29" t="s">
        <v>1034</v>
      </c>
      <c r="J498" s="29" t="s">
        <v>1035</v>
      </c>
      <c r="K498" s="29" t="s">
        <v>1416</v>
      </c>
      <c r="L498" s="250">
        <v>9</v>
      </c>
      <c r="M498" s="251"/>
    </row>
    <row r="499" ht="31" spans="1:13">
      <c r="A499" s="248" t="s">
        <v>4175</v>
      </c>
      <c r="B499" s="45" t="s">
        <v>4174</v>
      </c>
      <c r="C499" s="249" t="e">
        <f>VLOOKUP(D499,#REF!,2,0)</f>
        <v>#REF!</v>
      </c>
      <c r="D499" s="29" t="s">
        <v>1576</v>
      </c>
      <c r="E499" s="18" t="e">
        <f>VLOOKUP(C499,数据集标准分类!E:F,2,0)</f>
        <v>#REF!</v>
      </c>
      <c r="F499" s="29" t="e">
        <f>VLOOKUP(D499,数据集标准分类!G:H,2,0)</f>
        <v>#N/A</v>
      </c>
      <c r="G499" s="29" t="s">
        <v>1577</v>
      </c>
      <c r="H499" s="29" t="s">
        <v>1578</v>
      </c>
      <c r="I499" s="29" t="s">
        <v>1579</v>
      </c>
      <c r="J499" s="29" t="s">
        <v>1580</v>
      </c>
      <c r="K499" s="29" t="s">
        <v>1581</v>
      </c>
      <c r="L499" s="250">
        <v>10</v>
      </c>
      <c r="M499" s="251"/>
    </row>
    <row r="500" ht="31" spans="1:13">
      <c r="A500" s="248" t="s">
        <v>4175</v>
      </c>
      <c r="B500" s="45" t="s">
        <v>4174</v>
      </c>
      <c r="C500" s="249" t="e">
        <f>VLOOKUP(D500,#REF!,2,0)</f>
        <v>#REF!</v>
      </c>
      <c r="D500" s="29" t="s">
        <v>1582</v>
      </c>
      <c r="E500" s="18" t="e">
        <f>VLOOKUP(C500,数据集标准分类!E:F,2,0)</f>
        <v>#REF!</v>
      </c>
      <c r="F500" s="29" t="e">
        <f>VLOOKUP(D500,数据集标准分类!G:H,2,0)</f>
        <v>#N/A</v>
      </c>
      <c r="G500" s="29" t="s">
        <v>1583</v>
      </c>
      <c r="H500" s="29" t="s">
        <v>1584</v>
      </c>
      <c r="I500" s="29" t="s">
        <v>1585</v>
      </c>
      <c r="J500" s="29" t="s">
        <v>1586</v>
      </c>
      <c r="K500" s="29" t="s">
        <v>1587</v>
      </c>
      <c r="L500" s="250">
        <v>1</v>
      </c>
      <c r="M500" s="251"/>
    </row>
    <row r="501" ht="31" spans="1:13">
      <c r="A501" s="248" t="s">
        <v>4175</v>
      </c>
      <c r="B501" s="45" t="s">
        <v>4174</v>
      </c>
      <c r="C501" s="249" t="e">
        <f>VLOOKUP(D501,#REF!,2,0)</f>
        <v>#REF!</v>
      </c>
      <c r="D501" s="29" t="s">
        <v>1582</v>
      </c>
      <c r="E501" s="18" t="e">
        <f>VLOOKUP(C501,数据集标准分类!E:F,2,0)</f>
        <v>#REF!</v>
      </c>
      <c r="F501" s="29" t="e">
        <f>VLOOKUP(D501,数据集标准分类!G:H,2,0)</f>
        <v>#N/A</v>
      </c>
      <c r="G501" s="29" t="s">
        <v>1588</v>
      </c>
      <c r="H501" s="29" t="s">
        <v>1589</v>
      </c>
      <c r="I501" s="29" t="s">
        <v>1590</v>
      </c>
      <c r="J501" s="29" t="s">
        <v>1591</v>
      </c>
      <c r="K501" s="29" t="s">
        <v>1445</v>
      </c>
      <c r="L501" s="250">
        <v>2</v>
      </c>
      <c r="M501" s="251"/>
    </row>
    <row r="502" ht="46" spans="1:13">
      <c r="A502" s="248" t="s">
        <v>4175</v>
      </c>
      <c r="B502" s="45" t="s">
        <v>4174</v>
      </c>
      <c r="C502" s="249" t="e">
        <f>VLOOKUP(D502,#REF!,2,0)</f>
        <v>#REF!</v>
      </c>
      <c r="D502" s="29" t="s">
        <v>1582</v>
      </c>
      <c r="E502" s="18" t="e">
        <f>VLOOKUP(C502,数据集标准分类!E:F,2,0)</f>
        <v>#REF!</v>
      </c>
      <c r="F502" s="29" t="e">
        <f>VLOOKUP(D502,数据集标准分类!G:H,2,0)</f>
        <v>#N/A</v>
      </c>
      <c r="G502" s="29" t="s">
        <v>1592</v>
      </c>
      <c r="H502" s="29" t="s">
        <v>1593</v>
      </c>
      <c r="I502" s="29" t="s">
        <v>1594</v>
      </c>
      <c r="J502" s="29" t="s">
        <v>1595</v>
      </c>
      <c r="K502" s="29" t="s">
        <v>1596</v>
      </c>
      <c r="L502" s="250">
        <v>3</v>
      </c>
      <c r="M502" s="251"/>
    </row>
    <row r="503" ht="46" spans="1:13">
      <c r="A503" s="248" t="s">
        <v>4175</v>
      </c>
      <c r="B503" s="45" t="s">
        <v>4174</v>
      </c>
      <c r="C503" s="249" t="e">
        <f>VLOOKUP(D503,#REF!,2,0)</f>
        <v>#REF!</v>
      </c>
      <c r="D503" s="29" t="s">
        <v>1582</v>
      </c>
      <c r="E503" s="18" t="e">
        <f>VLOOKUP(C503,数据集标准分类!E:F,2,0)</f>
        <v>#REF!</v>
      </c>
      <c r="F503" s="29" t="e">
        <f>VLOOKUP(D503,数据集标准分类!G:H,2,0)</f>
        <v>#N/A</v>
      </c>
      <c r="G503" s="29" t="s">
        <v>1597</v>
      </c>
      <c r="H503" s="29" t="s">
        <v>1598</v>
      </c>
      <c r="I503" s="29" t="s">
        <v>1599</v>
      </c>
      <c r="J503" s="29" t="s">
        <v>1600</v>
      </c>
      <c r="K503" s="29" t="s">
        <v>1601</v>
      </c>
      <c r="L503" s="250">
        <v>4</v>
      </c>
      <c r="M503" s="251"/>
    </row>
    <row r="504" ht="46" spans="1:13">
      <c r="A504" s="248" t="s">
        <v>4175</v>
      </c>
      <c r="B504" s="45" t="s">
        <v>4174</v>
      </c>
      <c r="C504" s="249" t="e">
        <f>VLOOKUP(D504,#REF!,2,0)</f>
        <v>#REF!</v>
      </c>
      <c r="D504" s="29" t="s">
        <v>1582</v>
      </c>
      <c r="E504" s="18" t="e">
        <f>VLOOKUP(C504,数据集标准分类!E:F,2,0)</f>
        <v>#REF!</v>
      </c>
      <c r="F504" s="29" t="e">
        <f>VLOOKUP(D504,数据集标准分类!G:H,2,0)</f>
        <v>#N/A</v>
      </c>
      <c r="G504" s="29" t="s">
        <v>192</v>
      </c>
      <c r="H504" s="29" t="s">
        <v>193</v>
      </c>
      <c r="I504" s="29" t="s">
        <v>194</v>
      </c>
      <c r="J504" s="29" t="s">
        <v>195</v>
      </c>
      <c r="K504" s="29" t="s">
        <v>385</v>
      </c>
      <c r="L504" s="250">
        <v>5</v>
      </c>
      <c r="M504" s="251"/>
    </row>
    <row r="505" ht="16.8" spans="1:13">
      <c r="A505" s="248" t="s">
        <v>4175</v>
      </c>
      <c r="B505" s="45" t="s">
        <v>4174</v>
      </c>
      <c r="C505" s="249" t="e">
        <f>VLOOKUP(D505,#REF!,2,0)</f>
        <v>#REF!</v>
      </c>
      <c r="D505" s="29" t="s">
        <v>1582</v>
      </c>
      <c r="E505" s="18" t="e">
        <f>VLOOKUP(C505,数据集标准分类!E:F,2,0)</f>
        <v>#REF!</v>
      </c>
      <c r="F505" s="29" t="e">
        <f>VLOOKUP(D505,数据集标准分类!G:H,2,0)</f>
        <v>#N/A</v>
      </c>
      <c r="G505" s="29" t="s">
        <v>396</v>
      </c>
      <c r="H505" s="29" t="s">
        <v>397</v>
      </c>
      <c r="I505" s="29" t="s">
        <v>398</v>
      </c>
      <c r="J505" s="29" t="s">
        <v>399</v>
      </c>
      <c r="K505" s="29" t="s">
        <v>1260</v>
      </c>
      <c r="L505" s="250">
        <v>6</v>
      </c>
      <c r="M505" s="251"/>
    </row>
    <row r="506" ht="61" spans="1:13">
      <c r="A506" s="248" t="s">
        <v>4175</v>
      </c>
      <c r="B506" s="45" t="s">
        <v>4174</v>
      </c>
      <c r="C506" s="249" t="e">
        <f>VLOOKUP(D506,#REF!,2,0)</f>
        <v>#REF!</v>
      </c>
      <c r="D506" s="29" t="s">
        <v>1582</v>
      </c>
      <c r="E506" s="18" t="e">
        <f>VLOOKUP(C506,数据集标准分类!E:F,2,0)</f>
        <v>#REF!</v>
      </c>
      <c r="F506" s="29" t="e">
        <f>VLOOKUP(D506,数据集标准分类!G:H,2,0)</f>
        <v>#N/A</v>
      </c>
      <c r="G506" s="29" t="s">
        <v>391</v>
      </c>
      <c r="H506" s="29" t="s">
        <v>392</v>
      </c>
      <c r="I506" s="29" t="s">
        <v>393</v>
      </c>
      <c r="J506" s="29" t="s">
        <v>394</v>
      </c>
      <c r="K506" s="29" t="s">
        <v>395</v>
      </c>
      <c r="L506" s="250">
        <v>7</v>
      </c>
      <c r="M506" s="251"/>
    </row>
    <row r="507" ht="16.8" spans="1:13">
      <c r="A507" s="248" t="s">
        <v>4175</v>
      </c>
      <c r="B507" s="45" t="s">
        <v>4174</v>
      </c>
      <c r="C507" s="249" t="e">
        <f>VLOOKUP(D507,#REF!,2,0)</f>
        <v>#REF!</v>
      </c>
      <c r="D507" s="29" t="s">
        <v>1582</v>
      </c>
      <c r="E507" s="18" t="e">
        <f>VLOOKUP(C507,数据集标准分类!E:F,2,0)</f>
        <v>#REF!</v>
      </c>
      <c r="F507" s="29" t="e">
        <f>VLOOKUP(D507,数据集标准分类!G:H,2,0)</f>
        <v>#N/A</v>
      </c>
      <c r="G507" s="29" t="s">
        <v>1261</v>
      </c>
      <c r="H507" s="29" t="s">
        <v>1262</v>
      </c>
      <c r="I507" s="29" t="s">
        <v>1263</v>
      </c>
      <c r="J507" s="29" t="s">
        <v>1264</v>
      </c>
      <c r="K507" s="29" t="s">
        <v>1429</v>
      </c>
      <c r="L507" s="250">
        <v>8</v>
      </c>
      <c r="M507" s="251"/>
    </row>
    <row r="508" ht="31" spans="1:13">
      <c r="A508" s="248" t="s">
        <v>4175</v>
      </c>
      <c r="B508" s="45" t="s">
        <v>4174</v>
      </c>
      <c r="C508" s="249" t="e">
        <f>VLOOKUP(D508,#REF!,2,0)</f>
        <v>#REF!</v>
      </c>
      <c r="D508" s="29" t="s">
        <v>1582</v>
      </c>
      <c r="E508" s="18" t="e">
        <f>VLOOKUP(C508,数据集标准分类!E:F,2,0)</f>
        <v>#REF!</v>
      </c>
      <c r="F508" s="29" t="e">
        <f>VLOOKUP(D508,数据集标准分类!G:H,2,0)</f>
        <v>#N/A</v>
      </c>
      <c r="G508" s="29" t="s">
        <v>1266</v>
      </c>
      <c r="H508" s="29" t="s">
        <v>1267</v>
      </c>
      <c r="I508" s="29" t="s">
        <v>1268</v>
      </c>
      <c r="J508" s="29" t="s">
        <v>1269</v>
      </c>
      <c r="K508" s="29" t="s">
        <v>1270</v>
      </c>
      <c r="L508" s="250">
        <v>9</v>
      </c>
      <c r="M508" s="251"/>
    </row>
    <row r="509" ht="28.5" customHeight="1" spans="1:13">
      <c r="A509" s="248" t="s">
        <v>4175</v>
      </c>
      <c r="B509" s="45" t="s">
        <v>4174</v>
      </c>
      <c r="C509" s="249" t="e">
        <f>VLOOKUP(D509,#REF!,2,0)</f>
        <v>#REF!</v>
      </c>
      <c r="D509" s="29" t="s">
        <v>1582</v>
      </c>
      <c r="E509" s="18" t="e">
        <f>VLOOKUP(C509,数据集标准分类!E:F,2,0)</f>
        <v>#REF!</v>
      </c>
      <c r="F509" s="29" t="e">
        <f>VLOOKUP(D509,数据集标准分类!G:H,2,0)</f>
        <v>#N/A</v>
      </c>
      <c r="G509" s="29" t="s">
        <v>1602</v>
      </c>
      <c r="H509" s="29" t="s">
        <v>1603</v>
      </c>
      <c r="I509" s="29" t="s">
        <v>1604</v>
      </c>
      <c r="J509" s="29" t="s">
        <v>1605</v>
      </c>
      <c r="K509" s="29" t="s">
        <v>1606</v>
      </c>
      <c r="L509" s="250">
        <v>10</v>
      </c>
      <c r="M509" s="251"/>
    </row>
    <row r="510" ht="16.8" spans="1:13">
      <c r="A510" s="248" t="s">
        <v>4175</v>
      </c>
      <c r="B510" s="45" t="s">
        <v>4174</v>
      </c>
      <c r="C510" s="249" t="e">
        <f>VLOOKUP(D510,#REF!,2,0)</f>
        <v>#REF!</v>
      </c>
      <c r="D510" s="29" t="s">
        <v>1582</v>
      </c>
      <c r="E510" s="18" t="e">
        <f>VLOOKUP(C510,数据集标准分类!E:F,2,0)</f>
        <v>#REF!</v>
      </c>
      <c r="F510" s="29" t="e">
        <f>VLOOKUP(D510,数据集标准分类!G:H,2,0)</f>
        <v>#N/A</v>
      </c>
      <c r="G510" s="29" t="s">
        <v>1435</v>
      </c>
      <c r="H510" s="29" t="s">
        <v>1436</v>
      </c>
      <c r="I510" s="29" t="s">
        <v>1437</v>
      </c>
      <c r="J510" s="29" t="s">
        <v>1438</v>
      </c>
      <c r="K510" s="29" t="s">
        <v>1439</v>
      </c>
      <c r="L510" s="250">
        <v>11</v>
      </c>
      <c r="M510" s="251"/>
    </row>
    <row r="511" ht="72" customHeight="1" spans="1:13">
      <c r="A511" s="248" t="s">
        <v>4175</v>
      </c>
      <c r="B511" s="45" t="s">
        <v>4174</v>
      </c>
      <c r="C511" s="249" t="e">
        <f>VLOOKUP(D511,#REF!,2,0)</f>
        <v>#REF!</v>
      </c>
      <c r="D511" s="29" t="s">
        <v>1582</v>
      </c>
      <c r="E511" s="18" t="e">
        <f>VLOOKUP(C511,数据集标准分类!E:F,2,0)</f>
        <v>#REF!</v>
      </c>
      <c r="F511" s="29" t="e">
        <f>VLOOKUP(D511,数据集标准分类!G:H,2,0)</f>
        <v>#N/A</v>
      </c>
      <c r="G511" s="29" t="s">
        <v>1607</v>
      </c>
      <c r="H511" s="29" t="s">
        <v>1608</v>
      </c>
      <c r="I511" s="29" t="s">
        <v>1609</v>
      </c>
      <c r="J511" s="29" t="s">
        <v>1610</v>
      </c>
      <c r="K511" s="29" t="s">
        <v>1611</v>
      </c>
      <c r="L511" s="250">
        <v>12</v>
      </c>
      <c r="M511" s="251"/>
    </row>
    <row r="512" ht="31" spans="1:13">
      <c r="A512" s="248" t="s">
        <v>4175</v>
      </c>
      <c r="B512" s="45" t="s">
        <v>4174</v>
      </c>
      <c r="C512" s="249" t="e">
        <f>VLOOKUP(D512,#REF!,2,0)</f>
        <v>#REF!</v>
      </c>
      <c r="D512" s="29" t="s">
        <v>1582</v>
      </c>
      <c r="E512" s="18" t="e">
        <f>VLOOKUP(C512,数据集标准分类!E:F,2,0)</f>
        <v>#REF!</v>
      </c>
      <c r="F512" s="29" t="e">
        <f>VLOOKUP(D512,数据集标准分类!G:H,2,0)</f>
        <v>#N/A</v>
      </c>
      <c r="G512" s="29" t="s">
        <v>1612</v>
      </c>
      <c r="H512" s="29" t="s">
        <v>1613</v>
      </c>
      <c r="I512" s="29" t="s">
        <v>1614</v>
      </c>
      <c r="J512" s="29" t="s">
        <v>1615</v>
      </c>
      <c r="K512" s="29" t="s">
        <v>1616</v>
      </c>
      <c r="L512" s="250">
        <v>13</v>
      </c>
      <c r="M512" s="251"/>
    </row>
    <row r="513" ht="28.5" customHeight="1" spans="1:13">
      <c r="A513" s="248" t="s">
        <v>4175</v>
      </c>
      <c r="B513" s="45" t="s">
        <v>4174</v>
      </c>
      <c r="C513" s="249" t="e">
        <f>VLOOKUP(D513,#REF!,2,0)</f>
        <v>#REF!</v>
      </c>
      <c r="D513" s="29" t="s">
        <v>1582</v>
      </c>
      <c r="E513" s="18" t="e">
        <f>VLOOKUP(C513,数据集标准分类!E:F,2,0)</f>
        <v>#REF!</v>
      </c>
      <c r="F513" s="29" t="e">
        <f>VLOOKUP(D513,数据集标准分类!G:H,2,0)</f>
        <v>#N/A</v>
      </c>
      <c r="G513" s="29" t="s">
        <v>1617</v>
      </c>
      <c r="H513" s="29" t="s">
        <v>1618</v>
      </c>
      <c r="I513" s="29" t="s">
        <v>1619</v>
      </c>
      <c r="J513" s="29" t="s">
        <v>1620</v>
      </c>
      <c r="K513" s="29" t="s">
        <v>1621</v>
      </c>
      <c r="L513" s="250">
        <v>14</v>
      </c>
      <c r="M513" s="251"/>
    </row>
    <row r="514" ht="16.8" spans="1:13">
      <c r="A514" s="248" t="s">
        <v>4175</v>
      </c>
      <c r="B514" s="45" t="s">
        <v>4174</v>
      </c>
      <c r="C514" s="249" t="e">
        <f>VLOOKUP(D514,#REF!,2,0)</f>
        <v>#REF!</v>
      </c>
      <c r="D514" s="29" t="s">
        <v>1582</v>
      </c>
      <c r="E514" s="18" t="e">
        <f>VLOOKUP(C514,数据集标准分类!E:F,2,0)</f>
        <v>#REF!</v>
      </c>
      <c r="F514" s="29" t="e">
        <f>VLOOKUP(D514,数据集标准分类!G:H,2,0)</f>
        <v>#N/A</v>
      </c>
      <c r="G514" s="29" t="s">
        <v>1622</v>
      </c>
      <c r="H514" s="29" t="s">
        <v>1623</v>
      </c>
      <c r="I514" s="29" t="s">
        <v>1624</v>
      </c>
      <c r="J514" s="29" t="s">
        <v>1625</v>
      </c>
      <c r="K514" s="29" t="s">
        <v>1626</v>
      </c>
      <c r="L514" s="250">
        <v>15</v>
      </c>
      <c r="M514" s="251"/>
    </row>
    <row r="515" ht="31" spans="1:13">
      <c r="A515" s="248" t="s">
        <v>4175</v>
      </c>
      <c r="B515" s="45" t="s">
        <v>4174</v>
      </c>
      <c r="C515" s="249" t="e">
        <f>VLOOKUP(D515,#REF!,2,0)</f>
        <v>#REF!</v>
      </c>
      <c r="D515" s="29" t="s">
        <v>1582</v>
      </c>
      <c r="E515" s="18" t="e">
        <f>VLOOKUP(C515,数据集标准分类!E:F,2,0)</f>
        <v>#REF!</v>
      </c>
      <c r="F515" s="29" t="e">
        <f>VLOOKUP(D515,数据集标准分类!G:H,2,0)</f>
        <v>#N/A</v>
      </c>
      <c r="G515" s="29" t="s">
        <v>1627</v>
      </c>
      <c r="H515" s="29" t="s">
        <v>1628</v>
      </c>
      <c r="I515" s="29" t="s">
        <v>1629</v>
      </c>
      <c r="J515" s="29" t="s">
        <v>1630</v>
      </c>
      <c r="K515" s="29" t="s">
        <v>1631</v>
      </c>
      <c r="L515" s="250">
        <v>16</v>
      </c>
      <c r="M515" s="251"/>
    </row>
    <row r="516" ht="31" spans="1:13">
      <c r="A516" s="248" t="s">
        <v>4175</v>
      </c>
      <c r="B516" s="45" t="s">
        <v>4174</v>
      </c>
      <c r="C516" s="249" t="e">
        <f>VLOOKUP(D516,#REF!,2,0)</f>
        <v>#REF!</v>
      </c>
      <c r="D516" s="29" t="s">
        <v>1582</v>
      </c>
      <c r="E516" s="18" t="e">
        <f>VLOOKUP(C516,数据集标准分类!E:F,2,0)</f>
        <v>#REF!</v>
      </c>
      <c r="F516" s="29" t="e">
        <f>VLOOKUP(D516,数据集标准分类!G:H,2,0)</f>
        <v>#N/A</v>
      </c>
      <c r="G516" s="29" t="s">
        <v>1632</v>
      </c>
      <c r="H516" s="29" t="s">
        <v>1633</v>
      </c>
      <c r="I516" s="29" t="s">
        <v>1634</v>
      </c>
      <c r="J516" s="29" t="s">
        <v>1635</v>
      </c>
      <c r="K516" s="29" t="s">
        <v>1636</v>
      </c>
      <c r="L516" s="250">
        <v>17</v>
      </c>
      <c r="M516" s="251"/>
    </row>
    <row r="517" ht="46" spans="1:13">
      <c r="A517" s="248" t="s">
        <v>4175</v>
      </c>
      <c r="B517" s="45" t="s">
        <v>4174</v>
      </c>
      <c r="C517" s="249" t="e">
        <f>VLOOKUP(D517,#REF!,2,0)</f>
        <v>#REF!</v>
      </c>
      <c r="D517" s="29" t="s">
        <v>1582</v>
      </c>
      <c r="E517" s="18" t="e">
        <f>VLOOKUP(C517,数据集标准分类!E:F,2,0)</f>
        <v>#REF!</v>
      </c>
      <c r="F517" s="29" t="e">
        <f>VLOOKUP(D517,数据集标准分类!G:H,2,0)</f>
        <v>#N/A</v>
      </c>
      <c r="G517" s="29" t="s">
        <v>1359</v>
      </c>
      <c r="H517" s="29" t="s">
        <v>1360</v>
      </c>
      <c r="I517" s="29" t="s">
        <v>1361</v>
      </c>
      <c r="J517" s="29" t="s">
        <v>1362</v>
      </c>
      <c r="K517" s="29" t="s">
        <v>1363</v>
      </c>
      <c r="L517" s="250">
        <v>18</v>
      </c>
      <c r="M517" s="251"/>
    </row>
    <row r="518" ht="16.8" spans="1:13">
      <c r="A518" s="248" t="s">
        <v>4175</v>
      </c>
      <c r="B518" s="45" t="s">
        <v>4174</v>
      </c>
      <c r="C518" s="249" t="e">
        <f>VLOOKUP(D518,#REF!,2,0)</f>
        <v>#REF!</v>
      </c>
      <c r="D518" s="29" t="s">
        <v>1582</v>
      </c>
      <c r="E518" s="18" t="e">
        <f>VLOOKUP(C518,数据集标准分类!E:F,2,0)</f>
        <v>#REF!</v>
      </c>
      <c r="F518" s="29" t="e">
        <f>VLOOKUP(D518,数据集标准分类!G:H,2,0)</f>
        <v>#N/A</v>
      </c>
      <c r="G518" s="29" t="s">
        <v>1637</v>
      </c>
      <c r="H518" s="29" t="s">
        <v>1638</v>
      </c>
      <c r="I518" s="29" t="s">
        <v>1639</v>
      </c>
      <c r="J518" s="29" t="s">
        <v>1640</v>
      </c>
      <c r="K518" s="29" t="s">
        <v>1641</v>
      </c>
      <c r="L518" s="250">
        <v>19</v>
      </c>
      <c r="M518" s="251"/>
    </row>
    <row r="519" ht="16.8" spans="1:13">
      <c r="A519" s="248" t="s">
        <v>4175</v>
      </c>
      <c r="B519" s="45" t="s">
        <v>4174</v>
      </c>
      <c r="C519" s="249" t="e">
        <f>VLOOKUP(D519,#REF!,2,0)</f>
        <v>#REF!</v>
      </c>
      <c r="D519" s="29" t="s">
        <v>1582</v>
      </c>
      <c r="E519" s="18" t="e">
        <f>VLOOKUP(C519,数据集标准分类!E:F,2,0)</f>
        <v>#REF!</v>
      </c>
      <c r="F519" s="29" t="e">
        <f>VLOOKUP(D519,数据集标准分类!G:H,2,0)</f>
        <v>#N/A</v>
      </c>
      <c r="G519" s="65" t="s">
        <v>1642</v>
      </c>
      <c r="H519" s="29" t="s">
        <v>1643</v>
      </c>
      <c r="I519" s="29" t="s">
        <v>1644</v>
      </c>
      <c r="J519" s="29" t="s">
        <v>1645</v>
      </c>
      <c r="K519" s="29" t="s">
        <v>1646</v>
      </c>
      <c r="L519" s="250">
        <v>20</v>
      </c>
      <c r="M519" s="251"/>
    </row>
    <row r="520" ht="31" spans="1:13">
      <c r="A520" s="248" t="s">
        <v>4175</v>
      </c>
      <c r="B520" s="45" t="s">
        <v>4174</v>
      </c>
      <c r="C520" s="249" t="e">
        <f>VLOOKUP(D520,#REF!,2,0)</f>
        <v>#REF!</v>
      </c>
      <c r="D520" s="29" t="s">
        <v>1582</v>
      </c>
      <c r="E520" s="18" t="e">
        <f>VLOOKUP(C520,数据集标准分类!E:F,2,0)</f>
        <v>#REF!</v>
      </c>
      <c r="F520" s="29" t="e">
        <f>VLOOKUP(D520,数据集标准分类!G:H,2,0)</f>
        <v>#N/A</v>
      </c>
      <c r="G520" s="29" t="s">
        <v>1647</v>
      </c>
      <c r="H520" s="29" t="s">
        <v>1648</v>
      </c>
      <c r="I520" s="29" t="s">
        <v>1649</v>
      </c>
      <c r="J520" s="29" t="s">
        <v>1650</v>
      </c>
      <c r="K520" s="29" t="s">
        <v>1651</v>
      </c>
      <c r="L520" s="250">
        <v>21</v>
      </c>
      <c r="M520" s="251"/>
    </row>
    <row r="521" ht="31" spans="1:13">
      <c r="A521" s="248" t="s">
        <v>4175</v>
      </c>
      <c r="B521" s="45" t="s">
        <v>4174</v>
      </c>
      <c r="C521" s="249" t="e">
        <f>VLOOKUP(D521,#REF!,2,0)</f>
        <v>#REF!</v>
      </c>
      <c r="D521" s="29" t="s">
        <v>1582</v>
      </c>
      <c r="E521" s="18" t="e">
        <f>VLOOKUP(C521,数据集标准分类!E:F,2,0)</f>
        <v>#REF!</v>
      </c>
      <c r="F521" s="29" t="e">
        <f>VLOOKUP(D521,数据集标准分类!G:H,2,0)</f>
        <v>#N/A</v>
      </c>
      <c r="G521" s="29" t="s">
        <v>1652</v>
      </c>
      <c r="H521" s="29" t="s">
        <v>1653</v>
      </c>
      <c r="I521" s="29" t="s">
        <v>1654</v>
      </c>
      <c r="J521" s="29" t="s">
        <v>1655</v>
      </c>
      <c r="K521" s="29" t="s">
        <v>1656</v>
      </c>
      <c r="L521" s="250">
        <v>22</v>
      </c>
      <c r="M521" s="251"/>
    </row>
    <row r="522" ht="31" spans="1:13">
      <c r="A522" s="248" t="s">
        <v>4175</v>
      </c>
      <c r="B522" s="45" t="s">
        <v>4174</v>
      </c>
      <c r="C522" s="249" t="e">
        <f>VLOOKUP(D522,#REF!,2,0)</f>
        <v>#REF!</v>
      </c>
      <c r="D522" s="29" t="s">
        <v>1582</v>
      </c>
      <c r="E522" s="18" t="e">
        <f>VLOOKUP(C522,数据集标准分类!E:F,2,0)</f>
        <v>#REF!</v>
      </c>
      <c r="F522" s="29" t="e">
        <f>VLOOKUP(D522,数据集标准分类!G:H,2,0)</f>
        <v>#N/A</v>
      </c>
      <c r="G522" s="29" t="s">
        <v>1657</v>
      </c>
      <c r="H522" s="29" t="s">
        <v>1658</v>
      </c>
      <c r="I522" s="29" t="s">
        <v>1659</v>
      </c>
      <c r="J522" s="29" t="s">
        <v>1660</v>
      </c>
      <c r="K522" s="29" t="s">
        <v>1661</v>
      </c>
      <c r="L522" s="250">
        <v>23</v>
      </c>
      <c r="M522" s="251"/>
    </row>
    <row r="523" ht="31" spans="1:13">
      <c r="A523" s="248" t="s">
        <v>4175</v>
      </c>
      <c r="B523" s="45" t="s">
        <v>4174</v>
      </c>
      <c r="C523" s="249" t="e">
        <f>VLOOKUP(D523,#REF!,2,0)</f>
        <v>#REF!</v>
      </c>
      <c r="D523" s="29" t="s">
        <v>1582</v>
      </c>
      <c r="E523" s="18" t="e">
        <f>VLOOKUP(C523,数据集标准分类!E:F,2,0)</f>
        <v>#REF!</v>
      </c>
      <c r="F523" s="29" t="e">
        <f>VLOOKUP(D523,数据集标准分类!G:H,2,0)</f>
        <v>#N/A</v>
      </c>
      <c r="G523" s="29" t="s">
        <v>1369</v>
      </c>
      <c r="H523" s="29" t="s">
        <v>1370</v>
      </c>
      <c r="I523" s="29" t="s">
        <v>1371</v>
      </c>
      <c r="J523" s="29" t="s">
        <v>1372</v>
      </c>
      <c r="K523" s="29" t="s">
        <v>1373</v>
      </c>
      <c r="L523" s="250">
        <v>24</v>
      </c>
      <c r="M523" s="251"/>
    </row>
    <row r="524" ht="46" spans="1:13">
      <c r="A524" s="248" t="s">
        <v>4175</v>
      </c>
      <c r="B524" s="45" t="s">
        <v>4174</v>
      </c>
      <c r="C524" s="249" t="e">
        <f>VLOOKUP(D524,#REF!,2,0)</f>
        <v>#REF!</v>
      </c>
      <c r="D524" s="29" t="s">
        <v>1582</v>
      </c>
      <c r="E524" s="18" t="e">
        <f>VLOOKUP(C524,数据集标准分类!E:F,2,0)</f>
        <v>#REF!</v>
      </c>
      <c r="F524" s="29" t="e">
        <f>VLOOKUP(D524,数据集标准分类!G:H,2,0)</f>
        <v>#N/A</v>
      </c>
      <c r="G524" s="29" t="s">
        <v>245</v>
      </c>
      <c r="H524" s="29" t="s">
        <v>246</v>
      </c>
      <c r="I524" s="29" t="s">
        <v>247</v>
      </c>
      <c r="J524" s="29" t="s">
        <v>248</v>
      </c>
      <c r="K524" s="29" t="s">
        <v>249</v>
      </c>
      <c r="L524" s="250">
        <v>25</v>
      </c>
      <c r="M524" s="251"/>
    </row>
    <row r="525" ht="61" spans="1:13">
      <c r="A525" s="248" t="s">
        <v>4175</v>
      </c>
      <c r="B525" s="45" t="s">
        <v>4174</v>
      </c>
      <c r="C525" s="249" t="e">
        <f>VLOOKUP(D525,#REF!,2,0)</f>
        <v>#REF!</v>
      </c>
      <c r="D525" s="29" t="s">
        <v>1582</v>
      </c>
      <c r="E525" s="18" t="e">
        <f>VLOOKUP(C525,数据集标准分类!E:F,2,0)</f>
        <v>#REF!</v>
      </c>
      <c r="F525" s="29" t="e">
        <f>VLOOKUP(D525,数据集标准分类!G:H,2,0)</f>
        <v>#N/A</v>
      </c>
      <c r="G525" s="29" t="s">
        <v>401</v>
      </c>
      <c r="H525" s="29" t="s">
        <v>402</v>
      </c>
      <c r="I525" s="29" t="s">
        <v>403</v>
      </c>
      <c r="J525" s="29" t="s">
        <v>404</v>
      </c>
      <c r="K525" s="29" t="s">
        <v>405</v>
      </c>
      <c r="L525" s="250">
        <v>26</v>
      </c>
      <c r="M525" s="251"/>
    </row>
    <row r="526" ht="61" spans="1:13">
      <c r="A526" s="248" t="s">
        <v>4175</v>
      </c>
      <c r="B526" s="45" t="s">
        <v>4174</v>
      </c>
      <c r="C526" s="249" t="e">
        <f>VLOOKUP(D526,#REF!,2,0)</f>
        <v>#REF!</v>
      </c>
      <c r="D526" s="29" t="s">
        <v>1582</v>
      </c>
      <c r="E526" s="18" t="e">
        <f>VLOOKUP(C526,数据集标准分类!E:F,2,0)</f>
        <v>#REF!</v>
      </c>
      <c r="F526" s="29" t="e">
        <f>VLOOKUP(D526,数据集标准分类!G:H,2,0)</f>
        <v>#N/A</v>
      </c>
      <c r="G526" s="29" t="s">
        <v>406</v>
      </c>
      <c r="H526" s="29" t="s">
        <v>407</v>
      </c>
      <c r="I526" s="29" t="s">
        <v>408</v>
      </c>
      <c r="J526" s="29" t="s">
        <v>409</v>
      </c>
      <c r="K526" s="29" t="s">
        <v>410</v>
      </c>
      <c r="L526" s="250">
        <v>27</v>
      </c>
      <c r="M526" s="251"/>
    </row>
    <row r="527" ht="46" spans="1:13">
      <c r="A527" s="248" t="s">
        <v>4175</v>
      </c>
      <c r="B527" s="45" t="s">
        <v>4174</v>
      </c>
      <c r="C527" s="249" t="e">
        <f>VLOOKUP(D527,#REF!,2,0)</f>
        <v>#REF!</v>
      </c>
      <c r="D527" s="29" t="s">
        <v>1582</v>
      </c>
      <c r="E527" s="18" t="e">
        <f>VLOOKUP(C527,数据集标准分类!E:F,2,0)</f>
        <v>#REF!</v>
      </c>
      <c r="F527" s="29" t="e">
        <f>VLOOKUP(D527,数据集标准分类!G:H,2,0)</f>
        <v>#N/A</v>
      </c>
      <c r="G527" s="29" t="s">
        <v>421</v>
      </c>
      <c r="H527" s="29" t="s">
        <v>422</v>
      </c>
      <c r="I527" s="29" t="s">
        <v>423</v>
      </c>
      <c r="J527" s="29" t="s">
        <v>424</v>
      </c>
      <c r="K527" s="29" t="s">
        <v>425</v>
      </c>
      <c r="L527" s="250">
        <v>28</v>
      </c>
      <c r="M527" s="251"/>
    </row>
    <row r="528" ht="46" spans="1:13">
      <c r="A528" s="248" t="s">
        <v>4175</v>
      </c>
      <c r="B528" s="45" t="s">
        <v>4174</v>
      </c>
      <c r="C528" s="249" t="e">
        <f>VLOOKUP(D528,#REF!,2,0)</f>
        <v>#REF!</v>
      </c>
      <c r="D528" s="29" t="s">
        <v>1720</v>
      </c>
      <c r="E528" s="18" t="e">
        <f>VLOOKUP(C528,数据集标准分类!E:F,2,0)</f>
        <v>#REF!</v>
      </c>
      <c r="F528" s="29" t="e">
        <f>VLOOKUP(D528,数据集标准分类!G:H,2,0)</f>
        <v>#N/A</v>
      </c>
      <c r="G528" s="29" t="s">
        <v>1139</v>
      </c>
      <c r="H528" s="29" t="s">
        <v>1140</v>
      </c>
      <c r="I528" s="29" t="s">
        <v>1141</v>
      </c>
      <c r="J528" s="29" t="s">
        <v>1142</v>
      </c>
      <c r="K528" s="29" t="s">
        <v>1721</v>
      </c>
      <c r="L528" s="250">
        <v>1</v>
      </c>
      <c r="M528" s="251"/>
    </row>
    <row r="529" ht="46" spans="1:13">
      <c r="A529" s="248" t="s">
        <v>4175</v>
      </c>
      <c r="B529" s="45" t="s">
        <v>4174</v>
      </c>
      <c r="C529" s="249" t="e">
        <f>VLOOKUP(D529,#REF!,2,0)</f>
        <v>#REF!</v>
      </c>
      <c r="D529" s="29" t="s">
        <v>1720</v>
      </c>
      <c r="E529" s="18" t="e">
        <f>VLOOKUP(C529,数据集标准分类!E:F,2,0)</f>
        <v>#REF!</v>
      </c>
      <c r="F529" s="29" t="e">
        <f>VLOOKUP(D529,数据集标准分类!G:H,2,0)</f>
        <v>#N/A</v>
      </c>
      <c r="G529" s="29" t="s">
        <v>152</v>
      </c>
      <c r="H529" s="29" t="s">
        <v>153</v>
      </c>
      <c r="I529" s="29" t="s">
        <v>154</v>
      </c>
      <c r="J529" s="29" t="s">
        <v>155</v>
      </c>
      <c r="K529" s="29" t="s">
        <v>156</v>
      </c>
      <c r="L529" s="250">
        <v>2</v>
      </c>
      <c r="M529" s="251"/>
    </row>
    <row r="530" ht="31" spans="1:13">
      <c r="A530" s="248" t="s">
        <v>4175</v>
      </c>
      <c r="B530" s="45" t="s">
        <v>4174</v>
      </c>
      <c r="C530" s="249" t="e">
        <f>VLOOKUP(D530,#REF!,2,0)</f>
        <v>#REF!</v>
      </c>
      <c r="D530" s="29" t="s">
        <v>1720</v>
      </c>
      <c r="E530" s="18" t="e">
        <f>VLOOKUP(C530,数据集标准分类!E:F,2,0)</f>
        <v>#REF!</v>
      </c>
      <c r="F530" s="29" t="e">
        <f>VLOOKUP(D530,数据集标准分类!G:H,2,0)</f>
        <v>#N/A</v>
      </c>
      <c r="G530" s="29" t="s">
        <v>1583</v>
      </c>
      <c r="H530" s="29" t="s">
        <v>1584</v>
      </c>
      <c r="I530" s="29" t="s">
        <v>1585</v>
      </c>
      <c r="J530" s="29" t="s">
        <v>1586</v>
      </c>
      <c r="K530" s="29" t="s">
        <v>1587</v>
      </c>
      <c r="L530" s="250">
        <v>3</v>
      </c>
      <c r="M530" s="251"/>
    </row>
    <row r="531" ht="31" spans="1:13">
      <c r="A531" s="248" t="s">
        <v>4175</v>
      </c>
      <c r="B531" s="45" t="s">
        <v>4174</v>
      </c>
      <c r="C531" s="249" t="e">
        <f>VLOOKUP(D531,#REF!,2,0)</f>
        <v>#REF!</v>
      </c>
      <c r="D531" s="29" t="s">
        <v>1720</v>
      </c>
      <c r="E531" s="18" t="e">
        <f>VLOOKUP(C531,数据集标准分类!E:F,2,0)</f>
        <v>#REF!</v>
      </c>
      <c r="F531" s="29" t="e">
        <f>VLOOKUP(D531,数据集标准分类!G:H,2,0)</f>
        <v>#N/A</v>
      </c>
      <c r="G531" s="29" t="s">
        <v>192</v>
      </c>
      <c r="H531" s="29" t="s">
        <v>193</v>
      </c>
      <c r="I531" s="29" t="s">
        <v>194</v>
      </c>
      <c r="J531" s="29" t="s">
        <v>195</v>
      </c>
      <c r="K531" s="29" t="s">
        <v>1722</v>
      </c>
      <c r="L531" s="250">
        <v>4</v>
      </c>
      <c r="M531" s="251"/>
    </row>
    <row r="532" ht="16.8" spans="1:13">
      <c r="A532" s="248" t="s">
        <v>4175</v>
      </c>
      <c r="B532" s="45" t="s">
        <v>4174</v>
      </c>
      <c r="C532" s="249" t="e">
        <f>VLOOKUP(D532,#REF!,2,0)</f>
        <v>#REF!</v>
      </c>
      <c r="D532" s="29" t="s">
        <v>1720</v>
      </c>
      <c r="E532" s="18" t="e">
        <f>VLOOKUP(C532,数据集标准分类!E:F,2,0)</f>
        <v>#REF!</v>
      </c>
      <c r="F532" s="29" t="e">
        <f>VLOOKUP(D532,数据集标准分类!G:H,2,0)</f>
        <v>#N/A</v>
      </c>
      <c r="G532" s="29" t="s">
        <v>396</v>
      </c>
      <c r="H532" s="29" t="s">
        <v>397</v>
      </c>
      <c r="I532" s="29" t="s">
        <v>398</v>
      </c>
      <c r="J532" s="29" t="s">
        <v>399</v>
      </c>
      <c r="K532" s="29" t="s">
        <v>1260</v>
      </c>
      <c r="L532" s="250">
        <v>5</v>
      </c>
      <c r="M532" s="251"/>
    </row>
    <row r="533" ht="16.8" spans="1:13">
      <c r="A533" s="248" t="s">
        <v>4175</v>
      </c>
      <c r="B533" s="45" t="s">
        <v>4174</v>
      </c>
      <c r="C533" s="249" t="e">
        <f>VLOOKUP(D533,#REF!,2,0)</f>
        <v>#REF!</v>
      </c>
      <c r="D533" s="29" t="s">
        <v>1720</v>
      </c>
      <c r="E533" s="18" t="e">
        <f>VLOOKUP(C533,数据集标准分类!E:F,2,0)</f>
        <v>#REF!</v>
      </c>
      <c r="F533" s="29" t="e">
        <f>VLOOKUP(D533,数据集标准分类!G:H,2,0)</f>
        <v>#N/A</v>
      </c>
      <c r="G533" s="29" t="s">
        <v>1261</v>
      </c>
      <c r="H533" s="29" t="s">
        <v>1262</v>
      </c>
      <c r="I533" s="29" t="s">
        <v>1263</v>
      </c>
      <c r="J533" s="29" t="s">
        <v>1264</v>
      </c>
      <c r="K533" s="29" t="s">
        <v>1429</v>
      </c>
      <c r="L533" s="250">
        <v>6</v>
      </c>
      <c r="M533" s="251"/>
    </row>
    <row r="534" ht="46" spans="1:13">
      <c r="A534" s="248" t="s">
        <v>4175</v>
      </c>
      <c r="B534" s="45" t="s">
        <v>4174</v>
      </c>
      <c r="C534" s="249" t="e">
        <f>VLOOKUP(D534,#REF!,2,0)</f>
        <v>#REF!</v>
      </c>
      <c r="D534" s="29" t="s">
        <v>1720</v>
      </c>
      <c r="E534" s="18" t="e">
        <f>VLOOKUP(C534,数据集标准分类!E:F,2,0)</f>
        <v>#REF!</v>
      </c>
      <c r="F534" s="29" t="e">
        <f>VLOOKUP(D534,数据集标准分类!G:H,2,0)</f>
        <v>#N/A</v>
      </c>
      <c r="G534" s="29" t="s">
        <v>1430</v>
      </c>
      <c r="H534" s="29" t="s">
        <v>1431</v>
      </c>
      <c r="I534" s="29" t="s">
        <v>1432</v>
      </c>
      <c r="J534" s="29" t="s">
        <v>1433</v>
      </c>
      <c r="K534" s="29" t="s">
        <v>1723</v>
      </c>
      <c r="L534" s="250">
        <v>7</v>
      </c>
      <c r="M534" s="251"/>
    </row>
    <row r="535" ht="46" spans="1:13">
      <c r="A535" s="248" t="s">
        <v>4175</v>
      </c>
      <c r="B535" s="45" t="s">
        <v>4174</v>
      </c>
      <c r="C535" s="249" t="e">
        <f>VLOOKUP(D535,#REF!,2,0)</f>
        <v>#REF!</v>
      </c>
      <c r="D535" s="29" t="s">
        <v>1720</v>
      </c>
      <c r="E535" s="18" t="e">
        <f>VLOOKUP(C535,数据集标准分类!E:F,2,0)</f>
        <v>#REF!</v>
      </c>
      <c r="F535" s="29" t="e">
        <f>VLOOKUP(D535,数据集标准分类!G:H,2,0)</f>
        <v>#N/A</v>
      </c>
      <c r="G535" s="29" t="s">
        <v>421</v>
      </c>
      <c r="H535" s="29" t="s">
        <v>422</v>
      </c>
      <c r="I535" s="29" t="s">
        <v>423</v>
      </c>
      <c r="J535" s="29" t="s">
        <v>424</v>
      </c>
      <c r="K535" s="29" t="s">
        <v>1724</v>
      </c>
      <c r="L535" s="250">
        <v>8</v>
      </c>
      <c r="M535" s="251"/>
    </row>
    <row r="536" ht="16.8" spans="1:13">
      <c r="A536" s="248" t="s">
        <v>4175</v>
      </c>
      <c r="B536" s="45" t="s">
        <v>4174</v>
      </c>
      <c r="C536" s="249" t="e">
        <f>VLOOKUP(D536,#REF!,2,0)</f>
        <v>#REF!</v>
      </c>
      <c r="D536" s="29" t="s">
        <v>1720</v>
      </c>
      <c r="E536" s="18" t="e">
        <f>VLOOKUP(C536,数据集标准分类!E:F,2,0)</f>
        <v>#REF!</v>
      </c>
      <c r="F536" s="29" t="e">
        <f>VLOOKUP(D536,数据集标准分类!G:H,2,0)</f>
        <v>#N/A</v>
      </c>
      <c r="G536" s="29" t="s">
        <v>1725</v>
      </c>
      <c r="H536" s="29" t="s">
        <v>1726</v>
      </c>
      <c r="I536" s="29" t="s">
        <v>1727</v>
      </c>
      <c r="J536" s="29" t="s">
        <v>1728</v>
      </c>
      <c r="K536" s="29" t="s">
        <v>1729</v>
      </c>
      <c r="L536" s="250">
        <v>9</v>
      </c>
      <c r="M536" s="251"/>
    </row>
    <row r="537" ht="16.8" spans="1:13">
      <c r="A537" s="248" t="s">
        <v>4175</v>
      </c>
      <c r="B537" s="45" t="s">
        <v>4174</v>
      </c>
      <c r="C537" s="249" t="e">
        <f>VLOOKUP(D537,#REF!,2,0)</f>
        <v>#REF!</v>
      </c>
      <c r="D537" s="29" t="s">
        <v>1720</v>
      </c>
      <c r="E537" s="18" t="e">
        <f>VLOOKUP(C537,数据集标准分类!E:F,2,0)</f>
        <v>#REF!</v>
      </c>
      <c r="F537" s="29" t="e">
        <f>VLOOKUP(D537,数据集标准分类!G:H,2,0)</f>
        <v>#N/A</v>
      </c>
      <c r="G537" s="29" t="s">
        <v>1730</v>
      </c>
      <c r="H537" s="29" t="s">
        <v>1731</v>
      </c>
      <c r="I537" s="29" t="s">
        <v>1732</v>
      </c>
      <c r="J537" s="29" t="s">
        <v>1733</v>
      </c>
      <c r="K537" s="29" t="s">
        <v>1734</v>
      </c>
      <c r="L537" s="250">
        <v>10</v>
      </c>
      <c r="M537" s="251"/>
    </row>
    <row r="538" ht="31" spans="1:13">
      <c r="A538" s="248" t="s">
        <v>4175</v>
      </c>
      <c r="B538" s="45" t="s">
        <v>4174</v>
      </c>
      <c r="C538" s="249" t="e">
        <f>VLOOKUP(D538,#REF!,2,0)</f>
        <v>#REF!</v>
      </c>
      <c r="D538" s="29" t="s">
        <v>1720</v>
      </c>
      <c r="E538" s="18" t="e">
        <f>VLOOKUP(C538,数据集标准分类!E:F,2,0)</f>
        <v>#REF!</v>
      </c>
      <c r="F538" s="29" t="e">
        <f>VLOOKUP(D538,数据集标准分类!G:H,2,0)</f>
        <v>#N/A</v>
      </c>
      <c r="G538" s="29" t="s">
        <v>1678</v>
      </c>
      <c r="H538" s="29" t="s">
        <v>1679</v>
      </c>
      <c r="I538" s="29" t="s">
        <v>1680</v>
      </c>
      <c r="J538" s="29" t="s">
        <v>1681</v>
      </c>
      <c r="K538" s="29" t="s">
        <v>1735</v>
      </c>
      <c r="L538" s="250">
        <v>11</v>
      </c>
      <c r="M538" s="251"/>
    </row>
    <row r="539" ht="16.8" spans="1:13">
      <c r="A539" s="248" t="s">
        <v>4175</v>
      </c>
      <c r="B539" s="45" t="s">
        <v>4174</v>
      </c>
      <c r="C539" s="249" t="e">
        <f>VLOOKUP(D539,#REF!,2,0)</f>
        <v>#REF!</v>
      </c>
      <c r="D539" s="29" t="s">
        <v>1720</v>
      </c>
      <c r="E539" s="18" t="e">
        <f>VLOOKUP(C539,数据集标准分类!E:F,2,0)</f>
        <v>#REF!</v>
      </c>
      <c r="F539" s="29" t="e">
        <f>VLOOKUP(D539,数据集标准分类!G:H,2,0)</f>
        <v>#N/A</v>
      </c>
      <c r="G539" s="29" t="s">
        <v>1736</v>
      </c>
      <c r="H539" s="29" t="s">
        <v>1737</v>
      </c>
      <c r="I539" s="29" t="s">
        <v>1738</v>
      </c>
      <c r="J539" s="29" t="s">
        <v>1739</v>
      </c>
      <c r="K539" s="29" t="s">
        <v>1740</v>
      </c>
      <c r="L539" s="250">
        <v>12</v>
      </c>
      <c r="M539" s="251"/>
    </row>
    <row r="540" ht="31" spans="1:13">
      <c r="A540" s="248" t="s">
        <v>4175</v>
      </c>
      <c r="B540" s="45" t="s">
        <v>4174</v>
      </c>
      <c r="C540" s="249" t="e">
        <f>VLOOKUP(D540,#REF!,2,0)</f>
        <v>#REF!</v>
      </c>
      <c r="D540" s="29" t="s">
        <v>1720</v>
      </c>
      <c r="E540" s="18" t="e">
        <f>VLOOKUP(C540,数据集标准分类!E:F,2,0)</f>
        <v>#REF!</v>
      </c>
      <c r="F540" s="29" t="e">
        <f>VLOOKUP(D540,数据集标准分类!G:H,2,0)</f>
        <v>#N/A</v>
      </c>
      <c r="G540" s="29" t="s">
        <v>1446</v>
      </c>
      <c r="H540" s="29" t="s">
        <v>1447</v>
      </c>
      <c r="I540" s="29" t="s">
        <v>1448</v>
      </c>
      <c r="J540" s="29" t="s">
        <v>1449</v>
      </c>
      <c r="K540" s="29" t="s">
        <v>1196</v>
      </c>
      <c r="L540" s="250">
        <v>13</v>
      </c>
      <c r="M540" s="251"/>
    </row>
    <row r="541" ht="31" spans="1:13">
      <c r="A541" s="248" t="s">
        <v>4175</v>
      </c>
      <c r="B541" s="45" t="s">
        <v>4174</v>
      </c>
      <c r="C541" s="249" t="e">
        <f>VLOOKUP(D541,#REF!,2,0)</f>
        <v>#REF!</v>
      </c>
      <c r="D541" s="29" t="s">
        <v>1720</v>
      </c>
      <c r="E541" s="18" t="e">
        <f>VLOOKUP(C541,数据集标准分类!E:F,2,0)</f>
        <v>#REF!</v>
      </c>
      <c r="F541" s="29" t="e">
        <f>VLOOKUP(D541,数据集标准分类!G:H,2,0)</f>
        <v>#N/A</v>
      </c>
      <c r="G541" s="29" t="s">
        <v>1741</v>
      </c>
      <c r="H541" s="29" t="s">
        <v>1742</v>
      </c>
      <c r="I541" s="254" t="s">
        <v>1743</v>
      </c>
      <c r="J541" s="254" t="s">
        <v>1744</v>
      </c>
      <c r="K541" s="29" t="s">
        <v>1745</v>
      </c>
      <c r="L541" s="250">
        <v>14</v>
      </c>
      <c r="M541" s="251"/>
    </row>
    <row r="542" ht="31" spans="1:13">
      <c r="A542" s="248" t="s">
        <v>4175</v>
      </c>
      <c r="B542" s="45" t="s">
        <v>4174</v>
      </c>
      <c r="C542" s="249" t="e">
        <f>VLOOKUP(D542,#REF!,2,0)</f>
        <v>#REF!</v>
      </c>
      <c r="D542" s="29" t="s">
        <v>1720</v>
      </c>
      <c r="E542" s="18" t="e">
        <f>VLOOKUP(C542,数据集标准分类!E:F,2,0)</f>
        <v>#REF!</v>
      </c>
      <c r="F542" s="29" t="e">
        <f>VLOOKUP(D542,数据集标准分类!G:H,2,0)</f>
        <v>#N/A</v>
      </c>
      <c r="G542" s="29" t="s">
        <v>1746</v>
      </c>
      <c r="H542" s="255" t="s">
        <v>1747</v>
      </c>
      <c r="I542" s="29" t="s">
        <v>1748</v>
      </c>
      <c r="J542" s="29" t="s">
        <v>1749</v>
      </c>
      <c r="K542" s="256" t="s">
        <v>1750</v>
      </c>
      <c r="L542" s="250">
        <v>15</v>
      </c>
      <c r="M542" s="251"/>
    </row>
    <row r="543" ht="16.8" spans="1:13">
      <c r="A543" s="248" t="s">
        <v>4175</v>
      </c>
      <c r="B543" s="45" t="s">
        <v>4174</v>
      </c>
      <c r="C543" s="249" t="e">
        <f>VLOOKUP(D543,#REF!,2,0)</f>
        <v>#REF!</v>
      </c>
      <c r="D543" s="29" t="s">
        <v>1778</v>
      </c>
      <c r="E543" s="18" t="e">
        <f>VLOOKUP(C543,数据集标准分类!E:F,2,0)</f>
        <v>#REF!</v>
      </c>
      <c r="F543" s="29" t="e">
        <f>VLOOKUP(D543,数据集标准分类!G:H,2,0)</f>
        <v>#N/A</v>
      </c>
      <c r="G543" s="29" t="s">
        <v>1509</v>
      </c>
      <c r="H543" s="255" t="s">
        <v>1510</v>
      </c>
      <c r="I543" s="29" t="s">
        <v>1511</v>
      </c>
      <c r="J543" s="29" t="s">
        <v>1512</v>
      </c>
      <c r="K543" s="256" t="s">
        <v>1513</v>
      </c>
      <c r="L543" s="250">
        <v>1</v>
      </c>
      <c r="M543" s="251"/>
    </row>
    <row r="544" ht="31" spans="1:13">
      <c r="A544" s="248" t="s">
        <v>4175</v>
      </c>
      <c r="B544" s="45" t="s">
        <v>4174</v>
      </c>
      <c r="C544" s="249" t="e">
        <f>VLOOKUP(D544,#REF!,2,0)</f>
        <v>#REF!</v>
      </c>
      <c r="D544" s="29" t="s">
        <v>1778</v>
      </c>
      <c r="E544" s="18" t="e">
        <f>VLOOKUP(C544,数据集标准分类!E:F,2,0)</f>
        <v>#REF!</v>
      </c>
      <c r="F544" s="29" t="e">
        <f>VLOOKUP(D544,数据集标准分类!G:H,2,0)</f>
        <v>#N/A</v>
      </c>
      <c r="G544" s="29" t="s">
        <v>172</v>
      </c>
      <c r="H544" s="255" t="s">
        <v>173</v>
      </c>
      <c r="I544" s="29" t="s">
        <v>174</v>
      </c>
      <c r="J544" s="29" t="s">
        <v>175</v>
      </c>
      <c r="K544" s="256" t="s">
        <v>1587</v>
      </c>
      <c r="L544" s="250">
        <v>2</v>
      </c>
      <c r="M544" s="251"/>
    </row>
    <row r="545" ht="16.8" spans="1:13">
      <c r="A545" s="248" t="s">
        <v>4175</v>
      </c>
      <c r="B545" s="45" t="s">
        <v>4174</v>
      </c>
      <c r="C545" s="249" t="e">
        <f>VLOOKUP(D545,#REF!,2,0)</f>
        <v>#REF!</v>
      </c>
      <c r="D545" s="29" t="s">
        <v>1778</v>
      </c>
      <c r="E545" s="18" t="e">
        <f>VLOOKUP(C545,数据集标准分类!E:F,2,0)</f>
        <v>#REF!</v>
      </c>
      <c r="F545" s="29" t="e">
        <f>VLOOKUP(D545,数据集标准分类!G:H,2,0)</f>
        <v>#N/A</v>
      </c>
      <c r="G545" s="29" t="s">
        <v>1063</v>
      </c>
      <c r="H545" s="255" t="s">
        <v>1064</v>
      </c>
      <c r="I545" s="29" t="s">
        <v>1065</v>
      </c>
      <c r="J545" s="29" t="s">
        <v>1066</v>
      </c>
      <c r="K545" s="256" t="s">
        <v>1067</v>
      </c>
      <c r="L545" s="250">
        <v>3</v>
      </c>
      <c r="M545" s="251"/>
    </row>
    <row r="546" ht="31" spans="1:13">
      <c r="A546" s="248" t="s">
        <v>4175</v>
      </c>
      <c r="B546" s="45" t="s">
        <v>4174</v>
      </c>
      <c r="C546" s="249" t="e">
        <f>VLOOKUP(D546,#REF!,2,0)</f>
        <v>#REF!</v>
      </c>
      <c r="D546" s="29" t="s">
        <v>1778</v>
      </c>
      <c r="E546" s="18" t="e">
        <f>VLOOKUP(C546,数据集标准分类!E:F,2,0)</f>
        <v>#REF!</v>
      </c>
      <c r="F546" s="29" t="e">
        <f>VLOOKUP(D546,数据集标准分类!G:H,2,0)</f>
        <v>#N/A</v>
      </c>
      <c r="G546" s="29" t="s">
        <v>503</v>
      </c>
      <c r="H546" s="255" t="s">
        <v>504</v>
      </c>
      <c r="I546" s="29" t="s">
        <v>505</v>
      </c>
      <c r="J546" s="29" t="s">
        <v>506</v>
      </c>
      <c r="K546" s="256" t="s">
        <v>1779</v>
      </c>
      <c r="L546" s="250">
        <v>4</v>
      </c>
      <c r="M546" s="251"/>
    </row>
    <row r="547" ht="31" spans="1:13">
      <c r="A547" s="248" t="s">
        <v>4175</v>
      </c>
      <c r="B547" s="45" t="s">
        <v>4174</v>
      </c>
      <c r="C547" s="249" t="e">
        <f>VLOOKUP(D547,#REF!,2,0)</f>
        <v>#REF!</v>
      </c>
      <c r="D547" s="29" t="s">
        <v>1778</v>
      </c>
      <c r="E547" s="18" t="e">
        <f>VLOOKUP(C547,数据集标准分类!E:F,2,0)</f>
        <v>#REF!</v>
      </c>
      <c r="F547" s="29" t="e">
        <f>VLOOKUP(D547,数据集标准分类!G:H,2,0)</f>
        <v>#N/A</v>
      </c>
      <c r="G547" s="29" t="s">
        <v>508</v>
      </c>
      <c r="H547" s="29" t="s">
        <v>509</v>
      </c>
      <c r="I547" s="257" t="s">
        <v>510</v>
      </c>
      <c r="J547" s="257" t="s">
        <v>511</v>
      </c>
      <c r="K547" s="29" t="s">
        <v>116</v>
      </c>
      <c r="L547" s="250">
        <v>5</v>
      </c>
      <c r="M547" s="251"/>
    </row>
    <row r="548" ht="31" spans="1:13">
      <c r="A548" s="248" t="s">
        <v>4175</v>
      </c>
      <c r="B548" s="45" t="s">
        <v>4174</v>
      </c>
      <c r="C548" s="249" t="e">
        <f>VLOOKUP(D548,#REF!,2,0)</f>
        <v>#REF!</v>
      </c>
      <c r="D548" s="29" t="s">
        <v>1778</v>
      </c>
      <c r="E548" s="18" t="e">
        <f>VLOOKUP(C548,数据集标准分类!E:F,2,0)</f>
        <v>#REF!</v>
      </c>
      <c r="F548" s="29" t="e">
        <f>VLOOKUP(D548,数据集标准分类!G:H,2,0)</f>
        <v>#N/A</v>
      </c>
      <c r="G548" s="29" t="s">
        <v>779</v>
      </c>
      <c r="H548" s="29" t="s">
        <v>780</v>
      </c>
      <c r="I548" s="29" t="s">
        <v>781</v>
      </c>
      <c r="J548" s="29" t="s">
        <v>782</v>
      </c>
      <c r="K548" s="29" t="s">
        <v>783</v>
      </c>
      <c r="L548" s="250">
        <v>6</v>
      </c>
      <c r="M548" s="251"/>
    </row>
    <row r="549" ht="16.8" spans="1:13">
      <c r="A549" s="248" t="s">
        <v>4175</v>
      </c>
      <c r="B549" s="45" t="s">
        <v>4174</v>
      </c>
      <c r="C549" s="249" t="e">
        <f>VLOOKUP(D549,#REF!,2,0)</f>
        <v>#REF!</v>
      </c>
      <c r="D549" s="29" t="s">
        <v>1778</v>
      </c>
      <c r="E549" s="18" t="e">
        <f>VLOOKUP(C549,数据集标准分类!E:F,2,0)</f>
        <v>#REF!</v>
      </c>
      <c r="F549" s="29" t="e">
        <f>VLOOKUP(D549,数据集标准分类!G:H,2,0)</f>
        <v>#N/A</v>
      </c>
      <c r="G549" s="29" t="s">
        <v>1780</v>
      </c>
      <c r="H549" s="29" t="s">
        <v>1781</v>
      </c>
      <c r="I549" s="29" t="s">
        <v>1782</v>
      </c>
      <c r="J549" s="29" t="s">
        <v>1783</v>
      </c>
      <c r="K549" s="29" t="s">
        <v>1784</v>
      </c>
      <c r="L549" s="250">
        <v>7</v>
      </c>
      <c r="M549" s="251"/>
    </row>
    <row r="550" ht="16.8" spans="1:13">
      <c r="A550" s="248" t="s">
        <v>4175</v>
      </c>
      <c r="B550" s="45" t="s">
        <v>4174</v>
      </c>
      <c r="C550" s="249" t="e">
        <f>VLOOKUP(D550,#REF!,2,0)</f>
        <v>#REF!</v>
      </c>
      <c r="D550" s="29" t="s">
        <v>1778</v>
      </c>
      <c r="E550" s="18" t="e">
        <f>VLOOKUP(C550,数据集标准分类!E:F,2,0)</f>
        <v>#REF!</v>
      </c>
      <c r="F550" s="29" t="e">
        <f>VLOOKUP(D550,数据集标准分类!G:H,2,0)</f>
        <v>#N/A</v>
      </c>
      <c r="G550" s="29" t="s">
        <v>1785</v>
      </c>
      <c r="H550" s="29" t="s">
        <v>1786</v>
      </c>
      <c r="I550" s="29" t="s">
        <v>1787</v>
      </c>
      <c r="J550" s="29" t="s">
        <v>1788</v>
      </c>
      <c r="K550" s="29" t="s">
        <v>1789</v>
      </c>
      <c r="L550" s="250">
        <v>8</v>
      </c>
      <c r="M550" s="251"/>
    </row>
    <row r="551" ht="31" spans="1:13">
      <c r="A551" s="248" t="s">
        <v>4175</v>
      </c>
      <c r="B551" s="45" t="s">
        <v>4174</v>
      </c>
      <c r="C551" s="249" t="e">
        <f>VLOOKUP(D551,#REF!,2,0)</f>
        <v>#REF!</v>
      </c>
      <c r="D551" s="29" t="s">
        <v>1778</v>
      </c>
      <c r="E551" s="18" t="e">
        <f>VLOOKUP(C551,数据集标准分类!E:F,2,0)</f>
        <v>#REF!</v>
      </c>
      <c r="F551" s="29" t="e">
        <f>VLOOKUP(D551,数据集标准分类!G:H,2,0)</f>
        <v>#N/A</v>
      </c>
      <c r="G551" s="29" t="s">
        <v>1678</v>
      </c>
      <c r="H551" s="29" t="s">
        <v>1679</v>
      </c>
      <c r="I551" s="29" t="s">
        <v>1680</v>
      </c>
      <c r="J551" s="29" t="s">
        <v>1681</v>
      </c>
      <c r="K551" s="29" t="s">
        <v>1735</v>
      </c>
      <c r="L551" s="250">
        <v>9</v>
      </c>
      <c r="M551" s="251"/>
    </row>
    <row r="552" ht="46" spans="1:13">
      <c r="A552" s="248" t="s">
        <v>4175</v>
      </c>
      <c r="B552" s="45" t="s">
        <v>4174</v>
      </c>
      <c r="C552" s="249" t="e">
        <f>VLOOKUP(D552,#REF!,2,0)</f>
        <v>#REF!</v>
      </c>
      <c r="D552" s="29" t="s">
        <v>1778</v>
      </c>
      <c r="E552" s="18" t="e">
        <f>VLOOKUP(C552,数据集标准分类!E:F,2,0)</f>
        <v>#REF!</v>
      </c>
      <c r="F552" s="29" t="e">
        <f>VLOOKUP(D552,数据集标准分类!G:H,2,0)</f>
        <v>#N/A</v>
      </c>
      <c r="G552" s="29" t="s">
        <v>1120</v>
      </c>
      <c r="H552" s="29" t="s">
        <v>1121</v>
      </c>
      <c r="I552" s="29" t="s">
        <v>1122</v>
      </c>
      <c r="J552" s="29" t="s">
        <v>1123</v>
      </c>
      <c r="K552" s="29" t="s">
        <v>1555</v>
      </c>
      <c r="L552" s="250">
        <v>10</v>
      </c>
      <c r="M552" s="251"/>
    </row>
    <row r="553" ht="31" spans="1:13">
      <c r="A553" s="248" t="s">
        <v>4175</v>
      </c>
      <c r="B553" s="45" t="s">
        <v>4174</v>
      </c>
      <c r="C553" s="249" t="e">
        <f>VLOOKUP(D553,#REF!,2,0)</f>
        <v>#REF!</v>
      </c>
      <c r="D553" s="29" t="s">
        <v>1778</v>
      </c>
      <c r="E553" s="18" t="e">
        <f>VLOOKUP(C553,数据集标准分类!E:F,2,0)</f>
        <v>#REF!</v>
      </c>
      <c r="F553" s="29" t="e">
        <f>VLOOKUP(D553,数据集标准分类!G:H,2,0)</f>
        <v>#N/A</v>
      </c>
      <c r="G553" s="29" t="s">
        <v>192</v>
      </c>
      <c r="H553" s="29" t="s">
        <v>193</v>
      </c>
      <c r="I553" s="29" t="s">
        <v>194</v>
      </c>
      <c r="J553" s="29" t="s">
        <v>195</v>
      </c>
      <c r="K553" s="29" t="s">
        <v>1722</v>
      </c>
      <c r="L553" s="250">
        <v>11</v>
      </c>
      <c r="M553" s="251"/>
    </row>
    <row r="554" ht="16.8" spans="1:13">
      <c r="A554" s="248" t="s">
        <v>4175</v>
      </c>
      <c r="B554" s="45" t="s">
        <v>4174</v>
      </c>
      <c r="C554" s="249" t="e">
        <f>VLOOKUP(D554,#REF!,2,0)</f>
        <v>#REF!</v>
      </c>
      <c r="D554" s="29" t="s">
        <v>1778</v>
      </c>
      <c r="E554" s="18" t="e">
        <f>VLOOKUP(C554,数据集标准分类!E:F,2,0)</f>
        <v>#REF!</v>
      </c>
      <c r="F554" s="29" t="e">
        <f>VLOOKUP(D554,数据集标准分类!G:H,2,0)</f>
        <v>#N/A</v>
      </c>
      <c r="G554" s="29" t="s">
        <v>396</v>
      </c>
      <c r="H554" s="29" t="s">
        <v>397</v>
      </c>
      <c r="I554" s="29" t="s">
        <v>398</v>
      </c>
      <c r="J554" s="29" t="s">
        <v>399</v>
      </c>
      <c r="K554" s="29" t="s">
        <v>1260</v>
      </c>
      <c r="L554" s="250">
        <v>12</v>
      </c>
      <c r="M554" s="251"/>
    </row>
    <row r="555" ht="16.8" spans="1:13">
      <c r="A555" s="248" t="s">
        <v>4175</v>
      </c>
      <c r="B555" s="45" t="s">
        <v>4174</v>
      </c>
      <c r="C555" s="249" t="e">
        <f>VLOOKUP(D555,#REF!,2,0)</f>
        <v>#REF!</v>
      </c>
      <c r="D555" s="29" t="s">
        <v>1778</v>
      </c>
      <c r="E555" s="18" t="e">
        <f>VLOOKUP(C555,数据集标准分类!E:F,2,0)</f>
        <v>#REF!</v>
      </c>
      <c r="F555" s="29" t="e">
        <f>VLOOKUP(D555,数据集标准分类!G:H,2,0)</f>
        <v>#N/A</v>
      </c>
      <c r="G555" s="29" t="s">
        <v>1261</v>
      </c>
      <c r="H555" s="29" t="s">
        <v>1262</v>
      </c>
      <c r="I555" s="29" t="s">
        <v>1263</v>
      </c>
      <c r="J555" s="29" t="s">
        <v>1264</v>
      </c>
      <c r="K555" s="29" t="s">
        <v>1429</v>
      </c>
      <c r="L555" s="250">
        <v>13</v>
      </c>
      <c r="M555" s="251"/>
    </row>
    <row r="556" ht="46" spans="1:13">
      <c r="A556" s="252" t="s">
        <v>4175</v>
      </c>
      <c r="B556" s="45" t="s">
        <v>4174</v>
      </c>
      <c r="C556" s="249" t="e">
        <f>VLOOKUP(D556,#REF!,2,0)</f>
        <v>#REF!</v>
      </c>
      <c r="D556" s="29" t="s">
        <v>1778</v>
      </c>
      <c r="E556" s="18" t="e">
        <f>VLOOKUP(C556,数据集标准分类!E:F,2,0)</f>
        <v>#REF!</v>
      </c>
      <c r="F556" s="29" t="e">
        <f>VLOOKUP(D556,数据集标准分类!G:H,2,0)</f>
        <v>#N/A</v>
      </c>
      <c r="G556" s="29" t="s">
        <v>1430</v>
      </c>
      <c r="H556" s="29" t="s">
        <v>1431</v>
      </c>
      <c r="I556" s="29" t="s">
        <v>1432</v>
      </c>
      <c r="J556" s="29" t="s">
        <v>1433</v>
      </c>
      <c r="K556" s="29" t="s">
        <v>1723</v>
      </c>
      <c r="L556" s="250">
        <v>14</v>
      </c>
      <c r="M556" s="251"/>
    </row>
    <row r="557" ht="46" spans="1:13">
      <c r="A557" s="248" t="s">
        <v>4175</v>
      </c>
      <c r="B557" s="45" t="s">
        <v>4174</v>
      </c>
      <c r="C557" s="249" t="e">
        <f>VLOOKUP(D557,#REF!,2,0)</f>
        <v>#REF!</v>
      </c>
      <c r="D557" s="29" t="s">
        <v>1778</v>
      </c>
      <c r="E557" s="18" t="e">
        <f>VLOOKUP(C557,数据集标准分类!E:F,2,0)</f>
        <v>#REF!</v>
      </c>
      <c r="F557" s="29" t="e">
        <f>VLOOKUP(D557,数据集标准分类!G:H,2,0)</f>
        <v>#N/A</v>
      </c>
      <c r="G557" s="29" t="s">
        <v>421</v>
      </c>
      <c r="H557" s="29" t="s">
        <v>422</v>
      </c>
      <c r="I557" s="29" t="s">
        <v>423</v>
      </c>
      <c r="J557" s="29" t="s">
        <v>424</v>
      </c>
      <c r="K557" s="29" t="s">
        <v>1724</v>
      </c>
      <c r="L557" s="250">
        <v>15</v>
      </c>
      <c r="M557" s="251"/>
    </row>
    <row r="558" ht="24" customHeight="1" spans="1:13">
      <c r="A558" s="248" t="s">
        <v>4175</v>
      </c>
      <c r="B558" s="45" t="s">
        <v>4174</v>
      </c>
      <c r="C558" s="249" t="e">
        <f>VLOOKUP(D558,#REF!,2,0)</f>
        <v>#REF!</v>
      </c>
      <c r="D558" s="29" t="s">
        <v>1778</v>
      </c>
      <c r="E558" s="18" t="e">
        <f>VLOOKUP(C558,数据集标准分类!E:F,2,0)</f>
        <v>#REF!</v>
      </c>
      <c r="F558" s="29" t="e">
        <f>VLOOKUP(D558,数据集标准分类!G:H,2,0)</f>
        <v>#N/A</v>
      </c>
      <c r="G558" s="29" t="s">
        <v>1192</v>
      </c>
      <c r="H558" s="29" t="s">
        <v>1193</v>
      </c>
      <c r="I558" s="29" t="s">
        <v>1194</v>
      </c>
      <c r="J558" s="29" t="s">
        <v>1195</v>
      </c>
      <c r="K558" s="29" t="s">
        <v>1196</v>
      </c>
      <c r="L558" s="250">
        <v>16</v>
      </c>
      <c r="M558" s="251"/>
    </row>
    <row r="559" ht="16.8" spans="1:13">
      <c r="A559" s="248" t="s">
        <v>4175</v>
      </c>
      <c r="B559" s="45" t="s">
        <v>4174</v>
      </c>
      <c r="C559" s="249" t="e">
        <f>VLOOKUP(D559,#REF!,2,0)</f>
        <v>#REF!</v>
      </c>
      <c r="D559" s="29" t="s">
        <v>1778</v>
      </c>
      <c r="E559" s="18" t="e">
        <f>VLOOKUP(C559,数据集标准分类!E:F,2,0)</f>
        <v>#REF!</v>
      </c>
      <c r="F559" s="29" t="e">
        <f>VLOOKUP(D559,数据集标准分类!G:H,2,0)</f>
        <v>#N/A</v>
      </c>
      <c r="G559" s="29" t="s">
        <v>1725</v>
      </c>
      <c r="H559" s="29" t="s">
        <v>1726</v>
      </c>
      <c r="I559" s="29" t="s">
        <v>1727</v>
      </c>
      <c r="J559" s="29" t="s">
        <v>1728</v>
      </c>
      <c r="K559" s="29" t="s">
        <v>1729</v>
      </c>
      <c r="L559" s="250">
        <v>17</v>
      </c>
      <c r="M559" s="251"/>
    </row>
    <row r="560" ht="16.8" spans="1:13">
      <c r="A560" s="248" t="s">
        <v>4175</v>
      </c>
      <c r="B560" s="45" t="s">
        <v>4174</v>
      </c>
      <c r="C560" s="249" t="e">
        <f>VLOOKUP(D560,#REF!,2,0)</f>
        <v>#REF!</v>
      </c>
      <c r="D560" s="29" t="s">
        <v>1778</v>
      </c>
      <c r="E560" s="18" t="e">
        <f>VLOOKUP(C560,数据集标准分类!E:F,2,0)</f>
        <v>#REF!</v>
      </c>
      <c r="F560" s="29" t="e">
        <f>VLOOKUP(D560,数据集标准分类!G:H,2,0)</f>
        <v>#N/A</v>
      </c>
      <c r="G560" s="29" t="s">
        <v>1730</v>
      </c>
      <c r="H560" s="29" t="s">
        <v>1731</v>
      </c>
      <c r="I560" s="29" t="s">
        <v>1732</v>
      </c>
      <c r="J560" s="29" t="s">
        <v>1733</v>
      </c>
      <c r="K560" s="29" t="s">
        <v>1734</v>
      </c>
      <c r="L560" s="250">
        <v>18</v>
      </c>
      <c r="M560" s="251"/>
    </row>
    <row r="561" ht="31" spans="1:13">
      <c r="A561" s="248" t="s">
        <v>4175</v>
      </c>
      <c r="B561" s="45" t="s">
        <v>4174</v>
      </c>
      <c r="C561" s="249" t="e">
        <f>VLOOKUP(D561,#REF!,2,0)</f>
        <v>#REF!</v>
      </c>
      <c r="D561" s="29" t="s">
        <v>1790</v>
      </c>
      <c r="E561" s="18" t="e">
        <f>VLOOKUP(C561,数据集标准分类!E:F,2,0)</f>
        <v>#REF!</v>
      </c>
      <c r="F561" s="29" t="e">
        <f>VLOOKUP(D561,数据集标准分类!G:H,2,0)</f>
        <v>#N/A</v>
      </c>
      <c r="G561" s="29" t="s">
        <v>1791</v>
      </c>
      <c r="H561" s="29" t="s">
        <v>1792</v>
      </c>
      <c r="I561" s="29" t="s">
        <v>1793</v>
      </c>
      <c r="J561" s="29" t="s">
        <v>1794</v>
      </c>
      <c r="K561" s="29" t="s">
        <v>1795</v>
      </c>
      <c r="L561" s="250">
        <v>1</v>
      </c>
      <c r="M561" s="251"/>
    </row>
    <row r="562" ht="16.8" spans="1:13">
      <c r="A562" s="248" t="s">
        <v>4175</v>
      </c>
      <c r="B562" s="45" t="s">
        <v>4174</v>
      </c>
      <c r="C562" s="249" t="e">
        <f>VLOOKUP(D562,#REF!,2,0)</f>
        <v>#REF!</v>
      </c>
      <c r="D562" s="29" t="s">
        <v>1790</v>
      </c>
      <c r="E562" s="18" t="e">
        <f>VLOOKUP(C562,数据集标准分类!E:F,2,0)</f>
        <v>#REF!</v>
      </c>
      <c r="F562" s="29" t="e">
        <f>VLOOKUP(D562,数据集标准分类!G:H,2,0)</f>
        <v>#N/A</v>
      </c>
      <c r="G562" s="29" t="s">
        <v>1796</v>
      </c>
      <c r="H562" s="29" t="s">
        <v>1797</v>
      </c>
      <c r="I562" s="29" t="s">
        <v>1798</v>
      </c>
      <c r="J562" s="29" t="s">
        <v>1799</v>
      </c>
      <c r="K562" s="29" t="s">
        <v>1800</v>
      </c>
      <c r="L562" s="250">
        <v>2</v>
      </c>
      <c r="M562" s="251"/>
    </row>
    <row r="563" ht="31" spans="1:13">
      <c r="A563" s="248" t="s">
        <v>4175</v>
      </c>
      <c r="B563" s="45" t="s">
        <v>4174</v>
      </c>
      <c r="C563" s="249" t="e">
        <f>VLOOKUP(D563,#REF!,2,0)</f>
        <v>#REF!</v>
      </c>
      <c r="D563" s="29" t="s">
        <v>1790</v>
      </c>
      <c r="E563" s="18" t="e">
        <f>VLOOKUP(C563,数据集标准分类!E:F,2,0)</f>
        <v>#REF!</v>
      </c>
      <c r="F563" s="29" t="e">
        <f>VLOOKUP(D563,数据集标准分类!G:H,2,0)</f>
        <v>#N/A</v>
      </c>
      <c r="G563" s="29" t="s">
        <v>1801</v>
      </c>
      <c r="H563" s="29" t="s">
        <v>1802</v>
      </c>
      <c r="I563" s="29" t="s">
        <v>1803</v>
      </c>
      <c r="J563" s="29" t="s">
        <v>1804</v>
      </c>
      <c r="K563" s="29" t="s">
        <v>1805</v>
      </c>
      <c r="L563" s="250">
        <v>3</v>
      </c>
      <c r="M563" s="251"/>
    </row>
    <row r="564" ht="24" customHeight="1" spans="1:13">
      <c r="A564" s="248" t="s">
        <v>4175</v>
      </c>
      <c r="B564" s="45" t="s">
        <v>4174</v>
      </c>
      <c r="C564" s="249" t="e">
        <f>VLOOKUP(D564,#REF!,2,0)</f>
        <v>#REF!</v>
      </c>
      <c r="D564" s="29" t="s">
        <v>1790</v>
      </c>
      <c r="E564" s="18" t="e">
        <f>VLOOKUP(C564,数据集标准分类!E:F,2,0)</f>
        <v>#REF!</v>
      </c>
      <c r="F564" s="29" t="e">
        <f>VLOOKUP(D564,数据集标准分类!G:H,2,0)</f>
        <v>#N/A</v>
      </c>
      <c r="G564" s="29" t="s">
        <v>1806</v>
      </c>
      <c r="H564" s="29" t="s">
        <v>1807</v>
      </c>
      <c r="I564" s="29" t="s">
        <v>1808</v>
      </c>
      <c r="J564" s="29" t="s">
        <v>1809</v>
      </c>
      <c r="K564" s="29" t="s">
        <v>1810</v>
      </c>
      <c r="L564" s="250">
        <v>4</v>
      </c>
      <c r="M564" s="251"/>
    </row>
    <row r="565" ht="16.8" spans="1:13">
      <c r="A565" s="248" t="s">
        <v>4175</v>
      </c>
      <c r="B565" s="45" t="s">
        <v>4174</v>
      </c>
      <c r="C565" s="249" t="e">
        <f>VLOOKUP(D565,#REF!,2,0)</f>
        <v>#REF!</v>
      </c>
      <c r="D565" s="29" t="s">
        <v>1790</v>
      </c>
      <c r="E565" s="18" t="e">
        <f>VLOOKUP(C565,数据集标准分类!E:F,2,0)</f>
        <v>#REF!</v>
      </c>
      <c r="F565" s="29" t="e">
        <f>VLOOKUP(D565,数据集标准分类!G:H,2,0)</f>
        <v>#N/A</v>
      </c>
      <c r="G565" s="29" t="s">
        <v>1811</v>
      </c>
      <c r="H565" s="29" t="s">
        <v>1812</v>
      </c>
      <c r="I565" s="29" t="s">
        <v>1813</v>
      </c>
      <c r="J565" s="29" t="s">
        <v>1814</v>
      </c>
      <c r="K565" s="29" t="s">
        <v>1815</v>
      </c>
      <c r="L565" s="250">
        <v>5</v>
      </c>
      <c r="M565" s="251"/>
    </row>
    <row r="566" ht="31" spans="1:13">
      <c r="A566" s="248" t="s">
        <v>4175</v>
      </c>
      <c r="B566" s="45" t="s">
        <v>4174</v>
      </c>
      <c r="C566" s="249" t="e">
        <f>VLOOKUP(D566,#REF!,2,0)</f>
        <v>#REF!</v>
      </c>
      <c r="D566" s="29" t="s">
        <v>1790</v>
      </c>
      <c r="E566" s="18" t="e">
        <f>VLOOKUP(C566,数据集标准分类!E:F,2,0)</f>
        <v>#REF!</v>
      </c>
      <c r="F566" s="29" t="e">
        <f>VLOOKUP(D566,数据集标准分类!G:H,2,0)</f>
        <v>#N/A</v>
      </c>
      <c r="G566" s="29" t="s">
        <v>1678</v>
      </c>
      <c r="H566" s="29" t="s">
        <v>1679</v>
      </c>
      <c r="I566" s="29" t="s">
        <v>1680</v>
      </c>
      <c r="J566" s="29" t="s">
        <v>1681</v>
      </c>
      <c r="K566" s="29" t="s">
        <v>1735</v>
      </c>
      <c r="L566" s="250">
        <v>6</v>
      </c>
      <c r="M566" s="251"/>
    </row>
    <row r="567" ht="46" spans="1:13">
      <c r="A567" s="248" t="s">
        <v>4175</v>
      </c>
      <c r="B567" s="45" t="s">
        <v>4174</v>
      </c>
      <c r="C567" s="249" t="e">
        <f>VLOOKUP(D567,#REF!,2,0)</f>
        <v>#REF!</v>
      </c>
      <c r="D567" s="29" t="s">
        <v>1790</v>
      </c>
      <c r="E567" s="18" t="e">
        <f>VLOOKUP(C567,数据集标准分类!E:F,2,0)</f>
        <v>#REF!</v>
      </c>
      <c r="F567" s="29" t="e">
        <f>VLOOKUP(D567,数据集标准分类!G:H,2,0)</f>
        <v>#N/A</v>
      </c>
      <c r="G567" s="29" t="s">
        <v>192</v>
      </c>
      <c r="H567" s="29" t="s">
        <v>193</v>
      </c>
      <c r="I567" s="29" t="s">
        <v>194</v>
      </c>
      <c r="J567" s="29" t="s">
        <v>195</v>
      </c>
      <c r="K567" s="29" t="s">
        <v>385</v>
      </c>
      <c r="L567" s="250">
        <v>7</v>
      </c>
      <c r="M567" s="251"/>
    </row>
    <row r="568" ht="46" spans="1:13">
      <c r="A568" s="248" t="s">
        <v>4175</v>
      </c>
      <c r="B568" s="45" t="s">
        <v>4174</v>
      </c>
      <c r="C568" s="249" t="e">
        <f>VLOOKUP(D568,#REF!,2,0)</f>
        <v>#REF!</v>
      </c>
      <c r="D568" s="29" t="s">
        <v>1790</v>
      </c>
      <c r="E568" s="18" t="e">
        <f>VLOOKUP(C568,数据集标准分类!E:F,2,0)</f>
        <v>#REF!</v>
      </c>
      <c r="F568" s="29" t="e">
        <f>VLOOKUP(D568,数据集标准分类!G:H,2,0)</f>
        <v>#N/A</v>
      </c>
      <c r="G568" s="29" t="s">
        <v>1430</v>
      </c>
      <c r="H568" s="29" t="s">
        <v>1431</v>
      </c>
      <c r="I568" s="29" t="s">
        <v>1432</v>
      </c>
      <c r="J568" s="29" t="s">
        <v>1433</v>
      </c>
      <c r="K568" s="256" t="s">
        <v>1596</v>
      </c>
      <c r="L568" s="250">
        <v>8</v>
      </c>
      <c r="M568" s="251"/>
    </row>
    <row r="569" ht="46" spans="1:13">
      <c r="A569" s="248" t="s">
        <v>4175</v>
      </c>
      <c r="B569" s="45" t="s">
        <v>4174</v>
      </c>
      <c r="C569" s="249" t="e">
        <f>VLOOKUP(D569,#REF!,2,0)</f>
        <v>#REF!</v>
      </c>
      <c r="D569" s="29" t="s">
        <v>1790</v>
      </c>
      <c r="E569" s="18" t="e">
        <f>VLOOKUP(C569,数据集标准分类!E:F,2,0)</f>
        <v>#REF!</v>
      </c>
      <c r="F569" s="29" t="e">
        <f>VLOOKUP(D569,数据集标准分类!G:H,2,0)</f>
        <v>#N/A</v>
      </c>
      <c r="G569" s="29" t="s">
        <v>421</v>
      </c>
      <c r="H569" s="29" t="s">
        <v>422</v>
      </c>
      <c r="I569" s="29" t="s">
        <v>423</v>
      </c>
      <c r="J569" s="29" t="s">
        <v>424</v>
      </c>
      <c r="K569" s="256" t="s">
        <v>425</v>
      </c>
      <c r="L569" s="250">
        <v>9</v>
      </c>
      <c r="M569" s="251"/>
    </row>
    <row r="570" ht="16.8" spans="1:13">
      <c r="A570" s="248" t="s">
        <v>4175</v>
      </c>
      <c r="B570" s="45" t="s">
        <v>4174</v>
      </c>
      <c r="C570" s="249" t="e">
        <f>VLOOKUP(D570,#REF!,2,0)</f>
        <v>#REF!</v>
      </c>
      <c r="D570" s="29" t="s">
        <v>1790</v>
      </c>
      <c r="E570" s="18" t="e">
        <f>VLOOKUP(C570,数据集标准分类!E:F,2,0)</f>
        <v>#REF!</v>
      </c>
      <c r="F570" s="29" t="e">
        <f>VLOOKUP(D570,数据集标准分类!G:H,2,0)</f>
        <v>#N/A</v>
      </c>
      <c r="G570" s="29" t="s">
        <v>1816</v>
      </c>
      <c r="H570" s="29" t="s">
        <v>1817</v>
      </c>
      <c r="I570" s="29" t="s">
        <v>1818</v>
      </c>
      <c r="J570" s="29" t="s">
        <v>1819</v>
      </c>
      <c r="K570" s="256" t="s">
        <v>1820</v>
      </c>
      <c r="L570" s="250">
        <v>10</v>
      </c>
      <c r="M570" s="251"/>
    </row>
    <row r="571" ht="16.8" spans="1:13">
      <c r="A571" s="248" t="s">
        <v>4175</v>
      </c>
      <c r="B571" s="45" t="s">
        <v>4174</v>
      </c>
      <c r="C571" s="249" t="e">
        <f>VLOOKUP(D571,#REF!,2,0)</f>
        <v>#REF!</v>
      </c>
      <c r="D571" s="29" t="s">
        <v>1790</v>
      </c>
      <c r="E571" s="18" t="e">
        <f>VLOOKUP(C571,数据集标准分类!E:F,2,0)</f>
        <v>#REF!</v>
      </c>
      <c r="F571" s="29" t="e">
        <f>VLOOKUP(D571,数据集标准分类!G:H,2,0)</f>
        <v>#N/A</v>
      </c>
      <c r="G571" s="29" t="s">
        <v>1682</v>
      </c>
      <c r="H571" s="29" t="s">
        <v>1683</v>
      </c>
      <c r="I571" s="29" t="s">
        <v>1684</v>
      </c>
      <c r="J571" s="29" t="s">
        <v>1685</v>
      </c>
      <c r="K571" s="256" t="s">
        <v>1821</v>
      </c>
      <c r="L571" s="250">
        <v>11</v>
      </c>
      <c r="M571" s="251"/>
    </row>
    <row r="572" ht="76" spans="1:13">
      <c r="A572" s="248" t="s">
        <v>4175</v>
      </c>
      <c r="B572" s="45" t="s">
        <v>4174</v>
      </c>
      <c r="C572" s="249" t="e">
        <f>VLOOKUP(D572,#REF!,2,0)</f>
        <v>#REF!</v>
      </c>
      <c r="D572" s="29" t="s">
        <v>1790</v>
      </c>
      <c r="E572" s="18" t="e">
        <f>VLOOKUP(C572,数据集标准分类!E:F,2,0)</f>
        <v>#REF!</v>
      </c>
      <c r="F572" s="29" t="e">
        <f>VLOOKUP(D572,数据集标准分类!G:H,2,0)</f>
        <v>#N/A</v>
      </c>
      <c r="G572" s="29" t="s">
        <v>1435</v>
      </c>
      <c r="H572" s="29" t="s">
        <v>1436</v>
      </c>
      <c r="I572" s="29" t="s">
        <v>1437</v>
      </c>
      <c r="J572" s="29" t="s">
        <v>1438</v>
      </c>
      <c r="K572" s="256" t="s">
        <v>1822</v>
      </c>
      <c r="L572" s="250">
        <v>12</v>
      </c>
      <c r="M572" s="251"/>
    </row>
    <row r="573" ht="31" spans="1:13">
      <c r="A573" s="248" t="s">
        <v>4175</v>
      </c>
      <c r="B573" s="45" t="s">
        <v>4174</v>
      </c>
      <c r="C573" s="249" t="e">
        <f>VLOOKUP(D573,#REF!,2,0)</f>
        <v>#REF!</v>
      </c>
      <c r="D573" s="29" t="s">
        <v>1790</v>
      </c>
      <c r="E573" s="18" t="e">
        <f>VLOOKUP(C573,数据集标准分类!E:F,2,0)</f>
        <v>#REF!</v>
      </c>
      <c r="F573" s="29" t="e">
        <f>VLOOKUP(D573,数据集标准分类!G:H,2,0)</f>
        <v>#N/A</v>
      </c>
      <c r="G573" s="29" t="s">
        <v>1823</v>
      </c>
      <c r="H573" s="29" t="s">
        <v>1824</v>
      </c>
      <c r="I573" s="29" t="s">
        <v>1825</v>
      </c>
      <c r="J573" s="29" t="s">
        <v>1826</v>
      </c>
      <c r="K573" s="256" t="s">
        <v>1827</v>
      </c>
      <c r="L573" s="250">
        <v>13</v>
      </c>
      <c r="M573" s="251"/>
    </row>
    <row r="574" ht="31" spans="1:13">
      <c r="A574" s="248" t="s">
        <v>4175</v>
      </c>
      <c r="B574" s="45" t="s">
        <v>4174</v>
      </c>
      <c r="C574" s="249" t="e">
        <f>VLOOKUP(D574,#REF!,2,0)</f>
        <v>#REF!</v>
      </c>
      <c r="D574" s="29" t="s">
        <v>1790</v>
      </c>
      <c r="E574" s="18" t="e">
        <f>VLOOKUP(C574,数据集标准分类!E:F,2,0)</f>
        <v>#REF!</v>
      </c>
      <c r="F574" s="29" t="e">
        <f>VLOOKUP(D574,数据集标准分类!G:H,2,0)</f>
        <v>#N/A</v>
      </c>
      <c r="G574" s="29" t="s">
        <v>1828</v>
      </c>
      <c r="H574" s="29" t="s">
        <v>1829</v>
      </c>
      <c r="I574" s="29" t="s">
        <v>1830</v>
      </c>
      <c r="J574" s="29" t="s">
        <v>1831</v>
      </c>
      <c r="K574" s="256" t="s">
        <v>1832</v>
      </c>
      <c r="L574" s="250">
        <v>14</v>
      </c>
      <c r="M574" s="251"/>
    </row>
    <row r="575" ht="16.8" spans="1:13">
      <c r="A575" s="248" t="s">
        <v>4175</v>
      </c>
      <c r="B575" s="45" t="s">
        <v>4174</v>
      </c>
      <c r="C575" s="249" t="e">
        <f>VLOOKUP(D575,#REF!,2,0)</f>
        <v>#REF!</v>
      </c>
      <c r="D575" s="29" t="s">
        <v>1790</v>
      </c>
      <c r="E575" s="18" t="e">
        <f>VLOOKUP(C575,数据集标准分类!E:F,2,0)</f>
        <v>#REF!</v>
      </c>
      <c r="F575" s="29" t="e">
        <f>VLOOKUP(D575,数据集标准分类!G:H,2,0)</f>
        <v>#N/A</v>
      </c>
      <c r="G575" s="29" t="s">
        <v>1833</v>
      </c>
      <c r="H575" s="29" t="s">
        <v>1834</v>
      </c>
      <c r="I575" s="29" t="s">
        <v>1835</v>
      </c>
      <c r="J575" s="29" t="s">
        <v>1836</v>
      </c>
      <c r="K575" s="256" t="s">
        <v>1837</v>
      </c>
      <c r="L575" s="250">
        <v>15</v>
      </c>
      <c r="M575" s="251"/>
    </row>
    <row r="576" ht="16.8" spans="1:13">
      <c r="A576" s="248" t="s">
        <v>4175</v>
      </c>
      <c r="B576" s="45" t="s">
        <v>4174</v>
      </c>
      <c r="C576" s="249" t="e">
        <f>VLOOKUP(D576,#REF!,2,0)</f>
        <v>#REF!</v>
      </c>
      <c r="D576" s="29" t="s">
        <v>1790</v>
      </c>
      <c r="E576" s="18" t="e">
        <f>VLOOKUP(C576,数据集标准分类!E:F,2,0)</f>
        <v>#REF!</v>
      </c>
      <c r="F576" s="29" t="e">
        <f>VLOOKUP(D576,数据集标准分类!G:H,2,0)</f>
        <v>#N/A</v>
      </c>
      <c r="G576" s="29" t="s">
        <v>1838</v>
      </c>
      <c r="H576" s="29" t="s">
        <v>1839</v>
      </c>
      <c r="I576" s="29" t="s">
        <v>1840</v>
      </c>
      <c r="J576" s="29" t="s">
        <v>1841</v>
      </c>
      <c r="K576" s="256" t="s">
        <v>1842</v>
      </c>
      <c r="L576" s="250">
        <v>16</v>
      </c>
      <c r="M576" s="251"/>
    </row>
    <row r="577" ht="16.8" spans="1:13">
      <c r="A577" s="248" t="s">
        <v>4175</v>
      </c>
      <c r="B577" s="45" t="s">
        <v>4174</v>
      </c>
      <c r="C577" s="249" t="e">
        <f>VLOOKUP(D577,#REF!,2,0)</f>
        <v>#REF!</v>
      </c>
      <c r="D577" s="29" t="s">
        <v>1790</v>
      </c>
      <c r="E577" s="18" t="e">
        <f>VLOOKUP(C577,数据集标准分类!E:F,2,0)</f>
        <v>#REF!</v>
      </c>
      <c r="F577" s="29" t="e">
        <f>VLOOKUP(D577,数据集标准分类!G:H,2,0)</f>
        <v>#N/A</v>
      </c>
      <c r="G577" s="29" t="s">
        <v>1838</v>
      </c>
      <c r="H577" s="29" t="s">
        <v>1839</v>
      </c>
      <c r="I577" s="29" t="s">
        <v>1840</v>
      </c>
      <c r="J577" s="29" t="s">
        <v>1841</v>
      </c>
      <c r="K577" s="256" t="s">
        <v>1843</v>
      </c>
      <c r="L577" s="250">
        <v>17</v>
      </c>
      <c r="M577" s="251"/>
    </row>
    <row r="578" ht="31" spans="1:13">
      <c r="A578" s="248" t="s">
        <v>4175</v>
      </c>
      <c r="B578" s="45" t="s">
        <v>4174</v>
      </c>
      <c r="C578" s="249" t="e">
        <f>VLOOKUP(D578,#REF!,2,0)</f>
        <v>#REF!</v>
      </c>
      <c r="D578" s="29" t="s">
        <v>1790</v>
      </c>
      <c r="E578" s="18" t="e">
        <f>VLOOKUP(C578,数据集标准分类!E:F,2,0)</f>
        <v>#REF!</v>
      </c>
      <c r="F578" s="29" t="e">
        <f>VLOOKUP(D578,数据集标准分类!G:H,2,0)</f>
        <v>#N/A</v>
      </c>
      <c r="G578" s="29" t="s">
        <v>1844</v>
      </c>
      <c r="H578" s="29" t="s">
        <v>1845</v>
      </c>
      <c r="I578" s="29" t="s">
        <v>1846</v>
      </c>
      <c r="J578" s="29" t="s">
        <v>1847</v>
      </c>
      <c r="K578" s="256" t="s">
        <v>1848</v>
      </c>
      <c r="L578" s="250">
        <v>18</v>
      </c>
      <c r="M578" s="251"/>
    </row>
    <row r="579" ht="31" spans="1:13">
      <c r="A579" s="248" t="s">
        <v>4175</v>
      </c>
      <c r="B579" s="45" t="s">
        <v>4174</v>
      </c>
      <c r="C579" s="249" t="e">
        <f>VLOOKUP(D579,#REF!,2,0)</f>
        <v>#REF!</v>
      </c>
      <c r="D579" s="29" t="s">
        <v>1790</v>
      </c>
      <c r="E579" s="18" t="e">
        <f>VLOOKUP(C579,数据集标准分类!E:F,2,0)</f>
        <v>#REF!</v>
      </c>
      <c r="F579" s="29" t="e">
        <f>VLOOKUP(D579,数据集标准分类!G:H,2,0)</f>
        <v>#N/A</v>
      </c>
      <c r="G579" s="29" t="s">
        <v>1849</v>
      </c>
      <c r="H579" s="29" t="s">
        <v>1850</v>
      </c>
      <c r="I579" s="29" t="s">
        <v>1851</v>
      </c>
      <c r="J579" s="29" t="s">
        <v>1852</v>
      </c>
      <c r="K579" s="256" t="s">
        <v>1853</v>
      </c>
      <c r="L579" s="250">
        <v>19</v>
      </c>
      <c r="M579" s="251"/>
    </row>
    <row r="580" ht="31" spans="1:13">
      <c r="A580" s="248" t="s">
        <v>4175</v>
      </c>
      <c r="B580" s="45" t="s">
        <v>4174</v>
      </c>
      <c r="C580" s="249" t="e">
        <f>VLOOKUP(D580,#REF!,2,0)</f>
        <v>#REF!</v>
      </c>
      <c r="D580" s="29" t="s">
        <v>1790</v>
      </c>
      <c r="E580" s="18" t="e">
        <f>VLOOKUP(C580,数据集标准分类!E:F,2,0)</f>
        <v>#REF!</v>
      </c>
      <c r="F580" s="29" t="e">
        <f>VLOOKUP(D580,数据集标准分类!G:H,2,0)</f>
        <v>#N/A</v>
      </c>
      <c r="G580" s="29" t="s">
        <v>1854</v>
      </c>
      <c r="H580" s="29" t="s">
        <v>1855</v>
      </c>
      <c r="I580" s="29" t="s">
        <v>1856</v>
      </c>
      <c r="J580" s="29" t="s">
        <v>1857</v>
      </c>
      <c r="K580" s="256" t="s">
        <v>1858</v>
      </c>
      <c r="L580" s="250">
        <v>20</v>
      </c>
      <c r="M580" s="251"/>
    </row>
    <row r="581" ht="46" spans="1:13">
      <c r="A581" s="248" t="s">
        <v>4175</v>
      </c>
      <c r="B581" s="45" t="s">
        <v>4174</v>
      </c>
      <c r="C581" s="249" t="e">
        <f>VLOOKUP(D581,#REF!,2,0)</f>
        <v>#REF!</v>
      </c>
      <c r="D581" s="29" t="s">
        <v>1790</v>
      </c>
      <c r="E581" s="18" t="e">
        <f>VLOOKUP(C581,数据集标准分类!E:F,2,0)</f>
        <v>#REF!</v>
      </c>
      <c r="F581" s="29" t="e">
        <f>VLOOKUP(D581,数据集标准分类!G:H,2,0)</f>
        <v>#N/A</v>
      </c>
      <c r="G581" s="257" t="s">
        <v>1859</v>
      </c>
      <c r="H581" s="257" t="s">
        <v>1860</v>
      </c>
      <c r="I581" s="257" t="s">
        <v>1861</v>
      </c>
      <c r="J581" s="257" t="s">
        <v>1862</v>
      </c>
      <c r="K581" s="256" t="s">
        <v>1863</v>
      </c>
      <c r="L581" s="250">
        <v>21</v>
      </c>
      <c r="M581" s="251"/>
    </row>
    <row r="582" ht="16.8" spans="1:13">
      <c r="A582" s="248" t="s">
        <v>4175</v>
      </c>
      <c r="B582" s="45" t="s">
        <v>4174</v>
      </c>
      <c r="C582" s="249" t="e">
        <f>VLOOKUP(D582,#REF!,2,0)</f>
        <v>#REF!</v>
      </c>
      <c r="D582" s="29" t="s">
        <v>1790</v>
      </c>
      <c r="E582" s="18" t="e">
        <f>VLOOKUP(C582,数据集标准分类!E:F,2,0)</f>
        <v>#REF!</v>
      </c>
      <c r="F582" s="29" t="e">
        <f>VLOOKUP(D582,数据集标准分类!G:H,2,0)</f>
        <v>#N/A</v>
      </c>
      <c r="G582" s="258" t="s">
        <v>1864</v>
      </c>
      <c r="H582" s="257" t="s">
        <v>1865</v>
      </c>
      <c r="I582" s="257" t="s">
        <v>1866</v>
      </c>
      <c r="J582" s="257" t="s">
        <v>1867</v>
      </c>
      <c r="K582" s="256" t="s">
        <v>1868</v>
      </c>
      <c r="L582" s="250">
        <v>22</v>
      </c>
      <c r="M582" s="251"/>
    </row>
    <row r="583" ht="16.8" spans="1:13">
      <c r="A583" s="248" t="s">
        <v>4175</v>
      </c>
      <c r="B583" s="45" t="s">
        <v>4174</v>
      </c>
      <c r="C583" s="249" t="e">
        <f>VLOOKUP(D583,#REF!,2,0)</f>
        <v>#REF!</v>
      </c>
      <c r="D583" s="29" t="s">
        <v>1790</v>
      </c>
      <c r="E583" s="18" t="e">
        <f>VLOOKUP(C583,数据集标准分类!E:F,2,0)</f>
        <v>#REF!</v>
      </c>
      <c r="F583" s="29" t="e">
        <f>VLOOKUP(D583,数据集标准分类!G:H,2,0)</f>
        <v>#N/A</v>
      </c>
      <c r="G583" s="257" t="s">
        <v>201</v>
      </c>
      <c r="H583" s="257" t="s">
        <v>202</v>
      </c>
      <c r="I583" s="257" t="s">
        <v>203</v>
      </c>
      <c r="J583" s="257" t="s">
        <v>204</v>
      </c>
      <c r="K583" s="256" t="s">
        <v>1869</v>
      </c>
      <c r="L583" s="250">
        <v>23</v>
      </c>
      <c r="M583" s="251"/>
    </row>
    <row r="584" ht="16.8" spans="1:13">
      <c r="A584" s="248" t="s">
        <v>4175</v>
      </c>
      <c r="B584" s="45" t="s">
        <v>4174</v>
      </c>
      <c r="C584" s="249" t="e">
        <f>VLOOKUP(D584,#REF!,2,0)</f>
        <v>#REF!</v>
      </c>
      <c r="D584" s="29" t="s">
        <v>1790</v>
      </c>
      <c r="E584" s="18" t="e">
        <f>VLOOKUP(C584,数据集标准分类!E:F,2,0)</f>
        <v>#REF!</v>
      </c>
      <c r="F584" s="29" t="e">
        <f>VLOOKUP(D584,数据集标准分类!G:H,2,0)</f>
        <v>#N/A</v>
      </c>
      <c r="G584" s="258" t="s">
        <v>1870</v>
      </c>
      <c r="H584" s="257" t="s">
        <v>1871</v>
      </c>
      <c r="I584" s="257" t="s">
        <v>1872</v>
      </c>
      <c r="J584" s="257" t="s">
        <v>1873</v>
      </c>
      <c r="K584" s="256" t="s">
        <v>1874</v>
      </c>
      <c r="L584" s="250">
        <v>24</v>
      </c>
      <c r="M584" s="251"/>
    </row>
    <row r="585" customHeight="1" spans="1:13">
      <c r="A585" s="248" t="s">
        <v>4175</v>
      </c>
      <c r="B585" s="45" t="s">
        <v>4174</v>
      </c>
      <c r="C585" s="249" t="e">
        <f>VLOOKUP(D585,#REF!,2,0)</f>
        <v>#REF!</v>
      </c>
      <c r="D585" s="29" t="s">
        <v>1790</v>
      </c>
      <c r="E585" s="18" t="e">
        <f>VLOOKUP(C585,数据集标准分类!E:F,2,0)</f>
        <v>#REF!</v>
      </c>
      <c r="F585" s="29" t="e">
        <f>VLOOKUP(D585,数据集标准分类!G:H,2,0)</f>
        <v>#N/A</v>
      </c>
      <c r="G585" s="257" t="s">
        <v>1875</v>
      </c>
      <c r="H585" s="257" t="s">
        <v>1876</v>
      </c>
      <c r="I585" s="257" t="s">
        <v>1877</v>
      </c>
      <c r="J585" s="257" t="s">
        <v>1878</v>
      </c>
      <c r="K585" s="256" t="s">
        <v>1879</v>
      </c>
      <c r="L585" s="250">
        <v>25</v>
      </c>
      <c r="M585" s="251"/>
    </row>
    <row r="586" ht="31" spans="1:13">
      <c r="A586" s="248" t="s">
        <v>4175</v>
      </c>
      <c r="B586" s="45" t="s">
        <v>4174</v>
      </c>
      <c r="C586" s="249" t="e">
        <f>VLOOKUP(D586,#REF!,2,0)</f>
        <v>#REF!</v>
      </c>
      <c r="D586" s="29" t="s">
        <v>1790</v>
      </c>
      <c r="E586" s="18" t="e">
        <f>VLOOKUP(C586,数据集标准分类!E:F,2,0)</f>
        <v>#REF!</v>
      </c>
      <c r="F586" s="29" t="e">
        <f>VLOOKUP(D586,数据集标准分类!G:H,2,0)</f>
        <v>#N/A</v>
      </c>
      <c r="G586" s="29" t="s">
        <v>1880</v>
      </c>
      <c r="H586" s="29" t="s">
        <v>1881</v>
      </c>
      <c r="I586" s="29" t="s">
        <v>1882</v>
      </c>
      <c r="J586" s="29" t="s">
        <v>1883</v>
      </c>
      <c r="K586" s="29" t="s">
        <v>1884</v>
      </c>
      <c r="L586" s="250">
        <v>26</v>
      </c>
      <c r="M586" s="251"/>
    </row>
    <row r="587" ht="31" spans="1:13">
      <c r="A587" s="248" t="s">
        <v>4175</v>
      </c>
      <c r="B587" s="45" t="s">
        <v>4174</v>
      </c>
      <c r="C587" s="249" t="e">
        <f>VLOOKUP(D587,#REF!,2,0)</f>
        <v>#REF!</v>
      </c>
      <c r="D587" s="29" t="s">
        <v>1790</v>
      </c>
      <c r="E587" s="18" t="e">
        <f>VLOOKUP(C587,数据集标准分类!E:F,2,0)</f>
        <v>#REF!</v>
      </c>
      <c r="F587" s="29" t="e">
        <f>VLOOKUP(D587,数据集标准分类!G:H,2,0)</f>
        <v>#N/A</v>
      </c>
      <c r="G587" s="29" t="s">
        <v>1885</v>
      </c>
      <c r="H587" s="29" t="s">
        <v>1886</v>
      </c>
      <c r="I587" s="29" t="s">
        <v>1887</v>
      </c>
      <c r="J587" s="29" t="s">
        <v>1888</v>
      </c>
      <c r="K587" s="29" t="s">
        <v>1889</v>
      </c>
      <c r="L587" s="250">
        <v>27</v>
      </c>
      <c r="M587" s="251"/>
    </row>
    <row r="588" ht="31" spans="1:13">
      <c r="A588" s="248" t="s">
        <v>4175</v>
      </c>
      <c r="B588" s="45" t="s">
        <v>4174</v>
      </c>
      <c r="C588" s="249" t="e">
        <f>VLOOKUP(D588,#REF!,2,0)</f>
        <v>#REF!</v>
      </c>
      <c r="D588" s="29" t="s">
        <v>1790</v>
      </c>
      <c r="E588" s="18" t="e">
        <f>VLOOKUP(C588,数据集标准分类!E:F,2,0)</f>
        <v>#REF!</v>
      </c>
      <c r="F588" s="29" t="e">
        <f>VLOOKUP(D588,数据集标准分类!G:H,2,0)</f>
        <v>#N/A</v>
      </c>
      <c r="G588" s="29" t="s">
        <v>1890</v>
      </c>
      <c r="H588" s="29" t="s">
        <v>1891</v>
      </c>
      <c r="I588" s="29" t="s">
        <v>1892</v>
      </c>
      <c r="J588" s="29" t="s">
        <v>1893</v>
      </c>
      <c r="K588" s="29" t="s">
        <v>1894</v>
      </c>
      <c r="L588" s="250">
        <v>28</v>
      </c>
      <c r="M588" s="251"/>
    </row>
    <row r="589" ht="31" spans="1:13">
      <c r="A589" s="248" t="s">
        <v>4175</v>
      </c>
      <c r="B589" s="45" t="s">
        <v>4174</v>
      </c>
      <c r="C589" s="249" t="e">
        <f>VLOOKUP(D589,#REF!,2,0)</f>
        <v>#REF!</v>
      </c>
      <c r="D589" s="29" t="s">
        <v>1790</v>
      </c>
      <c r="E589" s="18" t="e">
        <f>VLOOKUP(C589,数据集标准分类!E:F,2,0)</f>
        <v>#REF!</v>
      </c>
      <c r="F589" s="29" t="e">
        <f>VLOOKUP(D589,数据集标准分类!G:H,2,0)</f>
        <v>#N/A</v>
      </c>
      <c r="G589" s="29" t="s">
        <v>1895</v>
      </c>
      <c r="H589" s="29" t="s">
        <v>1896</v>
      </c>
      <c r="I589" s="29" t="s">
        <v>1897</v>
      </c>
      <c r="J589" s="29" t="s">
        <v>1898</v>
      </c>
      <c r="K589" s="29" t="s">
        <v>1899</v>
      </c>
      <c r="L589" s="250">
        <v>29</v>
      </c>
      <c r="M589" s="251"/>
    </row>
    <row r="590" ht="31" spans="1:13">
      <c r="A590" s="248" t="s">
        <v>4175</v>
      </c>
      <c r="B590" s="45" t="s">
        <v>4174</v>
      </c>
      <c r="C590" s="249" t="e">
        <f>VLOOKUP(D590,#REF!,2,0)</f>
        <v>#REF!</v>
      </c>
      <c r="D590" s="29" t="s">
        <v>1790</v>
      </c>
      <c r="E590" s="18" t="e">
        <f>VLOOKUP(C590,数据集标准分类!E:F,2,0)</f>
        <v>#REF!</v>
      </c>
      <c r="F590" s="29" t="e">
        <f>VLOOKUP(D590,数据集标准分类!G:H,2,0)</f>
        <v>#N/A</v>
      </c>
      <c r="G590" s="29" t="s">
        <v>1900</v>
      </c>
      <c r="H590" s="29" t="s">
        <v>1901</v>
      </c>
      <c r="I590" s="29" t="s">
        <v>1902</v>
      </c>
      <c r="J590" s="29" t="s">
        <v>1903</v>
      </c>
      <c r="K590" s="29" t="s">
        <v>1904</v>
      </c>
      <c r="L590" s="250">
        <v>30</v>
      </c>
      <c r="M590" s="251"/>
    </row>
    <row r="591" ht="16.8" spans="1:13">
      <c r="A591" s="248" t="s">
        <v>4175</v>
      </c>
      <c r="B591" s="45" t="s">
        <v>4174</v>
      </c>
      <c r="C591" s="249" t="e">
        <f>VLOOKUP(D591,#REF!,2,0)</f>
        <v>#REF!</v>
      </c>
      <c r="D591" s="29" t="s">
        <v>1790</v>
      </c>
      <c r="E591" s="18" t="e">
        <f>VLOOKUP(C591,数据集标准分类!E:F,2,0)</f>
        <v>#REF!</v>
      </c>
      <c r="F591" s="29" t="e">
        <f>VLOOKUP(D591,数据集标准分类!G:H,2,0)</f>
        <v>#N/A</v>
      </c>
      <c r="G591" s="29" t="s">
        <v>1250</v>
      </c>
      <c r="H591" s="29" t="s">
        <v>1251</v>
      </c>
      <c r="I591" s="29" t="s">
        <v>1252</v>
      </c>
      <c r="J591" s="29" t="s">
        <v>1253</v>
      </c>
      <c r="K591" s="29" t="s">
        <v>1905</v>
      </c>
      <c r="L591" s="250">
        <v>31</v>
      </c>
      <c r="M591" s="251"/>
    </row>
    <row r="592" ht="31" spans="1:13">
      <c r="A592" s="248" t="s">
        <v>4175</v>
      </c>
      <c r="B592" s="45" t="s">
        <v>4174</v>
      </c>
      <c r="C592" s="249" t="e">
        <f>VLOOKUP(D592,#REF!,2,0)</f>
        <v>#REF!</v>
      </c>
      <c r="D592" s="29" t="s">
        <v>1790</v>
      </c>
      <c r="E592" s="18" t="e">
        <f>VLOOKUP(C592,数据集标准分类!E:F,2,0)</f>
        <v>#REF!</v>
      </c>
      <c r="F592" s="29" t="e">
        <f>VLOOKUP(D592,数据集标准分类!G:H,2,0)</f>
        <v>#N/A</v>
      </c>
      <c r="G592" s="29" t="s">
        <v>1627</v>
      </c>
      <c r="H592" s="29" t="s">
        <v>1628</v>
      </c>
      <c r="I592" s="29" t="s">
        <v>1629</v>
      </c>
      <c r="J592" s="29" t="s">
        <v>1630</v>
      </c>
      <c r="K592" s="29" t="s">
        <v>1631</v>
      </c>
      <c r="L592" s="250">
        <v>32</v>
      </c>
      <c r="M592" s="251"/>
    </row>
    <row r="593" ht="16.8" spans="1:13">
      <c r="A593" s="248" t="s">
        <v>4175</v>
      </c>
      <c r="B593" s="45" t="s">
        <v>4174</v>
      </c>
      <c r="C593" s="249" t="e">
        <f>VLOOKUP(D593,#REF!,2,0)</f>
        <v>#REF!</v>
      </c>
      <c r="D593" s="29" t="s">
        <v>1790</v>
      </c>
      <c r="E593" s="18" t="e">
        <f>VLOOKUP(C593,数据集标准分类!E:F,2,0)</f>
        <v>#REF!</v>
      </c>
      <c r="F593" s="29" t="e">
        <f>VLOOKUP(D593,数据集标准分类!G:H,2,0)</f>
        <v>#N/A</v>
      </c>
      <c r="G593" s="29" t="s">
        <v>1906</v>
      </c>
      <c r="H593" s="29" t="s">
        <v>1907</v>
      </c>
      <c r="I593" s="29" t="s">
        <v>1908</v>
      </c>
      <c r="J593" s="29" t="s">
        <v>1909</v>
      </c>
      <c r="K593" s="29" t="s">
        <v>1910</v>
      </c>
      <c r="L593" s="250">
        <v>33</v>
      </c>
      <c r="M593" s="251"/>
    </row>
    <row r="594" ht="46" spans="1:13">
      <c r="A594" s="248" t="s">
        <v>4175</v>
      </c>
      <c r="B594" s="45" t="s">
        <v>4174</v>
      </c>
      <c r="C594" s="249" t="e">
        <f>VLOOKUP(D594,#REF!,2,0)</f>
        <v>#REF!</v>
      </c>
      <c r="D594" s="29" t="s">
        <v>1790</v>
      </c>
      <c r="E594" s="18" t="e">
        <f>VLOOKUP(C594,数据集标准分类!E:F,2,0)</f>
        <v>#REF!</v>
      </c>
      <c r="F594" s="29" t="e">
        <f>VLOOKUP(D594,数据集标准分类!G:H,2,0)</f>
        <v>#N/A</v>
      </c>
      <c r="G594" s="29" t="s">
        <v>1359</v>
      </c>
      <c r="H594" s="29" t="s">
        <v>1360</v>
      </c>
      <c r="I594" s="29" t="s">
        <v>1361</v>
      </c>
      <c r="J594" s="29" t="s">
        <v>1362</v>
      </c>
      <c r="K594" s="29" t="s">
        <v>1363</v>
      </c>
      <c r="L594" s="250">
        <v>34</v>
      </c>
      <c r="M594" s="251"/>
    </row>
    <row r="595" ht="31" spans="1:13">
      <c r="A595" s="248" t="s">
        <v>4175</v>
      </c>
      <c r="B595" s="45" t="s">
        <v>4174</v>
      </c>
      <c r="C595" s="249" t="e">
        <f>VLOOKUP(D595,#REF!,2,0)</f>
        <v>#REF!</v>
      </c>
      <c r="D595" s="29" t="s">
        <v>1790</v>
      </c>
      <c r="E595" s="18" t="e">
        <f>VLOOKUP(C595,数据集标准分类!E:F,2,0)</f>
        <v>#REF!</v>
      </c>
      <c r="F595" s="29" t="e">
        <f>VLOOKUP(D595,数据集标准分类!G:H,2,0)</f>
        <v>#N/A</v>
      </c>
      <c r="G595" s="29" t="s">
        <v>1632</v>
      </c>
      <c r="H595" s="29" t="s">
        <v>1633</v>
      </c>
      <c r="I595" s="29" t="s">
        <v>1634</v>
      </c>
      <c r="J595" s="29" t="s">
        <v>1635</v>
      </c>
      <c r="K595" s="29" t="s">
        <v>1636</v>
      </c>
      <c r="L595" s="250">
        <v>35</v>
      </c>
      <c r="M595" s="251"/>
    </row>
    <row r="596" ht="31" spans="1:13">
      <c r="A596" s="248" t="s">
        <v>4175</v>
      </c>
      <c r="B596" s="45" t="s">
        <v>4174</v>
      </c>
      <c r="C596" s="249" t="e">
        <f>VLOOKUP(D596,#REF!,2,0)</f>
        <v>#REF!</v>
      </c>
      <c r="D596" s="29" t="s">
        <v>1790</v>
      </c>
      <c r="E596" s="18" t="e">
        <f>VLOOKUP(C596,数据集标准分类!E:F,2,0)</f>
        <v>#REF!</v>
      </c>
      <c r="F596" s="29" t="e">
        <f>VLOOKUP(D596,数据集标准分类!G:H,2,0)</f>
        <v>#N/A</v>
      </c>
      <c r="G596" s="29" t="s">
        <v>1911</v>
      </c>
      <c r="H596" s="29" t="s">
        <v>1912</v>
      </c>
      <c r="I596" s="29" t="s">
        <v>1913</v>
      </c>
      <c r="J596" s="29" t="s">
        <v>1914</v>
      </c>
      <c r="K596" s="29" t="s">
        <v>1915</v>
      </c>
      <c r="L596" s="250">
        <v>36</v>
      </c>
      <c r="M596" s="251"/>
    </row>
    <row r="597" ht="16.8" spans="1:13">
      <c r="A597" s="248" t="s">
        <v>4175</v>
      </c>
      <c r="B597" s="45" t="s">
        <v>4174</v>
      </c>
      <c r="C597" s="249" t="e">
        <f>VLOOKUP(D597,#REF!,2,0)</f>
        <v>#REF!</v>
      </c>
      <c r="D597" s="29" t="s">
        <v>1790</v>
      </c>
      <c r="E597" s="18" t="e">
        <f>VLOOKUP(C597,数据集标准分类!E:F,2,0)</f>
        <v>#REF!</v>
      </c>
      <c r="F597" s="29" t="e">
        <f>VLOOKUP(D597,数据集标准分类!G:H,2,0)</f>
        <v>#N/A</v>
      </c>
      <c r="G597" s="29" t="s">
        <v>1916</v>
      </c>
      <c r="H597" s="29" t="s">
        <v>1917</v>
      </c>
      <c r="I597" s="29" t="s">
        <v>1918</v>
      </c>
      <c r="J597" s="29" t="s">
        <v>1919</v>
      </c>
      <c r="K597" s="29" t="s">
        <v>1920</v>
      </c>
      <c r="L597" s="250">
        <v>37</v>
      </c>
      <c r="M597" s="251"/>
    </row>
    <row r="598" ht="16.8" spans="1:13">
      <c r="A598" s="248" t="s">
        <v>4175</v>
      </c>
      <c r="B598" s="45" t="s">
        <v>4174</v>
      </c>
      <c r="C598" s="249" t="e">
        <f>VLOOKUP(D598,#REF!,2,0)</f>
        <v>#REF!</v>
      </c>
      <c r="D598" s="29" t="s">
        <v>1790</v>
      </c>
      <c r="E598" s="18" t="e">
        <f>VLOOKUP(C598,数据集标准分类!E:F,2,0)</f>
        <v>#REF!</v>
      </c>
      <c r="F598" s="29" t="e">
        <f>VLOOKUP(D598,数据集标准分类!G:H,2,0)</f>
        <v>#N/A</v>
      </c>
      <c r="G598" s="29" t="s">
        <v>1921</v>
      </c>
      <c r="H598" s="29" t="s">
        <v>1922</v>
      </c>
      <c r="I598" s="29" t="s">
        <v>1923</v>
      </c>
      <c r="J598" s="29" t="s">
        <v>1924</v>
      </c>
      <c r="K598" s="29" t="s">
        <v>1925</v>
      </c>
      <c r="L598" s="250">
        <v>38</v>
      </c>
      <c r="M598" s="251"/>
    </row>
    <row r="599" ht="46" spans="1:13">
      <c r="A599" s="248" t="s">
        <v>4175</v>
      </c>
      <c r="B599" s="45" t="s">
        <v>4174</v>
      </c>
      <c r="C599" s="249" t="e">
        <f>VLOOKUP(D599,#REF!,2,0)</f>
        <v>#REF!</v>
      </c>
      <c r="D599" s="29" t="s">
        <v>1790</v>
      </c>
      <c r="E599" s="18" t="e">
        <f>VLOOKUP(C599,数据集标准分类!E:F,2,0)</f>
        <v>#REF!</v>
      </c>
      <c r="F599" s="29" t="e">
        <f>VLOOKUP(D599,数据集标准分类!G:H,2,0)</f>
        <v>#N/A</v>
      </c>
      <c r="G599" s="29" t="s">
        <v>1597</v>
      </c>
      <c r="H599" s="29" t="s">
        <v>1598</v>
      </c>
      <c r="I599" s="29" t="s">
        <v>1599</v>
      </c>
      <c r="J599" s="29" t="s">
        <v>1600</v>
      </c>
      <c r="K599" s="29" t="s">
        <v>1601</v>
      </c>
      <c r="L599" s="250">
        <v>39</v>
      </c>
      <c r="M599" s="251"/>
    </row>
    <row r="600" ht="31" spans="1:13">
      <c r="A600" s="248" t="s">
        <v>4175</v>
      </c>
      <c r="B600" s="45" t="s">
        <v>4174</v>
      </c>
      <c r="C600" s="249" t="e">
        <f>VLOOKUP(D600,#REF!,2,0)</f>
        <v>#REF!</v>
      </c>
      <c r="D600" s="29" t="s">
        <v>1790</v>
      </c>
      <c r="E600" s="18" t="e">
        <f>VLOOKUP(C600,数据集标准分类!E:F,2,0)</f>
        <v>#REF!</v>
      </c>
      <c r="F600" s="29" t="e">
        <f>VLOOKUP(D600,数据集标准分类!G:H,2,0)</f>
        <v>#N/A</v>
      </c>
      <c r="G600" s="29" t="s">
        <v>1926</v>
      </c>
      <c r="H600" s="29" t="s">
        <v>1927</v>
      </c>
      <c r="I600" s="29" t="s">
        <v>1928</v>
      </c>
      <c r="J600" s="29" t="s">
        <v>1929</v>
      </c>
      <c r="K600" s="29" t="s">
        <v>1930</v>
      </c>
      <c r="L600" s="250">
        <v>40</v>
      </c>
      <c r="M600" s="251"/>
    </row>
    <row r="601" ht="31" spans="1:13">
      <c r="A601" s="248" t="s">
        <v>4175</v>
      </c>
      <c r="B601" s="45" t="s">
        <v>4174</v>
      </c>
      <c r="C601" s="249" t="e">
        <f>VLOOKUP(D601,#REF!,2,0)</f>
        <v>#REF!</v>
      </c>
      <c r="D601" s="29" t="s">
        <v>1790</v>
      </c>
      <c r="E601" s="18" t="e">
        <f>VLOOKUP(C601,数据集标准分类!E:F,2,0)</f>
        <v>#REF!</v>
      </c>
      <c r="F601" s="29" t="e">
        <f>VLOOKUP(D601,数据集标准分类!G:H,2,0)</f>
        <v>#N/A</v>
      </c>
      <c r="G601" s="29" t="s">
        <v>1931</v>
      </c>
      <c r="H601" s="29" t="s">
        <v>1932</v>
      </c>
      <c r="I601" s="29" t="s">
        <v>1933</v>
      </c>
      <c r="J601" s="29" t="s">
        <v>1934</v>
      </c>
      <c r="K601" s="29" t="s">
        <v>1935</v>
      </c>
      <c r="L601" s="250">
        <v>41</v>
      </c>
      <c r="M601" s="251"/>
    </row>
    <row r="602" ht="31" spans="1:13">
      <c r="A602" s="248" t="s">
        <v>4175</v>
      </c>
      <c r="B602" s="45" t="s">
        <v>4174</v>
      </c>
      <c r="C602" s="249" t="e">
        <f>VLOOKUP(D602,#REF!,2,0)</f>
        <v>#REF!</v>
      </c>
      <c r="D602" s="29" t="s">
        <v>1790</v>
      </c>
      <c r="E602" s="18" t="e">
        <f>VLOOKUP(C602,数据集标准分类!E:F,2,0)</f>
        <v>#REF!</v>
      </c>
      <c r="F602" s="29" t="e">
        <f>VLOOKUP(D602,数据集标准分类!G:H,2,0)</f>
        <v>#N/A</v>
      </c>
      <c r="G602" s="65" t="s">
        <v>1936</v>
      </c>
      <c r="H602" s="29" t="s">
        <v>1937</v>
      </c>
      <c r="I602" s="29" t="s">
        <v>1938</v>
      </c>
      <c r="J602" s="29" t="s">
        <v>1939</v>
      </c>
      <c r="K602" s="29" t="s">
        <v>1940</v>
      </c>
      <c r="L602" s="250">
        <v>42</v>
      </c>
      <c r="M602" s="251"/>
    </row>
    <row r="603" ht="31" spans="1:13">
      <c r="A603" s="248" t="s">
        <v>4175</v>
      </c>
      <c r="B603" s="45" t="s">
        <v>4174</v>
      </c>
      <c r="C603" s="249" t="e">
        <f>VLOOKUP(D603,#REF!,2,0)</f>
        <v>#REF!</v>
      </c>
      <c r="D603" s="29" t="s">
        <v>1790</v>
      </c>
      <c r="E603" s="18" t="e">
        <f>VLOOKUP(C603,数据集标准分类!E:F,2,0)</f>
        <v>#REF!</v>
      </c>
      <c r="F603" s="29" t="e">
        <f>VLOOKUP(D603,数据集标准分类!G:H,2,0)</f>
        <v>#N/A</v>
      </c>
      <c r="G603" s="29" t="s">
        <v>1941</v>
      </c>
      <c r="H603" s="29" t="s">
        <v>1942</v>
      </c>
      <c r="I603" s="29" t="s">
        <v>1943</v>
      </c>
      <c r="J603" s="29" t="s">
        <v>1944</v>
      </c>
      <c r="K603" s="29" t="s">
        <v>1945</v>
      </c>
      <c r="L603" s="250">
        <v>43</v>
      </c>
      <c r="M603" s="251"/>
    </row>
    <row r="604" ht="31" spans="1:13">
      <c r="A604" s="248" t="s">
        <v>4175</v>
      </c>
      <c r="B604" s="45" t="s">
        <v>4174</v>
      </c>
      <c r="C604" s="249" t="e">
        <f>VLOOKUP(D604,#REF!,2,0)</f>
        <v>#REF!</v>
      </c>
      <c r="D604" s="29" t="s">
        <v>1790</v>
      </c>
      <c r="E604" s="18" t="e">
        <f>VLOOKUP(C604,数据集标准分类!E:F,2,0)</f>
        <v>#REF!</v>
      </c>
      <c r="F604" s="29" t="e">
        <f>VLOOKUP(D604,数据集标准分类!G:H,2,0)</f>
        <v>#N/A</v>
      </c>
      <c r="G604" s="29" t="s">
        <v>699</v>
      </c>
      <c r="H604" s="29" t="s">
        <v>700</v>
      </c>
      <c r="I604" s="29" t="s">
        <v>700</v>
      </c>
      <c r="J604" s="29" t="s">
        <v>701</v>
      </c>
      <c r="K604" s="29" t="s">
        <v>1946</v>
      </c>
      <c r="L604" s="250">
        <v>44</v>
      </c>
      <c r="M604" s="251"/>
    </row>
    <row r="605" ht="31" spans="1:13">
      <c r="A605" s="248" t="s">
        <v>4175</v>
      </c>
      <c r="B605" s="45" t="s">
        <v>4174</v>
      </c>
      <c r="C605" s="249" t="e">
        <f>VLOOKUP(D605,#REF!,2,0)</f>
        <v>#REF!</v>
      </c>
      <c r="D605" s="29" t="s">
        <v>1790</v>
      </c>
      <c r="E605" s="18" t="e">
        <f>VLOOKUP(C605,数据集标准分类!E:F,2,0)</f>
        <v>#REF!</v>
      </c>
      <c r="F605" s="29" t="e">
        <f>VLOOKUP(D605,数据集标准分类!G:H,2,0)</f>
        <v>#N/A</v>
      </c>
      <c r="G605" s="29" t="s">
        <v>703</v>
      </c>
      <c r="H605" s="29" t="s">
        <v>704</v>
      </c>
      <c r="I605" s="29" t="s">
        <v>704</v>
      </c>
      <c r="J605" s="29" t="s">
        <v>705</v>
      </c>
      <c r="K605" s="29" t="s">
        <v>1947</v>
      </c>
      <c r="L605" s="250">
        <v>45</v>
      </c>
      <c r="M605" s="251"/>
    </row>
    <row r="606" ht="31" spans="1:13">
      <c r="A606" s="248" t="s">
        <v>4175</v>
      </c>
      <c r="B606" s="45" t="s">
        <v>4174</v>
      </c>
      <c r="C606" s="249" t="e">
        <f>VLOOKUP(D606,#REF!,2,0)</f>
        <v>#REF!</v>
      </c>
      <c r="D606" s="29" t="s">
        <v>1790</v>
      </c>
      <c r="E606" s="18" t="e">
        <f>VLOOKUP(C606,数据集标准分类!E:F,2,0)</f>
        <v>#REF!</v>
      </c>
      <c r="F606" s="29" t="e">
        <f>VLOOKUP(D606,数据集标准分类!G:H,2,0)</f>
        <v>#N/A</v>
      </c>
      <c r="G606" s="29" t="s">
        <v>689</v>
      </c>
      <c r="H606" s="29" t="s">
        <v>690</v>
      </c>
      <c r="I606" s="29" t="s">
        <v>691</v>
      </c>
      <c r="J606" s="29" t="s">
        <v>692</v>
      </c>
      <c r="K606" s="29" t="s">
        <v>1948</v>
      </c>
      <c r="L606" s="250">
        <v>46</v>
      </c>
      <c r="M606" s="251"/>
    </row>
    <row r="607" ht="31" spans="1:13">
      <c r="A607" s="248" t="s">
        <v>4175</v>
      </c>
      <c r="B607" s="45" t="s">
        <v>4174</v>
      </c>
      <c r="C607" s="249" t="e">
        <f>VLOOKUP(D607,#REF!,2,0)</f>
        <v>#REF!</v>
      </c>
      <c r="D607" s="29" t="s">
        <v>1790</v>
      </c>
      <c r="E607" s="18" t="e">
        <f>VLOOKUP(C607,数据集标准分类!E:F,2,0)</f>
        <v>#REF!</v>
      </c>
      <c r="F607" s="29" t="e">
        <f>VLOOKUP(D607,数据集标准分类!G:H,2,0)</f>
        <v>#N/A</v>
      </c>
      <c r="G607" s="29" t="s">
        <v>1949</v>
      </c>
      <c r="H607" s="29" t="s">
        <v>1950</v>
      </c>
      <c r="I607" s="29" t="s">
        <v>1951</v>
      </c>
      <c r="J607" s="29" t="s">
        <v>1952</v>
      </c>
      <c r="K607" s="29" t="s">
        <v>1953</v>
      </c>
      <c r="L607" s="250">
        <v>47</v>
      </c>
      <c r="M607" s="251"/>
    </row>
    <row r="608" ht="31" spans="1:13">
      <c r="A608" s="248" t="s">
        <v>4175</v>
      </c>
      <c r="B608" s="45" t="s">
        <v>4174</v>
      </c>
      <c r="C608" s="249" t="e">
        <f>VLOOKUP(D608,#REF!,2,0)</f>
        <v>#REF!</v>
      </c>
      <c r="D608" s="29" t="s">
        <v>1790</v>
      </c>
      <c r="E608" s="18" t="e">
        <f>VLOOKUP(C608,数据集标准分类!E:F,2,0)</f>
        <v>#REF!</v>
      </c>
      <c r="F608" s="29" t="e">
        <f>VLOOKUP(D608,数据集标准分类!G:H,2,0)</f>
        <v>#N/A</v>
      </c>
      <c r="G608" s="29" t="s">
        <v>1954</v>
      </c>
      <c r="H608" s="29" t="s">
        <v>1955</v>
      </c>
      <c r="I608" s="29" t="s">
        <v>1956</v>
      </c>
      <c r="J608" s="29" t="s">
        <v>1957</v>
      </c>
      <c r="K608" s="29" t="s">
        <v>1958</v>
      </c>
      <c r="L608" s="250">
        <v>48</v>
      </c>
      <c r="M608" s="251"/>
    </row>
    <row r="609" ht="31" spans="1:13">
      <c r="A609" s="248" t="s">
        <v>4175</v>
      </c>
      <c r="B609" s="45" t="s">
        <v>4174</v>
      </c>
      <c r="C609" s="249" t="e">
        <f>VLOOKUP(D609,#REF!,2,0)</f>
        <v>#REF!</v>
      </c>
      <c r="D609" s="29" t="s">
        <v>1790</v>
      </c>
      <c r="E609" s="18" t="e">
        <f>VLOOKUP(C609,数据集标准分类!E:F,2,0)</f>
        <v>#REF!</v>
      </c>
      <c r="F609" s="29" t="e">
        <f>VLOOKUP(D609,数据集标准分类!G:H,2,0)</f>
        <v>#N/A</v>
      </c>
      <c r="G609" s="29" t="s">
        <v>1959</v>
      </c>
      <c r="H609" s="29" t="s">
        <v>1960</v>
      </c>
      <c r="I609" s="29" t="s">
        <v>1961</v>
      </c>
      <c r="J609" s="29" t="s">
        <v>1962</v>
      </c>
      <c r="K609" s="29" t="s">
        <v>1963</v>
      </c>
      <c r="L609" s="250">
        <v>49</v>
      </c>
      <c r="M609" s="251"/>
    </row>
    <row r="610" ht="46" spans="1:13">
      <c r="A610" s="248" t="s">
        <v>4175</v>
      </c>
      <c r="B610" s="45" t="s">
        <v>4174</v>
      </c>
      <c r="C610" s="249" t="e">
        <f>VLOOKUP(D610,#REF!,2,0)</f>
        <v>#REF!</v>
      </c>
      <c r="D610" s="29" t="s">
        <v>1790</v>
      </c>
      <c r="E610" s="18" t="e">
        <f>VLOOKUP(C610,数据集标准分类!E:F,2,0)</f>
        <v>#REF!</v>
      </c>
      <c r="F610" s="29" t="e">
        <f>VLOOKUP(D610,数据集标准分类!G:H,2,0)</f>
        <v>#N/A</v>
      </c>
      <c r="G610" s="29" t="s">
        <v>1964</v>
      </c>
      <c r="H610" s="29" t="s">
        <v>1965</v>
      </c>
      <c r="I610" s="29" t="s">
        <v>1966</v>
      </c>
      <c r="J610" s="29" t="s">
        <v>1967</v>
      </c>
      <c r="K610" s="29" t="s">
        <v>1968</v>
      </c>
      <c r="L610" s="250">
        <v>50</v>
      </c>
      <c r="M610" s="251"/>
    </row>
    <row r="611" ht="61" spans="1:13">
      <c r="A611" s="248" t="s">
        <v>4175</v>
      </c>
      <c r="B611" s="45" t="s">
        <v>4174</v>
      </c>
      <c r="C611" s="249" t="e">
        <f>VLOOKUP(D611,#REF!,2,0)</f>
        <v>#REF!</v>
      </c>
      <c r="D611" s="29" t="s">
        <v>1790</v>
      </c>
      <c r="E611" s="18" t="e">
        <f>VLOOKUP(C611,数据集标准分类!E:F,2,0)</f>
        <v>#REF!</v>
      </c>
      <c r="F611" s="29" t="e">
        <f>VLOOKUP(D611,数据集标准分类!G:H,2,0)</f>
        <v>#N/A</v>
      </c>
      <c r="G611" s="29" t="s">
        <v>330</v>
      </c>
      <c r="H611" s="29" t="s">
        <v>331</v>
      </c>
      <c r="I611" s="29" t="s">
        <v>332</v>
      </c>
      <c r="J611" s="29" t="s">
        <v>333</v>
      </c>
      <c r="K611" s="29" t="s">
        <v>334</v>
      </c>
      <c r="L611" s="250">
        <v>51</v>
      </c>
      <c r="M611" s="251"/>
    </row>
    <row r="612" ht="46" spans="1:13">
      <c r="A612" s="248" t="s">
        <v>4175</v>
      </c>
      <c r="B612" s="45" t="s">
        <v>4174</v>
      </c>
      <c r="C612" s="249" t="e">
        <f>VLOOKUP(D612,#REF!,2,0)</f>
        <v>#REF!</v>
      </c>
      <c r="D612" s="29" t="s">
        <v>1790</v>
      </c>
      <c r="E612" s="18" t="e">
        <f>VLOOKUP(C612,数据集标准分类!E:F,2,0)</f>
        <v>#REF!</v>
      </c>
      <c r="F612" s="29" t="e">
        <f>VLOOKUP(D612,数据集标准分类!G:H,2,0)</f>
        <v>#N/A</v>
      </c>
      <c r="G612" s="29" t="s">
        <v>1969</v>
      </c>
      <c r="H612" s="29" t="s">
        <v>1970</v>
      </c>
      <c r="I612" s="29" t="s">
        <v>1971</v>
      </c>
      <c r="J612" s="29" t="s">
        <v>1972</v>
      </c>
      <c r="K612" s="29" t="s">
        <v>1973</v>
      </c>
      <c r="L612" s="250">
        <v>52</v>
      </c>
      <c r="M612" s="251"/>
    </row>
    <row r="613" ht="31" spans="1:13">
      <c r="A613" s="248" t="s">
        <v>4175</v>
      </c>
      <c r="B613" s="45" t="s">
        <v>4174</v>
      </c>
      <c r="C613" s="249" t="e">
        <f>VLOOKUP(D613,#REF!,2,0)</f>
        <v>#REF!</v>
      </c>
      <c r="D613" s="29" t="s">
        <v>1790</v>
      </c>
      <c r="E613" s="18" t="e">
        <f>VLOOKUP(C613,数据集标准分类!E:F,2,0)</f>
        <v>#REF!</v>
      </c>
      <c r="F613" s="29" t="e">
        <f>VLOOKUP(D613,数据集标准分类!G:H,2,0)</f>
        <v>#N/A</v>
      </c>
      <c r="G613" s="29" t="s">
        <v>1974</v>
      </c>
      <c r="H613" s="29" t="s">
        <v>1975</v>
      </c>
      <c r="I613" s="29" t="s">
        <v>1976</v>
      </c>
      <c r="J613" s="29" t="s">
        <v>1977</v>
      </c>
      <c r="K613" s="29" t="s">
        <v>1978</v>
      </c>
      <c r="L613" s="250">
        <v>53</v>
      </c>
      <c r="M613" s="251"/>
    </row>
    <row r="614" ht="16.8" spans="1:13">
      <c r="A614" s="248" t="s">
        <v>4175</v>
      </c>
      <c r="B614" s="45" t="s">
        <v>4174</v>
      </c>
      <c r="C614" s="249" t="e">
        <f>VLOOKUP(D614,#REF!,2,0)</f>
        <v>#REF!</v>
      </c>
      <c r="D614" s="29" t="s">
        <v>1790</v>
      </c>
      <c r="E614" s="18" t="e">
        <f>VLOOKUP(C614,数据集标准分类!E:F,2,0)</f>
        <v>#REF!</v>
      </c>
      <c r="F614" s="29" t="e">
        <f>VLOOKUP(D614,数据集标准分类!G:H,2,0)</f>
        <v>#N/A</v>
      </c>
      <c r="G614" s="29" t="s">
        <v>1979</v>
      </c>
      <c r="H614" s="29" t="s">
        <v>1980</v>
      </c>
      <c r="I614" s="29" t="s">
        <v>1981</v>
      </c>
      <c r="J614" s="29" t="s">
        <v>1982</v>
      </c>
      <c r="K614" s="29" t="s">
        <v>1983</v>
      </c>
      <c r="L614" s="250">
        <v>54</v>
      </c>
      <c r="M614" s="251"/>
    </row>
    <row r="615" ht="31" spans="1:13">
      <c r="A615" s="248" t="s">
        <v>4175</v>
      </c>
      <c r="B615" s="45" t="s">
        <v>4174</v>
      </c>
      <c r="C615" s="249" t="e">
        <f>VLOOKUP(D615,#REF!,2,0)</f>
        <v>#REF!</v>
      </c>
      <c r="D615" s="29" t="s">
        <v>1790</v>
      </c>
      <c r="E615" s="18" t="e">
        <f>VLOOKUP(C615,数据集标准分类!E:F,2,0)</f>
        <v>#REF!</v>
      </c>
      <c r="F615" s="29" t="e">
        <f>VLOOKUP(D615,数据集标准分类!G:H,2,0)</f>
        <v>#N/A</v>
      </c>
      <c r="G615" s="29" t="s">
        <v>1984</v>
      </c>
      <c r="H615" s="29" t="s">
        <v>1985</v>
      </c>
      <c r="I615" s="29" t="s">
        <v>1986</v>
      </c>
      <c r="J615" s="29" t="s">
        <v>1987</v>
      </c>
      <c r="K615" s="29" t="s">
        <v>1988</v>
      </c>
      <c r="L615" s="250">
        <v>55</v>
      </c>
      <c r="M615" s="251"/>
    </row>
    <row r="616" ht="61" spans="1:13">
      <c r="A616" s="248" t="s">
        <v>4175</v>
      </c>
      <c r="B616" s="45" t="s">
        <v>4174</v>
      </c>
      <c r="C616" s="249" t="e">
        <f>VLOOKUP(D616,#REF!,2,0)</f>
        <v>#REF!</v>
      </c>
      <c r="D616" s="29" t="s">
        <v>1790</v>
      </c>
      <c r="E616" s="18" t="e">
        <f>VLOOKUP(C616,数据集标准分类!E:F,2,0)</f>
        <v>#REF!</v>
      </c>
      <c r="F616" s="29" t="e">
        <f>VLOOKUP(D616,数据集标准分类!G:H,2,0)</f>
        <v>#N/A</v>
      </c>
      <c r="G616" s="29" t="s">
        <v>1989</v>
      </c>
      <c r="H616" s="29" t="s">
        <v>1990</v>
      </c>
      <c r="I616" s="29" t="s">
        <v>1991</v>
      </c>
      <c r="J616" s="29" t="s">
        <v>1992</v>
      </c>
      <c r="K616" s="29" t="s">
        <v>1993</v>
      </c>
      <c r="L616" s="250">
        <v>56</v>
      </c>
      <c r="M616" s="251"/>
    </row>
    <row r="617" ht="16.8" spans="1:13">
      <c r="A617" s="248" t="s">
        <v>4175</v>
      </c>
      <c r="B617" s="45" t="s">
        <v>4174</v>
      </c>
      <c r="C617" s="249" t="e">
        <f>VLOOKUP(D617,#REF!,2,0)</f>
        <v>#REF!</v>
      </c>
      <c r="D617" s="29" t="s">
        <v>1790</v>
      </c>
      <c r="E617" s="18" t="e">
        <f>VLOOKUP(C617,数据集标准分类!E:F,2,0)</f>
        <v>#REF!</v>
      </c>
      <c r="F617" s="29" t="e">
        <f>VLOOKUP(D617,数据集标准分类!G:H,2,0)</f>
        <v>#N/A</v>
      </c>
      <c r="G617" s="29" t="s">
        <v>1994</v>
      </c>
      <c r="H617" s="29" t="s">
        <v>1995</v>
      </c>
      <c r="I617" s="29" t="s">
        <v>1996</v>
      </c>
      <c r="J617" s="29" t="s">
        <v>1997</v>
      </c>
      <c r="K617" s="29" t="s">
        <v>1998</v>
      </c>
      <c r="L617" s="250">
        <v>57</v>
      </c>
      <c r="M617" s="251"/>
    </row>
    <row r="618" ht="31" spans="1:13">
      <c r="A618" s="248" t="s">
        <v>4175</v>
      </c>
      <c r="B618" s="45" t="s">
        <v>4174</v>
      </c>
      <c r="C618" s="249" t="e">
        <f>VLOOKUP(D618,#REF!,2,0)</f>
        <v>#REF!</v>
      </c>
      <c r="D618" s="29" t="s">
        <v>1790</v>
      </c>
      <c r="E618" s="18" t="e">
        <f>VLOOKUP(C618,数据集标准分类!E:F,2,0)</f>
        <v>#REF!</v>
      </c>
      <c r="F618" s="29" t="e">
        <f>VLOOKUP(D618,数据集标准分类!G:H,2,0)</f>
        <v>#N/A</v>
      </c>
      <c r="G618" s="29" t="s">
        <v>1999</v>
      </c>
      <c r="H618" s="29" t="s">
        <v>2000</v>
      </c>
      <c r="I618" s="29" t="s">
        <v>2001</v>
      </c>
      <c r="J618" s="29" t="s">
        <v>2002</v>
      </c>
      <c r="K618" s="29" t="s">
        <v>2003</v>
      </c>
      <c r="L618" s="250">
        <v>58</v>
      </c>
      <c r="M618" s="251"/>
    </row>
    <row r="619" ht="61" spans="1:13">
      <c r="A619" s="248" t="s">
        <v>4175</v>
      </c>
      <c r="B619" s="45" t="s">
        <v>4174</v>
      </c>
      <c r="C619" s="249" t="e">
        <f>VLOOKUP(D619,#REF!,2,0)</f>
        <v>#REF!</v>
      </c>
      <c r="D619" s="29" t="s">
        <v>1790</v>
      </c>
      <c r="E619" s="18" t="e">
        <f>VLOOKUP(C619,数据集标准分类!E:F,2,0)</f>
        <v>#REF!</v>
      </c>
      <c r="F619" s="29" t="e">
        <f>VLOOKUP(D619,数据集标准分类!G:H,2,0)</f>
        <v>#N/A</v>
      </c>
      <c r="G619" s="29" t="s">
        <v>2004</v>
      </c>
      <c r="H619" s="29" t="s">
        <v>2005</v>
      </c>
      <c r="I619" s="29" t="s">
        <v>2006</v>
      </c>
      <c r="J619" s="29" t="s">
        <v>2007</v>
      </c>
      <c r="K619" s="29" t="s">
        <v>2008</v>
      </c>
      <c r="L619" s="250">
        <v>59</v>
      </c>
      <c r="M619" s="251"/>
    </row>
    <row r="620" ht="31" spans="1:13">
      <c r="A620" s="248" t="s">
        <v>4175</v>
      </c>
      <c r="B620" s="45" t="s">
        <v>4174</v>
      </c>
      <c r="C620" s="249" t="e">
        <f>VLOOKUP(D620,#REF!,2,0)</f>
        <v>#REF!</v>
      </c>
      <c r="D620" s="29" t="s">
        <v>2009</v>
      </c>
      <c r="E620" s="18" t="e">
        <f>VLOOKUP(C620,数据集标准分类!E:F,2,0)</f>
        <v>#REF!</v>
      </c>
      <c r="F620" s="29" t="e">
        <f>VLOOKUP(D620,数据集标准分类!G:H,2,0)</f>
        <v>#N/A</v>
      </c>
      <c r="G620" s="29" t="s">
        <v>711</v>
      </c>
      <c r="H620" s="29" t="s">
        <v>712</v>
      </c>
      <c r="I620" s="29" t="s">
        <v>712</v>
      </c>
      <c r="J620" s="29" t="s">
        <v>713</v>
      </c>
      <c r="K620" s="29" t="s">
        <v>714</v>
      </c>
      <c r="L620" s="250">
        <v>1</v>
      </c>
      <c r="M620" s="251"/>
    </row>
    <row r="621" ht="61" spans="1:13">
      <c r="A621" s="248" t="s">
        <v>4175</v>
      </c>
      <c r="B621" s="45" t="s">
        <v>4174</v>
      </c>
      <c r="C621" s="249" t="e">
        <f>VLOOKUP(D621,#REF!,2,0)</f>
        <v>#REF!</v>
      </c>
      <c r="D621" s="29" t="s">
        <v>2009</v>
      </c>
      <c r="E621" s="18" t="e">
        <f>VLOOKUP(C621,数据集标准分类!E:F,2,0)</f>
        <v>#REF!</v>
      </c>
      <c r="F621" s="29" t="e">
        <f>VLOOKUP(D621,数据集标准分类!G:H,2,0)</f>
        <v>#N/A</v>
      </c>
      <c r="G621" s="29" t="s">
        <v>77</v>
      </c>
      <c r="H621" s="29" t="s">
        <v>78</v>
      </c>
      <c r="I621" s="29" t="s">
        <v>79</v>
      </c>
      <c r="J621" s="29" t="s">
        <v>80</v>
      </c>
      <c r="K621" s="29" t="s">
        <v>310</v>
      </c>
      <c r="L621" s="250">
        <v>2</v>
      </c>
      <c r="M621" s="251"/>
    </row>
    <row r="622" ht="61" spans="1:13">
      <c r="A622" s="248" t="s">
        <v>4175</v>
      </c>
      <c r="B622" s="45" t="s">
        <v>4174</v>
      </c>
      <c r="C622" s="249" t="e">
        <f>VLOOKUP(D622,#REF!,2,0)</f>
        <v>#REF!</v>
      </c>
      <c r="D622" s="29" t="s">
        <v>2009</v>
      </c>
      <c r="E622" s="18" t="e">
        <f>VLOOKUP(C622,数据集标准分类!E:F,2,0)</f>
        <v>#REF!</v>
      </c>
      <c r="F622" s="29" t="e">
        <f>VLOOKUP(D622,数据集标准分类!G:H,2,0)</f>
        <v>#N/A</v>
      </c>
      <c r="G622" s="29" t="s">
        <v>82</v>
      </c>
      <c r="H622" s="29" t="s">
        <v>83</v>
      </c>
      <c r="I622" s="29" t="s">
        <v>84</v>
      </c>
      <c r="J622" s="29" t="s">
        <v>85</v>
      </c>
      <c r="K622" s="29" t="s">
        <v>311</v>
      </c>
      <c r="L622" s="250">
        <v>3</v>
      </c>
      <c r="M622" s="251"/>
    </row>
    <row r="623" ht="31" spans="1:13">
      <c r="A623" s="248" t="s">
        <v>4175</v>
      </c>
      <c r="B623" s="45" t="s">
        <v>4174</v>
      </c>
      <c r="C623" s="249" t="e">
        <f>VLOOKUP(D623,#REF!,2,0)</f>
        <v>#REF!</v>
      </c>
      <c r="D623" s="29" t="s">
        <v>2009</v>
      </c>
      <c r="E623" s="18" t="e">
        <f>VLOOKUP(C623,数据集标准分类!E:F,2,0)</f>
        <v>#REF!</v>
      </c>
      <c r="F623" s="29" t="e">
        <f>VLOOKUP(D623,数据集标准分类!G:H,2,0)</f>
        <v>#N/A</v>
      </c>
      <c r="G623" s="64" t="s">
        <v>1583</v>
      </c>
      <c r="H623" s="29" t="s">
        <v>1584</v>
      </c>
      <c r="I623" s="29" t="s">
        <v>1585</v>
      </c>
      <c r="J623" s="29" t="s">
        <v>1586</v>
      </c>
      <c r="K623" s="29" t="s">
        <v>1587</v>
      </c>
      <c r="L623" s="250">
        <v>4</v>
      </c>
      <c r="M623" s="251"/>
    </row>
    <row r="624" ht="31" spans="1:13">
      <c r="A624" s="248" t="s">
        <v>4175</v>
      </c>
      <c r="B624" s="45" t="s">
        <v>4174</v>
      </c>
      <c r="C624" s="249" t="e">
        <f>VLOOKUP(D624,#REF!,2,0)</f>
        <v>#REF!</v>
      </c>
      <c r="D624" s="29" t="s">
        <v>2009</v>
      </c>
      <c r="E624" s="18" t="e">
        <f>VLOOKUP(C624,数据集标准分类!E:F,2,0)</f>
        <v>#REF!</v>
      </c>
      <c r="F624" s="29" t="e">
        <f>VLOOKUP(D624,数据集标准分类!G:H,2,0)</f>
        <v>#N/A</v>
      </c>
      <c r="G624" s="64" t="s">
        <v>1588</v>
      </c>
      <c r="H624" s="29" t="s">
        <v>1589</v>
      </c>
      <c r="I624" s="29" t="s">
        <v>1590</v>
      </c>
      <c r="J624" s="29" t="s">
        <v>1591</v>
      </c>
      <c r="K624" s="29" t="s">
        <v>1445</v>
      </c>
      <c r="L624" s="250">
        <v>5</v>
      </c>
      <c r="M624" s="251"/>
    </row>
    <row r="625" ht="46" spans="1:13">
      <c r="A625" s="248" t="s">
        <v>4175</v>
      </c>
      <c r="B625" s="45" t="s">
        <v>4174</v>
      </c>
      <c r="C625" s="249" t="e">
        <f>VLOOKUP(D625,#REF!,2,0)</f>
        <v>#REF!</v>
      </c>
      <c r="D625" s="29" t="s">
        <v>2009</v>
      </c>
      <c r="E625" s="18" t="e">
        <f>VLOOKUP(C625,数据集标准分类!E:F,2,0)</f>
        <v>#REF!</v>
      </c>
      <c r="F625" s="29" t="e">
        <f>VLOOKUP(D625,数据集标准分类!G:H,2,0)</f>
        <v>#N/A</v>
      </c>
      <c r="G625" s="29" t="s">
        <v>192</v>
      </c>
      <c r="H625" s="29" t="s">
        <v>193</v>
      </c>
      <c r="I625" s="29" t="s">
        <v>194</v>
      </c>
      <c r="J625" s="29" t="s">
        <v>195</v>
      </c>
      <c r="K625" s="29" t="s">
        <v>385</v>
      </c>
      <c r="L625" s="250">
        <v>6</v>
      </c>
      <c r="M625" s="251"/>
    </row>
    <row r="626" ht="31" spans="1:13">
      <c r="A626" s="248" t="s">
        <v>4175</v>
      </c>
      <c r="B626" s="45" t="s">
        <v>4174</v>
      </c>
      <c r="C626" s="249" t="e">
        <f>VLOOKUP(D626,#REF!,2,0)</f>
        <v>#REF!</v>
      </c>
      <c r="D626" s="29" t="s">
        <v>2009</v>
      </c>
      <c r="E626" s="18" t="e">
        <f>VLOOKUP(C626,数据集标准分类!E:F,2,0)</f>
        <v>#REF!</v>
      </c>
      <c r="F626" s="29" t="e">
        <f>VLOOKUP(D626,数据集标准分类!G:H,2,0)</f>
        <v>#N/A</v>
      </c>
      <c r="G626" s="29" t="s">
        <v>1602</v>
      </c>
      <c r="H626" s="29" t="s">
        <v>1603</v>
      </c>
      <c r="I626" s="29" t="s">
        <v>1604</v>
      </c>
      <c r="J626" s="29" t="s">
        <v>1605</v>
      </c>
      <c r="K626" s="29" t="s">
        <v>1606</v>
      </c>
      <c r="L626" s="250">
        <v>7</v>
      </c>
      <c r="M626" s="251"/>
    </row>
    <row r="627" ht="46" spans="1:13">
      <c r="A627" s="248" t="s">
        <v>4175</v>
      </c>
      <c r="B627" s="45" t="s">
        <v>4174</v>
      </c>
      <c r="C627" s="249" t="e">
        <f>VLOOKUP(D627,#REF!,2,0)</f>
        <v>#REF!</v>
      </c>
      <c r="D627" s="29" t="s">
        <v>2009</v>
      </c>
      <c r="E627" s="18" t="e">
        <f>VLOOKUP(C627,数据集标准分类!E:F,2,0)</f>
        <v>#REF!</v>
      </c>
      <c r="F627" s="29" t="e">
        <f>VLOOKUP(D627,数据集标准分类!G:H,2,0)</f>
        <v>#N/A</v>
      </c>
      <c r="G627" s="29" t="s">
        <v>421</v>
      </c>
      <c r="H627" s="29" t="s">
        <v>422</v>
      </c>
      <c r="I627" s="29" t="s">
        <v>423</v>
      </c>
      <c r="J627" s="29" t="s">
        <v>424</v>
      </c>
      <c r="K627" s="29" t="s">
        <v>425</v>
      </c>
      <c r="L627" s="250">
        <v>8</v>
      </c>
      <c r="M627" s="251"/>
    </row>
    <row r="628" ht="24" customHeight="1" spans="1:13">
      <c r="A628" s="248" t="s">
        <v>4175</v>
      </c>
      <c r="B628" s="45" t="s">
        <v>4174</v>
      </c>
      <c r="C628" s="249" t="e">
        <f>VLOOKUP(D628,#REF!,2,0)</f>
        <v>#REF!</v>
      </c>
      <c r="D628" s="29" t="s">
        <v>2009</v>
      </c>
      <c r="E628" s="18" t="e">
        <f>VLOOKUP(C628,数据集标准分类!E:F,2,0)</f>
        <v>#REF!</v>
      </c>
      <c r="F628" s="29" t="e">
        <f>VLOOKUP(D628,数据集标准分类!G:H,2,0)</f>
        <v>#N/A</v>
      </c>
      <c r="G628" s="29" t="s">
        <v>2010</v>
      </c>
      <c r="H628" s="29" t="s">
        <v>2011</v>
      </c>
      <c r="I628" s="29" t="s">
        <v>2012</v>
      </c>
      <c r="J628" s="29" t="s">
        <v>2013</v>
      </c>
      <c r="K628" s="29" t="s">
        <v>2014</v>
      </c>
      <c r="L628" s="250">
        <v>9</v>
      </c>
      <c r="M628" s="251"/>
    </row>
    <row r="629" ht="16.8" spans="1:13">
      <c r="A629" s="248" t="s">
        <v>4175</v>
      </c>
      <c r="B629" s="45" t="s">
        <v>4174</v>
      </c>
      <c r="C629" s="249" t="e">
        <f>VLOOKUP(D629,#REF!,2,0)</f>
        <v>#REF!</v>
      </c>
      <c r="D629" s="29" t="s">
        <v>2009</v>
      </c>
      <c r="E629" s="18" t="e">
        <f>VLOOKUP(C629,数据集标准分类!E:F,2,0)</f>
        <v>#REF!</v>
      </c>
      <c r="F629" s="29" t="e">
        <f>VLOOKUP(D629,数据集标准分类!G:H,2,0)</f>
        <v>#N/A</v>
      </c>
      <c r="G629" s="29" t="s">
        <v>2015</v>
      </c>
      <c r="H629" s="29" t="s">
        <v>2016</v>
      </c>
      <c r="I629" s="29" t="s">
        <v>2017</v>
      </c>
      <c r="J629" s="29" t="s">
        <v>2018</v>
      </c>
      <c r="K629" s="29" t="s">
        <v>2019</v>
      </c>
      <c r="L629" s="250">
        <v>10</v>
      </c>
      <c r="M629" s="251"/>
    </row>
    <row r="630" ht="16.8" spans="1:13">
      <c r="A630" s="248" t="s">
        <v>4175</v>
      </c>
      <c r="B630" s="45" t="s">
        <v>4174</v>
      </c>
      <c r="C630" s="249" t="e">
        <f>VLOOKUP(D630,#REF!,2,0)</f>
        <v>#REF!</v>
      </c>
      <c r="D630" s="29" t="s">
        <v>2009</v>
      </c>
      <c r="E630" s="18" t="e">
        <f>VLOOKUP(C630,数据集标准分类!E:F,2,0)</f>
        <v>#REF!</v>
      </c>
      <c r="F630" s="29" t="e">
        <f>VLOOKUP(D630,数据集标准分类!G:H,2,0)</f>
        <v>#N/A</v>
      </c>
      <c r="G630" s="29" t="s">
        <v>1816</v>
      </c>
      <c r="H630" s="29" t="s">
        <v>1817</v>
      </c>
      <c r="I630" s="29" t="s">
        <v>1818</v>
      </c>
      <c r="J630" s="29" t="s">
        <v>1819</v>
      </c>
      <c r="K630" s="29" t="s">
        <v>1820</v>
      </c>
      <c r="L630" s="250">
        <v>11</v>
      </c>
      <c r="M630" s="251"/>
    </row>
    <row r="631" ht="16.8" spans="1:13">
      <c r="A631" s="248" t="s">
        <v>4175</v>
      </c>
      <c r="B631" s="45" t="s">
        <v>4174</v>
      </c>
      <c r="C631" s="249" t="e">
        <f>VLOOKUP(D631,#REF!,2,0)</f>
        <v>#REF!</v>
      </c>
      <c r="D631" s="29" t="s">
        <v>2009</v>
      </c>
      <c r="E631" s="18" t="e">
        <f>VLOOKUP(C631,数据集标准分类!E:F,2,0)</f>
        <v>#REF!</v>
      </c>
      <c r="F631" s="29" t="e">
        <f>VLOOKUP(D631,数据集标准分类!G:H,2,0)</f>
        <v>#N/A</v>
      </c>
      <c r="G631" s="29" t="s">
        <v>2020</v>
      </c>
      <c r="H631" s="29" t="s">
        <v>2021</v>
      </c>
      <c r="I631" s="29" t="s">
        <v>2022</v>
      </c>
      <c r="J631" s="29" t="s">
        <v>2023</v>
      </c>
      <c r="K631" s="29" t="s">
        <v>2024</v>
      </c>
      <c r="L631" s="250">
        <v>12</v>
      </c>
      <c r="M631" s="251"/>
    </row>
    <row r="632" ht="16.8" spans="1:13">
      <c r="A632" s="248" t="s">
        <v>4175</v>
      </c>
      <c r="B632" s="45" t="s">
        <v>4174</v>
      </c>
      <c r="C632" s="249" t="e">
        <f>VLOOKUP(D632,#REF!,2,0)</f>
        <v>#REF!</v>
      </c>
      <c r="D632" s="29" t="s">
        <v>2009</v>
      </c>
      <c r="E632" s="18" t="e">
        <f>VLOOKUP(C632,数据集标准分类!E:F,2,0)</f>
        <v>#REF!</v>
      </c>
      <c r="F632" s="29" t="e">
        <f>VLOOKUP(D632,数据集标准分类!G:H,2,0)</f>
        <v>#N/A</v>
      </c>
      <c r="G632" s="29" t="s">
        <v>2025</v>
      </c>
      <c r="H632" s="29" t="s">
        <v>2026</v>
      </c>
      <c r="I632" s="29" t="s">
        <v>2027</v>
      </c>
      <c r="J632" s="29" t="s">
        <v>2028</v>
      </c>
      <c r="K632" s="29" t="s">
        <v>2029</v>
      </c>
      <c r="L632" s="250">
        <v>13</v>
      </c>
      <c r="M632" s="251"/>
    </row>
    <row r="633" ht="31" spans="1:13">
      <c r="A633" s="248" t="s">
        <v>4175</v>
      </c>
      <c r="B633" s="45" t="s">
        <v>4174</v>
      </c>
      <c r="C633" s="249" t="e">
        <f>VLOOKUP(D633,#REF!,2,0)</f>
        <v>#REF!</v>
      </c>
      <c r="D633" s="29" t="s">
        <v>2009</v>
      </c>
      <c r="E633" s="18" t="e">
        <f>VLOOKUP(C633,数据集标准分类!E:F,2,0)</f>
        <v>#REF!</v>
      </c>
      <c r="F633" s="29" t="e">
        <f>VLOOKUP(D633,数据集标准分类!G:H,2,0)</f>
        <v>#N/A</v>
      </c>
      <c r="G633" s="29" t="s">
        <v>2030</v>
      </c>
      <c r="H633" s="29" t="s">
        <v>2031</v>
      </c>
      <c r="I633" s="29" t="s">
        <v>2032</v>
      </c>
      <c r="J633" s="29" t="s">
        <v>2033</v>
      </c>
      <c r="K633" s="29" t="s">
        <v>2034</v>
      </c>
      <c r="L633" s="250">
        <v>14</v>
      </c>
      <c r="M633" s="251"/>
    </row>
    <row r="634" ht="24" customHeight="1" spans="1:13">
      <c r="A634" s="248" t="s">
        <v>4175</v>
      </c>
      <c r="B634" s="45" t="s">
        <v>4174</v>
      </c>
      <c r="C634" s="249" t="e">
        <f>VLOOKUP(D634,#REF!,2,0)</f>
        <v>#REF!</v>
      </c>
      <c r="D634" s="29" t="s">
        <v>2009</v>
      </c>
      <c r="E634" s="18" t="e">
        <f>VLOOKUP(C634,数据集标准分类!E:F,2,0)</f>
        <v>#REF!</v>
      </c>
      <c r="F634" s="29" t="e">
        <f>VLOOKUP(D634,数据集标准分类!G:H,2,0)</f>
        <v>#N/A</v>
      </c>
      <c r="G634" s="29" t="s">
        <v>2035</v>
      </c>
      <c r="H634" s="29" t="s">
        <v>2036</v>
      </c>
      <c r="I634" s="29" t="s">
        <v>2037</v>
      </c>
      <c r="J634" s="29" t="s">
        <v>2038</v>
      </c>
      <c r="K634" s="29" t="s">
        <v>2039</v>
      </c>
      <c r="L634" s="250">
        <v>15</v>
      </c>
      <c r="M634" s="251"/>
    </row>
    <row r="635" ht="31" spans="1:13">
      <c r="A635" s="248" t="s">
        <v>4175</v>
      </c>
      <c r="B635" s="45" t="s">
        <v>4174</v>
      </c>
      <c r="C635" s="249" t="e">
        <f>VLOOKUP(D635,#REF!,2,0)</f>
        <v>#REF!</v>
      </c>
      <c r="D635" s="29" t="s">
        <v>2009</v>
      </c>
      <c r="E635" s="18" t="e">
        <f>VLOOKUP(C635,数据集标准分类!E:F,2,0)</f>
        <v>#REF!</v>
      </c>
      <c r="F635" s="29" t="e">
        <f>VLOOKUP(D635,数据集标准分类!G:H,2,0)</f>
        <v>#N/A</v>
      </c>
      <c r="G635" s="29" t="s">
        <v>2040</v>
      </c>
      <c r="H635" s="29" t="s">
        <v>2041</v>
      </c>
      <c r="I635" s="29" t="s">
        <v>2042</v>
      </c>
      <c r="J635" s="29" t="s">
        <v>2043</v>
      </c>
      <c r="K635" s="29" t="s">
        <v>2044</v>
      </c>
      <c r="L635" s="250">
        <v>16</v>
      </c>
      <c r="M635" s="251"/>
    </row>
    <row r="636" ht="31" spans="1:13">
      <c r="A636" s="248" t="s">
        <v>4175</v>
      </c>
      <c r="B636" s="45" t="s">
        <v>4174</v>
      </c>
      <c r="C636" s="249" t="e">
        <f>VLOOKUP(D636,#REF!,2,0)</f>
        <v>#REF!</v>
      </c>
      <c r="D636" s="29" t="s">
        <v>2009</v>
      </c>
      <c r="E636" s="18" t="e">
        <f>VLOOKUP(C636,数据集标准分类!E:F,2,0)</f>
        <v>#REF!</v>
      </c>
      <c r="F636" s="29" t="e">
        <f>VLOOKUP(D636,数据集标准分类!G:H,2,0)</f>
        <v>#N/A</v>
      </c>
      <c r="G636" s="29" t="s">
        <v>2045</v>
      </c>
      <c r="H636" s="29" t="s">
        <v>2046</v>
      </c>
      <c r="I636" s="29" t="s">
        <v>2047</v>
      </c>
      <c r="J636" s="29" t="s">
        <v>2048</v>
      </c>
      <c r="K636" s="29" t="s">
        <v>2049</v>
      </c>
      <c r="L636" s="250">
        <v>17</v>
      </c>
      <c r="M636" s="251"/>
    </row>
    <row r="637" ht="31" spans="1:13">
      <c r="A637" s="248" t="s">
        <v>4175</v>
      </c>
      <c r="B637" s="45" t="s">
        <v>4174</v>
      </c>
      <c r="C637" s="249" t="e">
        <f>VLOOKUP(D637,#REF!,2,0)</f>
        <v>#REF!</v>
      </c>
      <c r="D637" s="29" t="s">
        <v>2009</v>
      </c>
      <c r="E637" s="18" t="e">
        <f>VLOOKUP(C637,数据集标准分类!E:F,2,0)</f>
        <v>#REF!</v>
      </c>
      <c r="F637" s="29" t="e">
        <f>VLOOKUP(D637,数据集标准分类!G:H,2,0)</f>
        <v>#N/A</v>
      </c>
      <c r="G637" s="29" t="s">
        <v>2050</v>
      </c>
      <c r="H637" s="29" t="s">
        <v>2051</v>
      </c>
      <c r="I637" s="29" t="s">
        <v>2052</v>
      </c>
      <c r="J637" s="29" t="s">
        <v>2053</v>
      </c>
      <c r="K637" s="29" t="s">
        <v>2054</v>
      </c>
      <c r="L637" s="250">
        <v>18</v>
      </c>
      <c r="M637" s="251"/>
    </row>
    <row r="638" ht="16.8" spans="1:13">
      <c r="A638" s="248" t="s">
        <v>4175</v>
      </c>
      <c r="B638" s="45" t="s">
        <v>4174</v>
      </c>
      <c r="C638" s="249" t="e">
        <f>VLOOKUP(D638,#REF!,2,0)</f>
        <v>#REF!</v>
      </c>
      <c r="D638" s="29" t="s">
        <v>2009</v>
      </c>
      <c r="E638" s="18" t="e">
        <f>VLOOKUP(C638,数据集标准分类!E:F,2,0)</f>
        <v>#REF!</v>
      </c>
      <c r="F638" s="29" t="e">
        <f>VLOOKUP(D638,数据集标准分类!G:H,2,0)</f>
        <v>#N/A</v>
      </c>
      <c r="G638" s="29" t="s">
        <v>966</v>
      </c>
      <c r="H638" s="29" t="s">
        <v>967</v>
      </c>
      <c r="I638" s="29" t="s">
        <v>968</v>
      </c>
      <c r="J638" s="29" t="s">
        <v>969</v>
      </c>
      <c r="K638" s="29" t="s">
        <v>970</v>
      </c>
      <c r="L638" s="250">
        <v>19</v>
      </c>
      <c r="M638" s="251"/>
    </row>
    <row r="639" ht="31" spans="1:13">
      <c r="A639" s="248" t="s">
        <v>4175</v>
      </c>
      <c r="B639" s="45" t="s">
        <v>4174</v>
      </c>
      <c r="C639" s="249" t="e">
        <f>VLOOKUP(D639,#REF!,2,0)</f>
        <v>#REF!</v>
      </c>
      <c r="D639" s="29" t="s">
        <v>2009</v>
      </c>
      <c r="E639" s="18" t="e">
        <f>VLOOKUP(C639,数据集标准分类!E:F,2,0)</f>
        <v>#REF!</v>
      </c>
      <c r="F639" s="29" t="e">
        <f>VLOOKUP(D639,数据集标准分类!G:H,2,0)</f>
        <v>#N/A</v>
      </c>
      <c r="G639" s="29" t="s">
        <v>1435</v>
      </c>
      <c r="H639" s="29" t="s">
        <v>1436</v>
      </c>
      <c r="I639" s="29" t="s">
        <v>1437</v>
      </c>
      <c r="J639" s="29" t="s">
        <v>1438</v>
      </c>
      <c r="K639" s="29" t="s">
        <v>2055</v>
      </c>
      <c r="L639" s="259">
        <v>20</v>
      </c>
      <c r="M639" s="251"/>
    </row>
    <row r="640" ht="31" spans="1:13">
      <c r="A640" s="248" t="s">
        <v>4175</v>
      </c>
      <c r="B640" s="45" t="s">
        <v>4174</v>
      </c>
      <c r="C640" s="249" t="e">
        <f>VLOOKUP(D640,#REF!,2,0)</f>
        <v>#REF!</v>
      </c>
      <c r="D640" s="29" t="s">
        <v>2009</v>
      </c>
      <c r="E640" s="18" t="e">
        <f>VLOOKUP(C640,数据集标准分类!E:F,2,0)</f>
        <v>#REF!</v>
      </c>
      <c r="F640" s="29" t="e">
        <f>VLOOKUP(D640,数据集标准分类!G:H,2,0)</f>
        <v>#N/A</v>
      </c>
      <c r="G640" s="29" t="s">
        <v>699</v>
      </c>
      <c r="H640" s="29" t="s">
        <v>700</v>
      </c>
      <c r="I640" s="29" t="s">
        <v>700</v>
      </c>
      <c r="J640" s="29" t="s">
        <v>701</v>
      </c>
      <c r="K640" s="29" t="s">
        <v>702</v>
      </c>
      <c r="L640" s="259">
        <v>21</v>
      </c>
      <c r="M640" s="251"/>
    </row>
    <row r="641" ht="31" spans="1:13">
      <c r="A641" s="248" t="s">
        <v>4175</v>
      </c>
      <c r="B641" s="45" t="s">
        <v>4174</v>
      </c>
      <c r="C641" s="249" t="e">
        <f>VLOOKUP(D641,#REF!,2,0)</f>
        <v>#REF!</v>
      </c>
      <c r="D641" s="29" t="s">
        <v>2009</v>
      </c>
      <c r="E641" s="18" t="e">
        <f>VLOOKUP(C641,数据集标准分类!E:F,2,0)</f>
        <v>#REF!</v>
      </c>
      <c r="F641" s="29" t="e">
        <f>VLOOKUP(D641,数据集标准分类!G:H,2,0)</f>
        <v>#N/A</v>
      </c>
      <c r="G641" s="29" t="s">
        <v>703</v>
      </c>
      <c r="H641" s="29" t="s">
        <v>704</v>
      </c>
      <c r="I641" s="29" t="s">
        <v>704</v>
      </c>
      <c r="J641" s="29" t="s">
        <v>705</v>
      </c>
      <c r="K641" s="29" t="s">
        <v>706</v>
      </c>
      <c r="L641" s="259">
        <v>22</v>
      </c>
      <c r="M641" s="251"/>
    </row>
    <row r="642" ht="31" spans="1:13">
      <c r="A642" s="248" t="s">
        <v>4175</v>
      </c>
      <c r="B642" s="45" t="s">
        <v>4174</v>
      </c>
      <c r="C642" s="249" t="e">
        <f>VLOOKUP(D642,#REF!,2,0)</f>
        <v>#REF!</v>
      </c>
      <c r="D642" s="29" t="s">
        <v>2009</v>
      </c>
      <c r="E642" s="18" t="e">
        <f>VLOOKUP(C642,数据集标准分类!E:F,2,0)</f>
        <v>#REF!</v>
      </c>
      <c r="F642" s="29" t="e">
        <f>VLOOKUP(D642,数据集标准分类!G:H,2,0)</f>
        <v>#N/A</v>
      </c>
      <c r="G642" s="29" t="s">
        <v>684</v>
      </c>
      <c r="H642" s="29" t="s">
        <v>685</v>
      </c>
      <c r="I642" s="29" t="s">
        <v>686</v>
      </c>
      <c r="J642" s="29" t="s">
        <v>687</v>
      </c>
      <c r="K642" s="29" t="s">
        <v>688</v>
      </c>
      <c r="L642" s="250">
        <v>23</v>
      </c>
      <c r="M642" s="251"/>
    </row>
    <row r="643" ht="31" spans="1:13">
      <c r="A643" s="248" t="s">
        <v>4175</v>
      </c>
      <c r="B643" s="45" t="s">
        <v>4174</v>
      </c>
      <c r="C643" s="249" t="e">
        <f>VLOOKUP(D643,#REF!,2,0)</f>
        <v>#REF!</v>
      </c>
      <c r="D643" s="29" t="s">
        <v>2009</v>
      </c>
      <c r="E643" s="18" t="e">
        <f>VLOOKUP(C643,数据集标准分类!E:F,2,0)</f>
        <v>#REF!</v>
      </c>
      <c r="F643" s="29" t="e">
        <f>VLOOKUP(D643,数据集标准分类!G:H,2,0)</f>
        <v>#N/A</v>
      </c>
      <c r="G643" s="29" t="s">
        <v>1949</v>
      </c>
      <c r="H643" s="29" t="s">
        <v>1950</v>
      </c>
      <c r="I643" s="29" t="s">
        <v>1951</v>
      </c>
      <c r="J643" s="29" t="s">
        <v>1952</v>
      </c>
      <c r="K643" s="29" t="s">
        <v>2056</v>
      </c>
      <c r="L643" s="259">
        <v>24</v>
      </c>
      <c r="M643" s="251"/>
    </row>
    <row r="644" ht="31" spans="1:13">
      <c r="A644" s="248" t="s">
        <v>4175</v>
      </c>
      <c r="B644" s="45" t="s">
        <v>4174</v>
      </c>
      <c r="C644" s="249" t="e">
        <f>VLOOKUP(D644,#REF!,2,0)</f>
        <v>#REF!</v>
      </c>
      <c r="D644" s="29" t="s">
        <v>2009</v>
      </c>
      <c r="E644" s="18" t="e">
        <f>VLOOKUP(C644,数据集标准分类!E:F,2,0)</f>
        <v>#REF!</v>
      </c>
      <c r="F644" s="29" t="e">
        <f>VLOOKUP(D644,数据集标准分类!G:H,2,0)</f>
        <v>#N/A</v>
      </c>
      <c r="G644" s="29" t="s">
        <v>689</v>
      </c>
      <c r="H644" s="29" t="s">
        <v>690</v>
      </c>
      <c r="I644" s="29" t="s">
        <v>691</v>
      </c>
      <c r="J644" s="29" t="s">
        <v>692</v>
      </c>
      <c r="K644" s="29" t="s">
        <v>693</v>
      </c>
      <c r="L644" s="259">
        <v>25</v>
      </c>
      <c r="M644" s="251"/>
    </row>
    <row r="645" ht="31" spans="1:13">
      <c r="A645" s="248" t="s">
        <v>4175</v>
      </c>
      <c r="B645" s="45" t="s">
        <v>4174</v>
      </c>
      <c r="C645" s="249" t="e">
        <f>VLOOKUP(D645,#REF!,2,0)</f>
        <v>#REF!</v>
      </c>
      <c r="D645" s="29" t="s">
        <v>2009</v>
      </c>
      <c r="E645" s="18" t="e">
        <f>VLOOKUP(C645,数据集标准分类!E:F,2,0)</f>
        <v>#REF!</v>
      </c>
      <c r="F645" s="29" t="e">
        <f>VLOOKUP(D645,数据集标准分类!G:H,2,0)</f>
        <v>#N/A</v>
      </c>
      <c r="G645" s="29" t="s">
        <v>694</v>
      </c>
      <c r="H645" s="29" t="s">
        <v>695</v>
      </c>
      <c r="I645" s="29" t="s">
        <v>696</v>
      </c>
      <c r="J645" s="29" t="s">
        <v>697</v>
      </c>
      <c r="K645" s="29" t="s">
        <v>2057</v>
      </c>
      <c r="L645" s="259">
        <v>26</v>
      </c>
      <c r="M645" s="251"/>
    </row>
    <row r="646" ht="76" spans="1:13">
      <c r="A646" s="248" t="s">
        <v>4175</v>
      </c>
      <c r="B646" s="45" t="s">
        <v>4174</v>
      </c>
      <c r="C646" s="249" t="e">
        <f>VLOOKUP(D646,#REF!,2,0)</f>
        <v>#REF!</v>
      </c>
      <c r="D646" s="29" t="s">
        <v>2009</v>
      </c>
      <c r="E646" s="18" t="e">
        <f>VLOOKUP(C646,数据集标准分类!E:F,2,0)</f>
        <v>#REF!</v>
      </c>
      <c r="F646" s="29" t="e">
        <f>VLOOKUP(D646,数据集标准分类!G:H,2,0)</f>
        <v>#N/A</v>
      </c>
      <c r="G646" s="29" t="s">
        <v>2058</v>
      </c>
      <c r="H646" s="29" t="s">
        <v>2059</v>
      </c>
      <c r="I646" s="29" t="s">
        <v>2060</v>
      </c>
      <c r="J646" s="29" t="s">
        <v>2061</v>
      </c>
      <c r="K646" s="29" t="s">
        <v>2062</v>
      </c>
      <c r="L646" s="250">
        <v>27</v>
      </c>
      <c r="M646" s="251"/>
    </row>
    <row r="647" ht="16.8" spans="1:13">
      <c r="A647" s="248" t="s">
        <v>4175</v>
      </c>
      <c r="B647" s="45" t="s">
        <v>4174</v>
      </c>
      <c r="C647" s="249" t="e">
        <f>VLOOKUP(D647,#REF!,2,0)</f>
        <v>#REF!</v>
      </c>
      <c r="D647" s="29" t="s">
        <v>2009</v>
      </c>
      <c r="E647" s="18" t="e">
        <f>VLOOKUP(C647,数据集标准分类!E:F,2,0)</f>
        <v>#REF!</v>
      </c>
      <c r="F647" s="29" t="e">
        <f>VLOOKUP(D647,数据集标准分类!G:H,2,0)</f>
        <v>#N/A</v>
      </c>
      <c r="G647" s="29" t="s">
        <v>1682</v>
      </c>
      <c r="H647" s="29" t="s">
        <v>1683</v>
      </c>
      <c r="I647" s="29" t="s">
        <v>1684</v>
      </c>
      <c r="J647" s="29" t="s">
        <v>1685</v>
      </c>
      <c r="K647" s="29" t="s">
        <v>1821</v>
      </c>
      <c r="L647" s="250">
        <v>28</v>
      </c>
      <c r="M647" s="251"/>
    </row>
    <row r="648" ht="31" spans="1:13">
      <c r="A648" s="248" t="s">
        <v>4175</v>
      </c>
      <c r="B648" s="45" t="s">
        <v>4174</v>
      </c>
      <c r="C648" s="249" t="e">
        <f>VLOOKUP(D648,#REF!,2,0)</f>
        <v>#REF!</v>
      </c>
      <c r="D648" s="29" t="s">
        <v>2009</v>
      </c>
      <c r="E648" s="18" t="e">
        <f>VLOOKUP(C648,数据集标准分类!E:F,2,0)</f>
        <v>#REF!</v>
      </c>
      <c r="F648" s="29" t="e">
        <f>VLOOKUP(D648,数据集标准分类!G:H,2,0)</f>
        <v>#N/A</v>
      </c>
      <c r="G648" s="29" t="s">
        <v>2063</v>
      </c>
      <c r="H648" s="29" t="s">
        <v>2064</v>
      </c>
      <c r="I648" s="29" t="s">
        <v>2065</v>
      </c>
      <c r="J648" s="29" t="s">
        <v>2066</v>
      </c>
      <c r="K648" s="29" t="s">
        <v>2067</v>
      </c>
      <c r="L648" s="250">
        <v>29</v>
      </c>
      <c r="M648" s="251"/>
    </row>
    <row r="649" ht="46" spans="1:13">
      <c r="A649" s="248" t="s">
        <v>4175</v>
      </c>
      <c r="B649" s="45" t="s">
        <v>4174</v>
      </c>
      <c r="C649" s="249" t="e">
        <f>VLOOKUP(D649,#REF!,2,0)</f>
        <v>#REF!</v>
      </c>
      <c r="D649" s="29" t="s">
        <v>2009</v>
      </c>
      <c r="E649" s="18" t="e">
        <f>VLOOKUP(C649,数据集标准分类!E:F,2,0)</f>
        <v>#REF!</v>
      </c>
      <c r="F649" s="29" t="e">
        <f>VLOOKUP(D649,数据集标准分类!G:H,2,0)</f>
        <v>#N/A</v>
      </c>
      <c r="G649" s="29" t="s">
        <v>1592</v>
      </c>
      <c r="H649" s="29" t="s">
        <v>1593</v>
      </c>
      <c r="I649" s="29" t="s">
        <v>1594</v>
      </c>
      <c r="J649" s="29" t="s">
        <v>1595</v>
      </c>
      <c r="K649" s="29" t="s">
        <v>1596</v>
      </c>
      <c r="L649" s="250">
        <v>30</v>
      </c>
      <c r="M649" s="251"/>
    </row>
    <row r="650" ht="31" spans="1:13">
      <c r="A650" s="248" t="s">
        <v>4175</v>
      </c>
      <c r="B650" s="45" t="s">
        <v>4174</v>
      </c>
      <c r="C650" s="249" t="e">
        <f>VLOOKUP(D650,#REF!,2,0)</f>
        <v>#REF!</v>
      </c>
      <c r="D650" s="29" t="s">
        <v>2009</v>
      </c>
      <c r="E650" s="18" t="e">
        <f>VLOOKUP(C650,数据集标准分类!E:F,2,0)</f>
        <v>#REF!</v>
      </c>
      <c r="F650" s="29" t="e">
        <f>VLOOKUP(D650,数据集标准分类!G:H,2,0)</f>
        <v>#N/A</v>
      </c>
      <c r="G650" s="29" t="s">
        <v>1430</v>
      </c>
      <c r="H650" s="29" t="s">
        <v>1431</v>
      </c>
      <c r="I650" s="29" t="s">
        <v>1432</v>
      </c>
      <c r="J650" s="29" t="s">
        <v>1433</v>
      </c>
      <c r="K650" s="29" t="s">
        <v>2068</v>
      </c>
      <c r="L650" s="250">
        <v>31</v>
      </c>
      <c r="M650" s="251"/>
    </row>
    <row r="651" customHeight="1" spans="1:13">
      <c r="A651" s="248" t="s">
        <v>4175</v>
      </c>
      <c r="B651" s="45" t="s">
        <v>4174</v>
      </c>
      <c r="C651" s="249" t="e">
        <f>VLOOKUP(D651,#REF!,2,0)</f>
        <v>#REF!</v>
      </c>
      <c r="D651" s="29" t="s">
        <v>2009</v>
      </c>
      <c r="E651" s="18" t="e">
        <f>VLOOKUP(C651,数据集标准分类!E:F,2,0)</f>
        <v>#REF!</v>
      </c>
      <c r="F651" s="29" t="e">
        <f>VLOOKUP(D651,数据集标准分类!G:H,2,0)</f>
        <v>#N/A</v>
      </c>
      <c r="G651" s="29" t="s">
        <v>1597</v>
      </c>
      <c r="H651" s="29" t="s">
        <v>1598</v>
      </c>
      <c r="I651" s="29" t="s">
        <v>1599</v>
      </c>
      <c r="J651" s="29" t="s">
        <v>1600</v>
      </c>
      <c r="K651" s="29" t="s">
        <v>1601</v>
      </c>
      <c r="L651" s="250">
        <v>32</v>
      </c>
      <c r="M651" s="251"/>
    </row>
    <row r="652" ht="31" spans="1:13">
      <c r="A652" s="248" t="s">
        <v>4175</v>
      </c>
      <c r="B652" s="45" t="s">
        <v>4174</v>
      </c>
      <c r="C652" s="249" t="e">
        <f>VLOOKUP(D652,#REF!,2,0)</f>
        <v>#REF!</v>
      </c>
      <c r="D652" s="29" t="s">
        <v>2009</v>
      </c>
      <c r="E652" s="18" t="e">
        <f>VLOOKUP(C652,数据集标准分类!E:F,2,0)</f>
        <v>#REF!</v>
      </c>
      <c r="F652" s="29" t="e">
        <f>VLOOKUP(D652,数据集标准分类!G:H,2,0)</f>
        <v>#N/A</v>
      </c>
      <c r="G652" s="29" t="s">
        <v>2069</v>
      </c>
      <c r="H652" s="29" t="s">
        <v>2070</v>
      </c>
      <c r="I652" s="29" t="s">
        <v>2071</v>
      </c>
      <c r="J652" s="29" t="s">
        <v>2072</v>
      </c>
      <c r="K652" s="29" t="s">
        <v>2073</v>
      </c>
      <c r="L652" s="250">
        <v>33</v>
      </c>
      <c r="M652" s="251"/>
    </row>
    <row r="653" ht="16.8" spans="1:13">
      <c r="A653" s="248" t="s">
        <v>4175</v>
      </c>
      <c r="B653" s="45" t="s">
        <v>4174</v>
      </c>
      <c r="C653" s="249" t="e">
        <f>VLOOKUP(D653,#REF!,2,0)</f>
        <v>#REF!</v>
      </c>
      <c r="D653" s="29" t="s">
        <v>2009</v>
      </c>
      <c r="E653" s="18" t="e">
        <f>VLOOKUP(C653,数据集标准分类!E:F,2,0)</f>
        <v>#REF!</v>
      </c>
      <c r="F653" s="29" t="e">
        <f>VLOOKUP(D653,数据集标准分类!G:H,2,0)</f>
        <v>#N/A</v>
      </c>
      <c r="G653" s="29" t="s">
        <v>197</v>
      </c>
      <c r="H653" s="29" t="s">
        <v>198</v>
      </c>
      <c r="I653" s="29" t="s">
        <v>2074</v>
      </c>
      <c r="J653" s="29" t="s">
        <v>199</v>
      </c>
      <c r="K653" s="29" t="s">
        <v>2019</v>
      </c>
      <c r="L653" s="250">
        <v>34</v>
      </c>
      <c r="M653" s="251"/>
    </row>
    <row r="654" ht="31" spans="1:13">
      <c r="A654" s="248" t="s">
        <v>4175</v>
      </c>
      <c r="B654" s="45" t="s">
        <v>4174</v>
      </c>
      <c r="C654" s="249" t="e">
        <f>VLOOKUP(D654,#REF!,2,0)</f>
        <v>#REF!</v>
      </c>
      <c r="D654" s="29" t="s">
        <v>2009</v>
      </c>
      <c r="E654" s="18" t="e">
        <f>VLOOKUP(C654,数据集标准分类!E:F,2,0)</f>
        <v>#REF!</v>
      </c>
      <c r="F654" s="29" t="e">
        <f>VLOOKUP(D654,数据集标准分类!G:H,2,0)</f>
        <v>#N/A</v>
      </c>
      <c r="G654" s="29" t="s">
        <v>201</v>
      </c>
      <c r="H654" s="29" t="s">
        <v>202</v>
      </c>
      <c r="I654" s="29" t="s">
        <v>203</v>
      </c>
      <c r="J654" s="29" t="s">
        <v>204</v>
      </c>
      <c r="K654" s="29" t="s">
        <v>2075</v>
      </c>
      <c r="L654" s="250">
        <v>35</v>
      </c>
      <c r="M654" s="251"/>
    </row>
    <row r="655" ht="31" spans="1:13">
      <c r="A655" s="248" t="s">
        <v>4175</v>
      </c>
      <c r="B655" s="45" t="s">
        <v>4174</v>
      </c>
      <c r="C655" s="249" t="e">
        <f>VLOOKUP(D655,#REF!,2,0)</f>
        <v>#REF!</v>
      </c>
      <c r="D655" s="29" t="s">
        <v>2009</v>
      </c>
      <c r="E655" s="18" t="e">
        <f>VLOOKUP(C655,数据集标准分类!E:F,2,0)</f>
        <v>#REF!</v>
      </c>
      <c r="F655" s="29" t="e">
        <f>VLOOKUP(D655,数据集标准分类!G:H,2,0)</f>
        <v>#N/A</v>
      </c>
      <c r="G655" s="29" t="s">
        <v>2076</v>
      </c>
      <c r="H655" s="29" t="s">
        <v>2077</v>
      </c>
      <c r="I655" s="29" t="s">
        <v>2078</v>
      </c>
      <c r="J655" s="29" t="s">
        <v>2079</v>
      </c>
      <c r="K655" s="29" t="s">
        <v>2080</v>
      </c>
      <c r="L655" s="250">
        <v>36</v>
      </c>
      <c r="M655" s="251"/>
    </row>
    <row r="656" ht="16.8" spans="1:13">
      <c r="A656" s="248" t="s">
        <v>4175</v>
      </c>
      <c r="B656" s="45" t="s">
        <v>4174</v>
      </c>
      <c r="C656" s="249" t="e">
        <f>VLOOKUP(D656,#REF!,2,0)</f>
        <v>#REF!</v>
      </c>
      <c r="D656" s="29" t="s">
        <v>2009</v>
      </c>
      <c r="E656" s="18" t="e">
        <f>VLOOKUP(C656,数据集标准分类!E:F,2,0)</f>
        <v>#REF!</v>
      </c>
      <c r="F656" s="29" t="e">
        <f>VLOOKUP(D656,数据集标准分类!G:H,2,0)</f>
        <v>#N/A</v>
      </c>
      <c r="G656" s="29" t="s">
        <v>2081</v>
      </c>
      <c r="H656" s="29" t="s">
        <v>2082</v>
      </c>
      <c r="I656" s="29" t="s">
        <v>2083</v>
      </c>
      <c r="J656" s="29" t="s">
        <v>2084</v>
      </c>
      <c r="K656" s="29" t="s">
        <v>2085</v>
      </c>
      <c r="L656" s="250">
        <v>37</v>
      </c>
      <c r="M656" s="251"/>
    </row>
    <row r="657" ht="16.8" spans="1:13">
      <c r="A657" s="248" t="s">
        <v>4175</v>
      </c>
      <c r="B657" s="45" t="s">
        <v>4174</v>
      </c>
      <c r="C657" s="249" t="e">
        <f>VLOOKUP(D657,#REF!,2,0)</f>
        <v>#REF!</v>
      </c>
      <c r="D657" s="29" t="s">
        <v>2009</v>
      </c>
      <c r="E657" s="18" t="e">
        <f>VLOOKUP(C657,数据集标准分类!E:F,2,0)</f>
        <v>#REF!</v>
      </c>
      <c r="F657" s="29" t="e">
        <f>VLOOKUP(D657,数据集标准分类!G:H,2,0)</f>
        <v>#N/A</v>
      </c>
      <c r="G657" s="29" t="s">
        <v>2086</v>
      </c>
      <c r="H657" s="29" t="s">
        <v>2087</v>
      </c>
      <c r="I657" s="29" t="s">
        <v>2088</v>
      </c>
      <c r="J657" s="29" t="s">
        <v>2089</v>
      </c>
      <c r="K657" s="29" t="s">
        <v>2090</v>
      </c>
      <c r="L657" s="250">
        <v>38</v>
      </c>
      <c r="M657" s="251"/>
    </row>
    <row r="658" ht="31" spans="1:13">
      <c r="A658" s="248" t="s">
        <v>4175</v>
      </c>
      <c r="B658" s="45" t="s">
        <v>4174</v>
      </c>
      <c r="C658" s="249" t="e">
        <f>VLOOKUP(D658,#REF!,2,0)</f>
        <v>#REF!</v>
      </c>
      <c r="D658" s="29" t="s">
        <v>2009</v>
      </c>
      <c r="E658" s="18" t="e">
        <f>VLOOKUP(C658,数据集标准分类!E:F,2,0)</f>
        <v>#REF!</v>
      </c>
      <c r="F658" s="29" t="e">
        <f>VLOOKUP(D658,数据集标准分类!G:H,2,0)</f>
        <v>#N/A</v>
      </c>
      <c r="G658" s="29" t="s">
        <v>2091</v>
      </c>
      <c r="H658" s="29" t="s">
        <v>2092</v>
      </c>
      <c r="I658" s="29" t="s">
        <v>2093</v>
      </c>
      <c r="J658" s="29" t="s">
        <v>2094</v>
      </c>
      <c r="K658" s="29" t="s">
        <v>2095</v>
      </c>
      <c r="L658" s="250">
        <v>39</v>
      </c>
      <c r="M658" s="251"/>
    </row>
    <row r="659" ht="31" spans="1:13">
      <c r="A659" s="248" t="s">
        <v>4175</v>
      </c>
      <c r="B659" s="45" t="s">
        <v>4174</v>
      </c>
      <c r="C659" s="249" t="e">
        <f>VLOOKUP(D659,#REF!,2,0)</f>
        <v>#REF!</v>
      </c>
      <c r="D659" s="29" t="s">
        <v>2009</v>
      </c>
      <c r="E659" s="18" t="e">
        <f>VLOOKUP(C659,数据集标准分类!E:F,2,0)</f>
        <v>#REF!</v>
      </c>
      <c r="F659" s="29" t="e">
        <f>VLOOKUP(D659,数据集标准分类!G:H,2,0)</f>
        <v>#N/A</v>
      </c>
      <c r="G659" s="29" t="s">
        <v>2096</v>
      </c>
      <c r="H659" s="29" t="s">
        <v>2097</v>
      </c>
      <c r="I659" s="29" t="s">
        <v>2098</v>
      </c>
      <c r="J659" s="29" t="s">
        <v>2099</v>
      </c>
      <c r="K659" s="29" t="s">
        <v>2100</v>
      </c>
      <c r="L659" s="250">
        <v>40</v>
      </c>
      <c r="M659" s="251"/>
    </row>
    <row r="660" ht="31" spans="1:13">
      <c r="A660" s="248" t="s">
        <v>4175</v>
      </c>
      <c r="B660" s="45" t="s">
        <v>4174</v>
      </c>
      <c r="C660" s="249" t="e">
        <f>VLOOKUP(D660,#REF!,2,0)</f>
        <v>#REF!</v>
      </c>
      <c r="D660" s="29" t="s">
        <v>2009</v>
      </c>
      <c r="E660" s="18" t="e">
        <f>VLOOKUP(C660,数据集标准分类!E:F,2,0)</f>
        <v>#REF!</v>
      </c>
      <c r="F660" s="29" t="e">
        <f>VLOOKUP(D660,数据集标准分类!G:H,2,0)</f>
        <v>#N/A</v>
      </c>
      <c r="G660" s="29" t="s">
        <v>1384</v>
      </c>
      <c r="H660" s="29" t="s">
        <v>1385</v>
      </c>
      <c r="I660" s="29" t="s">
        <v>1386</v>
      </c>
      <c r="J660" s="29" t="s">
        <v>1387</v>
      </c>
      <c r="K660" s="29" t="s">
        <v>1388</v>
      </c>
      <c r="L660" s="250">
        <v>41</v>
      </c>
      <c r="M660" s="251"/>
    </row>
    <row r="661" ht="31" spans="1:13">
      <c r="A661" s="248" t="s">
        <v>4175</v>
      </c>
      <c r="B661" s="45" t="s">
        <v>4174</v>
      </c>
      <c r="C661" s="249" t="e">
        <f>VLOOKUP(D661,#REF!,2,0)</f>
        <v>#REF!</v>
      </c>
      <c r="D661" s="29" t="s">
        <v>2009</v>
      </c>
      <c r="E661" s="18" t="e">
        <f>VLOOKUP(C661,数据集标准分类!E:F,2,0)</f>
        <v>#REF!</v>
      </c>
      <c r="F661" s="29" t="e">
        <f>VLOOKUP(D661,数据集标准分类!G:H,2,0)</f>
        <v>#N/A</v>
      </c>
      <c r="G661" s="29" t="s">
        <v>1349</v>
      </c>
      <c r="H661" s="29" t="s">
        <v>1350</v>
      </c>
      <c r="I661" s="29" t="s">
        <v>1351</v>
      </c>
      <c r="J661" s="29" t="s">
        <v>1352</v>
      </c>
      <c r="K661" s="29" t="s">
        <v>1353</v>
      </c>
      <c r="L661" s="250">
        <v>42</v>
      </c>
      <c r="M661" s="251"/>
    </row>
    <row r="662" ht="46" spans="1:13">
      <c r="A662" s="248" t="s">
        <v>4175</v>
      </c>
      <c r="B662" s="45" t="s">
        <v>4174</v>
      </c>
      <c r="C662" s="249" t="e">
        <f>VLOOKUP(D662,#REF!,2,0)</f>
        <v>#REF!</v>
      </c>
      <c r="D662" s="29" t="s">
        <v>2009</v>
      </c>
      <c r="E662" s="18" t="e">
        <f>VLOOKUP(C662,数据集标准分类!E:F,2,0)</f>
        <v>#REF!</v>
      </c>
      <c r="F662" s="29" t="e">
        <f>VLOOKUP(D662,数据集标准分类!G:H,2,0)</f>
        <v>#N/A</v>
      </c>
      <c r="G662" s="29" t="s">
        <v>1359</v>
      </c>
      <c r="H662" s="29" t="s">
        <v>1360</v>
      </c>
      <c r="I662" s="29" t="s">
        <v>1361</v>
      </c>
      <c r="J662" s="29" t="s">
        <v>1362</v>
      </c>
      <c r="K662" s="29" t="s">
        <v>1363</v>
      </c>
      <c r="L662" s="250">
        <v>43</v>
      </c>
      <c r="M662" s="251"/>
    </row>
    <row r="663" ht="46" spans="1:13">
      <c r="A663" s="248" t="s">
        <v>4175</v>
      </c>
      <c r="B663" s="45" t="s">
        <v>4174</v>
      </c>
      <c r="C663" s="249" t="e">
        <f>VLOOKUP(D663,#REF!,2,0)</f>
        <v>#REF!</v>
      </c>
      <c r="D663" s="29" t="s">
        <v>2009</v>
      </c>
      <c r="E663" s="18" t="e">
        <f>VLOOKUP(C663,数据集标准分类!E:F,2,0)</f>
        <v>#REF!</v>
      </c>
      <c r="F663" s="29" t="e">
        <f>VLOOKUP(D663,数据集标准分类!G:H,2,0)</f>
        <v>#N/A</v>
      </c>
      <c r="G663" s="29" t="s">
        <v>1364</v>
      </c>
      <c r="H663" s="29" t="s">
        <v>1365</v>
      </c>
      <c r="I663" s="29" t="s">
        <v>1366</v>
      </c>
      <c r="J663" s="29" t="s">
        <v>1367</v>
      </c>
      <c r="K663" s="29" t="s">
        <v>1368</v>
      </c>
      <c r="L663" s="250">
        <v>44</v>
      </c>
      <c r="M663" s="251"/>
    </row>
    <row r="664" ht="31" spans="1:13">
      <c r="A664" s="248" t="s">
        <v>4175</v>
      </c>
      <c r="B664" s="45" t="s">
        <v>4174</v>
      </c>
      <c r="C664" s="249" t="e">
        <f>VLOOKUP(D664,#REF!,2,0)</f>
        <v>#REF!</v>
      </c>
      <c r="D664" s="29" t="s">
        <v>2009</v>
      </c>
      <c r="E664" s="18" t="e">
        <f>VLOOKUP(C664,数据集标准分类!E:F,2,0)</f>
        <v>#REF!</v>
      </c>
      <c r="F664" s="29" t="e">
        <f>VLOOKUP(D664,数据集标准分类!G:H,2,0)</f>
        <v>#N/A</v>
      </c>
      <c r="G664" s="29" t="s">
        <v>1369</v>
      </c>
      <c r="H664" s="29" t="s">
        <v>1370</v>
      </c>
      <c r="I664" s="29" t="s">
        <v>1371</v>
      </c>
      <c r="J664" s="29" t="s">
        <v>1372</v>
      </c>
      <c r="K664" s="29" t="s">
        <v>1373</v>
      </c>
      <c r="L664" s="250">
        <v>45</v>
      </c>
      <c r="M664" s="251"/>
    </row>
    <row r="665" ht="16.8" spans="1:13">
      <c r="A665" s="248" t="s">
        <v>4175</v>
      </c>
      <c r="B665" s="45" t="s">
        <v>4174</v>
      </c>
      <c r="C665" s="249" t="e">
        <f>VLOOKUP(D665,#REF!,2,0)</f>
        <v>#REF!</v>
      </c>
      <c r="D665" s="29" t="s">
        <v>2009</v>
      </c>
      <c r="E665" s="18" t="e">
        <f>VLOOKUP(C665,数据集标准分类!E:F,2,0)</f>
        <v>#REF!</v>
      </c>
      <c r="F665" s="29" t="e">
        <f>VLOOKUP(D665,数据集标准分类!G:H,2,0)</f>
        <v>#N/A</v>
      </c>
      <c r="G665" s="29" t="s">
        <v>2101</v>
      </c>
      <c r="H665" s="29" t="s">
        <v>2102</v>
      </c>
      <c r="I665" s="29" t="s">
        <v>2103</v>
      </c>
      <c r="J665" s="29" t="s">
        <v>2104</v>
      </c>
      <c r="K665" s="29" t="s">
        <v>2105</v>
      </c>
      <c r="L665" s="250">
        <v>46</v>
      </c>
      <c r="M665" s="251"/>
    </row>
    <row r="666" ht="31" spans="1:13">
      <c r="A666" s="248" t="s">
        <v>4175</v>
      </c>
      <c r="B666" s="45" t="s">
        <v>4174</v>
      </c>
      <c r="C666" s="249" t="e">
        <f>VLOOKUP(D666,#REF!,2,0)</f>
        <v>#REF!</v>
      </c>
      <c r="D666" s="29" t="s">
        <v>2009</v>
      </c>
      <c r="E666" s="18" t="e">
        <f>VLOOKUP(C666,数据集标准分类!E:F,2,0)</f>
        <v>#REF!</v>
      </c>
      <c r="F666" s="29" t="e">
        <f>VLOOKUP(D666,数据集标准分类!G:H,2,0)</f>
        <v>#N/A</v>
      </c>
      <c r="G666" s="29" t="s">
        <v>1627</v>
      </c>
      <c r="H666" s="29" t="s">
        <v>1628</v>
      </c>
      <c r="I666" s="29" t="s">
        <v>1629</v>
      </c>
      <c r="J666" s="29" t="s">
        <v>1630</v>
      </c>
      <c r="K666" s="29" t="s">
        <v>1631</v>
      </c>
      <c r="L666" s="250">
        <v>47</v>
      </c>
      <c r="M666" s="251"/>
    </row>
    <row r="667" ht="61" spans="1:13">
      <c r="A667" s="248" t="s">
        <v>4175</v>
      </c>
      <c r="B667" s="45" t="s">
        <v>4174</v>
      </c>
      <c r="C667" s="249" t="e">
        <f>VLOOKUP(D667,#REF!,2,0)</f>
        <v>#REF!</v>
      </c>
      <c r="D667" s="29" t="s">
        <v>2009</v>
      </c>
      <c r="E667" s="18" t="e">
        <f>VLOOKUP(C667,数据集标准分类!E:F,2,0)</f>
        <v>#REF!</v>
      </c>
      <c r="F667" s="29" t="e">
        <f>VLOOKUP(D667,数据集标准分类!G:H,2,0)</f>
        <v>#N/A</v>
      </c>
      <c r="G667" s="29" t="s">
        <v>2106</v>
      </c>
      <c r="H667" s="29" t="s">
        <v>2107</v>
      </c>
      <c r="I667" s="29" t="s">
        <v>2108</v>
      </c>
      <c r="J667" s="29" t="s">
        <v>2109</v>
      </c>
      <c r="K667" s="29" t="s">
        <v>2110</v>
      </c>
      <c r="L667" s="250">
        <v>48</v>
      </c>
      <c r="M667" s="251"/>
    </row>
    <row r="668" ht="31" spans="1:13">
      <c r="A668" s="248" t="s">
        <v>4175</v>
      </c>
      <c r="B668" s="45" t="s">
        <v>4174</v>
      </c>
      <c r="C668" s="249" t="e">
        <f>VLOOKUP(D668,#REF!,2,0)</f>
        <v>#REF!</v>
      </c>
      <c r="D668" s="29" t="s">
        <v>2111</v>
      </c>
      <c r="E668" s="18" t="e">
        <f>VLOOKUP(C668,数据集标准分类!E:F,2,0)</f>
        <v>#REF!</v>
      </c>
      <c r="F668" s="29" t="e">
        <f>VLOOKUP(D668,数据集标准分类!G:H,2,0)</f>
        <v>#N/A</v>
      </c>
      <c r="G668" s="29" t="s">
        <v>711</v>
      </c>
      <c r="H668" s="29" t="s">
        <v>712</v>
      </c>
      <c r="I668" s="29" t="s">
        <v>712</v>
      </c>
      <c r="J668" s="29" t="s">
        <v>713</v>
      </c>
      <c r="K668" s="29" t="s">
        <v>714</v>
      </c>
      <c r="L668" s="250">
        <v>1</v>
      </c>
      <c r="M668" s="251"/>
    </row>
    <row r="669" ht="61" spans="1:13">
      <c r="A669" s="248" t="s">
        <v>4175</v>
      </c>
      <c r="B669" s="45" t="s">
        <v>4174</v>
      </c>
      <c r="C669" s="249" t="e">
        <f>VLOOKUP(D669,#REF!,2,0)</f>
        <v>#REF!</v>
      </c>
      <c r="D669" s="29" t="s">
        <v>2111</v>
      </c>
      <c r="E669" s="18" t="e">
        <f>VLOOKUP(C669,数据集标准分类!E:F,2,0)</f>
        <v>#REF!</v>
      </c>
      <c r="F669" s="29" t="e">
        <f>VLOOKUP(D669,数据集标准分类!G:H,2,0)</f>
        <v>#N/A</v>
      </c>
      <c r="G669" s="29" t="s">
        <v>77</v>
      </c>
      <c r="H669" s="29" t="s">
        <v>78</v>
      </c>
      <c r="I669" s="29" t="s">
        <v>79</v>
      </c>
      <c r="J669" s="29" t="s">
        <v>80</v>
      </c>
      <c r="K669" s="29" t="s">
        <v>310</v>
      </c>
      <c r="L669" s="250">
        <v>2</v>
      </c>
      <c r="M669" s="251"/>
    </row>
    <row r="670" ht="61" spans="1:13">
      <c r="A670" s="248" t="s">
        <v>4175</v>
      </c>
      <c r="B670" s="45" t="s">
        <v>4174</v>
      </c>
      <c r="C670" s="249" t="e">
        <f>VLOOKUP(D670,#REF!,2,0)</f>
        <v>#REF!</v>
      </c>
      <c r="D670" s="29" t="s">
        <v>2111</v>
      </c>
      <c r="E670" s="18" t="e">
        <f>VLOOKUP(C670,数据集标准分类!E:F,2,0)</f>
        <v>#REF!</v>
      </c>
      <c r="F670" s="29" t="e">
        <f>VLOOKUP(D670,数据集标准分类!G:H,2,0)</f>
        <v>#N/A</v>
      </c>
      <c r="G670" s="29" t="s">
        <v>82</v>
      </c>
      <c r="H670" s="29" t="s">
        <v>83</v>
      </c>
      <c r="I670" s="29" t="s">
        <v>84</v>
      </c>
      <c r="J670" s="29" t="s">
        <v>85</v>
      </c>
      <c r="K670" s="29" t="s">
        <v>311</v>
      </c>
      <c r="L670" s="250">
        <v>3</v>
      </c>
      <c r="M670" s="251"/>
    </row>
    <row r="671" ht="31" spans="1:13">
      <c r="A671" s="248" t="s">
        <v>4175</v>
      </c>
      <c r="B671" s="45" t="s">
        <v>4174</v>
      </c>
      <c r="C671" s="249" t="e">
        <f>VLOOKUP(D671,#REF!,2,0)</f>
        <v>#REF!</v>
      </c>
      <c r="D671" s="29" t="s">
        <v>2111</v>
      </c>
      <c r="E671" s="18" t="e">
        <f>VLOOKUP(C671,数据集标准分类!E:F,2,0)</f>
        <v>#REF!</v>
      </c>
      <c r="F671" s="29" t="e">
        <f>VLOOKUP(D671,数据集标准分类!G:H,2,0)</f>
        <v>#N/A</v>
      </c>
      <c r="G671" s="64" t="s">
        <v>1583</v>
      </c>
      <c r="H671" s="29" t="s">
        <v>1584</v>
      </c>
      <c r="I671" s="29" t="s">
        <v>1585</v>
      </c>
      <c r="J671" s="29" t="s">
        <v>1586</v>
      </c>
      <c r="K671" s="29" t="s">
        <v>1587</v>
      </c>
      <c r="L671" s="250">
        <v>4</v>
      </c>
      <c r="M671" s="251"/>
    </row>
    <row r="672" ht="31" spans="1:13">
      <c r="A672" s="248" t="s">
        <v>4175</v>
      </c>
      <c r="B672" s="45" t="s">
        <v>4174</v>
      </c>
      <c r="C672" s="249" t="e">
        <f>VLOOKUP(D672,#REF!,2,0)</f>
        <v>#REF!</v>
      </c>
      <c r="D672" s="29" t="s">
        <v>2111</v>
      </c>
      <c r="E672" s="18" t="e">
        <f>VLOOKUP(C672,数据集标准分类!E:F,2,0)</f>
        <v>#REF!</v>
      </c>
      <c r="F672" s="29" t="e">
        <f>VLOOKUP(D672,数据集标准分类!G:H,2,0)</f>
        <v>#N/A</v>
      </c>
      <c r="G672" s="64" t="s">
        <v>1588</v>
      </c>
      <c r="H672" s="29" t="s">
        <v>1589</v>
      </c>
      <c r="I672" s="29" t="s">
        <v>1590</v>
      </c>
      <c r="J672" s="29" t="s">
        <v>1591</v>
      </c>
      <c r="K672" s="29" t="s">
        <v>1445</v>
      </c>
      <c r="L672" s="250">
        <v>5</v>
      </c>
      <c r="M672" s="251"/>
    </row>
    <row r="673" ht="76" spans="1:32">
      <c r="A673" s="248" t="s">
        <v>4175</v>
      </c>
      <c r="B673" s="45" t="s">
        <v>4174</v>
      </c>
      <c r="C673" s="249" t="e">
        <f>VLOOKUP(D673,#REF!,2,0)</f>
        <v>#REF!</v>
      </c>
      <c r="D673" s="29" t="s">
        <v>2111</v>
      </c>
      <c r="E673" s="18" t="e">
        <f>VLOOKUP(C673,数据集标准分类!E:F,2,0)</f>
        <v>#REF!</v>
      </c>
      <c r="F673" s="29" t="e">
        <f>VLOOKUP(D673,数据集标准分类!G:H,2,0)</f>
        <v>#N/A</v>
      </c>
      <c r="G673" s="29" t="s">
        <v>715</v>
      </c>
      <c r="H673" s="29" t="s">
        <v>716</v>
      </c>
      <c r="I673" s="29" t="s">
        <v>717</v>
      </c>
      <c r="J673" s="29" t="s">
        <v>718</v>
      </c>
      <c r="K673" s="29" t="s">
        <v>719</v>
      </c>
      <c r="L673" s="250">
        <v>6</v>
      </c>
      <c r="M673" s="251"/>
    </row>
    <row r="674" ht="46" spans="1:32">
      <c r="A674" s="248" t="s">
        <v>4175</v>
      </c>
      <c r="B674" s="45" t="s">
        <v>4174</v>
      </c>
      <c r="C674" s="249" t="e">
        <f>VLOOKUP(D674,#REF!,2,0)</f>
        <v>#REF!</v>
      </c>
      <c r="D674" s="29" t="s">
        <v>2111</v>
      </c>
      <c r="E674" s="18" t="e">
        <f>VLOOKUP(C674,数据集标准分类!E:F,2,0)</f>
        <v>#REF!</v>
      </c>
      <c r="F674" s="29" t="e">
        <f>VLOOKUP(D674,数据集标准分类!G:H,2,0)</f>
        <v>#N/A</v>
      </c>
      <c r="G674" s="29" t="s">
        <v>192</v>
      </c>
      <c r="H674" s="29" t="s">
        <v>193</v>
      </c>
      <c r="I674" s="29" t="s">
        <v>194</v>
      </c>
      <c r="J674" s="29" t="s">
        <v>195</v>
      </c>
      <c r="K674" s="29" t="s">
        <v>385</v>
      </c>
      <c r="L674" s="250">
        <v>7</v>
      </c>
      <c r="M674" s="251"/>
    </row>
    <row r="675" ht="46" spans="1:32">
      <c r="A675" s="248" t="s">
        <v>4175</v>
      </c>
      <c r="B675" s="45" t="s">
        <v>4174</v>
      </c>
      <c r="C675" s="249" t="e">
        <f>VLOOKUP(D675,#REF!,2,0)</f>
        <v>#REF!</v>
      </c>
      <c r="D675" s="29" t="s">
        <v>2111</v>
      </c>
      <c r="E675" s="18" t="e">
        <f>VLOOKUP(C675,数据集标准分类!E:F,2,0)</f>
        <v>#REF!</v>
      </c>
      <c r="F675" s="29" t="e">
        <f>VLOOKUP(D675,数据集标准分类!G:H,2,0)</f>
        <v>#N/A</v>
      </c>
      <c r="G675" s="29" t="s">
        <v>421</v>
      </c>
      <c r="H675" s="29" t="s">
        <v>422</v>
      </c>
      <c r="I675" s="29" t="s">
        <v>423</v>
      </c>
      <c r="J675" s="29" t="s">
        <v>424</v>
      </c>
      <c r="K675" s="29" t="s">
        <v>425</v>
      </c>
      <c r="L675" s="250">
        <v>8</v>
      </c>
      <c r="M675" s="251"/>
    </row>
    <row r="676" ht="16.8" spans="1:32">
      <c r="A676" s="248" t="s">
        <v>4175</v>
      </c>
      <c r="B676" s="45" t="s">
        <v>4174</v>
      </c>
      <c r="C676" s="249" t="e">
        <f>VLOOKUP(D676,#REF!,2,0)</f>
        <v>#REF!</v>
      </c>
      <c r="D676" s="29" t="s">
        <v>2111</v>
      </c>
      <c r="E676" s="18" t="e">
        <f>VLOOKUP(C676,数据集标准分类!E:F,2,0)</f>
        <v>#REF!</v>
      </c>
      <c r="F676" s="29" t="e">
        <f>VLOOKUP(D676,数据集标准分类!G:H,2,0)</f>
        <v>#N/A</v>
      </c>
      <c r="G676" s="29" t="s">
        <v>2112</v>
      </c>
      <c r="H676" s="29" t="s">
        <v>2113</v>
      </c>
      <c r="I676" s="29" t="s">
        <v>2114</v>
      </c>
      <c r="J676" s="29" t="s">
        <v>2115</v>
      </c>
      <c r="K676" s="29" t="s">
        <v>2116</v>
      </c>
      <c r="L676" s="250">
        <v>9</v>
      </c>
      <c r="M676" s="251"/>
    </row>
    <row r="677" ht="31" spans="1:32">
      <c r="A677" s="248" t="s">
        <v>4175</v>
      </c>
      <c r="B677" s="45" t="s">
        <v>4174</v>
      </c>
      <c r="C677" s="249" t="e">
        <f>VLOOKUP(D677,#REF!,2,0)</f>
        <v>#REF!</v>
      </c>
      <c r="D677" s="29" t="s">
        <v>2111</v>
      </c>
      <c r="E677" s="18" t="e">
        <f>VLOOKUP(C677,数据集标准分类!E:F,2,0)</f>
        <v>#REF!</v>
      </c>
      <c r="F677" s="29" t="e">
        <f>VLOOKUP(D677,数据集标准分类!G:H,2,0)</f>
        <v>#N/A</v>
      </c>
      <c r="G677" s="29" t="s">
        <v>2117</v>
      </c>
      <c r="H677" s="29" t="s">
        <v>2118</v>
      </c>
      <c r="I677" s="29" t="s">
        <v>2119</v>
      </c>
      <c r="J677" s="29" t="s">
        <v>2120</v>
      </c>
      <c r="K677" s="29" t="s">
        <v>2121</v>
      </c>
      <c r="L677" s="250">
        <v>10</v>
      </c>
      <c r="M677" s="251"/>
    </row>
    <row r="678" ht="31" spans="1:32">
      <c r="A678" s="248" t="s">
        <v>4175</v>
      </c>
      <c r="B678" s="45" t="s">
        <v>4174</v>
      </c>
      <c r="C678" s="249" t="e">
        <f>VLOOKUP(D678,#REF!,2,0)</f>
        <v>#REF!</v>
      </c>
      <c r="D678" s="29" t="s">
        <v>2111</v>
      </c>
      <c r="E678" s="18" t="e">
        <f>VLOOKUP(C678,数据集标准分类!E:F,2,0)</f>
        <v>#REF!</v>
      </c>
      <c r="F678" s="29" t="e">
        <f>VLOOKUP(D678,数据集标准分类!G:H,2,0)</f>
        <v>#N/A</v>
      </c>
      <c r="G678" s="29" t="s">
        <v>1622</v>
      </c>
      <c r="H678" s="29" t="s">
        <v>1623</v>
      </c>
      <c r="I678" s="29" t="s">
        <v>1624</v>
      </c>
      <c r="J678" s="29" t="s">
        <v>1625</v>
      </c>
      <c r="K678" s="29" t="s">
        <v>2122</v>
      </c>
      <c r="L678" s="250">
        <v>11</v>
      </c>
      <c r="M678" s="251"/>
    </row>
    <row r="679" ht="24" customHeight="1" spans="1:32">
      <c r="A679" s="248" t="s">
        <v>4175</v>
      </c>
      <c r="B679" s="45" t="s">
        <v>4174</v>
      </c>
      <c r="C679" s="249" t="e">
        <f>VLOOKUP(D679,#REF!,2,0)</f>
        <v>#REF!</v>
      </c>
      <c r="D679" s="29" t="s">
        <v>2111</v>
      </c>
      <c r="E679" s="18" t="e">
        <f>VLOOKUP(C679,数据集标准分类!E:F,2,0)</f>
        <v>#REF!</v>
      </c>
      <c r="F679" s="29" t="e">
        <f>VLOOKUP(D679,数据集标准分类!G:H,2,0)</f>
        <v>#N/A</v>
      </c>
      <c r="G679" s="29" t="s">
        <v>2123</v>
      </c>
      <c r="H679" s="29" t="s">
        <v>2124</v>
      </c>
      <c r="I679" s="29" t="s">
        <v>2125</v>
      </c>
      <c r="J679" s="29" t="s">
        <v>2126</v>
      </c>
      <c r="K679" s="29" t="s">
        <v>2127</v>
      </c>
      <c r="L679" s="250">
        <v>12</v>
      </c>
      <c r="M679" s="251"/>
    </row>
    <row r="680" ht="16.8" spans="1:32">
      <c r="A680" s="248" t="s">
        <v>4175</v>
      </c>
      <c r="B680" s="45" t="s">
        <v>4174</v>
      </c>
      <c r="C680" s="249" t="e">
        <f>VLOOKUP(D680,#REF!,2,0)</f>
        <v>#REF!</v>
      </c>
      <c r="D680" s="29" t="s">
        <v>2111</v>
      </c>
      <c r="E680" s="18" t="e">
        <f>VLOOKUP(C680,数据集标准分类!E:F,2,0)</f>
        <v>#REF!</v>
      </c>
      <c r="F680" s="29" t="e">
        <f>VLOOKUP(D680,数据集标准分类!G:H,2,0)</f>
        <v>#N/A</v>
      </c>
      <c r="G680" s="29" t="s">
        <v>2128</v>
      </c>
      <c r="H680" s="29" t="s">
        <v>2129</v>
      </c>
      <c r="I680" s="29" t="s">
        <v>2130</v>
      </c>
      <c r="J680" s="29" t="s">
        <v>2131</v>
      </c>
      <c r="K680" s="29" t="s">
        <v>2132</v>
      </c>
      <c r="L680" s="250">
        <v>13</v>
      </c>
      <c r="M680" s="251"/>
    </row>
    <row r="681" ht="31" spans="1:32">
      <c r="A681" s="248" t="s">
        <v>4175</v>
      </c>
      <c r="B681" s="45" t="s">
        <v>4174</v>
      </c>
      <c r="C681" s="249" t="e">
        <f>VLOOKUP(D681,#REF!,2,0)</f>
        <v>#REF!</v>
      </c>
      <c r="D681" s="29" t="s">
        <v>2133</v>
      </c>
      <c r="E681" s="18" t="e">
        <f>VLOOKUP(C681,数据集标准分类!E:F,2,0)</f>
        <v>#REF!</v>
      </c>
      <c r="F681" s="29" t="e">
        <f>VLOOKUP(D681,数据集标准分类!G:H,2,0)</f>
        <v>#N/A</v>
      </c>
      <c r="G681" s="29" t="s">
        <v>711</v>
      </c>
      <c r="H681" s="29" t="s">
        <v>712</v>
      </c>
      <c r="I681" s="29" t="s">
        <v>712</v>
      </c>
      <c r="J681" s="29" t="s">
        <v>713</v>
      </c>
      <c r="K681" s="29" t="s">
        <v>714</v>
      </c>
      <c r="L681" s="250">
        <v>1</v>
      </c>
      <c r="M681" s="251"/>
      <c r="N681" s="260"/>
      <c r="O681" s="260"/>
      <c r="P681" s="260"/>
      <c r="Q681" s="260"/>
      <c r="R681" s="260"/>
      <c r="S681" s="260"/>
      <c r="T681" s="260"/>
      <c r="U681" s="260"/>
      <c r="V681" s="260"/>
      <c r="W681" s="260"/>
      <c r="X681" s="260"/>
      <c r="Y681" s="260"/>
      <c r="Z681" s="260"/>
      <c r="AA681" s="260"/>
      <c r="AB681" s="260"/>
      <c r="AC681" s="260"/>
      <c r="AD681" s="260"/>
      <c r="AE681" s="260"/>
      <c r="AF681" s="260"/>
    </row>
    <row r="682" ht="61" spans="1:32">
      <c r="A682" s="248" t="s">
        <v>4175</v>
      </c>
      <c r="B682" s="45" t="s">
        <v>4174</v>
      </c>
      <c r="C682" s="249" t="e">
        <f>VLOOKUP(D682,#REF!,2,0)</f>
        <v>#REF!</v>
      </c>
      <c r="D682" s="29" t="s">
        <v>2133</v>
      </c>
      <c r="E682" s="18" t="e">
        <f>VLOOKUP(C682,数据集标准分类!E:F,2,0)</f>
        <v>#REF!</v>
      </c>
      <c r="F682" s="29" t="e">
        <f>VLOOKUP(D682,数据集标准分类!G:H,2,0)</f>
        <v>#N/A</v>
      </c>
      <c r="G682" s="29" t="s">
        <v>77</v>
      </c>
      <c r="H682" s="29" t="s">
        <v>78</v>
      </c>
      <c r="I682" s="29" t="s">
        <v>79</v>
      </c>
      <c r="J682" s="29" t="s">
        <v>80</v>
      </c>
      <c r="K682" s="29" t="s">
        <v>310</v>
      </c>
      <c r="L682" s="250">
        <v>2</v>
      </c>
      <c r="M682" s="251"/>
      <c r="N682" s="260"/>
      <c r="O682" s="260"/>
      <c r="P682" s="260"/>
      <c r="Q682" s="260"/>
      <c r="R682" s="260"/>
      <c r="S682" s="260"/>
      <c r="T682" s="260"/>
      <c r="U682" s="260"/>
      <c r="V682" s="260"/>
      <c r="W682" s="260"/>
      <c r="X682" s="260"/>
      <c r="Y682" s="260"/>
      <c r="Z682" s="260"/>
      <c r="AA682" s="260"/>
      <c r="AB682" s="260"/>
      <c r="AC682" s="260"/>
      <c r="AD682" s="260"/>
      <c r="AE682" s="260"/>
      <c r="AF682" s="260"/>
    </row>
    <row r="683" ht="61" spans="1:32">
      <c r="A683" s="248" t="s">
        <v>4175</v>
      </c>
      <c r="B683" s="45" t="s">
        <v>4174</v>
      </c>
      <c r="C683" s="249" t="e">
        <f>VLOOKUP(D683,#REF!,2,0)</f>
        <v>#REF!</v>
      </c>
      <c r="D683" s="29" t="s">
        <v>2133</v>
      </c>
      <c r="E683" s="18" t="e">
        <f>VLOOKUP(C683,数据集标准分类!E:F,2,0)</f>
        <v>#REF!</v>
      </c>
      <c r="F683" s="29" t="e">
        <f>VLOOKUP(D683,数据集标准分类!G:H,2,0)</f>
        <v>#N/A</v>
      </c>
      <c r="G683" s="29" t="s">
        <v>82</v>
      </c>
      <c r="H683" s="29" t="s">
        <v>83</v>
      </c>
      <c r="I683" s="29" t="s">
        <v>84</v>
      </c>
      <c r="J683" s="29" t="s">
        <v>85</v>
      </c>
      <c r="K683" s="29" t="s">
        <v>311</v>
      </c>
      <c r="L683" s="250">
        <v>3</v>
      </c>
      <c r="M683" s="251"/>
      <c r="N683" s="260"/>
      <c r="O683" s="260"/>
      <c r="P683" s="260"/>
      <c r="Q683" s="260"/>
      <c r="R683" s="260"/>
      <c r="S683" s="260"/>
      <c r="T683" s="260"/>
      <c r="U683" s="260"/>
      <c r="V683" s="260"/>
      <c r="W683" s="260"/>
      <c r="X683" s="260"/>
      <c r="Y683" s="260"/>
      <c r="Z683" s="260"/>
      <c r="AA683" s="260"/>
      <c r="AB683" s="260"/>
      <c r="AC683" s="260"/>
      <c r="AD683" s="260"/>
      <c r="AE683" s="260"/>
      <c r="AF683" s="260"/>
    </row>
    <row r="684" ht="31" spans="1:32">
      <c r="A684" s="248" t="s">
        <v>4175</v>
      </c>
      <c r="B684" s="45" t="s">
        <v>4174</v>
      </c>
      <c r="C684" s="249" t="e">
        <f>VLOOKUP(D684,#REF!,2,0)</f>
        <v>#REF!</v>
      </c>
      <c r="D684" s="29" t="s">
        <v>2133</v>
      </c>
      <c r="E684" s="18" t="e">
        <f>VLOOKUP(C684,数据集标准分类!E:F,2,0)</f>
        <v>#REF!</v>
      </c>
      <c r="F684" s="29" t="e">
        <f>VLOOKUP(D684,数据集标准分类!G:H,2,0)</f>
        <v>#N/A</v>
      </c>
      <c r="G684" s="29" t="s">
        <v>172</v>
      </c>
      <c r="H684" s="29" t="s">
        <v>173</v>
      </c>
      <c r="I684" s="29" t="s">
        <v>174</v>
      </c>
      <c r="J684" s="29" t="s">
        <v>175</v>
      </c>
      <c r="K684" s="29" t="s">
        <v>1587</v>
      </c>
      <c r="L684" s="250">
        <v>4</v>
      </c>
      <c r="M684" s="251"/>
      <c r="N684" s="260"/>
      <c r="O684" s="260"/>
      <c r="P684" s="260"/>
      <c r="Q684" s="260"/>
      <c r="R684" s="260"/>
      <c r="S684" s="260"/>
      <c r="T684" s="260"/>
      <c r="U684" s="260"/>
      <c r="V684" s="260"/>
      <c r="W684" s="260"/>
      <c r="X684" s="260"/>
      <c r="Y684" s="260"/>
      <c r="Z684" s="260"/>
      <c r="AA684" s="260"/>
      <c r="AB684" s="260"/>
      <c r="AC684" s="260"/>
      <c r="AD684" s="260"/>
      <c r="AE684" s="260"/>
      <c r="AF684" s="260"/>
    </row>
    <row r="685" ht="24" customHeight="1" spans="1:32">
      <c r="A685" s="248" t="s">
        <v>4175</v>
      </c>
      <c r="B685" s="45" t="s">
        <v>4174</v>
      </c>
      <c r="C685" s="249" t="e">
        <f>VLOOKUP(D685,#REF!,2,0)</f>
        <v>#REF!</v>
      </c>
      <c r="D685" s="29" t="s">
        <v>2133</v>
      </c>
      <c r="E685" s="18" t="e">
        <f>VLOOKUP(C685,数据集标准分类!E:F,2,0)</f>
        <v>#REF!</v>
      </c>
      <c r="F685" s="29" t="e">
        <f>VLOOKUP(D685,数据集标准分类!G:H,2,0)</f>
        <v>#N/A</v>
      </c>
      <c r="G685" s="29" t="s">
        <v>192</v>
      </c>
      <c r="H685" s="29" t="s">
        <v>193</v>
      </c>
      <c r="I685" s="29" t="s">
        <v>194</v>
      </c>
      <c r="J685" s="29" t="s">
        <v>195</v>
      </c>
      <c r="K685" s="29" t="s">
        <v>1722</v>
      </c>
      <c r="L685" s="250">
        <v>5</v>
      </c>
      <c r="M685" s="251"/>
      <c r="N685" s="260"/>
      <c r="O685" s="260"/>
      <c r="P685" s="260"/>
      <c r="Q685" s="260"/>
      <c r="R685" s="260"/>
      <c r="S685" s="260"/>
      <c r="T685" s="260"/>
      <c r="U685" s="260"/>
      <c r="V685" s="260"/>
      <c r="W685" s="260"/>
      <c r="X685" s="260"/>
      <c r="Y685" s="260"/>
      <c r="Z685" s="260"/>
      <c r="AA685" s="260"/>
      <c r="AB685" s="260"/>
      <c r="AC685" s="260"/>
      <c r="AD685" s="260"/>
      <c r="AE685" s="260"/>
      <c r="AF685" s="260"/>
    </row>
    <row r="686" ht="46" spans="1:32">
      <c r="A686" s="248" t="s">
        <v>4175</v>
      </c>
      <c r="B686" s="45" t="s">
        <v>4174</v>
      </c>
      <c r="C686" s="249" t="e">
        <f>VLOOKUP(D686,#REF!,2,0)</f>
        <v>#REF!</v>
      </c>
      <c r="D686" s="29" t="s">
        <v>2133</v>
      </c>
      <c r="E686" s="18" t="e">
        <f>VLOOKUP(C686,数据集标准分类!E:F,2,0)</f>
        <v>#REF!</v>
      </c>
      <c r="F686" s="29" t="e">
        <f>VLOOKUP(D686,数据集标准分类!G:H,2,0)</f>
        <v>#N/A</v>
      </c>
      <c r="G686" s="29" t="s">
        <v>421</v>
      </c>
      <c r="H686" s="29" t="s">
        <v>422</v>
      </c>
      <c r="I686" s="29" t="s">
        <v>423</v>
      </c>
      <c r="J686" s="29" t="s">
        <v>424</v>
      </c>
      <c r="K686" s="29" t="s">
        <v>1724</v>
      </c>
      <c r="L686" s="250">
        <v>6</v>
      </c>
      <c r="M686" s="251"/>
      <c r="N686" s="260"/>
      <c r="O686" s="260"/>
      <c r="P686" s="260"/>
      <c r="Q686" s="260"/>
      <c r="R686" s="260"/>
      <c r="S686" s="260"/>
      <c r="T686" s="260"/>
      <c r="U686" s="260"/>
      <c r="V686" s="260"/>
      <c r="W686" s="260"/>
      <c r="X686" s="260"/>
      <c r="Y686" s="260"/>
      <c r="Z686" s="260"/>
      <c r="AA686" s="260"/>
      <c r="AB686" s="260"/>
      <c r="AC686" s="260"/>
      <c r="AD686" s="260"/>
      <c r="AE686" s="260"/>
      <c r="AF686" s="260"/>
    </row>
    <row r="687" ht="46" spans="1:32">
      <c r="A687" s="248" t="s">
        <v>4175</v>
      </c>
      <c r="B687" s="45" t="s">
        <v>4174</v>
      </c>
      <c r="C687" s="249" t="e">
        <f>VLOOKUP(D687,#REF!,2,0)</f>
        <v>#REF!</v>
      </c>
      <c r="D687" s="29" t="s">
        <v>2133</v>
      </c>
      <c r="E687" s="18" t="e">
        <f>VLOOKUP(C687,数据集标准分类!E:F,2,0)</f>
        <v>#REF!</v>
      </c>
      <c r="F687" s="29" t="e">
        <f>VLOOKUP(D687,数据集标准分类!G:H,2,0)</f>
        <v>#N/A</v>
      </c>
      <c r="G687" s="29" t="s">
        <v>2134</v>
      </c>
      <c r="H687" s="29" t="s">
        <v>2135</v>
      </c>
      <c r="I687" s="29" t="s">
        <v>2136</v>
      </c>
      <c r="J687" s="29" t="s">
        <v>2137</v>
      </c>
      <c r="K687" s="29" t="s">
        <v>2138</v>
      </c>
      <c r="L687" s="250">
        <v>7</v>
      </c>
      <c r="M687" s="45"/>
    </row>
    <row r="688" ht="31" spans="1:32">
      <c r="A688" s="248" t="s">
        <v>4175</v>
      </c>
      <c r="B688" s="45" t="s">
        <v>4174</v>
      </c>
      <c r="C688" s="249" t="e">
        <f>VLOOKUP(D688,#REF!,2,0)</f>
        <v>#REF!</v>
      </c>
      <c r="D688" s="29" t="s">
        <v>2133</v>
      </c>
      <c r="E688" s="18" t="e">
        <f>VLOOKUP(C688,数据集标准分类!E:F,2,0)</f>
        <v>#REF!</v>
      </c>
      <c r="F688" s="29" t="e">
        <f>VLOOKUP(D688,数据集标准分类!G:H,2,0)</f>
        <v>#N/A</v>
      </c>
      <c r="G688" s="29" t="s">
        <v>1192</v>
      </c>
      <c r="H688" s="29" t="s">
        <v>1193</v>
      </c>
      <c r="I688" s="29" t="s">
        <v>1194</v>
      </c>
      <c r="J688" s="29" t="s">
        <v>1195</v>
      </c>
      <c r="K688" s="29" t="s">
        <v>1196</v>
      </c>
      <c r="L688" s="250">
        <v>8</v>
      </c>
      <c r="M688" s="45"/>
    </row>
    <row r="689" ht="16.8" spans="1:13">
      <c r="A689" s="248" t="s">
        <v>4175</v>
      </c>
      <c r="B689" s="45" t="s">
        <v>4174</v>
      </c>
      <c r="C689" s="249" t="e">
        <f>VLOOKUP(D689,#REF!,2,0)</f>
        <v>#REF!</v>
      </c>
      <c r="D689" s="29" t="s">
        <v>2133</v>
      </c>
      <c r="E689" s="18" t="e">
        <f>VLOOKUP(C689,数据集标准分类!E:F,2,0)</f>
        <v>#REF!</v>
      </c>
      <c r="F689" s="29" t="e">
        <f>VLOOKUP(D689,数据集标准分类!G:H,2,0)</f>
        <v>#N/A</v>
      </c>
      <c r="G689" s="29" t="s">
        <v>2139</v>
      </c>
      <c r="H689" s="29" t="s">
        <v>2140</v>
      </c>
      <c r="I689" s="29" t="s">
        <v>2141</v>
      </c>
      <c r="J689" s="29" t="s">
        <v>2142</v>
      </c>
      <c r="K689" s="29" t="s">
        <v>2143</v>
      </c>
      <c r="L689" s="250">
        <v>9</v>
      </c>
      <c r="M689" s="45"/>
    </row>
    <row r="690" ht="31" spans="1:13">
      <c r="A690" s="248" t="s">
        <v>4175</v>
      </c>
      <c r="B690" s="45" t="s">
        <v>4174</v>
      </c>
      <c r="C690" s="249" t="e">
        <f>VLOOKUP(D690,#REF!,2,0)</f>
        <v>#REF!</v>
      </c>
      <c r="D690" s="29" t="s">
        <v>2133</v>
      </c>
      <c r="E690" s="18" t="e">
        <f>VLOOKUP(C690,数据集标准分类!E:F,2,0)</f>
        <v>#REF!</v>
      </c>
      <c r="F690" s="29" t="e">
        <f>VLOOKUP(D690,数据集标准分类!G:H,2,0)</f>
        <v>#N/A</v>
      </c>
      <c r="G690" s="29" t="s">
        <v>508</v>
      </c>
      <c r="H690" s="29" t="s">
        <v>509</v>
      </c>
      <c r="I690" s="29" t="s">
        <v>510</v>
      </c>
      <c r="J690" s="29" t="s">
        <v>511</v>
      </c>
      <c r="K690" s="29" t="s">
        <v>116</v>
      </c>
      <c r="L690" s="250">
        <v>10</v>
      </c>
      <c r="M690" s="45"/>
    </row>
    <row r="691" ht="31" spans="1:13">
      <c r="A691" s="248" t="s">
        <v>4175</v>
      </c>
      <c r="B691" s="45" t="s">
        <v>4174</v>
      </c>
      <c r="C691" s="249" t="e">
        <f>VLOOKUP(D691,#REF!,2,0)</f>
        <v>#REF!</v>
      </c>
      <c r="D691" s="29" t="s">
        <v>2133</v>
      </c>
      <c r="E691" s="18" t="e">
        <f>VLOOKUP(C691,数据集标准分类!E:F,2,0)</f>
        <v>#REF!</v>
      </c>
      <c r="F691" s="29" t="e">
        <f>VLOOKUP(D691,数据集标准分类!G:H,2,0)</f>
        <v>#N/A</v>
      </c>
      <c r="G691" s="29" t="s">
        <v>2144</v>
      </c>
      <c r="H691" s="29" t="s">
        <v>2145</v>
      </c>
      <c r="I691" s="29" t="s">
        <v>2146</v>
      </c>
      <c r="J691" s="29" t="s">
        <v>2147</v>
      </c>
      <c r="K691" s="29" t="s">
        <v>2148</v>
      </c>
      <c r="L691" s="250">
        <v>11</v>
      </c>
      <c r="M691" s="45"/>
    </row>
    <row r="692" ht="31" spans="1:13">
      <c r="A692" s="248" t="s">
        <v>4175</v>
      </c>
      <c r="B692" s="45" t="s">
        <v>4174</v>
      </c>
      <c r="C692" s="249" t="e">
        <f>VLOOKUP(D692,#REF!,2,0)</f>
        <v>#REF!</v>
      </c>
      <c r="D692" s="29" t="s">
        <v>2133</v>
      </c>
      <c r="E692" s="18" t="e">
        <f>VLOOKUP(C692,数据集标准分类!E:F,2,0)</f>
        <v>#REF!</v>
      </c>
      <c r="F692" s="29" t="e">
        <f>VLOOKUP(D692,数据集标准分类!G:H,2,0)</f>
        <v>#N/A</v>
      </c>
      <c r="G692" s="29" t="s">
        <v>2149</v>
      </c>
      <c r="H692" s="29" t="s">
        <v>2150</v>
      </c>
      <c r="I692" s="29" t="s">
        <v>2151</v>
      </c>
      <c r="J692" s="29" t="s">
        <v>2152</v>
      </c>
      <c r="K692" s="29" t="s">
        <v>2153</v>
      </c>
      <c r="L692" s="250">
        <v>12</v>
      </c>
      <c r="M692" s="45"/>
    </row>
    <row r="693" ht="16.8" spans="1:13">
      <c r="A693" s="248" t="s">
        <v>4175</v>
      </c>
      <c r="B693" s="45" t="s">
        <v>4174</v>
      </c>
      <c r="C693" s="249" t="e">
        <f>VLOOKUP(D693,#REF!,2,0)</f>
        <v>#REF!</v>
      </c>
      <c r="D693" s="29" t="s">
        <v>2133</v>
      </c>
      <c r="E693" s="18" t="e">
        <f>VLOOKUP(C693,数据集标准分类!E:F,2,0)</f>
        <v>#REF!</v>
      </c>
      <c r="F693" s="29" t="e">
        <f>VLOOKUP(D693,数据集标准分类!G:H,2,0)</f>
        <v>#N/A</v>
      </c>
      <c r="G693" s="29" t="s">
        <v>2154</v>
      </c>
      <c r="H693" s="254" t="s">
        <v>2155</v>
      </c>
      <c r="I693" s="254" t="s">
        <v>2156</v>
      </c>
      <c r="J693" s="29" t="s">
        <v>2157</v>
      </c>
      <c r="K693" s="29" t="s">
        <v>2158</v>
      </c>
      <c r="L693" s="250">
        <v>13</v>
      </c>
      <c r="M693" s="251"/>
    </row>
    <row r="694" ht="16.8" spans="1:13">
      <c r="A694" s="248" t="s">
        <v>4175</v>
      </c>
      <c r="B694" s="45" t="s">
        <v>4174</v>
      </c>
      <c r="C694" s="249" t="e">
        <f>VLOOKUP(D694,#REF!,2,0)</f>
        <v>#REF!</v>
      </c>
      <c r="D694" s="29" t="s">
        <v>2133</v>
      </c>
      <c r="E694" s="18" t="e">
        <f>VLOOKUP(C694,数据集标准分类!E:F,2,0)</f>
        <v>#REF!</v>
      </c>
      <c r="F694" s="29" t="e">
        <f>VLOOKUP(D694,数据集标准分类!G:H,2,0)</f>
        <v>#N/A</v>
      </c>
      <c r="G694" s="29" t="s">
        <v>2159</v>
      </c>
      <c r="H694" s="29" t="s">
        <v>2160</v>
      </c>
      <c r="I694" s="29" t="s">
        <v>2161</v>
      </c>
      <c r="J694" s="29" t="s">
        <v>2162</v>
      </c>
      <c r="K694" s="29" t="s">
        <v>2163</v>
      </c>
      <c r="L694" s="250">
        <v>14</v>
      </c>
      <c r="M694" s="251"/>
    </row>
    <row r="695" ht="16.8" spans="1:13">
      <c r="A695" s="248" t="s">
        <v>4175</v>
      </c>
      <c r="B695" s="45" t="s">
        <v>4174</v>
      </c>
      <c r="C695" s="249" t="e">
        <f>VLOOKUP(D695,#REF!,2,0)</f>
        <v>#REF!</v>
      </c>
      <c r="D695" s="29" t="s">
        <v>2133</v>
      </c>
      <c r="E695" s="18" t="e">
        <f>VLOOKUP(C695,数据集标准分类!E:F,2,0)</f>
        <v>#REF!</v>
      </c>
      <c r="F695" s="29" t="e">
        <f>VLOOKUP(D695,数据集标准分类!G:H,2,0)</f>
        <v>#N/A</v>
      </c>
      <c r="G695" s="29" t="s">
        <v>2164</v>
      </c>
      <c r="H695" s="257" t="s">
        <v>2165</v>
      </c>
      <c r="I695" s="257" t="s">
        <v>2166</v>
      </c>
      <c r="J695" s="29" t="s">
        <v>2167</v>
      </c>
      <c r="K695" s="29" t="s">
        <v>2168</v>
      </c>
      <c r="L695" s="250">
        <v>15</v>
      </c>
      <c r="M695" s="251"/>
    </row>
    <row r="696" ht="31" spans="1:13">
      <c r="A696" s="248" t="s">
        <v>4175</v>
      </c>
      <c r="B696" s="45" t="s">
        <v>4174</v>
      </c>
      <c r="C696" s="249" t="e">
        <f>VLOOKUP(D696,#REF!,2,0)</f>
        <v>#REF!</v>
      </c>
      <c r="D696" s="29" t="s">
        <v>2133</v>
      </c>
      <c r="E696" s="18" t="e">
        <f>VLOOKUP(C696,数据集标准分类!E:F,2,0)</f>
        <v>#REF!</v>
      </c>
      <c r="F696" s="29" t="e">
        <f>VLOOKUP(D696,数据集标准分类!G:H,2,0)</f>
        <v>#N/A</v>
      </c>
      <c r="G696" s="29" t="s">
        <v>2169</v>
      </c>
      <c r="H696" s="254" t="s">
        <v>2170</v>
      </c>
      <c r="I696" s="254" t="s">
        <v>2171</v>
      </c>
      <c r="J696" s="29" t="s">
        <v>2172</v>
      </c>
      <c r="K696" s="29" t="s">
        <v>2173</v>
      </c>
      <c r="L696" s="250">
        <v>16</v>
      </c>
      <c r="M696" s="251"/>
    </row>
    <row r="697" ht="31" spans="1:13">
      <c r="A697" s="248" t="s">
        <v>4175</v>
      </c>
      <c r="B697" s="45" t="s">
        <v>4174</v>
      </c>
      <c r="C697" s="249" t="e">
        <f>VLOOKUP(D697,#REF!,2,0)</f>
        <v>#REF!</v>
      </c>
      <c r="D697" s="29" t="s">
        <v>2133</v>
      </c>
      <c r="E697" s="18" t="e">
        <f>VLOOKUP(C697,数据集标准分类!E:F,2,0)</f>
        <v>#REF!</v>
      </c>
      <c r="F697" s="29" t="e">
        <f>VLOOKUP(D697,数据集标准分类!G:H,2,0)</f>
        <v>#N/A</v>
      </c>
      <c r="G697" s="255" t="s">
        <v>2174</v>
      </c>
      <c r="H697" s="29" t="s">
        <v>2175</v>
      </c>
      <c r="I697" s="256" t="s">
        <v>2176</v>
      </c>
      <c r="J697" s="256" t="s">
        <v>2177</v>
      </c>
      <c r="K697" s="29" t="s">
        <v>2178</v>
      </c>
      <c r="L697" s="250">
        <v>17</v>
      </c>
      <c r="M697" s="251"/>
    </row>
    <row r="698" ht="31" spans="1:13">
      <c r="A698" s="248" t="s">
        <v>4175</v>
      </c>
      <c r="B698" s="45" t="s">
        <v>4174</v>
      </c>
      <c r="C698" s="249" t="e">
        <f>VLOOKUP(D698,#REF!,2,0)</f>
        <v>#REF!</v>
      </c>
      <c r="D698" s="29" t="s">
        <v>2133</v>
      </c>
      <c r="E698" s="18" t="e">
        <f>VLOOKUP(C698,数据集标准分类!E:F,2,0)</f>
        <v>#REF!</v>
      </c>
      <c r="F698" s="29" t="e">
        <f>VLOOKUP(D698,数据集标准分类!G:H,2,0)</f>
        <v>#N/A</v>
      </c>
      <c r="G698" s="255" t="s">
        <v>2179</v>
      </c>
      <c r="H698" s="29" t="s">
        <v>2180</v>
      </c>
      <c r="I698" s="256" t="s">
        <v>2181</v>
      </c>
      <c r="J698" s="256" t="s">
        <v>2182</v>
      </c>
      <c r="K698" s="29" t="s">
        <v>2183</v>
      </c>
      <c r="L698" s="250">
        <v>18</v>
      </c>
      <c r="M698" s="251"/>
    </row>
    <row r="699" ht="31" spans="1:13">
      <c r="A699" s="248" t="s">
        <v>4175</v>
      </c>
      <c r="B699" s="45" t="s">
        <v>4174</v>
      </c>
      <c r="C699" s="249" t="e">
        <f>VLOOKUP(D699,#REF!,2,0)</f>
        <v>#REF!</v>
      </c>
      <c r="D699" s="29" t="s">
        <v>2133</v>
      </c>
      <c r="E699" s="18" t="e">
        <f>VLOOKUP(C699,数据集标准分类!E:F,2,0)</f>
        <v>#REF!</v>
      </c>
      <c r="F699" s="29" t="e">
        <f>VLOOKUP(D699,数据集标准分类!G:H,2,0)</f>
        <v>#N/A</v>
      </c>
      <c r="G699" s="255" t="s">
        <v>2184</v>
      </c>
      <c r="H699" s="29" t="s">
        <v>2185</v>
      </c>
      <c r="I699" s="256" t="s">
        <v>2186</v>
      </c>
      <c r="J699" s="256" t="s">
        <v>2187</v>
      </c>
      <c r="K699" s="29" t="s">
        <v>2188</v>
      </c>
      <c r="L699" s="250">
        <v>19</v>
      </c>
      <c r="M699" s="251"/>
    </row>
    <row r="700" ht="31" spans="1:13">
      <c r="A700" s="248" t="s">
        <v>4175</v>
      </c>
      <c r="B700" s="45" t="s">
        <v>4174</v>
      </c>
      <c r="C700" s="249" t="e">
        <f>VLOOKUP(D700,#REF!,2,0)</f>
        <v>#REF!</v>
      </c>
      <c r="D700" s="29" t="s">
        <v>2133</v>
      </c>
      <c r="E700" s="18" t="e">
        <f>VLOOKUP(C700,数据集标准分类!E:F,2,0)</f>
        <v>#REF!</v>
      </c>
      <c r="F700" s="29" t="e">
        <f>VLOOKUP(D700,数据集标准分类!G:H,2,0)</f>
        <v>#N/A</v>
      </c>
      <c r="G700" s="255" t="s">
        <v>2189</v>
      </c>
      <c r="H700" s="29" t="s">
        <v>2190</v>
      </c>
      <c r="I700" s="256" t="s">
        <v>2191</v>
      </c>
      <c r="J700" s="256" t="s">
        <v>2192</v>
      </c>
      <c r="K700" s="29" t="s">
        <v>2193</v>
      </c>
      <c r="L700" s="250">
        <v>20</v>
      </c>
      <c r="M700" s="251"/>
    </row>
    <row r="701" ht="31" spans="1:13">
      <c r="A701" s="248" t="s">
        <v>4175</v>
      </c>
      <c r="B701" s="45" t="s">
        <v>4174</v>
      </c>
      <c r="C701" s="249" t="e">
        <f>VLOOKUP(D701,#REF!,2,0)</f>
        <v>#REF!</v>
      </c>
      <c r="D701" s="29" t="s">
        <v>2133</v>
      </c>
      <c r="E701" s="18" t="e">
        <f>VLOOKUP(C701,数据集标准分类!E:F,2,0)</f>
        <v>#REF!</v>
      </c>
      <c r="F701" s="29" t="e">
        <f>VLOOKUP(D701,数据集标准分类!G:H,2,0)</f>
        <v>#N/A</v>
      </c>
      <c r="G701" s="261" t="s">
        <v>2194</v>
      </c>
      <c r="H701" s="254" t="s">
        <v>2195</v>
      </c>
      <c r="I701" s="262" t="s">
        <v>2196</v>
      </c>
      <c r="J701" s="256" t="s">
        <v>2197</v>
      </c>
      <c r="K701" s="29" t="s">
        <v>2198</v>
      </c>
      <c r="L701" s="250">
        <v>21</v>
      </c>
      <c r="M701" s="251"/>
    </row>
    <row r="702" ht="76" spans="1:13">
      <c r="A702" s="248" t="s">
        <v>4175</v>
      </c>
      <c r="B702" s="45" t="s">
        <v>4174</v>
      </c>
      <c r="C702" s="249" t="e">
        <f>VLOOKUP(D702,#REF!,2,0)</f>
        <v>#REF!</v>
      </c>
      <c r="D702" s="29" t="s">
        <v>2133</v>
      </c>
      <c r="E702" s="18" t="e">
        <f>VLOOKUP(C702,数据集标准分类!E:F,2,0)</f>
        <v>#REF!</v>
      </c>
      <c r="F702" s="29" t="e">
        <f>VLOOKUP(D702,数据集标准分类!G:H,2,0)</f>
        <v>#N/A</v>
      </c>
      <c r="G702" s="29" t="s">
        <v>715</v>
      </c>
      <c r="H702" s="29" t="s">
        <v>716</v>
      </c>
      <c r="I702" s="29" t="s">
        <v>717</v>
      </c>
      <c r="J702" s="29" t="s">
        <v>718</v>
      </c>
      <c r="K702" s="29" t="s">
        <v>719</v>
      </c>
      <c r="L702" s="250">
        <v>22</v>
      </c>
      <c r="M702" s="251"/>
    </row>
    <row r="703" ht="31" spans="1:13">
      <c r="A703" s="248" t="s">
        <v>4175</v>
      </c>
      <c r="B703" s="45" t="s">
        <v>4174</v>
      </c>
      <c r="C703" s="249" t="e">
        <f>VLOOKUP(D703,#REF!,2,0)</f>
        <v>#REF!</v>
      </c>
      <c r="D703" s="29" t="s">
        <v>2133</v>
      </c>
      <c r="E703" s="18" t="e">
        <f>VLOOKUP(C703,数据集标准分类!E:F,2,0)</f>
        <v>#REF!</v>
      </c>
      <c r="F703" s="29" t="e">
        <f>VLOOKUP(D703,数据集标准分类!G:H,2,0)</f>
        <v>#N/A</v>
      </c>
      <c r="G703" s="29" t="s">
        <v>2199</v>
      </c>
      <c r="H703" s="29" t="s">
        <v>2200</v>
      </c>
      <c r="I703" s="29" t="s">
        <v>2201</v>
      </c>
      <c r="J703" s="29" t="s">
        <v>2202</v>
      </c>
      <c r="K703" s="29" t="s">
        <v>2203</v>
      </c>
      <c r="L703" s="250">
        <v>23</v>
      </c>
      <c r="M703" s="251"/>
    </row>
    <row r="704" ht="31" spans="1:13">
      <c r="A704" s="248" t="s">
        <v>4175</v>
      </c>
      <c r="B704" s="45" t="s">
        <v>4174</v>
      </c>
      <c r="C704" s="249" t="e">
        <f>VLOOKUP(D704,#REF!,2,0)</f>
        <v>#REF!</v>
      </c>
      <c r="D704" s="29" t="s">
        <v>2133</v>
      </c>
      <c r="E704" s="18" t="e">
        <f>VLOOKUP(C704,数据集标准分类!E:F,2,0)</f>
        <v>#REF!</v>
      </c>
      <c r="F704" s="29" t="e">
        <f>VLOOKUP(D704,数据集标准分类!G:H,2,0)</f>
        <v>#N/A</v>
      </c>
      <c r="G704" s="29" t="s">
        <v>2204</v>
      </c>
      <c r="H704" s="29" t="s">
        <v>2205</v>
      </c>
      <c r="I704" s="29" t="s">
        <v>2206</v>
      </c>
      <c r="J704" s="29" t="s">
        <v>2207</v>
      </c>
      <c r="K704" s="29" t="s">
        <v>2208</v>
      </c>
      <c r="L704" s="250">
        <v>24</v>
      </c>
      <c r="M704" s="45"/>
    </row>
    <row r="705" ht="31" spans="1:13">
      <c r="A705" s="248" t="s">
        <v>4175</v>
      </c>
      <c r="B705" s="45" t="s">
        <v>4174</v>
      </c>
      <c r="C705" s="249" t="e">
        <f>VLOOKUP(D705,#REF!,2,0)</f>
        <v>#REF!</v>
      </c>
      <c r="D705" s="29" t="s">
        <v>2133</v>
      </c>
      <c r="E705" s="18" t="e">
        <f>VLOOKUP(C705,数据集标准分类!E:F,2,0)</f>
        <v>#REF!</v>
      </c>
      <c r="F705" s="29" t="e">
        <f>VLOOKUP(D705,数据集标准分类!G:H,2,0)</f>
        <v>#N/A</v>
      </c>
      <c r="G705" s="29" t="s">
        <v>2209</v>
      </c>
      <c r="H705" s="29" t="s">
        <v>2210</v>
      </c>
      <c r="I705" s="29" t="s">
        <v>2211</v>
      </c>
      <c r="J705" s="29" t="s">
        <v>2212</v>
      </c>
      <c r="K705" s="29" t="s">
        <v>2213</v>
      </c>
      <c r="L705" s="250">
        <v>25</v>
      </c>
      <c r="M705" s="45"/>
    </row>
    <row r="706" ht="31" spans="1:13">
      <c r="A706" s="248" t="s">
        <v>4175</v>
      </c>
      <c r="B706" s="45" t="s">
        <v>4174</v>
      </c>
      <c r="C706" s="249" t="e">
        <f>VLOOKUP(D706,#REF!,2,0)</f>
        <v>#REF!</v>
      </c>
      <c r="D706" s="29" t="s">
        <v>2133</v>
      </c>
      <c r="E706" s="18" t="e">
        <f>VLOOKUP(C706,数据集标准分类!E:F,2,0)</f>
        <v>#REF!</v>
      </c>
      <c r="F706" s="29" t="e">
        <f>VLOOKUP(D706,数据集标准分类!G:H,2,0)</f>
        <v>#N/A</v>
      </c>
      <c r="G706" s="29" t="s">
        <v>764</v>
      </c>
      <c r="H706" s="29" t="s">
        <v>765</v>
      </c>
      <c r="I706" s="29" t="s">
        <v>766</v>
      </c>
      <c r="J706" s="29" t="s">
        <v>767</v>
      </c>
      <c r="K706" s="29" t="s">
        <v>2214</v>
      </c>
      <c r="L706" s="250">
        <v>26</v>
      </c>
      <c r="M706" s="45"/>
    </row>
    <row r="707" ht="31" spans="1:13">
      <c r="A707" s="248" t="s">
        <v>4175</v>
      </c>
      <c r="B707" s="45" t="s">
        <v>4174</v>
      </c>
      <c r="C707" s="249" t="e">
        <f>VLOOKUP(D707,#REF!,2,0)</f>
        <v>#REF!</v>
      </c>
      <c r="D707" s="29" t="s">
        <v>2133</v>
      </c>
      <c r="E707" s="18" t="e">
        <f>VLOOKUP(C707,数据集标准分类!E:F,2,0)</f>
        <v>#REF!</v>
      </c>
      <c r="F707" s="29" t="e">
        <f>VLOOKUP(D707,数据集标准分类!G:H,2,0)</f>
        <v>#N/A</v>
      </c>
      <c r="G707" s="29" t="s">
        <v>759</v>
      </c>
      <c r="H707" s="29" t="s">
        <v>760</v>
      </c>
      <c r="I707" s="29" t="s">
        <v>761</v>
      </c>
      <c r="J707" s="29" t="s">
        <v>762</v>
      </c>
      <c r="K707" s="29" t="s">
        <v>2215</v>
      </c>
      <c r="L707" s="250">
        <v>27</v>
      </c>
      <c r="M707" s="45"/>
    </row>
    <row r="708" ht="31" spans="1:13">
      <c r="A708" s="248" t="s">
        <v>4175</v>
      </c>
      <c r="B708" s="45" t="s">
        <v>4174</v>
      </c>
      <c r="C708" s="249" t="e">
        <f>VLOOKUP(D708,#REF!,2,0)</f>
        <v>#REF!</v>
      </c>
      <c r="D708" s="29" t="s">
        <v>2133</v>
      </c>
      <c r="E708" s="18" t="e">
        <f>VLOOKUP(C708,数据集标准分类!E:F,2,0)</f>
        <v>#REF!</v>
      </c>
      <c r="F708" s="29" t="e">
        <f>VLOOKUP(D708,数据集标准分类!G:H,2,0)</f>
        <v>#N/A</v>
      </c>
      <c r="G708" s="29" t="s">
        <v>744</v>
      </c>
      <c r="H708" s="29" t="s">
        <v>745</v>
      </c>
      <c r="I708" s="29" t="s">
        <v>746</v>
      </c>
      <c r="J708" s="29" t="s">
        <v>747</v>
      </c>
      <c r="K708" s="29" t="s">
        <v>2216</v>
      </c>
      <c r="L708" s="250">
        <v>28</v>
      </c>
      <c r="M708" s="45"/>
    </row>
    <row r="709" ht="31" spans="1:13">
      <c r="A709" s="248" t="s">
        <v>4175</v>
      </c>
      <c r="B709" s="45" t="s">
        <v>4174</v>
      </c>
      <c r="C709" s="249" t="e">
        <f>VLOOKUP(D709,#REF!,2,0)</f>
        <v>#REF!</v>
      </c>
      <c r="D709" s="29" t="s">
        <v>2133</v>
      </c>
      <c r="E709" s="18" t="e">
        <f>VLOOKUP(C709,数据集标准分类!E:F,2,0)</f>
        <v>#REF!</v>
      </c>
      <c r="F709" s="29" t="e">
        <f>VLOOKUP(D709,数据集标准分类!G:H,2,0)</f>
        <v>#N/A</v>
      </c>
      <c r="G709" s="29" t="s">
        <v>2217</v>
      </c>
      <c r="H709" s="29" t="s">
        <v>2218</v>
      </c>
      <c r="I709" s="29" t="s">
        <v>2219</v>
      </c>
      <c r="J709" s="29" t="s">
        <v>2220</v>
      </c>
      <c r="K709" s="29" t="s">
        <v>2221</v>
      </c>
      <c r="L709" s="250">
        <v>29</v>
      </c>
      <c r="M709" s="45"/>
    </row>
    <row r="710" ht="31" spans="1:13">
      <c r="A710" s="248" t="s">
        <v>4175</v>
      </c>
      <c r="B710" s="45" t="s">
        <v>4174</v>
      </c>
      <c r="C710" s="249" t="e">
        <f>VLOOKUP(D710,#REF!,2,0)</f>
        <v>#REF!</v>
      </c>
      <c r="D710" s="29" t="s">
        <v>2133</v>
      </c>
      <c r="E710" s="18" t="e">
        <f>VLOOKUP(C710,数据集标准分类!E:F,2,0)</f>
        <v>#REF!</v>
      </c>
      <c r="F710" s="29" t="e">
        <f>VLOOKUP(D710,数据集标准分类!G:H,2,0)</f>
        <v>#N/A</v>
      </c>
      <c r="G710" s="29" t="s">
        <v>2222</v>
      </c>
      <c r="H710" s="254" t="s">
        <v>2223</v>
      </c>
      <c r="I710" s="254" t="s">
        <v>2224</v>
      </c>
      <c r="J710" s="29" t="s">
        <v>2225</v>
      </c>
      <c r="K710" s="29" t="s">
        <v>2226</v>
      </c>
      <c r="L710" s="250">
        <v>30</v>
      </c>
      <c r="M710" s="251"/>
    </row>
    <row r="711" ht="16.8" spans="1:13">
      <c r="A711" s="248" t="s">
        <v>4175</v>
      </c>
      <c r="B711" s="45" t="s">
        <v>4174</v>
      </c>
      <c r="C711" s="249" t="e">
        <f>VLOOKUP(D711,#REF!,2,0)</f>
        <v>#REF!</v>
      </c>
      <c r="D711" s="29" t="s">
        <v>2133</v>
      </c>
      <c r="E711" s="18" t="e">
        <f>VLOOKUP(C711,数据集标准分类!E:F,2,0)</f>
        <v>#REF!</v>
      </c>
      <c r="F711" s="29" t="e">
        <f>VLOOKUP(D711,数据集标准分类!G:H,2,0)</f>
        <v>#N/A</v>
      </c>
      <c r="G711" s="29" t="s">
        <v>1006</v>
      </c>
      <c r="H711" s="29" t="s">
        <v>1007</v>
      </c>
      <c r="I711" s="29" t="s">
        <v>1008</v>
      </c>
      <c r="J711" s="29" t="s">
        <v>1009</v>
      </c>
      <c r="K711" s="29" t="s">
        <v>2227</v>
      </c>
      <c r="L711" s="250">
        <v>31</v>
      </c>
      <c r="M711" s="251"/>
    </row>
    <row r="712" ht="16.8" spans="1:13">
      <c r="A712" s="248" t="s">
        <v>4175</v>
      </c>
      <c r="B712" s="45" t="s">
        <v>4174</v>
      </c>
      <c r="C712" s="249" t="e">
        <f>VLOOKUP(D712,#REF!,2,0)</f>
        <v>#REF!</v>
      </c>
      <c r="D712" s="29" t="s">
        <v>2133</v>
      </c>
      <c r="E712" s="18" t="e">
        <f>VLOOKUP(C712,数据集标准分类!E:F,2,0)</f>
        <v>#REF!</v>
      </c>
      <c r="F712" s="29" t="e">
        <f>VLOOKUP(D712,数据集标准分类!G:H,2,0)</f>
        <v>#N/A</v>
      </c>
      <c r="G712" s="29" t="s">
        <v>2128</v>
      </c>
      <c r="H712" s="257" t="s">
        <v>2129</v>
      </c>
      <c r="I712" s="257" t="s">
        <v>2130</v>
      </c>
      <c r="J712" s="29" t="s">
        <v>2131</v>
      </c>
      <c r="K712" s="29" t="s">
        <v>2132</v>
      </c>
      <c r="L712" s="250">
        <v>32</v>
      </c>
      <c r="M712" s="251"/>
    </row>
    <row r="713" ht="31" spans="1:13">
      <c r="A713" s="248" t="s">
        <v>4175</v>
      </c>
      <c r="B713" s="45" t="s">
        <v>4174</v>
      </c>
      <c r="C713" s="249" t="e">
        <f>VLOOKUP(D713,#REF!,2,0)</f>
        <v>#REF!</v>
      </c>
      <c r="D713" s="29" t="s">
        <v>3434</v>
      </c>
      <c r="E713" s="18" t="e">
        <f>VLOOKUP(C713,数据集标准分类!E:F,2,0)</f>
        <v>#REF!</v>
      </c>
      <c r="F713" s="29" t="e">
        <f>VLOOKUP(D713,数据集标准分类!G:H,2,0)</f>
        <v>#N/A</v>
      </c>
      <c r="G713" s="29" t="s">
        <v>172</v>
      </c>
      <c r="H713" s="254" t="s">
        <v>173</v>
      </c>
      <c r="I713" s="254" t="s">
        <v>174</v>
      </c>
      <c r="J713" s="29" t="s">
        <v>175</v>
      </c>
      <c r="K713" s="29" t="s">
        <v>1245</v>
      </c>
      <c r="L713" s="250">
        <v>1</v>
      </c>
      <c r="M713" s="251"/>
    </row>
    <row r="714" ht="31" spans="1:13">
      <c r="A714" s="248" t="s">
        <v>4175</v>
      </c>
      <c r="B714" s="45" t="s">
        <v>4174</v>
      </c>
      <c r="C714" s="249" t="e">
        <f>VLOOKUP(D714,#REF!,2,0)</f>
        <v>#REF!</v>
      </c>
      <c r="D714" s="29" t="s">
        <v>3434</v>
      </c>
      <c r="E714" s="18" t="e">
        <f>VLOOKUP(C714,数据集标准分类!E:F,2,0)</f>
        <v>#REF!</v>
      </c>
      <c r="F714" s="29" t="e">
        <f>VLOOKUP(D714,数据集标准分类!G:H,2,0)</f>
        <v>#N/A</v>
      </c>
      <c r="G714" s="255" t="s">
        <v>3436</v>
      </c>
      <c r="H714" s="29" t="s">
        <v>3437</v>
      </c>
      <c r="I714" s="29" t="s">
        <v>3438</v>
      </c>
      <c r="J714" s="29" t="s">
        <v>3439</v>
      </c>
      <c r="K714" s="29" t="s">
        <v>3440</v>
      </c>
      <c r="L714" s="250">
        <v>2</v>
      </c>
      <c r="M714" s="251"/>
    </row>
    <row r="715" ht="31" spans="1:13">
      <c r="A715" s="248" t="s">
        <v>4175</v>
      </c>
      <c r="B715" s="45" t="s">
        <v>4174</v>
      </c>
      <c r="C715" s="249" t="e">
        <f>VLOOKUP(D715,#REF!,2,0)</f>
        <v>#REF!</v>
      </c>
      <c r="D715" s="29" t="s">
        <v>3434</v>
      </c>
      <c r="E715" s="18" t="e">
        <f>VLOOKUP(C715,数据集标准分类!E:F,2,0)</f>
        <v>#REF!</v>
      </c>
      <c r="F715" s="29" t="e">
        <f>VLOOKUP(D715,数据集标准分类!G:H,2,0)</f>
        <v>#N/A</v>
      </c>
      <c r="G715" s="255" t="s">
        <v>3441</v>
      </c>
      <c r="H715" s="29" t="s">
        <v>3442</v>
      </c>
      <c r="I715" s="29" t="s">
        <v>3443</v>
      </c>
      <c r="J715" s="29" t="s">
        <v>3444</v>
      </c>
      <c r="K715" s="29" t="s">
        <v>3445</v>
      </c>
      <c r="L715" s="250">
        <v>3</v>
      </c>
      <c r="M715" s="251"/>
    </row>
    <row r="716" ht="31" spans="1:13">
      <c r="A716" s="248" t="s">
        <v>4175</v>
      </c>
      <c r="B716" s="45" t="s">
        <v>4174</v>
      </c>
      <c r="C716" s="249" t="e">
        <f>VLOOKUP(D716,#REF!,2,0)</f>
        <v>#REF!</v>
      </c>
      <c r="D716" s="29" t="s">
        <v>3434</v>
      </c>
      <c r="E716" s="18" t="e">
        <f>VLOOKUP(C716,数据集标准分类!E:F,2,0)</f>
        <v>#REF!</v>
      </c>
      <c r="F716" s="29" t="e">
        <f>VLOOKUP(D716,数据集标准分类!G:H,2,0)</f>
        <v>#N/A</v>
      </c>
      <c r="G716" s="255" t="s">
        <v>508</v>
      </c>
      <c r="H716" s="29" t="s">
        <v>509</v>
      </c>
      <c r="I716" s="29" t="s">
        <v>510</v>
      </c>
      <c r="J716" s="29" t="s">
        <v>511</v>
      </c>
      <c r="K716" s="29" t="s">
        <v>116</v>
      </c>
      <c r="L716" s="250">
        <v>4</v>
      </c>
      <c r="M716" s="251"/>
    </row>
    <row r="717" ht="31" spans="1:13">
      <c r="A717" s="248" t="s">
        <v>4175</v>
      </c>
      <c r="B717" s="45" t="s">
        <v>4174</v>
      </c>
      <c r="C717" s="249" t="e">
        <f>VLOOKUP(D717,#REF!,2,0)</f>
        <v>#REF!</v>
      </c>
      <c r="D717" s="29" t="s">
        <v>3434</v>
      </c>
      <c r="E717" s="18" t="e">
        <f>VLOOKUP(C717,数据集标准分类!E:F,2,0)</f>
        <v>#REF!</v>
      </c>
      <c r="F717" s="29" t="e">
        <f>VLOOKUP(D717,数据集标准分类!G:H,2,0)</f>
        <v>#N/A</v>
      </c>
      <c r="G717" s="255" t="s">
        <v>711</v>
      </c>
      <c r="H717" s="29" t="s">
        <v>712</v>
      </c>
      <c r="I717" s="29" t="s">
        <v>712</v>
      </c>
      <c r="J717" s="29" t="s">
        <v>713</v>
      </c>
      <c r="K717" s="29" t="s">
        <v>714</v>
      </c>
      <c r="L717" s="250">
        <v>5</v>
      </c>
      <c r="M717" s="251"/>
    </row>
    <row r="718" ht="31" spans="1:13">
      <c r="A718" s="248" t="s">
        <v>4175</v>
      </c>
      <c r="B718" s="45" t="s">
        <v>4174</v>
      </c>
      <c r="C718" s="249" t="e">
        <f>VLOOKUP(D718,#REF!,2,0)</f>
        <v>#REF!</v>
      </c>
      <c r="D718" s="29" t="s">
        <v>3434</v>
      </c>
      <c r="E718" s="18" t="e">
        <f>VLOOKUP(C718,数据集标准分类!E:F,2,0)</f>
        <v>#REF!</v>
      </c>
      <c r="F718" s="29" t="e">
        <f>VLOOKUP(D718,数据集标准分类!G:H,2,0)</f>
        <v>#N/A</v>
      </c>
      <c r="G718" s="255" t="s">
        <v>684</v>
      </c>
      <c r="H718" s="29" t="s">
        <v>685</v>
      </c>
      <c r="I718" s="29" t="s">
        <v>686</v>
      </c>
      <c r="J718" s="29" t="s">
        <v>687</v>
      </c>
      <c r="K718" s="29" t="s">
        <v>688</v>
      </c>
      <c r="L718" s="250">
        <v>6</v>
      </c>
      <c r="M718" s="251"/>
    </row>
    <row r="719" ht="31" spans="1:13">
      <c r="A719" s="248" t="s">
        <v>4175</v>
      </c>
      <c r="B719" s="45" t="s">
        <v>4174</v>
      </c>
      <c r="C719" s="249" t="e">
        <f>VLOOKUP(D719,#REF!,2,0)</f>
        <v>#REF!</v>
      </c>
      <c r="D719" s="29" t="s">
        <v>3434</v>
      </c>
      <c r="E719" s="18" t="e">
        <f>VLOOKUP(C719,数据集标准分类!E:F,2,0)</f>
        <v>#REF!</v>
      </c>
      <c r="F719" s="29" t="e">
        <f>VLOOKUP(D719,数据集标准分类!G:H,2,0)</f>
        <v>#N/A</v>
      </c>
      <c r="G719" s="255" t="s">
        <v>694</v>
      </c>
      <c r="H719" s="29" t="s">
        <v>695</v>
      </c>
      <c r="I719" s="29" t="s">
        <v>696</v>
      </c>
      <c r="J719" s="29" t="s">
        <v>697</v>
      </c>
      <c r="K719" s="29" t="s">
        <v>2057</v>
      </c>
      <c r="L719" s="250">
        <v>7</v>
      </c>
      <c r="M719" s="251"/>
    </row>
    <row r="720" ht="31" spans="1:13">
      <c r="A720" s="248" t="s">
        <v>4175</v>
      </c>
      <c r="B720" s="45" t="s">
        <v>4174</v>
      </c>
      <c r="C720" s="249" t="e">
        <f>VLOOKUP(D720,#REF!,2,0)</f>
        <v>#REF!</v>
      </c>
      <c r="D720" s="29" t="s">
        <v>3434</v>
      </c>
      <c r="E720" s="18" t="e">
        <f>VLOOKUP(C720,数据集标准分类!E:F,2,0)</f>
        <v>#REF!</v>
      </c>
      <c r="F720" s="29" t="e">
        <f>VLOOKUP(D720,数据集标准分类!G:H,2,0)</f>
        <v>#N/A</v>
      </c>
      <c r="G720" s="255" t="s">
        <v>689</v>
      </c>
      <c r="H720" s="29" t="s">
        <v>690</v>
      </c>
      <c r="I720" s="29" t="s">
        <v>691</v>
      </c>
      <c r="J720" s="29" t="s">
        <v>692</v>
      </c>
      <c r="K720" s="29" t="s">
        <v>693</v>
      </c>
      <c r="L720" s="250">
        <v>8</v>
      </c>
      <c r="M720" s="251"/>
    </row>
    <row r="721" ht="31" spans="1:13">
      <c r="A721" s="248" t="s">
        <v>4175</v>
      </c>
      <c r="B721" s="45" t="s">
        <v>4174</v>
      </c>
      <c r="C721" s="249" t="e">
        <f>VLOOKUP(D721,#REF!,2,0)</f>
        <v>#REF!</v>
      </c>
      <c r="D721" s="29" t="s">
        <v>3434</v>
      </c>
      <c r="E721" s="18" t="e">
        <f>VLOOKUP(C721,数据集标准分类!E:F,2,0)</f>
        <v>#REF!</v>
      </c>
      <c r="F721" s="29" t="e">
        <f>VLOOKUP(D721,数据集标准分类!G:H,2,0)</f>
        <v>#N/A</v>
      </c>
      <c r="G721" s="254" t="s">
        <v>699</v>
      </c>
      <c r="H721" s="254" t="s">
        <v>700</v>
      </c>
      <c r="I721" s="254" t="s">
        <v>700</v>
      </c>
      <c r="J721" s="29" t="s">
        <v>701</v>
      </c>
      <c r="K721" s="29" t="s">
        <v>702</v>
      </c>
      <c r="L721" s="250">
        <v>9</v>
      </c>
      <c r="M721" s="251"/>
    </row>
    <row r="722" ht="31" spans="1:13">
      <c r="A722" s="248" t="s">
        <v>4175</v>
      </c>
      <c r="B722" s="45" t="s">
        <v>4174</v>
      </c>
      <c r="C722" s="249" t="e">
        <f>VLOOKUP(D722,#REF!,2,0)</f>
        <v>#REF!</v>
      </c>
      <c r="D722" s="29" t="s">
        <v>3434</v>
      </c>
      <c r="E722" s="18" t="e">
        <f>VLOOKUP(C722,数据集标准分类!E:F,2,0)</f>
        <v>#REF!</v>
      </c>
      <c r="F722" s="29" t="e">
        <f>VLOOKUP(D722,数据集标准分类!G:H,2,0)</f>
        <v>#N/A</v>
      </c>
      <c r="G722" s="29" t="s">
        <v>703</v>
      </c>
      <c r="H722" s="29" t="s">
        <v>704</v>
      </c>
      <c r="I722" s="256" t="s">
        <v>704</v>
      </c>
      <c r="J722" s="256" t="s">
        <v>705</v>
      </c>
      <c r="K722" s="29" t="s">
        <v>706</v>
      </c>
      <c r="L722" s="250">
        <v>10</v>
      </c>
      <c r="M722" s="251"/>
    </row>
    <row r="723" ht="31" spans="1:13">
      <c r="A723" s="248" t="s">
        <v>4175</v>
      </c>
      <c r="B723" s="45" t="s">
        <v>4174</v>
      </c>
      <c r="C723" s="249" t="e">
        <f>VLOOKUP(D723,#REF!,2,0)</f>
        <v>#REF!</v>
      </c>
      <c r="D723" s="29" t="s">
        <v>3434</v>
      </c>
      <c r="E723" s="18" t="e">
        <f>VLOOKUP(C723,数据集标准分类!E:F,2,0)</f>
        <v>#REF!</v>
      </c>
      <c r="F723" s="29" t="e">
        <f>VLOOKUP(D723,数据集标准分类!G:H,2,0)</f>
        <v>#N/A</v>
      </c>
      <c r="G723" s="29" t="s">
        <v>3446</v>
      </c>
      <c r="H723" s="29" t="s">
        <v>3447</v>
      </c>
      <c r="I723" s="256" t="s">
        <v>3448</v>
      </c>
      <c r="J723" s="256" t="s">
        <v>3449</v>
      </c>
      <c r="K723" s="29" t="s">
        <v>3450</v>
      </c>
      <c r="L723" s="250">
        <v>11</v>
      </c>
      <c r="M723" s="251"/>
    </row>
    <row r="724" ht="31" spans="1:13">
      <c r="A724" s="248" t="s">
        <v>4175</v>
      </c>
      <c r="B724" s="45" t="s">
        <v>4174</v>
      </c>
      <c r="C724" s="249" t="e">
        <f>VLOOKUP(D724,#REF!,2,0)</f>
        <v>#REF!</v>
      </c>
      <c r="D724" s="29" t="s">
        <v>3434</v>
      </c>
      <c r="E724" s="18" t="e">
        <f>VLOOKUP(C724,数据集标准分类!E:F,2,0)</f>
        <v>#REF!</v>
      </c>
      <c r="F724" s="29" t="e">
        <f>VLOOKUP(D724,数据集标准分类!G:H,2,0)</f>
        <v>#N/A</v>
      </c>
      <c r="G724" s="29" t="s">
        <v>3451</v>
      </c>
      <c r="H724" s="29" t="s">
        <v>3452</v>
      </c>
      <c r="I724" s="256" t="s">
        <v>3453</v>
      </c>
      <c r="J724" s="256" t="s">
        <v>3454</v>
      </c>
      <c r="K724" s="29" t="s">
        <v>3455</v>
      </c>
      <c r="L724" s="250">
        <v>12</v>
      </c>
      <c r="M724" s="251"/>
    </row>
    <row r="725" ht="31" spans="1:13">
      <c r="A725" s="248" t="s">
        <v>4175</v>
      </c>
      <c r="B725" s="45" t="s">
        <v>4174</v>
      </c>
      <c r="C725" s="249" t="e">
        <f>VLOOKUP(D725,#REF!,2,0)</f>
        <v>#REF!</v>
      </c>
      <c r="D725" s="29" t="s">
        <v>3434</v>
      </c>
      <c r="E725" s="18" t="e">
        <f>VLOOKUP(C725,数据集标准分类!E:F,2,0)</f>
        <v>#REF!</v>
      </c>
      <c r="F725" s="29" t="e">
        <f>VLOOKUP(D725,数据集标准分类!G:H,2,0)</f>
        <v>#N/A</v>
      </c>
      <c r="G725" s="29" t="s">
        <v>3260</v>
      </c>
      <c r="H725" s="29" t="s">
        <v>3261</v>
      </c>
      <c r="I725" s="256" t="s">
        <v>3262</v>
      </c>
      <c r="J725" s="256" t="s">
        <v>3263</v>
      </c>
      <c r="K725" s="29" t="s">
        <v>3264</v>
      </c>
      <c r="L725" s="250">
        <v>13</v>
      </c>
      <c r="M725" s="251"/>
    </row>
    <row r="726" ht="31" spans="1:13">
      <c r="A726" s="248" t="s">
        <v>4175</v>
      </c>
      <c r="B726" s="45" t="s">
        <v>4174</v>
      </c>
      <c r="C726" s="249" t="e">
        <f>VLOOKUP(D726,#REF!,2,0)</f>
        <v>#REF!</v>
      </c>
      <c r="D726" s="29" t="s">
        <v>3434</v>
      </c>
      <c r="E726" s="18" t="e">
        <f>VLOOKUP(C726,数据集标准分类!E:F,2,0)</f>
        <v>#REF!</v>
      </c>
      <c r="F726" s="29" t="e">
        <f>VLOOKUP(D726,数据集标准分类!G:H,2,0)</f>
        <v>#N/A</v>
      </c>
      <c r="G726" s="64" t="s">
        <v>3457</v>
      </c>
      <c r="H726" s="29" t="s">
        <v>3458</v>
      </c>
      <c r="I726" s="256" t="s">
        <v>3459</v>
      </c>
      <c r="J726" s="256" t="s">
        <v>3460</v>
      </c>
      <c r="K726" s="29" t="s">
        <v>3461</v>
      </c>
      <c r="L726" s="250">
        <v>14</v>
      </c>
      <c r="M726" s="251"/>
    </row>
    <row r="727" ht="16.8" spans="1:13">
      <c r="A727" s="248" t="s">
        <v>4175</v>
      </c>
      <c r="B727" s="45" t="s">
        <v>4174</v>
      </c>
      <c r="C727" s="249" t="e">
        <f>VLOOKUP(D727,#REF!,2,0)</f>
        <v>#REF!</v>
      </c>
      <c r="D727" s="29" t="s">
        <v>3434</v>
      </c>
      <c r="E727" s="18" t="e">
        <f>VLOOKUP(C727,数据集标准分类!E:F,2,0)</f>
        <v>#REF!</v>
      </c>
      <c r="F727" s="29" t="e">
        <f>VLOOKUP(D727,数据集标准分类!G:H,2,0)</f>
        <v>#N/A</v>
      </c>
      <c r="G727" s="29" t="s">
        <v>3462</v>
      </c>
      <c r="H727" s="29" t="s">
        <v>3463</v>
      </c>
      <c r="I727" s="256" t="s">
        <v>3464</v>
      </c>
      <c r="J727" s="256" t="s">
        <v>3465</v>
      </c>
      <c r="K727" s="29" t="s">
        <v>3466</v>
      </c>
      <c r="L727" s="250">
        <v>15</v>
      </c>
      <c r="M727" s="251"/>
    </row>
    <row r="728" ht="16.8" spans="1:13">
      <c r="A728" s="248" t="s">
        <v>4175</v>
      </c>
      <c r="B728" s="45" t="s">
        <v>4174</v>
      </c>
      <c r="C728" s="249" t="e">
        <f>VLOOKUP(D728,#REF!,2,0)</f>
        <v>#REF!</v>
      </c>
      <c r="D728" s="29" t="s">
        <v>3434</v>
      </c>
      <c r="E728" s="18" t="e">
        <f>VLOOKUP(C728,数据集标准分类!E:F,2,0)</f>
        <v>#REF!</v>
      </c>
      <c r="F728" s="29" t="e">
        <f>VLOOKUP(D728,数据集标准分类!G:H,2,0)</f>
        <v>#N/A</v>
      </c>
      <c r="G728" s="29" t="s">
        <v>3467</v>
      </c>
      <c r="H728" s="29" t="s">
        <v>3468</v>
      </c>
      <c r="I728" s="256" t="s">
        <v>3469</v>
      </c>
      <c r="J728" s="256" t="s">
        <v>3470</v>
      </c>
      <c r="K728" s="29" t="s">
        <v>3471</v>
      </c>
      <c r="L728" s="250">
        <v>16</v>
      </c>
      <c r="M728" s="251"/>
    </row>
    <row r="729" ht="16.8" spans="1:13">
      <c r="A729" s="248" t="s">
        <v>4175</v>
      </c>
      <c r="B729" s="45" t="s">
        <v>4174</v>
      </c>
      <c r="C729" s="249" t="e">
        <f>VLOOKUP(D729,#REF!,2,0)</f>
        <v>#REF!</v>
      </c>
      <c r="D729" s="29" t="s">
        <v>3434</v>
      </c>
      <c r="E729" s="18" t="e">
        <f>VLOOKUP(C729,数据集标准分类!E:F,2,0)</f>
        <v>#REF!</v>
      </c>
      <c r="F729" s="29" t="e">
        <f>VLOOKUP(D729,数据集标准分类!G:H,2,0)</f>
        <v>#N/A</v>
      </c>
      <c r="G729" s="29" t="s">
        <v>3472</v>
      </c>
      <c r="H729" s="29" t="s">
        <v>3473</v>
      </c>
      <c r="I729" s="256" t="s">
        <v>3474</v>
      </c>
      <c r="J729" s="256" t="s">
        <v>3475</v>
      </c>
      <c r="K729" s="29" t="s">
        <v>3476</v>
      </c>
      <c r="L729" s="250">
        <v>17</v>
      </c>
      <c r="M729" s="251"/>
    </row>
    <row r="730" ht="16.8" spans="1:13">
      <c r="A730" s="248" t="s">
        <v>4175</v>
      </c>
      <c r="B730" s="45" t="s">
        <v>4174</v>
      </c>
      <c r="C730" s="249" t="e">
        <f>VLOOKUP(D730,#REF!,2,0)</f>
        <v>#REF!</v>
      </c>
      <c r="D730" s="29" t="s">
        <v>3434</v>
      </c>
      <c r="E730" s="18" t="e">
        <f>VLOOKUP(C730,数据集标准分类!E:F,2,0)</f>
        <v>#REF!</v>
      </c>
      <c r="F730" s="29" t="e">
        <f>VLOOKUP(D730,数据集标准分类!G:H,2,0)</f>
        <v>#N/A</v>
      </c>
      <c r="G730" s="29" t="s">
        <v>3477</v>
      </c>
      <c r="H730" s="29" t="s">
        <v>3478</v>
      </c>
      <c r="I730" s="256" t="s">
        <v>3479</v>
      </c>
      <c r="J730" s="256" t="s">
        <v>3480</v>
      </c>
      <c r="K730" s="29" t="s">
        <v>3481</v>
      </c>
      <c r="L730" s="250">
        <v>18</v>
      </c>
      <c r="M730" s="251"/>
    </row>
    <row r="731" ht="31" spans="1:13">
      <c r="A731" s="248" t="s">
        <v>4175</v>
      </c>
      <c r="B731" s="45" t="s">
        <v>4174</v>
      </c>
      <c r="C731" s="249" t="e">
        <f>VLOOKUP(D731,#REF!,2,0)</f>
        <v>#REF!</v>
      </c>
      <c r="D731" s="29" t="s">
        <v>3434</v>
      </c>
      <c r="E731" s="18" t="e">
        <f>VLOOKUP(C731,数据集标准分类!E:F,2,0)</f>
        <v>#REF!</v>
      </c>
      <c r="F731" s="29" t="e">
        <f>VLOOKUP(D731,数据集标准分类!G:H,2,0)</f>
        <v>#N/A</v>
      </c>
      <c r="G731" s="29" t="s">
        <v>3391</v>
      </c>
      <c r="H731" s="29" t="s">
        <v>3392</v>
      </c>
      <c r="I731" s="256" t="s">
        <v>3393</v>
      </c>
      <c r="J731" s="256" t="s">
        <v>3394</v>
      </c>
      <c r="K731" s="29" t="s">
        <v>3395</v>
      </c>
      <c r="L731" s="250">
        <v>19</v>
      </c>
      <c r="M731" s="251"/>
    </row>
    <row r="732" ht="16.8" spans="1:13">
      <c r="A732" s="248" t="s">
        <v>4175</v>
      </c>
      <c r="B732" s="45" t="s">
        <v>4174</v>
      </c>
      <c r="C732" s="249" t="e">
        <f>VLOOKUP(D732,#REF!,2,0)</f>
        <v>#REF!</v>
      </c>
      <c r="D732" s="29" t="s">
        <v>3434</v>
      </c>
      <c r="E732" s="18" t="e">
        <f>VLOOKUP(C732,数据集标准分类!E:F,2,0)</f>
        <v>#REF!</v>
      </c>
      <c r="F732" s="29" t="e">
        <f>VLOOKUP(D732,数据集标准分类!G:H,2,0)</f>
        <v>#N/A</v>
      </c>
      <c r="G732" s="29" t="s">
        <v>3482</v>
      </c>
      <c r="H732" s="29" t="s">
        <v>3483</v>
      </c>
      <c r="I732" s="256" t="s">
        <v>3484</v>
      </c>
      <c r="J732" s="256" t="s">
        <v>3485</v>
      </c>
      <c r="K732" s="29" t="s">
        <v>3486</v>
      </c>
      <c r="L732" s="250">
        <v>20</v>
      </c>
      <c r="M732" s="251"/>
    </row>
    <row r="733" ht="16.8" spans="1:13">
      <c r="A733" s="248" t="s">
        <v>4175</v>
      </c>
      <c r="B733" s="45" t="s">
        <v>4174</v>
      </c>
      <c r="C733" s="249" t="e">
        <f>VLOOKUP(D733,#REF!,2,0)</f>
        <v>#REF!</v>
      </c>
      <c r="D733" s="29" t="s">
        <v>3434</v>
      </c>
      <c r="E733" s="18" t="e">
        <f>VLOOKUP(C733,数据集标准分类!E:F,2,0)</f>
        <v>#REF!</v>
      </c>
      <c r="F733" s="29" t="e">
        <f>VLOOKUP(D733,数据集标准分类!G:H,2,0)</f>
        <v>#N/A</v>
      </c>
      <c r="G733" s="29" t="s">
        <v>3487</v>
      </c>
      <c r="H733" s="29" t="s">
        <v>3488</v>
      </c>
      <c r="I733" s="29" t="s">
        <v>3489</v>
      </c>
      <c r="J733" s="29" t="s">
        <v>3490</v>
      </c>
      <c r="K733" s="29" t="s">
        <v>3491</v>
      </c>
      <c r="L733" s="250">
        <v>21</v>
      </c>
      <c r="M733" s="251"/>
    </row>
    <row r="734" ht="16.8" spans="1:13">
      <c r="A734" s="248" t="s">
        <v>4175</v>
      </c>
      <c r="B734" s="45" t="s">
        <v>4174</v>
      </c>
      <c r="C734" s="249" t="e">
        <f>VLOOKUP(D734,#REF!,2,0)</f>
        <v>#REF!</v>
      </c>
      <c r="D734" s="29" t="s">
        <v>3434</v>
      </c>
      <c r="E734" s="18" t="e">
        <f>VLOOKUP(C734,数据集标准分类!E:F,2,0)</f>
        <v>#REF!</v>
      </c>
      <c r="F734" s="29" t="e">
        <f>VLOOKUP(D734,数据集标准分类!G:H,2,0)</f>
        <v>#N/A</v>
      </c>
      <c r="G734" s="254" t="s">
        <v>1509</v>
      </c>
      <c r="H734" s="254" t="s">
        <v>1510</v>
      </c>
      <c r="I734" s="254" t="s">
        <v>1511</v>
      </c>
      <c r="J734" s="29" t="s">
        <v>1512</v>
      </c>
      <c r="K734" s="29" t="s">
        <v>3492</v>
      </c>
      <c r="L734" s="250">
        <v>22</v>
      </c>
      <c r="M734" s="251"/>
    </row>
    <row r="735" ht="92" spans="1:13">
      <c r="A735" s="248" t="s">
        <v>4175</v>
      </c>
      <c r="B735" s="45" t="s">
        <v>4174</v>
      </c>
      <c r="C735" s="249" t="e">
        <f>VLOOKUP(D735,#REF!,2,0)</f>
        <v>#REF!</v>
      </c>
      <c r="D735" s="29" t="s">
        <v>3434</v>
      </c>
      <c r="E735" s="18" t="e">
        <f>VLOOKUP(C735,数据集标准分类!E:F,2,0)</f>
        <v>#REF!</v>
      </c>
      <c r="F735" s="29" t="e">
        <f>VLOOKUP(D735,数据集标准分类!G:H,2,0)</f>
        <v>#N/A</v>
      </c>
      <c r="G735" s="29" t="s">
        <v>3229</v>
      </c>
      <c r="H735" s="29" t="s">
        <v>3230</v>
      </c>
      <c r="I735" s="256" t="s">
        <v>3231</v>
      </c>
      <c r="J735" s="256" t="s">
        <v>3232</v>
      </c>
      <c r="K735" s="29" t="s">
        <v>3233</v>
      </c>
      <c r="L735" s="250">
        <v>23</v>
      </c>
      <c r="M735" s="251"/>
    </row>
    <row r="736" ht="31" spans="1:13">
      <c r="A736" s="248" t="s">
        <v>4175</v>
      </c>
      <c r="B736" s="45" t="s">
        <v>4174</v>
      </c>
      <c r="C736" s="249" t="e">
        <f>VLOOKUP(D736,#REF!,2,0)</f>
        <v>#REF!</v>
      </c>
      <c r="D736" s="29" t="s">
        <v>3434</v>
      </c>
      <c r="E736" s="18" t="e">
        <f>VLOOKUP(C736,数据集标准分类!E:F,2,0)</f>
        <v>#REF!</v>
      </c>
      <c r="F736" s="29" t="e">
        <f>VLOOKUP(D736,数据集标准分类!G:H,2,0)</f>
        <v>#N/A</v>
      </c>
      <c r="G736" s="29" t="s">
        <v>784</v>
      </c>
      <c r="H736" s="29" t="s">
        <v>785</v>
      </c>
      <c r="I736" s="256" t="s">
        <v>786</v>
      </c>
      <c r="J736" s="256" t="s">
        <v>787</v>
      </c>
      <c r="K736" s="29" t="s">
        <v>3234</v>
      </c>
      <c r="L736" s="250">
        <v>24</v>
      </c>
      <c r="M736" s="251"/>
    </row>
    <row r="737" ht="16.8" spans="1:13">
      <c r="A737" s="248" t="s">
        <v>4175</v>
      </c>
      <c r="B737" s="45" t="s">
        <v>4174</v>
      </c>
      <c r="C737" s="249" t="e">
        <f>VLOOKUP(D737,#REF!,2,0)</f>
        <v>#REF!</v>
      </c>
      <c r="D737" s="29" t="s">
        <v>3434</v>
      </c>
      <c r="E737" s="18" t="e">
        <f>VLOOKUP(C737,数据集标准分类!E:F,2,0)</f>
        <v>#REF!</v>
      </c>
      <c r="F737" s="29" t="e">
        <f>VLOOKUP(D737,数据集标准分类!G:H,2,0)</f>
        <v>#N/A</v>
      </c>
      <c r="G737" s="29" t="s">
        <v>3493</v>
      </c>
      <c r="H737" s="29" t="s">
        <v>3494</v>
      </c>
      <c r="I737" s="256" t="s">
        <v>3495</v>
      </c>
      <c r="J737" s="256" t="s">
        <v>3496</v>
      </c>
      <c r="K737" s="29" t="s">
        <v>3497</v>
      </c>
      <c r="L737" s="250">
        <v>25</v>
      </c>
      <c r="M737" s="251"/>
    </row>
    <row r="738" ht="16.8" spans="1:13">
      <c r="A738" s="248" t="s">
        <v>4175</v>
      </c>
      <c r="B738" s="45" t="s">
        <v>4174</v>
      </c>
      <c r="C738" s="249" t="e">
        <f>VLOOKUP(D738,#REF!,2,0)</f>
        <v>#REF!</v>
      </c>
      <c r="D738" s="29" t="s">
        <v>3434</v>
      </c>
      <c r="E738" s="18" t="e">
        <f>VLOOKUP(C738,数据集标准分类!E:F,2,0)</f>
        <v>#REF!</v>
      </c>
      <c r="F738" s="29" t="e">
        <f>VLOOKUP(D738,数据集标准分类!G:H,2,0)</f>
        <v>#N/A</v>
      </c>
      <c r="G738" s="29" t="s">
        <v>3498</v>
      </c>
      <c r="H738" s="29" t="s">
        <v>3499</v>
      </c>
      <c r="I738" s="256" t="s">
        <v>3500</v>
      </c>
      <c r="J738" s="256" t="s">
        <v>3501</v>
      </c>
      <c r="K738" s="29" t="s">
        <v>3502</v>
      </c>
      <c r="L738" s="250">
        <v>26</v>
      </c>
      <c r="M738" s="251"/>
    </row>
    <row r="739" ht="31" spans="1:13">
      <c r="A739" s="248" t="s">
        <v>4175</v>
      </c>
      <c r="B739" s="45" t="s">
        <v>4174</v>
      </c>
      <c r="C739" s="249" t="e">
        <f>VLOOKUP(D739,#REF!,2,0)</f>
        <v>#REF!</v>
      </c>
      <c r="D739" s="29" t="s">
        <v>3434</v>
      </c>
      <c r="E739" s="18" t="e">
        <f>VLOOKUP(C739,数据集标准分类!E:F,2,0)</f>
        <v>#REF!</v>
      </c>
      <c r="F739" s="29" t="e">
        <f>VLOOKUP(D739,数据集标准分类!G:H,2,0)</f>
        <v>#N/A</v>
      </c>
      <c r="G739" s="64" t="s">
        <v>3503</v>
      </c>
      <c r="H739" s="29" t="s">
        <v>3504</v>
      </c>
      <c r="I739" s="256" t="s">
        <v>3505</v>
      </c>
      <c r="J739" s="256" t="s">
        <v>3506</v>
      </c>
      <c r="K739" s="29" t="s">
        <v>3507</v>
      </c>
      <c r="L739" s="250">
        <v>27</v>
      </c>
      <c r="M739" s="251"/>
    </row>
    <row r="740" ht="46" spans="1:13">
      <c r="A740" s="248" t="s">
        <v>4175</v>
      </c>
      <c r="B740" s="45" t="s">
        <v>4174</v>
      </c>
      <c r="C740" s="249" t="e">
        <f>VLOOKUP(D740,#REF!,2,0)</f>
        <v>#REF!</v>
      </c>
      <c r="D740" s="29" t="s">
        <v>3434</v>
      </c>
      <c r="E740" s="146" t="e">
        <f>VLOOKUP(C740,数据集标准分类!E:F,2,0)</f>
        <v>#REF!</v>
      </c>
      <c r="F740" s="29" t="e">
        <f>VLOOKUP(D740,数据集标准分类!G:H,2,0)</f>
        <v>#N/A</v>
      </c>
      <c r="G740" s="146" t="s">
        <v>3508</v>
      </c>
      <c r="H740" s="146" t="s">
        <v>3509</v>
      </c>
      <c r="I740" s="174" t="s">
        <v>3510</v>
      </c>
      <c r="J740" s="174" t="s">
        <v>3511</v>
      </c>
      <c r="K740" s="146" t="s">
        <v>3512</v>
      </c>
      <c r="L740" s="166" t="s">
        <v>5553</v>
      </c>
      <c r="M740" s="251"/>
    </row>
    <row r="741" ht="46" spans="1:13">
      <c r="A741" s="248" t="s">
        <v>4175</v>
      </c>
      <c r="B741" s="45" t="s">
        <v>4174</v>
      </c>
      <c r="C741" s="249" t="e">
        <f>VLOOKUP(D741,#REF!,2,0)</f>
        <v>#REF!</v>
      </c>
      <c r="D741" s="29" t="s">
        <v>3434</v>
      </c>
      <c r="E741" s="146" t="e">
        <f>VLOOKUP(C741,数据集标准分类!E:F,2,0)</f>
        <v>#REF!</v>
      </c>
      <c r="F741" s="29" t="e">
        <f>VLOOKUP(D741,数据集标准分类!G:H,2,0)</f>
        <v>#N/A</v>
      </c>
      <c r="G741" s="146" t="s">
        <v>3513</v>
      </c>
      <c r="H741" s="146" t="s">
        <v>3514</v>
      </c>
      <c r="I741" s="174" t="s">
        <v>3515</v>
      </c>
      <c r="J741" s="174" t="s">
        <v>3516</v>
      </c>
      <c r="K741" s="146" t="s">
        <v>3517</v>
      </c>
      <c r="L741" s="166" t="s">
        <v>5554</v>
      </c>
      <c r="M741" s="251"/>
    </row>
    <row r="742" ht="46" spans="1:13">
      <c r="A742" s="248" t="s">
        <v>4175</v>
      </c>
      <c r="B742" s="45" t="s">
        <v>4174</v>
      </c>
      <c r="C742" s="249" t="e">
        <f>VLOOKUP(D742,#REF!,2,0)</f>
        <v>#REF!</v>
      </c>
      <c r="D742" s="29" t="s">
        <v>3434</v>
      </c>
      <c r="E742" s="146" t="e">
        <f>VLOOKUP(C742,数据集标准分类!E:F,2,0)</f>
        <v>#REF!</v>
      </c>
      <c r="F742" s="29" t="e">
        <f>VLOOKUP(D742,数据集标准分类!G:H,2,0)</f>
        <v>#N/A</v>
      </c>
      <c r="G742" s="146" t="s">
        <v>3518</v>
      </c>
      <c r="H742" s="146" t="s">
        <v>3519</v>
      </c>
      <c r="I742" s="146" t="s">
        <v>3520</v>
      </c>
      <c r="J742" s="146" t="s">
        <v>3521</v>
      </c>
      <c r="K742" s="146" t="s">
        <v>3522</v>
      </c>
      <c r="L742" s="166" t="s">
        <v>4541</v>
      </c>
      <c r="M742" s="251"/>
    </row>
    <row r="743" ht="46" spans="1:13">
      <c r="A743" s="248" t="s">
        <v>4175</v>
      </c>
      <c r="B743" s="45" t="s">
        <v>4174</v>
      </c>
      <c r="C743" s="249" t="e">
        <f>VLOOKUP(D743,#REF!,2,0)</f>
        <v>#REF!</v>
      </c>
      <c r="D743" s="29" t="s">
        <v>3434</v>
      </c>
      <c r="E743" s="146" t="e">
        <f>VLOOKUP(C743,数据集标准分类!E:F,2,0)</f>
        <v>#REF!</v>
      </c>
      <c r="F743" s="29" t="e">
        <f>VLOOKUP(D743,数据集标准分类!G:H,2,0)</f>
        <v>#N/A</v>
      </c>
      <c r="G743" s="146" t="s">
        <v>3523</v>
      </c>
      <c r="H743" s="146" t="s">
        <v>3524</v>
      </c>
      <c r="I743" s="146" t="s">
        <v>3525</v>
      </c>
      <c r="J743" s="146" t="s">
        <v>3526</v>
      </c>
      <c r="K743" s="146" t="s">
        <v>3527</v>
      </c>
      <c r="L743" s="166" t="s">
        <v>4544</v>
      </c>
      <c r="M743" s="251"/>
    </row>
    <row r="744" ht="31" spans="1:13">
      <c r="A744" s="248" t="s">
        <v>4175</v>
      </c>
      <c r="B744" s="45" t="s">
        <v>4174</v>
      </c>
      <c r="C744" s="249" t="e">
        <f>VLOOKUP(D744,#REF!,2,0)</f>
        <v>#REF!</v>
      </c>
      <c r="D744" s="29" t="s">
        <v>3434</v>
      </c>
      <c r="E744" s="146" t="e">
        <f>VLOOKUP(C744,数据集标准分类!E:F,2,0)</f>
        <v>#REF!</v>
      </c>
      <c r="F744" s="29" t="e">
        <f>VLOOKUP(D744,数据集标准分类!G:H,2,0)</f>
        <v>#N/A</v>
      </c>
      <c r="G744" s="146" t="s">
        <v>3528</v>
      </c>
      <c r="H744" s="146" t="s">
        <v>3529</v>
      </c>
      <c r="I744" s="146" t="s">
        <v>3530</v>
      </c>
      <c r="J744" s="146" t="s">
        <v>3531</v>
      </c>
      <c r="K744" s="146" t="s">
        <v>3532</v>
      </c>
      <c r="L744" s="166" t="s">
        <v>4548</v>
      </c>
      <c r="M744" s="251"/>
    </row>
    <row r="745" ht="31" spans="1:13">
      <c r="A745" s="248" t="s">
        <v>4175</v>
      </c>
      <c r="B745" s="45" t="s">
        <v>4174</v>
      </c>
      <c r="C745" s="249" t="e">
        <f>VLOOKUP(D745,#REF!,2,0)</f>
        <v>#REF!</v>
      </c>
      <c r="D745" s="29" t="s">
        <v>3434</v>
      </c>
      <c r="E745" s="146" t="e">
        <f>VLOOKUP(C745,数据集标准分类!E:F,2,0)</f>
        <v>#REF!</v>
      </c>
      <c r="F745" s="29" t="e">
        <f>VLOOKUP(D745,数据集标准分类!G:H,2,0)</f>
        <v>#N/A</v>
      </c>
      <c r="G745" s="167" t="s">
        <v>3533</v>
      </c>
      <c r="H745" s="167" t="s">
        <v>3534</v>
      </c>
      <c r="I745" s="167" t="s">
        <v>3535</v>
      </c>
      <c r="J745" s="146" t="s">
        <v>3536</v>
      </c>
      <c r="K745" s="146" t="s">
        <v>3537</v>
      </c>
      <c r="L745" s="166" t="s">
        <v>4552</v>
      </c>
      <c r="M745" s="251"/>
    </row>
    <row r="746" ht="31" spans="1:13">
      <c r="A746" s="248" t="s">
        <v>4175</v>
      </c>
      <c r="B746" s="45" t="s">
        <v>4174</v>
      </c>
      <c r="C746" s="249" t="e">
        <f>VLOOKUP(D746,#REF!,2,0)</f>
        <v>#REF!</v>
      </c>
      <c r="D746" s="29" t="s">
        <v>3538</v>
      </c>
      <c r="E746" s="18" t="e">
        <f>VLOOKUP(C746,数据集标准分类!E:F,2,0)</f>
        <v>#REF!</v>
      </c>
      <c r="F746" s="29" t="e">
        <f>VLOOKUP(D746,数据集标准分类!G:H,2,0)</f>
        <v>#N/A</v>
      </c>
      <c r="G746" s="29" t="s">
        <v>711</v>
      </c>
      <c r="H746" s="29" t="s">
        <v>712</v>
      </c>
      <c r="I746" s="256" t="s">
        <v>712</v>
      </c>
      <c r="J746" s="256" t="s">
        <v>713</v>
      </c>
      <c r="K746" s="29" t="s">
        <v>714</v>
      </c>
      <c r="L746" s="250">
        <v>1</v>
      </c>
      <c r="M746" s="251"/>
    </row>
    <row r="747" ht="31" spans="1:13">
      <c r="A747" s="248" t="s">
        <v>4175</v>
      </c>
      <c r="B747" s="45" t="s">
        <v>4174</v>
      </c>
      <c r="C747" s="249" t="e">
        <f>VLOOKUP(D747,#REF!,2,0)</f>
        <v>#REF!</v>
      </c>
      <c r="D747" s="29" t="s">
        <v>3538</v>
      </c>
      <c r="E747" s="18" t="e">
        <f>VLOOKUP(C747,数据集标准分类!E:F,2,0)</f>
        <v>#REF!</v>
      </c>
      <c r="F747" s="29" t="e">
        <f>VLOOKUP(D747,数据集标准分类!G:H,2,0)</f>
        <v>#N/A</v>
      </c>
      <c r="G747" s="29" t="s">
        <v>172</v>
      </c>
      <c r="H747" s="29" t="s">
        <v>173</v>
      </c>
      <c r="I747" s="256" t="s">
        <v>174</v>
      </c>
      <c r="J747" s="256" t="s">
        <v>175</v>
      </c>
      <c r="K747" s="29" t="s">
        <v>1245</v>
      </c>
      <c r="L747" s="250">
        <v>2</v>
      </c>
      <c r="M747" s="251"/>
    </row>
    <row r="748" ht="31" spans="1:13">
      <c r="A748" s="248" t="s">
        <v>4175</v>
      </c>
      <c r="B748" s="45" t="s">
        <v>4174</v>
      </c>
      <c r="C748" s="249" t="e">
        <f>VLOOKUP(D748,#REF!,2,0)</f>
        <v>#REF!</v>
      </c>
      <c r="D748" s="29" t="s">
        <v>3538</v>
      </c>
      <c r="E748" s="18" t="e">
        <f>VLOOKUP(C748,数据集标准分类!E:F,2,0)</f>
        <v>#REF!</v>
      </c>
      <c r="F748" s="29" t="e">
        <f>VLOOKUP(D748,数据集标准分类!G:H,2,0)</f>
        <v>#N/A</v>
      </c>
      <c r="G748" s="29" t="s">
        <v>3436</v>
      </c>
      <c r="H748" s="29" t="s">
        <v>3437</v>
      </c>
      <c r="I748" s="256" t="s">
        <v>3438</v>
      </c>
      <c r="J748" s="256" t="s">
        <v>3439</v>
      </c>
      <c r="K748" s="29" t="s">
        <v>3440</v>
      </c>
      <c r="L748" s="250">
        <v>3</v>
      </c>
      <c r="M748" s="251"/>
    </row>
    <row r="749" ht="31" spans="1:13">
      <c r="A749" s="248" t="s">
        <v>4175</v>
      </c>
      <c r="B749" s="45" t="s">
        <v>4174</v>
      </c>
      <c r="C749" s="249" t="e">
        <f>VLOOKUP(D749,#REF!,2,0)</f>
        <v>#REF!</v>
      </c>
      <c r="D749" s="29" t="s">
        <v>3538</v>
      </c>
      <c r="E749" s="18" t="e">
        <f>VLOOKUP(C749,数据集标准分类!E:F,2,0)</f>
        <v>#REF!</v>
      </c>
      <c r="F749" s="29" t="e">
        <f>VLOOKUP(D749,数据集标准分类!G:H,2,0)</f>
        <v>#N/A</v>
      </c>
      <c r="G749" s="29" t="s">
        <v>3441</v>
      </c>
      <c r="H749" s="29" t="s">
        <v>3442</v>
      </c>
      <c r="I749" s="256" t="s">
        <v>3443</v>
      </c>
      <c r="J749" s="256" t="s">
        <v>3444</v>
      </c>
      <c r="K749" s="29" t="s">
        <v>3445</v>
      </c>
      <c r="L749" s="250">
        <v>4</v>
      </c>
      <c r="M749" s="251"/>
    </row>
    <row r="750" ht="92" spans="1:13">
      <c r="A750" s="248" t="s">
        <v>4175</v>
      </c>
      <c r="B750" s="45" t="s">
        <v>4174</v>
      </c>
      <c r="C750" s="249" t="e">
        <f>VLOOKUP(D750,#REF!,2,0)</f>
        <v>#REF!</v>
      </c>
      <c r="D750" s="29" t="s">
        <v>3538</v>
      </c>
      <c r="E750" s="18" t="e">
        <f>VLOOKUP(C750,数据集标准分类!E:F,2,0)</f>
        <v>#REF!</v>
      </c>
      <c r="F750" s="29" t="e">
        <f>VLOOKUP(D750,数据集标准分类!G:H,2,0)</f>
        <v>#N/A</v>
      </c>
      <c r="G750" s="29" t="s">
        <v>3229</v>
      </c>
      <c r="H750" s="29" t="s">
        <v>3230</v>
      </c>
      <c r="I750" s="256" t="s">
        <v>3231</v>
      </c>
      <c r="J750" s="256" t="s">
        <v>3232</v>
      </c>
      <c r="K750" s="29" t="s">
        <v>3233</v>
      </c>
      <c r="L750" s="250">
        <v>5</v>
      </c>
      <c r="M750" s="251"/>
    </row>
    <row r="751" ht="31" spans="1:13">
      <c r="A751" s="248" t="s">
        <v>4175</v>
      </c>
      <c r="B751" s="45" t="s">
        <v>4174</v>
      </c>
      <c r="C751" s="249" t="e">
        <f>VLOOKUP(D751,#REF!,2,0)</f>
        <v>#REF!</v>
      </c>
      <c r="D751" s="29" t="s">
        <v>3538</v>
      </c>
      <c r="E751" s="18" t="e">
        <f>VLOOKUP(C751,数据集标准分类!E:F,2,0)</f>
        <v>#REF!</v>
      </c>
      <c r="F751" s="29" t="e">
        <f>VLOOKUP(D751,数据集标准分类!G:H,2,0)</f>
        <v>#N/A</v>
      </c>
      <c r="G751" s="29" t="s">
        <v>784</v>
      </c>
      <c r="H751" s="29" t="s">
        <v>785</v>
      </c>
      <c r="I751" s="256" t="s">
        <v>786</v>
      </c>
      <c r="J751" s="256" t="s">
        <v>787</v>
      </c>
      <c r="K751" s="29" t="s">
        <v>3234</v>
      </c>
      <c r="L751" s="250">
        <v>6</v>
      </c>
      <c r="M751" s="251"/>
    </row>
    <row r="752" ht="16.8" spans="1:13">
      <c r="A752" s="248" t="s">
        <v>4175</v>
      </c>
      <c r="B752" s="45" t="s">
        <v>4174</v>
      </c>
      <c r="C752" s="249" t="e">
        <f>VLOOKUP(D752,#REF!,2,0)</f>
        <v>#REF!</v>
      </c>
      <c r="D752" s="29" t="s">
        <v>3538</v>
      </c>
      <c r="E752" s="18" t="e">
        <f>VLOOKUP(C752,数据集标准分类!E:F,2,0)</f>
        <v>#REF!</v>
      </c>
      <c r="F752" s="29" t="e">
        <f>VLOOKUP(D752,数据集标准分类!G:H,2,0)</f>
        <v>#N/A</v>
      </c>
      <c r="G752" s="29" t="s">
        <v>3493</v>
      </c>
      <c r="H752" s="29" t="s">
        <v>3494</v>
      </c>
      <c r="I752" s="256" t="s">
        <v>3495</v>
      </c>
      <c r="J752" s="256" t="s">
        <v>3496</v>
      </c>
      <c r="K752" s="29" t="s">
        <v>3502</v>
      </c>
      <c r="L752" s="250">
        <v>7</v>
      </c>
      <c r="M752" s="251"/>
    </row>
    <row r="753" ht="16.8" spans="1:13">
      <c r="A753" s="248" t="s">
        <v>4175</v>
      </c>
      <c r="B753" s="45" t="s">
        <v>4174</v>
      </c>
      <c r="C753" s="249" t="e">
        <f>VLOOKUP(D753,#REF!,2,0)</f>
        <v>#REF!</v>
      </c>
      <c r="D753" s="29" t="s">
        <v>3538</v>
      </c>
      <c r="E753" s="18" t="e">
        <f>VLOOKUP(C753,数据集标准分类!E:F,2,0)</f>
        <v>#REF!</v>
      </c>
      <c r="F753" s="29" t="e">
        <f>VLOOKUP(D753,数据集标准分类!G:H,2,0)</f>
        <v>#N/A</v>
      </c>
      <c r="G753" s="29" t="s">
        <v>3498</v>
      </c>
      <c r="H753" s="29" t="s">
        <v>3499</v>
      </c>
      <c r="I753" s="29" t="s">
        <v>3500</v>
      </c>
      <c r="J753" s="29" t="s">
        <v>3501</v>
      </c>
      <c r="K753" s="29" t="s">
        <v>3497</v>
      </c>
      <c r="L753" s="250">
        <v>8</v>
      </c>
      <c r="M753" s="251"/>
    </row>
    <row r="754" ht="31" spans="1:13">
      <c r="A754" s="248" t="s">
        <v>4175</v>
      </c>
      <c r="B754" s="45" t="s">
        <v>4174</v>
      </c>
      <c r="C754" s="249" t="e">
        <f>VLOOKUP(D754,#REF!,2,0)</f>
        <v>#REF!</v>
      </c>
      <c r="D754" s="29" t="s">
        <v>3538</v>
      </c>
      <c r="E754" s="18" t="e">
        <f>VLOOKUP(C754,数据集标准分类!E:F,2,0)</f>
        <v>#REF!</v>
      </c>
      <c r="F754" s="29" t="e">
        <f>VLOOKUP(D754,数据集标准分类!G:H,2,0)</f>
        <v>#N/A</v>
      </c>
      <c r="G754" s="29" t="s">
        <v>3503</v>
      </c>
      <c r="H754" s="29" t="s">
        <v>3504</v>
      </c>
      <c r="I754" s="29" t="s">
        <v>3505</v>
      </c>
      <c r="J754" s="29" t="s">
        <v>3506</v>
      </c>
      <c r="K754" s="29" t="s">
        <v>3507</v>
      </c>
      <c r="L754" s="250">
        <v>9</v>
      </c>
      <c r="M754" s="251"/>
    </row>
    <row r="755" ht="31" spans="1:13">
      <c r="A755" s="248" t="s">
        <v>4175</v>
      </c>
      <c r="B755" s="45" t="s">
        <v>4174</v>
      </c>
      <c r="C755" s="249" t="e">
        <f>VLOOKUP(D755,#REF!,2,0)</f>
        <v>#REF!</v>
      </c>
      <c r="D755" s="29" t="s">
        <v>3538</v>
      </c>
      <c r="E755" s="18" t="e">
        <f>VLOOKUP(C755,数据集标准分类!E:F,2,0)</f>
        <v>#REF!</v>
      </c>
      <c r="F755" s="29" t="e">
        <f>VLOOKUP(D755,数据集标准分类!G:H,2,0)</f>
        <v>#N/A</v>
      </c>
      <c r="G755" s="29" t="s">
        <v>201</v>
      </c>
      <c r="H755" s="29" t="s">
        <v>202</v>
      </c>
      <c r="I755" s="29" t="s">
        <v>203</v>
      </c>
      <c r="J755" s="29" t="s">
        <v>204</v>
      </c>
      <c r="K755" s="29" t="s">
        <v>2075</v>
      </c>
      <c r="L755" s="250">
        <v>10</v>
      </c>
      <c r="M755" s="251"/>
    </row>
    <row r="756" ht="31" spans="1:13">
      <c r="A756" s="248" t="s">
        <v>4175</v>
      </c>
      <c r="B756" s="45" t="s">
        <v>4174</v>
      </c>
      <c r="C756" s="249" t="e">
        <f>VLOOKUP(D756,#REF!,2,0)</f>
        <v>#REF!</v>
      </c>
      <c r="D756" s="29" t="s">
        <v>3538</v>
      </c>
      <c r="E756" s="18" t="e">
        <f>VLOOKUP(C756,数据集标准分类!E:F,2,0)</f>
        <v>#REF!</v>
      </c>
      <c r="F756" s="29" t="e">
        <f>VLOOKUP(D756,数据集标准分类!G:H,2,0)</f>
        <v>#N/A</v>
      </c>
      <c r="G756" s="254" t="s">
        <v>211</v>
      </c>
      <c r="H756" s="254" t="s">
        <v>212</v>
      </c>
      <c r="I756" s="254" t="s">
        <v>213</v>
      </c>
      <c r="J756" s="29" t="s">
        <v>214</v>
      </c>
      <c r="K756" s="29" t="s">
        <v>215</v>
      </c>
      <c r="L756" s="250">
        <v>11</v>
      </c>
      <c r="M756" s="251"/>
    </row>
    <row r="757" ht="31" spans="1:13">
      <c r="A757" s="248" t="s">
        <v>4175</v>
      </c>
      <c r="B757" s="45" t="s">
        <v>4174</v>
      </c>
      <c r="C757" s="249" t="e">
        <f>VLOOKUP(D757,#REF!,2,0)</f>
        <v>#REF!</v>
      </c>
      <c r="D757" s="29" t="s">
        <v>3538</v>
      </c>
      <c r="E757" s="18" t="e">
        <f>VLOOKUP(C757,数据集标准分类!E:F,2,0)</f>
        <v>#REF!</v>
      </c>
      <c r="F757" s="29" t="e">
        <f>VLOOKUP(D757,数据集标准分类!G:H,2,0)</f>
        <v>#N/A</v>
      </c>
      <c r="G757" s="29" t="s">
        <v>2076</v>
      </c>
      <c r="H757" s="29" t="s">
        <v>2077</v>
      </c>
      <c r="I757" s="256" t="s">
        <v>2078</v>
      </c>
      <c r="J757" s="256" t="s">
        <v>2079</v>
      </c>
      <c r="K757" s="29" t="s">
        <v>2080</v>
      </c>
      <c r="L757" s="250">
        <v>12</v>
      </c>
      <c r="M757" s="251"/>
    </row>
    <row r="758" ht="16.8" spans="1:13">
      <c r="A758" s="248" t="s">
        <v>4175</v>
      </c>
      <c r="B758" s="45" t="s">
        <v>4174</v>
      </c>
      <c r="C758" s="249" t="e">
        <f>VLOOKUP(D758,#REF!,2,0)</f>
        <v>#REF!</v>
      </c>
      <c r="D758" s="29" t="s">
        <v>3538</v>
      </c>
      <c r="E758" s="18" t="e">
        <f>VLOOKUP(C758,数据集标准分类!E:F,2,0)</f>
        <v>#REF!</v>
      </c>
      <c r="F758" s="29" t="e">
        <f>VLOOKUP(D758,数据集标准分类!G:H,2,0)</f>
        <v>#N/A</v>
      </c>
      <c r="G758" s="29" t="s">
        <v>2081</v>
      </c>
      <c r="H758" s="29" t="s">
        <v>2082</v>
      </c>
      <c r="I758" s="256" t="s">
        <v>2083</v>
      </c>
      <c r="J758" s="256" t="s">
        <v>2084</v>
      </c>
      <c r="K758" s="29" t="s">
        <v>2085</v>
      </c>
      <c r="L758" s="250">
        <v>13</v>
      </c>
      <c r="M758" s="251"/>
    </row>
    <row r="759" ht="16.8" spans="1:13">
      <c r="A759" s="248" t="s">
        <v>4175</v>
      </c>
      <c r="B759" s="45" t="s">
        <v>4174</v>
      </c>
      <c r="C759" s="249" t="e">
        <f>VLOOKUP(D759,#REF!,2,0)</f>
        <v>#REF!</v>
      </c>
      <c r="D759" s="29" t="s">
        <v>3538</v>
      </c>
      <c r="E759" s="18" t="e">
        <f>VLOOKUP(C759,数据集标准分类!E:F,2,0)</f>
        <v>#REF!</v>
      </c>
      <c r="F759" s="29" t="e">
        <f>VLOOKUP(D759,数据集标准分类!G:H,2,0)</f>
        <v>#N/A</v>
      </c>
      <c r="G759" s="29" t="s">
        <v>2086</v>
      </c>
      <c r="H759" s="29" t="s">
        <v>2087</v>
      </c>
      <c r="I759" s="256" t="s">
        <v>2088</v>
      </c>
      <c r="J759" s="256" t="s">
        <v>2089</v>
      </c>
      <c r="K759" s="29" t="s">
        <v>2090</v>
      </c>
      <c r="L759" s="250">
        <v>14</v>
      </c>
      <c r="M759" s="251"/>
    </row>
    <row r="760" ht="31" spans="1:13">
      <c r="A760" s="248" t="s">
        <v>4175</v>
      </c>
      <c r="B760" s="45" t="s">
        <v>4174</v>
      </c>
      <c r="C760" s="249" t="e">
        <f>VLOOKUP(D760,#REF!,2,0)</f>
        <v>#REF!</v>
      </c>
      <c r="D760" s="29" t="s">
        <v>3538</v>
      </c>
      <c r="E760" s="18" t="e">
        <f>VLOOKUP(C760,数据集标准分类!E:F,2,0)</f>
        <v>#REF!</v>
      </c>
      <c r="F760" s="29" t="e">
        <f>VLOOKUP(D760,数据集标准分类!G:H,2,0)</f>
        <v>#N/A</v>
      </c>
      <c r="G760" s="29" t="s">
        <v>2091</v>
      </c>
      <c r="H760" s="29" t="s">
        <v>2092</v>
      </c>
      <c r="I760" s="256" t="s">
        <v>2093</v>
      </c>
      <c r="J760" s="256" t="s">
        <v>2094</v>
      </c>
      <c r="K760" s="29" t="s">
        <v>2095</v>
      </c>
      <c r="L760" s="250">
        <v>15</v>
      </c>
      <c r="M760" s="251"/>
    </row>
    <row r="761" ht="31" spans="1:13">
      <c r="A761" s="248" t="s">
        <v>4175</v>
      </c>
      <c r="B761" s="45" t="s">
        <v>4174</v>
      </c>
      <c r="C761" s="249" t="e">
        <f>VLOOKUP(D761,#REF!,2,0)</f>
        <v>#REF!</v>
      </c>
      <c r="D761" s="29" t="s">
        <v>3538</v>
      </c>
      <c r="E761" s="18" t="e">
        <f>VLOOKUP(C761,数据集标准分类!E:F,2,0)</f>
        <v>#REF!</v>
      </c>
      <c r="F761" s="29" t="e">
        <f>VLOOKUP(D761,数据集标准分类!G:H,2,0)</f>
        <v>#N/A</v>
      </c>
      <c r="G761" s="29" t="s">
        <v>2096</v>
      </c>
      <c r="H761" s="29" t="s">
        <v>2097</v>
      </c>
      <c r="I761" s="256" t="s">
        <v>2098</v>
      </c>
      <c r="J761" s="256" t="s">
        <v>2099</v>
      </c>
      <c r="K761" s="29" t="s">
        <v>2100</v>
      </c>
      <c r="L761" s="250">
        <v>16</v>
      </c>
      <c r="M761" s="251"/>
    </row>
    <row r="762" ht="16.8" spans="1:13">
      <c r="A762" s="248" t="s">
        <v>4175</v>
      </c>
      <c r="B762" s="45" t="s">
        <v>4174</v>
      </c>
      <c r="C762" s="249" t="e">
        <f>VLOOKUP(D762,#REF!,2,0)</f>
        <v>#REF!</v>
      </c>
      <c r="D762" s="29" t="s">
        <v>3538</v>
      </c>
      <c r="E762" s="18" t="e">
        <f>VLOOKUP(C762,数据集标准分类!E:F,2,0)</f>
        <v>#REF!</v>
      </c>
      <c r="F762" s="29" t="e">
        <f>VLOOKUP(D762,数据集标准分类!G:H,2,0)</f>
        <v>#N/A</v>
      </c>
      <c r="G762" s="29" t="s">
        <v>197</v>
      </c>
      <c r="H762" s="29" t="s">
        <v>198</v>
      </c>
      <c r="I762" s="256" t="s">
        <v>2074</v>
      </c>
      <c r="J762" s="256" t="s">
        <v>199</v>
      </c>
      <c r="K762" s="29" t="s">
        <v>2019</v>
      </c>
      <c r="L762" s="250">
        <v>17</v>
      </c>
      <c r="M762" s="251"/>
    </row>
    <row r="763" ht="31" spans="1:13">
      <c r="A763" s="248" t="s">
        <v>4175</v>
      </c>
      <c r="B763" s="45" t="s">
        <v>4174</v>
      </c>
      <c r="C763" s="249" t="e">
        <f>VLOOKUP(D763,#REF!,2,0)</f>
        <v>#REF!</v>
      </c>
      <c r="D763" s="29" t="s">
        <v>3538</v>
      </c>
      <c r="E763" s="18" t="e">
        <f>VLOOKUP(C763,数据集标准分类!E:F,2,0)</f>
        <v>#REF!</v>
      </c>
      <c r="F763" s="29" t="e">
        <f>VLOOKUP(D763,数据集标准分类!G:H,2,0)</f>
        <v>#N/A</v>
      </c>
      <c r="G763" s="29" t="s">
        <v>3539</v>
      </c>
      <c r="H763" s="29" t="s">
        <v>3540</v>
      </c>
      <c r="I763" s="256" t="s">
        <v>3541</v>
      </c>
      <c r="J763" s="256" t="s">
        <v>3542</v>
      </c>
      <c r="K763" s="29" t="s">
        <v>3543</v>
      </c>
      <c r="L763" s="250">
        <v>18</v>
      </c>
      <c r="M763" s="251"/>
    </row>
    <row r="764" ht="31" spans="1:13">
      <c r="A764" s="248" t="s">
        <v>4175</v>
      </c>
      <c r="B764" s="45" t="s">
        <v>4174</v>
      </c>
      <c r="C764" s="249" t="e">
        <f>VLOOKUP(D764,#REF!,2,0)</f>
        <v>#REF!</v>
      </c>
      <c r="D764" s="29" t="s">
        <v>3538</v>
      </c>
      <c r="E764" s="18" t="e">
        <f>VLOOKUP(C764,数据集标准分类!E:F,2,0)</f>
        <v>#REF!</v>
      </c>
      <c r="F764" s="29" t="e">
        <f>VLOOKUP(D764,数据集标准分类!G:H,2,0)</f>
        <v>#N/A</v>
      </c>
      <c r="G764" s="254" t="s">
        <v>3544</v>
      </c>
      <c r="H764" s="254" t="s">
        <v>3545</v>
      </c>
      <c r="I764" s="262" t="s">
        <v>3546</v>
      </c>
      <c r="J764" s="262" t="s">
        <v>3547</v>
      </c>
      <c r="K764" s="29" t="s">
        <v>3548</v>
      </c>
      <c r="L764" s="250">
        <v>19</v>
      </c>
      <c r="M764" s="251"/>
    </row>
    <row r="765" ht="31" spans="1:13">
      <c r="A765" s="248" t="s">
        <v>4175</v>
      </c>
      <c r="B765" s="45" t="s">
        <v>4174</v>
      </c>
      <c r="C765" s="249" t="e">
        <f>VLOOKUP(D765,#REF!,2,0)</f>
        <v>#REF!</v>
      </c>
      <c r="D765" s="29" t="s">
        <v>3549</v>
      </c>
      <c r="E765" s="18" t="e">
        <f>VLOOKUP(C765,数据集标准分类!E:F,2,0)</f>
        <v>#REF!</v>
      </c>
      <c r="F765" s="29" t="e">
        <f>VLOOKUP(D765,数据集标准分类!G:H,2,0)</f>
        <v>#N/A</v>
      </c>
      <c r="G765" s="29" t="s">
        <v>711</v>
      </c>
      <c r="H765" s="29" t="s">
        <v>712</v>
      </c>
      <c r="I765" s="29" t="s">
        <v>712</v>
      </c>
      <c r="J765" s="29" t="s">
        <v>713</v>
      </c>
      <c r="K765" s="29" t="s">
        <v>714</v>
      </c>
      <c r="L765" s="250">
        <v>1</v>
      </c>
      <c r="M765" s="251"/>
    </row>
    <row r="766" ht="61" spans="1:13">
      <c r="A766" s="248" t="s">
        <v>4175</v>
      </c>
      <c r="B766" s="45" t="s">
        <v>4174</v>
      </c>
      <c r="C766" s="249" t="e">
        <f>VLOOKUP(D766,#REF!,2,0)</f>
        <v>#REF!</v>
      </c>
      <c r="D766" s="29" t="s">
        <v>3549</v>
      </c>
      <c r="E766" s="18" t="e">
        <f>VLOOKUP(C766,数据集标准分类!E:F,2,0)</f>
        <v>#REF!</v>
      </c>
      <c r="F766" s="29" t="e">
        <f>VLOOKUP(D766,数据集标准分类!G:H,2,0)</f>
        <v>#N/A</v>
      </c>
      <c r="G766" s="29" t="s">
        <v>77</v>
      </c>
      <c r="H766" s="29" t="s">
        <v>78</v>
      </c>
      <c r="I766" s="29" t="s">
        <v>79</v>
      </c>
      <c r="J766" s="29" t="s">
        <v>80</v>
      </c>
      <c r="K766" s="29" t="s">
        <v>310</v>
      </c>
      <c r="L766" s="250">
        <v>2</v>
      </c>
      <c r="M766" s="251"/>
    </row>
    <row r="767" ht="16.8" spans="1:13">
      <c r="A767" s="248" t="s">
        <v>4175</v>
      </c>
      <c r="B767" s="45" t="s">
        <v>4174</v>
      </c>
      <c r="C767" s="249" t="e">
        <f>VLOOKUP(D767,#REF!,2,0)</f>
        <v>#REF!</v>
      </c>
      <c r="D767" s="255" t="s">
        <v>3549</v>
      </c>
      <c r="E767" s="18" t="e">
        <f>VLOOKUP(C767,数据集标准分类!E:F,2,0)</f>
        <v>#REF!</v>
      </c>
      <c r="F767" s="29" t="e">
        <f>VLOOKUP(D767,数据集标准分类!G:H,2,0)</f>
        <v>#N/A</v>
      </c>
      <c r="G767" s="29" t="s">
        <v>82</v>
      </c>
      <c r="H767" s="29" t="s">
        <v>83</v>
      </c>
      <c r="I767" s="29" t="s">
        <v>84</v>
      </c>
      <c r="J767" s="29" t="s">
        <v>85</v>
      </c>
      <c r="K767" s="45"/>
      <c r="L767" s="250">
        <v>3</v>
      </c>
      <c r="M767" s="251"/>
    </row>
    <row r="768" ht="31" spans="1:13">
      <c r="A768" s="248" t="s">
        <v>4175</v>
      </c>
      <c r="B768" s="45" t="s">
        <v>4174</v>
      </c>
      <c r="C768" s="249" t="e">
        <f>VLOOKUP(D768,#REF!,2,0)</f>
        <v>#REF!</v>
      </c>
      <c r="D768" s="255" t="s">
        <v>3549</v>
      </c>
      <c r="E768" s="18" t="e">
        <f>VLOOKUP(C768,数据集标准分类!E:F,2,0)</f>
        <v>#REF!</v>
      </c>
      <c r="F768" s="29" t="e">
        <f>VLOOKUP(D768,数据集标准分类!G:H,2,0)</f>
        <v>#N/A</v>
      </c>
      <c r="G768" s="29" t="s">
        <v>172</v>
      </c>
      <c r="H768" s="29" t="s">
        <v>173</v>
      </c>
      <c r="I768" s="29" t="s">
        <v>174</v>
      </c>
      <c r="J768" s="29" t="s">
        <v>175</v>
      </c>
      <c r="K768" s="224"/>
      <c r="L768" s="250">
        <v>4</v>
      </c>
      <c r="M768" s="251"/>
    </row>
    <row r="769" ht="61" spans="1:13">
      <c r="A769" s="248" t="s">
        <v>4175</v>
      </c>
      <c r="B769" s="45" t="s">
        <v>4174</v>
      </c>
      <c r="C769" s="249" t="e">
        <f>VLOOKUP(D769,#REF!,2,0)</f>
        <v>#REF!</v>
      </c>
      <c r="D769" s="255" t="s">
        <v>3549</v>
      </c>
      <c r="E769" s="18" t="e">
        <f>VLOOKUP(C769,数据集标准分类!E:F,2,0)</f>
        <v>#REF!</v>
      </c>
      <c r="F769" s="29" t="e">
        <f>VLOOKUP(D769,数据集标准分类!G:H,2,0)</f>
        <v>#N/A</v>
      </c>
      <c r="G769" s="29" t="s">
        <v>1583</v>
      </c>
      <c r="H769" s="29" t="s">
        <v>1584</v>
      </c>
      <c r="I769" s="256" t="s">
        <v>1585</v>
      </c>
      <c r="J769" s="256" t="s">
        <v>1586</v>
      </c>
      <c r="K769" s="29" t="s">
        <v>311</v>
      </c>
      <c r="L769" s="250">
        <v>5</v>
      </c>
      <c r="M769" s="251"/>
    </row>
    <row r="770" ht="31" spans="1:13">
      <c r="A770" s="248" t="s">
        <v>4175</v>
      </c>
      <c r="B770" s="45" t="s">
        <v>4174</v>
      </c>
      <c r="C770" s="249" t="e">
        <f>VLOOKUP(D770,#REF!,2,0)</f>
        <v>#REF!</v>
      </c>
      <c r="D770" s="255" t="s">
        <v>3549</v>
      </c>
      <c r="E770" s="18" t="e">
        <f>VLOOKUP(C770,数据集标准分类!E:F,2,0)</f>
        <v>#REF!</v>
      </c>
      <c r="F770" s="29" t="e">
        <f>VLOOKUP(D770,数据集标准分类!G:H,2,0)</f>
        <v>#N/A</v>
      </c>
      <c r="G770" s="253" t="s">
        <v>192</v>
      </c>
      <c r="H770" s="253" t="s">
        <v>193</v>
      </c>
      <c r="I770" s="253" t="s">
        <v>194</v>
      </c>
      <c r="J770" s="29" t="s">
        <v>195</v>
      </c>
      <c r="K770" s="29" t="s">
        <v>1587</v>
      </c>
      <c r="L770" s="250">
        <v>6</v>
      </c>
      <c r="M770" s="251"/>
    </row>
    <row r="771" ht="46" spans="1:13">
      <c r="A771" s="248" t="s">
        <v>4175</v>
      </c>
      <c r="B771" s="45" t="s">
        <v>4174</v>
      </c>
      <c r="C771" s="249" t="e">
        <f>VLOOKUP(D771,#REF!,2,0)</f>
        <v>#REF!</v>
      </c>
      <c r="D771" s="255" t="s">
        <v>3549</v>
      </c>
      <c r="E771" s="18" t="e">
        <f>VLOOKUP(C771,数据集标准分类!E:F,2,0)</f>
        <v>#REF!</v>
      </c>
      <c r="F771" s="29" t="e">
        <f>VLOOKUP(D771,数据集标准分类!G:H,2,0)</f>
        <v>#N/A</v>
      </c>
      <c r="G771" s="254" t="s">
        <v>245</v>
      </c>
      <c r="H771" s="254" t="s">
        <v>246</v>
      </c>
      <c r="I771" s="254" t="s">
        <v>247</v>
      </c>
      <c r="J771" s="29" t="s">
        <v>248</v>
      </c>
      <c r="K771" s="29" t="s">
        <v>3550</v>
      </c>
      <c r="L771" s="250">
        <v>7</v>
      </c>
      <c r="M771" s="251"/>
    </row>
    <row r="772" ht="16.8" spans="1:13">
      <c r="A772" s="248" t="s">
        <v>4175</v>
      </c>
      <c r="B772" s="45" t="s">
        <v>4174</v>
      </c>
      <c r="C772" s="249" t="e">
        <f>VLOOKUP(D772,#REF!,2,0)</f>
        <v>#REF!</v>
      </c>
      <c r="D772" s="255" t="s">
        <v>3549</v>
      </c>
      <c r="E772" s="18" t="e">
        <f>VLOOKUP(C772,数据集标准分类!E:F,2,0)</f>
        <v>#REF!</v>
      </c>
      <c r="F772" s="29" t="e">
        <f>VLOOKUP(D772,数据集标准分类!G:H,2,0)</f>
        <v>#N/A</v>
      </c>
      <c r="G772" s="29" t="s">
        <v>1261</v>
      </c>
      <c r="H772" s="29" t="s">
        <v>1262</v>
      </c>
      <c r="I772" s="256" t="s">
        <v>1263</v>
      </c>
      <c r="J772" s="256" t="s">
        <v>1264</v>
      </c>
      <c r="K772" s="29" t="s">
        <v>1429</v>
      </c>
      <c r="L772" s="250">
        <v>8</v>
      </c>
      <c r="M772" s="251"/>
    </row>
    <row r="773" ht="46" spans="1:13">
      <c r="A773" s="248" t="s">
        <v>4175</v>
      </c>
      <c r="B773" s="45" t="s">
        <v>4174</v>
      </c>
      <c r="C773" s="249" t="e">
        <f>VLOOKUP(D773,#REF!,2,0)</f>
        <v>#REF!</v>
      </c>
      <c r="D773" s="255" t="s">
        <v>3549</v>
      </c>
      <c r="E773" s="18" t="e">
        <f>VLOOKUP(C773,数据集标准分类!E:F,2,0)</f>
        <v>#REF!</v>
      </c>
      <c r="F773" s="29" t="e">
        <f>VLOOKUP(D773,数据集标准分类!G:H,2,0)</f>
        <v>#N/A</v>
      </c>
      <c r="G773" s="29" t="s">
        <v>3551</v>
      </c>
      <c r="H773" s="29" t="s">
        <v>3552</v>
      </c>
      <c r="I773" s="256" t="s">
        <v>3553</v>
      </c>
      <c r="J773" s="256" t="s">
        <v>3554</v>
      </c>
      <c r="K773" s="29" t="s">
        <v>1601</v>
      </c>
      <c r="L773" s="250">
        <v>9</v>
      </c>
      <c r="M773" s="251"/>
    </row>
    <row r="774" ht="46" spans="1:13">
      <c r="A774" s="248" t="s">
        <v>4175</v>
      </c>
      <c r="B774" s="45" t="s">
        <v>4174</v>
      </c>
      <c r="C774" s="249" t="e">
        <f>VLOOKUP(D774,#REF!,2,0)</f>
        <v>#REF!</v>
      </c>
      <c r="D774" s="255" t="s">
        <v>3549</v>
      </c>
      <c r="E774" s="18" t="e">
        <f>VLOOKUP(C774,数据集标准分类!E:F,2,0)</f>
        <v>#REF!</v>
      </c>
      <c r="F774" s="29" t="e">
        <f>VLOOKUP(D774,数据集标准分类!G:H,2,0)</f>
        <v>#N/A</v>
      </c>
      <c r="G774" s="29" t="s">
        <v>1592</v>
      </c>
      <c r="H774" s="29" t="s">
        <v>1593</v>
      </c>
      <c r="I774" s="256" t="s">
        <v>1594</v>
      </c>
      <c r="J774" s="256" t="s">
        <v>1595</v>
      </c>
      <c r="K774" s="29" t="s">
        <v>1596</v>
      </c>
      <c r="L774" s="250">
        <v>10</v>
      </c>
      <c r="M774" s="251"/>
    </row>
    <row r="775" ht="31" spans="1:13">
      <c r="A775" s="248" t="s">
        <v>4175</v>
      </c>
      <c r="B775" s="45" t="s">
        <v>4174</v>
      </c>
      <c r="C775" s="249" t="e">
        <f>VLOOKUP(D775,#REF!,2,0)</f>
        <v>#REF!</v>
      </c>
      <c r="D775" s="255" t="s">
        <v>3549</v>
      </c>
      <c r="E775" s="18" t="e">
        <f>VLOOKUP(C775,数据集标准分类!E:F,2,0)</f>
        <v>#REF!</v>
      </c>
      <c r="F775" s="29" t="e">
        <f>VLOOKUP(D775,数据集标准分类!G:H,2,0)</f>
        <v>#N/A</v>
      </c>
      <c r="G775" s="29" t="s">
        <v>503</v>
      </c>
      <c r="H775" s="29" t="s">
        <v>504</v>
      </c>
      <c r="I775" s="256" t="s">
        <v>505</v>
      </c>
      <c r="J775" s="256" t="s">
        <v>506</v>
      </c>
      <c r="K775" s="29" t="s">
        <v>1779</v>
      </c>
      <c r="L775" s="250">
        <v>11</v>
      </c>
      <c r="M775" s="251"/>
    </row>
    <row r="776" ht="31" spans="1:13">
      <c r="A776" s="248" t="s">
        <v>4175</v>
      </c>
      <c r="B776" s="45" t="s">
        <v>4174</v>
      </c>
      <c r="C776" s="249" t="e">
        <f>VLOOKUP(D776,#REF!,2,0)</f>
        <v>#REF!</v>
      </c>
      <c r="D776" s="255" t="s">
        <v>3549</v>
      </c>
      <c r="E776" s="18" t="e">
        <f>VLOOKUP(C776,数据集标准分类!E:F,2,0)</f>
        <v>#REF!</v>
      </c>
      <c r="F776" s="29" t="e">
        <f>VLOOKUP(D776,数据集标准分类!G:H,2,0)</f>
        <v>#N/A</v>
      </c>
      <c r="G776" s="29" t="s">
        <v>508</v>
      </c>
      <c r="H776" s="29" t="s">
        <v>509</v>
      </c>
      <c r="I776" s="256" t="s">
        <v>510</v>
      </c>
      <c r="J776" s="256" t="s">
        <v>511</v>
      </c>
      <c r="K776" s="29" t="s">
        <v>116</v>
      </c>
      <c r="L776" s="250">
        <v>12</v>
      </c>
      <c r="M776" s="251"/>
    </row>
    <row r="777" ht="16.8" spans="1:13">
      <c r="A777" s="248" t="s">
        <v>4175</v>
      </c>
      <c r="B777" s="45" t="s">
        <v>4174</v>
      </c>
      <c r="C777" s="249" t="e">
        <f>VLOOKUP(D777,#REF!,2,0)</f>
        <v>#REF!</v>
      </c>
      <c r="D777" s="255" t="s">
        <v>3549</v>
      </c>
      <c r="E777" s="18" t="e">
        <f>VLOOKUP(C777,数据集标准分类!E:F,2,0)</f>
        <v>#REF!</v>
      </c>
      <c r="F777" s="29" t="e">
        <f>VLOOKUP(D777,数据集标准分类!G:H,2,0)</f>
        <v>#N/A</v>
      </c>
      <c r="G777" s="29" t="s">
        <v>3555</v>
      </c>
      <c r="H777" s="29" t="s">
        <v>3556</v>
      </c>
      <c r="I777" s="256" t="s">
        <v>3557</v>
      </c>
      <c r="J777" s="256" t="s">
        <v>3558</v>
      </c>
      <c r="K777" s="29" t="s">
        <v>3559</v>
      </c>
      <c r="L777" s="250">
        <v>13</v>
      </c>
      <c r="M777" s="251"/>
    </row>
    <row r="778" ht="31" spans="1:13">
      <c r="A778" s="248" t="s">
        <v>4175</v>
      </c>
      <c r="B778" s="45" t="s">
        <v>4174</v>
      </c>
      <c r="C778" s="249" t="e">
        <f>VLOOKUP(D778,#REF!,2,0)</f>
        <v>#REF!</v>
      </c>
      <c r="D778" s="255" t="s">
        <v>3549</v>
      </c>
      <c r="E778" s="18" t="e">
        <f>VLOOKUP(C778,数据集标准分类!E:F,2,0)</f>
        <v>#REF!</v>
      </c>
      <c r="F778" s="29" t="e">
        <f>VLOOKUP(D778,数据集标准分类!G:H,2,0)</f>
        <v>#N/A</v>
      </c>
      <c r="G778" s="29" t="s">
        <v>3436</v>
      </c>
      <c r="H778" s="29" t="s">
        <v>3437</v>
      </c>
      <c r="I778" s="256" t="s">
        <v>3438</v>
      </c>
      <c r="J778" s="256" t="s">
        <v>3439</v>
      </c>
      <c r="K778" s="29" t="s">
        <v>3440</v>
      </c>
      <c r="L778" s="250">
        <v>14</v>
      </c>
      <c r="M778" s="251"/>
    </row>
    <row r="779" ht="31" spans="1:13">
      <c r="A779" s="248" t="s">
        <v>4175</v>
      </c>
      <c r="B779" s="45" t="s">
        <v>4174</v>
      </c>
      <c r="C779" s="249" t="e">
        <f>VLOOKUP(D779,#REF!,2,0)</f>
        <v>#REF!</v>
      </c>
      <c r="D779" s="255" t="s">
        <v>3549</v>
      </c>
      <c r="E779" s="18" t="e">
        <f>VLOOKUP(C779,数据集标准分类!E:F,2,0)</f>
        <v>#REF!</v>
      </c>
      <c r="F779" s="29" t="e">
        <f>VLOOKUP(D779,数据集标准分类!G:H,2,0)</f>
        <v>#N/A</v>
      </c>
      <c r="G779" s="29" t="s">
        <v>3441</v>
      </c>
      <c r="H779" s="29" t="s">
        <v>3442</v>
      </c>
      <c r="I779" s="256" t="s">
        <v>3443</v>
      </c>
      <c r="J779" s="256" t="s">
        <v>3444</v>
      </c>
      <c r="K779" s="29" t="s">
        <v>3445</v>
      </c>
      <c r="L779" s="250">
        <v>15</v>
      </c>
      <c r="M779" s="251"/>
    </row>
    <row r="780" ht="92" spans="1:13">
      <c r="A780" s="248" t="s">
        <v>4175</v>
      </c>
      <c r="B780" s="45" t="s">
        <v>4174</v>
      </c>
      <c r="C780" s="249" t="e">
        <f>VLOOKUP(D780,#REF!,2,0)</f>
        <v>#REF!</v>
      </c>
      <c r="D780" s="255" t="s">
        <v>3549</v>
      </c>
      <c r="E780" s="18" t="e">
        <f>VLOOKUP(C780,数据集标准分类!E:F,2,0)</f>
        <v>#REF!</v>
      </c>
      <c r="F780" s="29" t="e">
        <f>VLOOKUP(D780,数据集标准分类!G:H,2,0)</f>
        <v>#N/A</v>
      </c>
      <c r="G780" s="29" t="s">
        <v>3229</v>
      </c>
      <c r="H780" s="29" t="s">
        <v>3230</v>
      </c>
      <c r="I780" s="256" t="s">
        <v>3231</v>
      </c>
      <c r="J780" s="256" t="s">
        <v>3232</v>
      </c>
      <c r="K780" s="29" t="s">
        <v>3233</v>
      </c>
      <c r="L780" s="250">
        <v>16</v>
      </c>
      <c r="M780" s="251"/>
    </row>
    <row r="781" ht="31" spans="1:13">
      <c r="A781" s="248" t="s">
        <v>4175</v>
      </c>
      <c r="B781" s="45" t="s">
        <v>4174</v>
      </c>
      <c r="C781" s="249" t="e">
        <f>VLOOKUP(D781,#REF!,2,0)</f>
        <v>#REF!</v>
      </c>
      <c r="D781" s="255" t="s">
        <v>3549</v>
      </c>
      <c r="E781" s="18" t="e">
        <f>VLOOKUP(C781,数据集标准分类!E:F,2,0)</f>
        <v>#REF!</v>
      </c>
      <c r="F781" s="29" t="e">
        <f>VLOOKUP(D781,数据集标准分类!G:H,2,0)</f>
        <v>#N/A</v>
      </c>
      <c r="G781" s="29" t="s">
        <v>784</v>
      </c>
      <c r="H781" s="29" t="s">
        <v>785</v>
      </c>
      <c r="I781" s="262" t="s">
        <v>786</v>
      </c>
      <c r="J781" s="262" t="s">
        <v>787</v>
      </c>
      <c r="K781" s="29" t="s">
        <v>3234</v>
      </c>
      <c r="L781" s="250">
        <v>17</v>
      </c>
      <c r="M781" s="251"/>
    </row>
    <row r="782" ht="16.8" spans="1:13">
      <c r="A782" s="248" t="s">
        <v>4175</v>
      </c>
      <c r="B782" s="45" t="s">
        <v>4174</v>
      </c>
      <c r="C782" s="249" t="e">
        <f>VLOOKUP(D782,#REF!,2,0)</f>
        <v>#REF!</v>
      </c>
      <c r="D782" s="255" t="s">
        <v>3549</v>
      </c>
      <c r="E782" s="18" t="e">
        <f>VLOOKUP(C782,数据集标准分类!E:F,2,0)</f>
        <v>#REF!</v>
      </c>
      <c r="F782" s="29" t="e">
        <f>VLOOKUP(D782,数据集标准分类!G:H,2,0)</f>
        <v>#N/A</v>
      </c>
      <c r="G782" s="29" t="s">
        <v>3493</v>
      </c>
      <c r="H782" s="29" t="s">
        <v>3494</v>
      </c>
      <c r="I782" s="256" t="s">
        <v>3495</v>
      </c>
      <c r="J782" s="256" t="s">
        <v>3496</v>
      </c>
      <c r="K782" s="29" t="s">
        <v>3502</v>
      </c>
      <c r="L782" s="250">
        <v>18</v>
      </c>
      <c r="M782" s="251"/>
    </row>
    <row r="783" ht="16.8" spans="1:13">
      <c r="A783" s="248" t="s">
        <v>4175</v>
      </c>
      <c r="B783" s="45" t="s">
        <v>4174</v>
      </c>
      <c r="C783" s="249" t="e">
        <f>VLOOKUP(D783,#REF!,2,0)</f>
        <v>#REF!</v>
      </c>
      <c r="D783" s="255" t="s">
        <v>3549</v>
      </c>
      <c r="E783" s="18" t="e">
        <f>VLOOKUP(C783,数据集标准分类!E:F,2,0)</f>
        <v>#REF!</v>
      </c>
      <c r="F783" s="29" t="e">
        <f>VLOOKUP(D783,数据集标准分类!G:H,2,0)</f>
        <v>#N/A</v>
      </c>
      <c r="G783" s="29" t="s">
        <v>3498</v>
      </c>
      <c r="H783" s="29" t="s">
        <v>3499</v>
      </c>
      <c r="I783" s="256" t="s">
        <v>3500</v>
      </c>
      <c r="J783" s="256" t="s">
        <v>3501</v>
      </c>
      <c r="K783" s="29" t="s">
        <v>3497</v>
      </c>
      <c r="L783" s="250">
        <v>19</v>
      </c>
      <c r="M783" s="251"/>
    </row>
    <row r="784" ht="31" spans="1:13">
      <c r="A784" s="248" t="s">
        <v>4175</v>
      </c>
      <c r="B784" s="45" t="s">
        <v>4174</v>
      </c>
      <c r="C784" s="249" t="e">
        <f>VLOOKUP(D784,#REF!,2,0)</f>
        <v>#REF!</v>
      </c>
      <c r="D784" s="255" t="s">
        <v>3549</v>
      </c>
      <c r="E784" s="18" t="e">
        <f>VLOOKUP(C784,数据集标准分类!E:F,2,0)</f>
        <v>#REF!</v>
      </c>
      <c r="F784" s="29" t="e">
        <f>VLOOKUP(D784,数据集标准分类!G:H,2,0)</f>
        <v>#N/A</v>
      </c>
      <c r="G784" s="29" t="s">
        <v>3503</v>
      </c>
      <c r="H784" s="29" t="s">
        <v>3504</v>
      </c>
      <c r="I784" s="256" t="s">
        <v>3505</v>
      </c>
      <c r="J784" s="256" t="s">
        <v>3506</v>
      </c>
      <c r="K784" s="29" t="s">
        <v>3507</v>
      </c>
      <c r="L784" s="250">
        <v>20</v>
      </c>
      <c r="M784" s="251"/>
    </row>
    <row r="785" ht="31" spans="1:13">
      <c r="A785" s="248" t="s">
        <v>4175</v>
      </c>
      <c r="B785" s="45" t="s">
        <v>4174</v>
      </c>
      <c r="C785" s="249" t="e">
        <f>VLOOKUP(D785,#REF!,2,0)</f>
        <v>#REF!</v>
      </c>
      <c r="D785" s="255" t="s">
        <v>3549</v>
      </c>
      <c r="E785" s="18" t="e">
        <f>VLOOKUP(C785,数据集标准分类!E:F,2,0)</f>
        <v>#REF!</v>
      </c>
      <c r="F785" s="29" t="e">
        <f>VLOOKUP(D785,数据集标准分类!G:H,2,0)</f>
        <v>#N/A</v>
      </c>
      <c r="G785" s="29" t="s">
        <v>3560</v>
      </c>
      <c r="H785" s="29" t="s">
        <v>3561</v>
      </c>
      <c r="I785" s="29" t="s">
        <v>3562</v>
      </c>
      <c r="J785" s="29" t="s">
        <v>3563</v>
      </c>
      <c r="K785" s="29" t="s">
        <v>3564</v>
      </c>
      <c r="L785" s="250">
        <v>21</v>
      </c>
      <c r="M785" s="251"/>
    </row>
    <row r="786" ht="31" spans="1:13">
      <c r="A786" s="248" t="s">
        <v>4175</v>
      </c>
      <c r="B786" s="45" t="s">
        <v>4174</v>
      </c>
      <c r="C786" s="249" t="e">
        <f>VLOOKUP(D786,#REF!,2,0)</f>
        <v>#REF!</v>
      </c>
      <c r="D786" s="255" t="s">
        <v>3549</v>
      </c>
      <c r="E786" s="18" t="e">
        <f>VLOOKUP(C786,数据集标准分类!E:F,2,0)</f>
        <v>#REF!</v>
      </c>
      <c r="F786" s="29" t="e">
        <f>VLOOKUP(D786,数据集标准分类!G:H,2,0)</f>
        <v>#N/A</v>
      </c>
      <c r="G786" s="29" t="s">
        <v>2069</v>
      </c>
      <c r="H786" s="29" t="s">
        <v>2070</v>
      </c>
      <c r="I786" s="262" t="s">
        <v>2071</v>
      </c>
      <c r="J786" s="262" t="s">
        <v>2072</v>
      </c>
      <c r="K786" s="29" t="s">
        <v>2073</v>
      </c>
      <c r="L786" s="250">
        <v>22</v>
      </c>
      <c r="M786" s="251"/>
    </row>
    <row r="787" ht="31" spans="1:13">
      <c r="A787" s="248" t="s">
        <v>4175</v>
      </c>
      <c r="B787" s="45" t="s">
        <v>4174</v>
      </c>
      <c r="C787" s="249" t="e">
        <f>VLOOKUP(D787,#REF!,2,0)</f>
        <v>#REF!</v>
      </c>
      <c r="D787" s="255" t="s">
        <v>3549</v>
      </c>
      <c r="E787" s="18" t="e">
        <f>VLOOKUP(C787,数据集标准分类!E:F,2,0)</f>
        <v>#REF!</v>
      </c>
      <c r="F787" s="29" t="e">
        <f>VLOOKUP(D787,数据集标准分类!G:H,2,0)</f>
        <v>#N/A</v>
      </c>
      <c r="G787" s="29" t="s">
        <v>3565</v>
      </c>
      <c r="H787" s="29" t="s">
        <v>3566</v>
      </c>
      <c r="I787" s="256" t="s">
        <v>3567</v>
      </c>
      <c r="J787" s="256" t="s">
        <v>3568</v>
      </c>
      <c r="K787" s="29" t="s">
        <v>3569</v>
      </c>
      <c r="L787" s="250">
        <v>23</v>
      </c>
      <c r="M787" s="251"/>
    </row>
    <row r="788" ht="31" spans="1:13">
      <c r="A788" s="248" t="s">
        <v>4175</v>
      </c>
      <c r="B788" s="45" t="s">
        <v>4174</v>
      </c>
      <c r="C788" s="249" t="e">
        <f>VLOOKUP(D788,#REF!,2,0)</f>
        <v>#REF!</v>
      </c>
      <c r="D788" s="255" t="s">
        <v>3549</v>
      </c>
      <c r="E788" s="18" t="e">
        <f>VLOOKUP(C788,数据集标准分类!E:F,2,0)</f>
        <v>#REF!</v>
      </c>
      <c r="F788" s="29" t="e">
        <f>VLOOKUP(D788,数据集标准分类!G:H,2,0)</f>
        <v>#N/A</v>
      </c>
      <c r="G788" s="29" t="s">
        <v>3570</v>
      </c>
      <c r="H788" s="29" t="s">
        <v>3571</v>
      </c>
      <c r="I788" s="256" t="s">
        <v>3572</v>
      </c>
      <c r="J788" s="256" t="s">
        <v>3573</v>
      </c>
      <c r="K788" s="29" t="s">
        <v>3574</v>
      </c>
      <c r="L788" s="250">
        <v>24</v>
      </c>
      <c r="M788" s="251"/>
    </row>
    <row r="789" ht="16.8" spans="1:13">
      <c r="A789" s="248" t="s">
        <v>4175</v>
      </c>
      <c r="B789" s="45" t="s">
        <v>4174</v>
      </c>
      <c r="C789" s="249" t="e">
        <f>VLOOKUP(D789,#REF!,2,0)</f>
        <v>#REF!</v>
      </c>
      <c r="D789" s="255" t="s">
        <v>3549</v>
      </c>
      <c r="E789" s="18" t="e">
        <f>VLOOKUP(C789,数据集标准分类!E:F,2,0)</f>
        <v>#REF!</v>
      </c>
      <c r="F789" s="29" t="e">
        <f>VLOOKUP(D789,数据集标准分类!G:H,2,0)</f>
        <v>#N/A</v>
      </c>
      <c r="G789" s="29" t="s">
        <v>3575</v>
      </c>
      <c r="H789" s="29" t="s">
        <v>3576</v>
      </c>
      <c r="I789" s="256" t="s">
        <v>3577</v>
      </c>
      <c r="J789" s="256" t="s">
        <v>3578</v>
      </c>
      <c r="K789" s="29" t="s">
        <v>3579</v>
      </c>
      <c r="L789" s="250">
        <v>25</v>
      </c>
      <c r="M789" s="251"/>
    </row>
    <row r="790" ht="31" spans="1:13">
      <c r="A790" s="248" t="s">
        <v>4175</v>
      </c>
      <c r="B790" s="45" t="s">
        <v>4174</v>
      </c>
      <c r="C790" s="249" t="e">
        <f>VLOOKUP(D790,#REF!,2,0)</f>
        <v>#REF!</v>
      </c>
      <c r="D790" s="255" t="s">
        <v>3549</v>
      </c>
      <c r="E790" s="18" t="e">
        <f>VLOOKUP(C790,数据集标准分类!E:F,2,0)</f>
        <v>#REF!</v>
      </c>
      <c r="F790" s="29" t="e">
        <f>VLOOKUP(D790,数据集标准分类!G:H,2,0)</f>
        <v>#N/A</v>
      </c>
      <c r="G790" s="29" t="s">
        <v>3580</v>
      </c>
      <c r="H790" s="29" t="s">
        <v>3581</v>
      </c>
      <c r="I790" s="256" t="s">
        <v>3582</v>
      </c>
      <c r="J790" s="256" t="s">
        <v>3583</v>
      </c>
      <c r="K790" s="29" t="s">
        <v>3584</v>
      </c>
      <c r="L790" s="250">
        <v>26</v>
      </c>
      <c r="M790" s="251"/>
    </row>
    <row r="791" ht="31" spans="1:13">
      <c r="A791" s="248" t="s">
        <v>4175</v>
      </c>
      <c r="B791" s="45" t="s">
        <v>4174</v>
      </c>
      <c r="C791" s="249" t="e">
        <f>VLOOKUP(D791,#REF!,2,0)</f>
        <v>#REF!</v>
      </c>
      <c r="D791" s="255" t="s">
        <v>3549</v>
      </c>
      <c r="E791" s="18" t="e">
        <f>VLOOKUP(C791,数据集标准分类!E:F,2,0)</f>
        <v>#REF!</v>
      </c>
      <c r="F791" s="29" t="e">
        <f>VLOOKUP(D791,数据集标准分类!G:H,2,0)</f>
        <v>#N/A</v>
      </c>
      <c r="G791" s="29" t="s">
        <v>3585</v>
      </c>
      <c r="H791" s="29" t="s">
        <v>3586</v>
      </c>
      <c r="I791" s="256" t="s">
        <v>3587</v>
      </c>
      <c r="J791" s="256" t="s">
        <v>3588</v>
      </c>
      <c r="K791" s="29" t="s">
        <v>3589</v>
      </c>
      <c r="L791" s="250">
        <v>27</v>
      </c>
      <c r="M791" s="251"/>
    </row>
    <row r="792" ht="31" spans="1:13">
      <c r="A792" s="248" t="s">
        <v>4175</v>
      </c>
      <c r="B792" s="45" t="s">
        <v>4174</v>
      </c>
      <c r="C792" s="249" t="e">
        <f>VLOOKUP(D792,#REF!,2,0)</f>
        <v>#REF!</v>
      </c>
      <c r="D792" s="255" t="s">
        <v>3549</v>
      </c>
      <c r="E792" s="18" t="e">
        <f>VLOOKUP(C792,数据集标准分类!E:F,2,0)</f>
        <v>#REF!</v>
      </c>
      <c r="F792" s="29" t="e">
        <f>VLOOKUP(D792,数据集标准分类!G:H,2,0)</f>
        <v>#N/A</v>
      </c>
      <c r="G792" s="29" t="s">
        <v>3590</v>
      </c>
      <c r="H792" s="29" t="s">
        <v>3591</v>
      </c>
      <c r="I792" s="256" t="s">
        <v>3592</v>
      </c>
      <c r="J792" s="256" t="s">
        <v>3593</v>
      </c>
      <c r="K792" s="29" t="s">
        <v>3594</v>
      </c>
      <c r="L792" s="250">
        <v>28</v>
      </c>
      <c r="M792" s="251"/>
    </row>
    <row r="793" ht="31" spans="1:13">
      <c r="A793" s="248" t="s">
        <v>4175</v>
      </c>
      <c r="B793" s="45" t="s">
        <v>4174</v>
      </c>
      <c r="C793" s="249" t="e">
        <f>VLOOKUP(D793,#REF!,2,0)</f>
        <v>#REF!</v>
      </c>
      <c r="D793" s="255" t="s">
        <v>3549</v>
      </c>
      <c r="E793" s="18" t="e">
        <f>VLOOKUP(C793,数据集标准分类!E:F,2,0)</f>
        <v>#REF!</v>
      </c>
      <c r="F793" s="29" t="e">
        <f>VLOOKUP(D793,数据集标准分类!G:H,2,0)</f>
        <v>#N/A</v>
      </c>
      <c r="G793" s="29" t="s">
        <v>3595</v>
      </c>
      <c r="H793" s="29" t="s">
        <v>3596</v>
      </c>
      <c r="I793" s="256" t="s">
        <v>3597</v>
      </c>
      <c r="J793" s="256" t="s">
        <v>3598</v>
      </c>
      <c r="K793" s="29" t="s">
        <v>3599</v>
      </c>
      <c r="L793" s="250">
        <v>29</v>
      </c>
      <c r="M793" s="251"/>
    </row>
    <row r="794" ht="76" spans="1:13">
      <c r="A794" s="248" t="s">
        <v>4175</v>
      </c>
      <c r="B794" s="45" t="s">
        <v>4174</v>
      </c>
      <c r="C794" s="249" t="e">
        <f>VLOOKUP(D794,#REF!,2,0)</f>
        <v>#REF!</v>
      </c>
      <c r="D794" s="255" t="s">
        <v>3549</v>
      </c>
      <c r="E794" s="18" t="e">
        <f>VLOOKUP(C794,数据集标准分类!E:F,2,0)</f>
        <v>#REF!</v>
      </c>
      <c r="F794" s="29" t="e">
        <f>VLOOKUP(D794,数据集标准分类!G:H,2,0)</f>
        <v>#N/A</v>
      </c>
      <c r="G794" s="29" t="s">
        <v>3600</v>
      </c>
      <c r="H794" s="29" t="s">
        <v>3601</v>
      </c>
      <c r="I794" s="256" t="s">
        <v>3602</v>
      </c>
      <c r="J794" s="256" t="s">
        <v>3603</v>
      </c>
      <c r="K794" s="29" t="s">
        <v>3604</v>
      </c>
      <c r="L794" s="250">
        <v>30</v>
      </c>
      <c r="M794" s="251"/>
    </row>
    <row r="795" ht="31" spans="1:13">
      <c r="A795" s="248" t="s">
        <v>4175</v>
      </c>
      <c r="B795" s="45" t="s">
        <v>4174</v>
      </c>
      <c r="C795" s="249" t="e">
        <f>VLOOKUP(D795,#REF!,2,0)</f>
        <v>#REF!</v>
      </c>
      <c r="D795" s="255" t="s">
        <v>3605</v>
      </c>
      <c r="E795" s="18" t="e">
        <f>VLOOKUP(C795,数据集标准分类!E:F,2,0)</f>
        <v>#REF!</v>
      </c>
      <c r="F795" s="29" t="e">
        <f>VLOOKUP(D795,数据集标准分类!G:H,2,0)</f>
        <v>#N/A</v>
      </c>
      <c r="G795" s="29" t="s">
        <v>569</v>
      </c>
      <c r="H795" s="29" t="s">
        <v>570</v>
      </c>
      <c r="I795" s="256" t="s">
        <v>571</v>
      </c>
      <c r="J795" s="256" t="s">
        <v>572</v>
      </c>
      <c r="K795" s="29" t="s">
        <v>1225</v>
      </c>
      <c r="L795" s="250">
        <v>1</v>
      </c>
      <c r="M795" s="251"/>
    </row>
    <row r="796" ht="31" spans="1:13">
      <c r="A796" s="248" t="s">
        <v>4175</v>
      </c>
      <c r="B796" s="45" t="s">
        <v>4174</v>
      </c>
      <c r="C796" s="249" t="e">
        <f>VLOOKUP(D796,#REF!,2,0)</f>
        <v>#REF!</v>
      </c>
      <c r="D796" s="255" t="s">
        <v>3605</v>
      </c>
      <c r="E796" s="18" t="e">
        <f>VLOOKUP(C796,数据集标准分类!E:F,2,0)</f>
        <v>#REF!</v>
      </c>
      <c r="F796" s="29" t="e">
        <f>VLOOKUP(D796,数据集标准分类!G:H,2,0)</f>
        <v>#N/A</v>
      </c>
      <c r="G796" s="29" t="s">
        <v>3436</v>
      </c>
      <c r="H796" s="29" t="s">
        <v>3437</v>
      </c>
      <c r="I796" s="256" t="s">
        <v>3438</v>
      </c>
      <c r="J796" s="256" t="s">
        <v>3439</v>
      </c>
      <c r="K796" s="29" t="s">
        <v>3440</v>
      </c>
      <c r="L796" s="250">
        <v>2</v>
      </c>
      <c r="M796" s="251"/>
    </row>
    <row r="797" ht="31" spans="1:13">
      <c r="A797" s="248" t="s">
        <v>4175</v>
      </c>
      <c r="B797" s="45" t="s">
        <v>4174</v>
      </c>
      <c r="C797" s="249" t="e">
        <f>VLOOKUP(D797,#REF!,2,0)</f>
        <v>#REF!</v>
      </c>
      <c r="D797" s="255" t="s">
        <v>3605</v>
      </c>
      <c r="E797" s="18" t="e">
        <f>VLOOKUP(C797,数据集标准分类!E:F,2,0)</f>
        <v>#REF!</v>
      </c>
      <c r="F797" s="29" t="e">
        <f>VLOOKUP(D797,数据集标准分类!G:H,2,0)</f>
        <v>#N/A</v>
      </c>
      <c r="G797" s="29" t="s">
        <v>3441</v>
      </c>
      <c r="H797" s="29" t="s">
        <v>3442</v>
      </c>
      <c r="I797" s="262" t="s">
        <v>3443</v>
      </c>
      <c r="J797" s="262" t="s">
        <v>3444</v>
      </c>
      <c r="K797" s="29" t="s">
        <v>3445</v>
      </c>
      <c r="L797" s="250">
        <v>3</v>
      </c>
      <c r="M797" s="251"/>
    </row>
    <row r="798" ht="31" spans="1:13">
      <c r="A798" s="248" t="s">
        <v>4175</v>
      </c>
      <c r="B798" s="45" t="s">
        <v>4174</v>
      </c>
      <c r="C798" s="249" t="e">
        <f>VLOOKUP(D798,#REF!,2,0)</f>
        <v>#REF!</v>
      </c>
      <c r="D798" s="255" t="s">
        <v>3605</v>
      </c>
      <c r="E798" s="18" t="e">
        <f>VLOOKUP(C798,数据集标准分类!E:F,2,0)</f>
        <v>#REF!</v>
      </c>
      <c r="F798" s="29" t="e">
        <f>VLOOKUP(D798,数据集标准分类!G:H,2,0)</f>
        <v>#N/A</v>
      </c>
      <c r="G798" s="29" t="s">
        <v>508</v>
      </c>
      <c r="H798" s="29" t="s">
        <v>509</v>
      </c>
      <c r="I798" s="256" t="s">
        <v>510</v>
      </c>
      <c r="J798" s="256" t="s">
        <v>511</v>
      </c>
      <c r="K798" s="29" t="s">
        <v>116</v>
      </c>
      <c r="L798" s="250">
        <v>4</v>
      </c>
      <c r="M798" s="251"/>
    </row>
    <row r="799" ht="31" spans="1:13">
      <c r="A799" s="248" t="s">
        <v>4175</v>
      </c>
      <c r="B799" s="45" t="s">
        <v>4174</v>
      </c>
      <c r="C799" s="249" t="e">
        <f>VLOOKUP(D799,#REF!,2,0)</f>
        <v>#REF!</v>
      </c>
      <c r="D799" s="255" t="s">
        <v>3605</v>
      </c>
      <c r="E799" s="18" t="e">
        <f>VLOOKUP(C799,数据集标准分类!E:F,2,0)</f>
        <v>#REF!</v>
      </c>
      <c r="F799" s="29" t="e">
        <f>VLOOKUP(D799,数据集标准分类!G:H,2,0)</f>
        <v>#N/A</v>
      </c>
      <c r="G799" s="29" t="s">
        <v>172</v>
      </c>
      <c r="H799" s="29" t="s">
        <v>173</v>
      </c>
      <c r="I799" s="256" t="s">
        <v>174</v>
      </c>
      <c r="J799" s="256" t="s">
        <v>175</v>
      </c>
      <c r="K799" s="29" t="s">
        <v>1245</v>
      </c>
      <c r="L799" s="250">
        <v>5</v>
      </c>
      <c r="M799" s="251"/>
    </row>
    <row r="800" ht="31" spans="1:13">
      <c r="A800" s="248" t="s">
        <v>4175</v>
      </c>
      <c r="B800" s="45" t="s">
        <v>4174</v>
      </c>
      <c r="C800" s="249" t="e">
        <f>VLOOKUP(D800,#REF!,2,0)</f>
        <v>#REF!</v>
      </c>
      <c r="D800" s="255" t="s">
        <v>3605</v>
      </c>
      <c r="E800" s="18" t="e">
        <f>VLOOKUP(C800,数据集标准分类!E:F,2,0)</f>
        <v>#REF!</v>
      </c>
      <c r="F800" s="29" t="e">
        <f>VLOOKUP(D800,数据集标准分类!G:H,2,0)</f>
        <v>#N/A</v>
      </c>
      <c r="G800" s="29" t="s">
        <v>711</v>
      </c>
      <c r="H800" s="29" t="s">
        <v>712</v>
      </c>
      <c r="I800" s="256" t="s">
        <v>712</v>
      </c>
      <c r="J800" s="256" t="s">
        <v>713</v>
      </c>
      <c r="K800" s="29" t="s">
        <v>714</v>
      </c>
      <c r="L800" s="250">
        <v>6</v>
      </c>
      <c r="M800" s="251"/>
    </row>
    <row r="801" ht="31" spans="1:13">
      <c r="A801" s="248" t="s">
        <v>4175</v>
      </c>
      <c r="B801" s="45" t="s">
        <v>4174</v>
      </c>
      <c r="C801" s="249" t="e">
        <f>VLOOKUP(D801,#REF!,2,0)</f>
        <v>#REF!</v>
      </c>
      <c r="D801" s="255" t="s">
        <v>3605</v>
      </c>
      <c r="E801" s="18" t="e">
        <f>VLOOKUP(C801,数据集标准分类!E:F,2,0)</f>
        <v>#REF!</v>
      </c>
      <c r="F801" s="29" t="e">
        <f>VLOOKUP(D801,数据集标准分类!G:H,2,0)</f>
        <v>#N/A</v>
      </c>
      <c r="G801" s="29" t="s">
        <v>684</v>
      </c>
      <c r="H801" s="29" t="s">
        <v>685</v>
      </c>
      <c r="I801" s="256" t="s">
        <v>686</v>
      </c>
      <c r="J801" s="256" t="s">
        <v>687</v>
      </c>
      <c r="K801" s="29" t="s">
        <v>688</v>
      </c>
      <c r="L801" s="250">
        <v>7</v>
      </c>
      <c r="M801" s="251"/>
    </row>
    <row r="802" ht="31" spans="1:13">
      <c r="A802" s="248" t="s">
        <v>4175</v>
      </c>
      <c r="B802" s="45" t="s">
        <v>4174</v>
      </c>
      <c r="C802" s="249" t="e">
        <f>VLOOKUP(D802,#REF!,2,0)</f>
        <v>#REF!</v>
      </c>
      <c r="D802" s="255" t="s">
        <v>3605</v>
      </c>
      <c r="E802" s="18" t="e">
        <f>VLOOKUP(C802,数据集标准分类!E:F,2,0)</f>
        <v>#REF!</v>
      </c>
      <c r="F802" s="29" t="e">
        <f>VLOOKUP(D802,数据集标准分类!G:H,2,0)</f>
        <v>#N/A</v>
      </c>
      <c r="G802" s="29" t="s">
        <v>1949</v>
      </c>
      <c r="H802" s="29" t="s">
        <v>1950</v>
      </c>
      <c r="I802" s="256" t="s">
        <v>1951</v>
      </c>
      <c r="J802" s="256" t="s">
        <v>1952</v>
      </c>
      <c r="K802" s="29" t="s">
        <v>2056</v>
      </c>
      <c r="L802" s="250">
        <v>8</v>
      </c>
      <c r="M802" s="251"/>
    </row>
    <row r="803" ht="31" spans="1:13">
      <c r="A803" s="248" t="s">
        <v>4175</v>
      </c>
      <c r="B803" s="45" t="s">
        <v>4174</v>
      </c>
      <c r="C803" s="249" t="e">
        <f>VLOOKUP(D803,#REF!,2,0)</f>
        <v>#REF!</v>
      </c>
      <c r="D803" s="255" t="s">
        <v>3605</v>
      </c>
      <c r="E803" s="18" t="e">
        <f>VLOOKUP(C803,数据集标准分类!E:F,2,0)</f>
        <v>#REF!</v>
      </c>
      <c r="F803" s="29" t="e">
        <f>VLOOKUP(D803,数据集标准分类!G:H,2,0)</f>
        <v>#N/A</v>
      </c>
      <c r="G803" s="29" t="s">
        <v>694</v>
      </c>
      <c r="H803" s="29" t="s">
        <v>695</v>
      </c>
      <c r="I803" s="256" t="s">
        <v>696</v>
      </c>
      <c r="J803" s="256" t="s">
        <v>697</v>
      </c>
      <c r="K803" s="29" t="s">
        <v>2057</v>
      </c>
      <c r="L803" s="250">
        <v>9</v>
      </c>
      <c r="M803" s="251"/>
    </row>
    <row r="804" ht="31" spans="1:13">
      <c r="A804" s="248" t="s">
        <v>4175</v>
      </c>
      <c r="B804" s="45" t="s">
        <v>4174</v>
      </c>
      <c r="C804" s="249" t="e">
        <f>VLOOKUP(D804,#REF!,2,0)</f>
        <v>#REF!</v>
      </c>
      <c r="D804" s="255" t="s">
        <v>3605</v>
      </c>
      <c r="E804" s="18" t="e">
        <f>VLOOKUP(C804,数据集标准分类!E:F,2,0)</f>
        <v>#REF!</v>
      </c>
      <c r="F804" s="29" t="e">
        <f>VLOOKUP(D804,数据集标准分类!G:H,2,0)</f>
        <v>#N/A</v>
      </c>
      <c r="G804" s="29" t="s">
        <v>699</v>
      </c>
      <c r="H804" s="29" t="s">
        <v>700</v>
      </c>
      <c r="I804" s="256" t="s">
        <v>700</v>
      </c>
      <c r="J804" s="256" t="s">
        <v>701</v>
      </c>
      <c r="K804" s="29" t="s">
        <v>702</v>
      </c>
      <c r="L804" s="250">
        <v>10</v>
      </c>
      <c r="M804" s="251"/>
    </row>
    <row r="805" ht="31" spans="1:13">
      <c r="A805" s="248" t="s">
        <v>4175</v>
      </c>
      <c r="B805" s="45" t="s">
        <v>4174</v>
      </c>
      <c r="C805" s="249" t="e">
        <f>VLOOKUP(D805,#REF!,2,0)</f>
        <v>#REF!</v>
      </c>
      <c r="D805" s="255" t="s">
        <v>3605</v>
      </c>
      <c r="E805" s="18" t="e">
        <f>VLOOKUP(C805,数据集标准分类!E:F,2,0)</f>
        <v>#REF!</v>
      </c>
      <c r="F805" s="29" t="e">
        <f>VLOOKUP(D805,数据集标准分类!G:H,2,0)</f>
        <v>#N/A</v>
      </c>
      <c r="G805" s="29" t="s">
        <v>703</v>
      </c>
      <c r="H805" s="29" t="s">
        <v>704</v>
      </c>
      <c r="I805" s="262" t="s">
        <v>704</v>
      </c>
      <c r="J805" s="262" t="s">
        <v>705</v>
      </c>
      <c r="K805" s="29" t="s">
        <v>706</v>
      </c>
      <c r="L805" s="250">
        <v>11</v>
      </c>
      <c r="M805" s="251"/>
    </row>
    <row r="806" ht="46" spans="1:13">
      <c r="A806" s="248" t="s">
        <v>4175</v>
      </c>
      <c r="B806" s="45" t="s">
        <v>4174</v>
      </c>
      <c r="C806" s="249" t="e">
        <f>VLOOKUP(D806,#REF!,2,0)</f>
        <v>#REF!</v>
      </c>
      <c r="D806" s="255" t="s">
        <v>3605</v>
      </c>
      <c r="E806" s="18" t="e">
        <f>VLOOKUP(C806,数据集标准分类!E:F,2,0)</f>
        <v>#REF!</v>
      </c>
      <c r="F806" s="29" t="e">
        <f>VLOOKUP(D806,数据集标准分类!G:H,2,0)</f>
        <v>#N/A</v>
      </c>
      <c r="G806" s="29" t="s">
        <v>3606</v>
      </c>
      <c r="H806" s="29" t="s">
        <v>3607</v>
      </c>
      <c r="I806" s="256" t="s">
        <v>3608</v>
      </c>
      <c r="J806" s="256" t="s">
        <v>3609</v>
      </c>
      <c r="K806" s="29" t="s">
        <v>3610</v>
      </c>
      <c r="L806" s="250">
        <v>12</v>
      </c>
      <c r="M806" s="251"/>
    </row>
    <row r="807" ht="31" spans="1:13">
      <c r="A807" s="248" t="s">
        <v>4175</v>
      </c>
      <c r="B807" s="45" t="s">
        <v>4174</v>
      </c>
      <c r="C807" s="249" t="e">
        <f>VLOOKUP(D807,#REF!,2,0)</f>
        <v>#REF!</v>
      </c>
      <c r="D807" s="255" t="s">
        <v>3605</v>
      </c>
      <c r="E807" s="18" t="e">
        <f>VLOOKUP(C807,数据集标准分类!E:F,2,0)</f>
        <v>#REF!</v>
      </c>
      <c r="F807" s="29" t="e">
        <f>VLOOKUP(D807,数据集标准分类!G:H,2,0)</f>
        <v>#N/A</v>
      </c>
      <c r="G807" s="29" t="s">
        <v>3260</v>
      </c>
      <c r="H807" s="29" t="s">
        <v>3261</v>
      </c>
      <c r="I807" s="256" t="s">
        <v>3262</v>
      </c>
      <c r="J807" s="256" t="s">
        <v>3263</v>
      </c>
      <c r="K807" s="29" t="s">
        <v>3264</v>
      </c>
      <c r="L807" s="250">
        <v>13</v>
      </c>
      <c r="M807" s="251"/>
    </row>
    <row r="808" ht="92" spans="1:13">
      <c r="A808" s="248" t="s">
        <v>4175</v>
      </c>
      <c r="B808" s="45" t="s">
        <v>4174</v>
      </c>
      <c r="C808" s="249" t="e">
        <f>VLOOKUP(D808,#REF!,2,0)</f>
        <v>#REF!</v>
      </c>
      <c r="D808" s="255" t="s">
        <v>3605</v>
      </c>
      <c r="E808" s="18" t="e">
        <f>VLOOKUP(C808,数据集标准分类!E:F,2,0)</f>
        <v>#REF!</v>
      </c>
      <c r="F808" s="29" t="e">
        <f>VLOOKUP(D808,数据集标准分类!G:H,2,0)</f>
        <v>#N/A</v>
      </c>
      <c r="G808" s="29" t="s">
        <v>3229</v>
      </c>
      <c r="H808" s="29" t="s">
        <v>3230</v>
      </c>
      <c r="I808" s="256" t="s">
        <v>3231</v>
      </c>
      <c r="J808" s="256" t="s">
        <v>3232</v>
      </c>
      <c r="K808" s="29" t="s">
        <v>3233</v>
      </c>
      <c r="L808" s="250">
        <v>14</v>
      </c>
      <c r="M808" s="251"/>
    </row>
    <row r="809" ht="31" spans="1:13">
      <c r="A809" s="248" t="s">
        <v>4175</v>
      </c>
      <c r="B809" s="45" t="s">
        <v>4174</v>
      </c>
      <c r="C809" s="249" t="e">
        <f>VLOOKUP(D809,#REF!,2,0)</f>
        <v>#REF!</v>
      </c>
      <c r="D809" s="255" t="s">
        <v>3605</v>
      </c>
      <c r="E809" s="18" t="e">
        <f>VLOOKUP(C809,数据集标准分类!E:F,2,0)</f>
        <v>#REF!</v>
      </c>
      <c r="F809" s="29" t="e">
        <f>VLOOKUP(D809,数据集标准分类!G:H,2,0)</f>
        <v>#N/A</v>
      </c>
      <c r="G809" s="29" t="s">
        <v>784</v>
      </c>
      <c r="H809" s="29" t="s">
        <v>785</v>
      </c>
      <c r="I809" s="256" t="s">
        <v>786</v>
      </c>
      <c r="J809" s="256" t="s">
        <v>787</v>
      </c>
      <c r="K809" s="29" t="s">
        <v>3234</v>
      </c>
      <c r="L809" s="250">
        <v>15</v>
      </c>
      <c r="M809" s="251"/>
    </row>
    <row r="810" ht="16.8" spans="1:13">
      <c r="A810" s="248" t="s">
        <v>4175</v>
      </c>
      <c r="B810" s="45" t="s">
        <v>4174</v>
      </c>
      <c r="C810" s="249" t="e">
        <f>VLOOKUP(D810,#REF!,2,0)</f>
        <v>#REF!</v>
      </c>
      <c r="D810" s="255" t="s">
        <v>3605</v>
      </c>
      <c r="E810" s="18" t="e">
        <f>VLOOKUP(C810,数据集标准分类!E:F,2,0)</f>
        <v>#REF!</v>
      </c>
      <c r="F810" s="29" t="e">
        <f>VLOOKUP(D810,数据集标准分类!G:H,2,0)</f>
        <v>#N/A</v>
      </c>
      <c r="G810" s="29" t="s">
        <v>3493</v>
      </c>
      <c r="H810" s="29" t="s">
        <v>3494</v>
      </c>
      <c r="I810" s="256" t="s">
        <v>3495</v>
      </c>
      <c r="J810" s="256" t="s">
        <v>3496</v>
      </c>
      <c r="K810" s="29" t="s">
        <v>3497</v>
      </c>
      <c r="L810" s="250">
        <v>16</v>
      </c>
      <c r="M810" s="251"/>
    </row>
    <row r="811" ht="16.8" spans="1:13">
      <c r="A811" s="248" t="s">
        <v>4175</v>
      </c>
      <c r="B811" s="45" t="s">
        <v>4174</v>
      </c>
      <c r="C811" s="249" t="e">
        <f>VLOOKUP(D811,#REF!,2,0)</f>
        <v>#REF!</v>
      </c>
      <c r="D811" s="255" t="s">
        <v>3605</v>
      </c>
      <c r="E811" s="18" t="e">
        <f>VLOOKUP(C811,数据集标准分类!E:F,2,0)</f>
        <v>#REF!</v>
      </c>
      <c r="F811" s="29" t="e">
        <f>VLOOKUP(D811,数据集标准分类!G:H,2,0)</f>
        <v>#N/A</v>
      </c>
      <c r="G811" s="29" t="s">
        <v>3498</v>
      </c>
      <c r="H811" s="29" t="s">
        <v>3499</v>
      </c>
      <c r="I811" s="256" t="s">
        <v>3500</v>
      </c>
      <c r="J811" s="256" t="s">
        <v>3501</v>
      </c>
      <c r="K811" s="29" t="s">
        <v>3502</v>
      </c>
      <c r="L811" s="250">
        <v>17</v>
      </c>
      <c r="M811" s="251"/>
    </row>
    <row r="812" ht="31" spans="1:13">
      <c r="A812" s="248" t="s">
        <v>4175</v>
      </c>
      <c r="B812" s="45" t="s">
        <v>4174</v>
      </c>
      <c r="C812" s="249" t="e">
        <f>VLOOKUP(D812,#REF!,2,0)</f>
        <v>#REF!</v>
      </c>
      <c r="D812" s="255" t="s">
        <v>3605</v>
      </c>
      <c r="E812" s="18" t="e">
        <f>VLOOKUP(C812,数据集标准分类!E:F,2,0)</f>
        <v>#REF!</v>
      </c>
      <c r="F812" s="29" t="e">
        <f>VLOOKUP(D812,数据集标准分类!G:H,2,0)</f>
        <v>#N/A</v>
      </c>
      <c r="G812" s="29" t="s">
        <v>3503</v>
      </c>
      <c r="H812" s="29" t="s">
        <v>3504</v>
      </c>
      <c r="I812" s="256" t="s">
        <v>3505</v>
      </c>
      <c r="J812" s="256" t="s">
        <v>3506</v>
      </c>
      <c r="K812" s="29" t="s">
        <v>3507</v>
      </c>
      <c r="L812" s="250">
        <v>18</v>
      </c>
      <c r="M812" s="251"/>
    </row>
    <row r="813" ht="16.8" spans="1:13">
      <c r="A813" s="248" t="s">
        <v>4175</v>
      </c>
      <c r="B813" s="45" t="s">
        <v>4174</v>
      </c>
      <c r="C813" s="249" t="e">
        <f>VLOOKUP(D813,#REF!,2,0)</f>
        <v>#REF!</v>
      </c>
      <c r="D813" s="255" t="s">
        <v>3605</v>
      </c>
      <c r="E813" s="18" t="e">
        <f>VLOOKUP(C813,数据集标准分类!E:F,2,0)</f>
        <v>#REF!</v>
      </c>
      <c r="F813" s="29" t="e">
        <f>VLOOKUP(D813,数据集标准分类!G:H,2,0)</f>
        <v>#N/A</v>
      </c>
      <c r="G813" s="29" t="s">
        <v>3611</v>
      </c>
      <c r="H813" s="29" t="s">
        <v>3612</v>
      </c>
      <c r="I813" s="262" t="s">
        <v>3613</v>
      </c>
      <c r="J813" s="262" t="s">
        <v>3614</v>
      </c>
      <c r="K813" s="29" t="s">
        <v>3615</v>
      </c>
      <c r="L813" s="250">
        <v>19</v>
      </c>
      <c r="M813" s="251"/>
    </row>
    <row r="814" ht="31" spans="1:13">
      <c r="A814" s="248" t="s">
        <v>4175</v>
      </c>
      <c r="B814" s="45" t="s">
        <v>4174</v>
      </c>
      <c r="C814" s="249" t="e">
        <f>VLOOKUP(D814,#REF!,2,0)</f>
        <v>#REF!</v>
      </c>
      <c r="D814" s="263" t="s">
        <v>3211</v>
      </c>
      <c r="E814" s="18" t="e">
        <f>VLOOKUP(C814,数据集标准分类!E:F,2,0)</f>
        <v>#REF!</v>
      </c>
      <c r="F814" s="29" t="e">
        <f>VLOOKUP(D814,数据集标准分类!G:H,2,0)</f>
        <v>#N/A</v>
      </c>
      <c r="G814" s="29" t="s">
        <v>172</v>
      </c>
      <c r="H814" s="29" t="s">
        <v>173</v>
      </c>
      <c r="I814" s="29" t="s">
        <v>174</v>
      </c>
      <c r="J814" s="29" t="s">
        <v>175</v>
      </c>
      <c r="K814" s="29" t="s">
        <v>1245</v>
      </c>
      <c r="L814" s="250">
        <v>1</v>
      </c>
      <c r="M814" s="45"/>
    </row>
    <row r="815" ht="46" spans="1:13">
      <c r="A815" s="248" t="s">
        <v>4175</v>
      </c>
      <c r="B815" s="45" t="s">
        <v>4174</v>
      </c>
      <c r="C815" s="249" t="e">
        <f>VLOOKUP(D815,#REF!,2,0)</f>
        <v>#REF!</v>
      </c>
      <c r="D815" s="263" t="s">
        <v>3211</v>
      </c>
      <c r="E815" s="18" t="e">
        <f>VLOOKUP(C815,数据集标准分类!E:F,2,0)</f>
        <v>#REF!</v>
      </c>
      <c r="F815" s="29" t="e">
        <f>VLOOKUP(D815,数据集标准分类!G:H,2,0)</f>
        <v>#N/A</v>
      </c>
      <c r="G815" s="29" t="s">
        <v>152</v>
      </c>
      <c r="H815" s="29" t="s">
        <v>153</v>
      </c>
      <c r="I815" s="29" t="s">
        <v>154</v>
      </c>
      <c r="J815" s="29" t="s">
        <v>155</v>
      </c>
      <c r="K815" s="29" t="s">
        <v>156</v>
      </c>
      <c r="L815" s="250">
        <v>2</v>
      </c>
      <c r="M815" s="45"/>
    </row>
    <row r="816" ht="16.8" spans="1:13">
      <c r="A816" s="248" t="s">
        <v>4175</v>
      </c>
      <c r="B816" s="45" t="s">
        <v>4174</v>
      </c>
      <c r="C816" s="249" t="e">
        <f>VLOOKUP(D816,#REF!,2,0)</f>
        <v>#REF!</v>
      </c>
      <c r="D816" s="263" t="s">
        <v>3211</v>
      </c>
      <c r="E816" s="18" t="e">
        <f>VLOOKUP(C816,数据集标准分类!E:F,2,0)</f>
        <v>#REF!</v>
      </c>
      <c r="F816" s="29" t="e">
        <f>VLOOKUP(D816,数据集标准分类!G:H,2,0)</f>
        <v>#N/A</v>
      </c>
      <c r="G816" s="29" t="s">
        <v>574</v>
      </c>
      <c r="H816" s="29" t="s">
        <v>575</v>
      </c>
      <c r="I816" s="29" t="s">
        <v>576</v>
      </c>
      <c r="J816" s="29" t="s">
        <v>577</v>
      </c>
      <c r="K816" s="29" t="s">
        <v>3213</v>
      </c>
      <c r="L816" s="250">
        <v>3</v>
      </c>
      <c r="M816" s="45"/>
    </row>
    <row r="817" ht="31" spans="1:13">
      <c r="A817" s="248" t="s">
        <v>4175</v>
      </c>
      <c r="B817" s="45" t="s">
        <v>4174</v>
      </c>
      <c r="C817" s="249" t="e">
        <f>VLOOKUP(D817,#REF!,2,0)</f>
        <v>#REF!</v>
      </c>
      <c r="D817" s="263" t="s">
        <v>3211</v>
      </c>
      <c r="E817" s="18" t="e">
        <f>VLOOKUP(C817,数据集标准分类!E:F,2,0)</f>
        <v>#REF!</v>
      </c>
      <c r="F817" s="29" t="e">
        <f>VLOOKUP(D817,数据集标准分类!G:H,2,0)</f>
        <v>#N/A</v>
      </c>
      <c r="G817" s="29" t="s">
        <v>3214</v>
      </c>
      <c r="H817" s="29" t="s">
        <v>3215</v>
      </c>
      <c r="I817" s="29" t="s">
        <v>3216</v>
      </c>
      <c r="J817" s="29" t="s">
        <v>3217</v>
      </c>
      <c r="K817" s="29" t="s">
        <v>3218</v>
      </c>
      <c r="L817" s="250">
        <v>4</v>
      </c>
      <c r="M817" s="45"/>
    </row>
    <row r="818" ht="31" spans="1:13">
      <c r="A818" s="248" t="s">
        <v>4175</v>
      </c>
      <c r="B818" s="45" t="s">
        <v>4174</v>
      </c>
      <c r="C818" s="249" t="e">
        <f>VLOOKUP(D818,#REF!,2,0)</f>
        <v>#REF!</v>
      </c>
      <c r="D818" s="263" t="s">
        <v>3211</v>
      </c>
      <c r="E818" s="18" t="e">
        <f>VLOOKUP(C818,数据集标准分类!E:F,2,0)</f>
        <v>#REF!</v>
      </c>
      <c r="F818" s="29" t="e">
        <f>VLOOKUP(D818,数据集标准分类!G:H,2,0)</f>
        <v>#N/A</v>
      </c>
      <c r="G818" s="29" t="s">
        <v>1394</v>
      </c>
      <c r="H818" s="29" t="s">
        <v>1395</v>
      </c>
      <c r="I818" s="29" t="s">
        <v>1396</v>
      </c>
      <c r="J818" s="29" t="s">
        <v>1397</v>
      </c>
      <c r="K818" s="29" t="s">
        <v>1106</v>
      </c>
      <c r="L818" s="250">
        <v>5</v>
      </c>
      <c r="M818" s="45"/>
    </row>
    <row r="819" ht="31" spans="1:13">
      <c r="A819" s="248" t="s">
        <v>4175</v>
      </c>
      <c r="B819" s="45" t="s">
        <v>4174</v>
      </c>
      <c r="C819" s="249" t="e">
        <f>VLOOKUP(D819,#REF!,2,0)</f>
        <v>#REF!</v>
      </c>
      <c r="D819" s="263" t="s">
        <v>3211</v>
      </c>
      <c r="E819" s="18" t="e">
        <f>VLOOKUP(C819,数据集标准分类!E:F,2,0)</f>
        <v>#REF!</v>
      </c>
      <c r="F819" s="29" t="e">
        <f>VLOOKUP(D819,数据集标准分类!G:H,2,0)</f>
        <v>#N/A</v>
      </c>
      <c r="G819" s="29" t="s">
        <v>694</v>
      </c>
      <c r="H819" s="29" t="s">
        <v>695</v>
      </c>
      <c r="I819" s="29" t="s">
        <v>696</v>
      </c>
      <c r="J819" s="29" t="s">
        <v>697</v>
      </c>
      <c r="K819" s="29" t="s">
        <v>2057</v>
      </c>
      <c r="L819" s="250">
        <v>6</v>
      </c>
      <c r="M819" s="45"/>
    </row>
    <row r="820" ht="31" spans="1:13">
      <c r="A820" s="248" t="s">
        <v>4175</v>
      </c>
      <c r="B820" s="45" t="s">
        <v>4174</v>
      </c>
      <c r="C820" s="249" t="e">
        <f>VLOOKUP(D820,#REF!,2,0)</f>
        <v>#REF!</v>
      </c>
      <c r="D820" s="263" t="s">
        <v>3211</v>
      </c>
      <c r="E820" s="18" t="e">
        <f>VLOOKUP(C820,数据集标准分类!E:F,2,0)</f>
        <v>#REF!</v>
      </c>
      <c r="F820" s="29" t="e">
        <f>VLOOKUP(D820,数据集标准分类!G:H,2,0)</f>
        <v>#N/A</v>
      </c>
      <c r="G820" s="29" t="s">
        <v>3219</v>
      </c>
      <c r="H820" s="29" t="s">
        <v>3220</v>
      </c>
      <c r="I820" s="29" t="s">
        <v>3221</v>
      </c>
      <c r="J820" s="29" t="s">
        <v>3222</v>
      </c>
      <c r="K820" s="29" t="s">
        <v>3223</v>
      </c>
      <c r="L820" s="250">
        <v>7</v>
      </c>
      <c r="M820" s="45"/>
    </row>
    <row r="821" ht="31" spans="1:13">
      <c r="A821" s="248" t="s">
        <v>4175</v>
      </c>
      <c r="B821" s="45" t="s">
        <v>4174</v>
      </c>
      <c r="C821" s="249" t="e">
        <f>VLOOKUP(D821,#REF!,2,0)</f>
        <v>#REF!</v>
      </c>
      <c r="D821" s="263" t="s">
        <v>3211</v>
      </c>
      <c r="E821" s="18" t="e">
        <f>VLOOKUP(C821,数据集标准分类!E:F,2,0)</f>
        <v>#REF!</v>
      </c>
      <c r="F821" s="29" t="e">
        <f>VLOOKUP(D821,数据集标准分类!G:H,2,0)</f>
        <v>#N/A</v>
      </c>
      <c r="G821" s="29" t="s">
        <v>689</v>
      </c>
      <c r="H821" s="29" t="s">
        <v>690</v>
      </c>
      <c r="I821" s="29" t="s">
        <v>691</v>
      </c>
      <c r="J821" s="29" t="s">
        <v>692</v>
      </c>
      <c r="K821" s="29" t="s">
        <v>693</v>
      </c>
      <c r="L821" s="250">
        <v>8</v>
      </c>
      <c r="M821" s="45"/>
    </row>
    <row r="822" ht="31" spans="1:13">
      <c r="A822" s="248" t="s">
        <v>4175</v>
      </c>
      <c r="B822" s="45" t="s">
        <v>4174</v>
      </c>
      <c r="C822" s="249" t="e">
        <f>VLOOKUP(D822,#REF!,2,0)</f>
        <v>#REF!</v>
      </c>
      <c r="D822" s="263" t="s">
        <v>3211</v>
      </c>
      <c r="E822" s="18" t="e">
        <f>VLOOKUP(C822,数据集标准分类!E:F,2,0)</f>
        <v>#REF!</v>
      </c>
      <c r="F822" s="29" t="e">
        <f>VLOOKUP(D822,数据集标准分类!G:H,2,0)</f>
        <v>#N/A</v>
      </c>
      <c r="G822" s="29" t="s">
        <v>1949</v>
      </c>
      <c r="H822" s="29" t="s">
        <v>1950</v>
      </c>
      <c r="I822" s="29" t="s">
        <v>1951</v>
      </c>
      <c r="J822" s="29" t="s">
        <v>1952</v>
      </c>
      <c r="K822" s="29" t="s">
        <v>3067</v>
      </c>
      <c r="L822" s="250">
        <v>9</v>
      </c>
      <c r="M822" s="45"/>
    </row>
    <row r="823" ht="31" spans="1:13">
      <c r="A823" s="248" t="s">
        <v>4175</v>
      </c>
      <c r="B823" s="45" t="s">
        <v>4174</v>
      </c>
      <c r="C823" s="249" t="e">
        <f>VLOOKUP(D823,#REF!,2,0)</f>
        <v>#REF!</v>
      </c>
      <c r="D823" s="263" t="s">
        <v>3211</v>
      </c>
      <c r="E823" s="18" t="e">
        <f>VLOOKUP(C823,数据集标准分类!E:F,2,0)</f>
        <v>#REF!</v>
      </c>
      <c r="F823" s="29" t="e">
        <f>VLOOKUP(D823,数据集标准分类!G:H,2,0)</f>
        <v>#N/A</v>
      </c>
      <c r="G823" s="29" t="s">
        <v>684</v>
      </c>
      <c r="H823" s="29" t="s">
        <v>685</v>
      </c>
      <c r="I823" s="29" t="s">
        <v>686</v>
      </c>
      <c r="J823" s="29" t="s">
        <v>687</v>
      </c>
      <c r="K823" s="29" t="s">
        <v>688</v>
      </c>
      <c r="L823" s="250">
        <v>10</v>
      </c>
      <c r="M823" s="45"/>
    </row>
    <row r="824" ht="31" spans="1:13">
      <c r="A824" s="248" t="s">
        <v>4175</v>
      </c>
      <c r="B824" s="45" t="s">
        <v>4174</v>
      </c>
      <c r="C824" s="249" t="e">
        <f>VLOOKUP(D824,#REF!,2,0)</f>
        <v>#REF!</v>
      </c>
      <c r="D824" s="263" t="s">
        <v>3211</v>
      </c>
      <c r="E824" s="18" t="e">
        <f>VLOOKUP(C824,数据集标准分类!E:F,2,0)</f>
        <v>#REF!</v>
      </c>
      <c r="F824" s="29" t="e">
        <f>VLOOKUP(D824,数据集标准分类!G:H,2,0)</f>
        <v>#N/A</v>
      </c>
      <c r="G824" s="29" t="s">
        <v>699</v>
      </c>
      <c r="H824" s="29" t="s">
        <v>700</v>
      </c>
      <c r="I824" s="29" t="s">
        <v>700</v>
      </c>
      <c r="J824" s="29" t="s">
        <v>701</v>
      </c>
      <c r="K824" s="29" t="s">
        <v>702</v>
      </c>
      <c r="L824" s="250">
        <v>11</v>
      </c>
      <c r="M824" s="45"/>
    </row>
    <row r="825" ht="31" spans="1:13">
      <c r="A825" s="248" t="s">
        <v>4175</v>
      </c>
      <c r="B825" s="45" t="s">
        <v>4174</v>
      </c>
      <c r="C825" s="249" t="e">
        <f>VLOOKUP(D825,#REF!,2,0)</f>
        <v>#REF!</v>
      </c>
      <c r="D825" s="263" t="s">
        <v>3211</v>
      </c>
      <c r="E825" s="18" t="e">
        <f>VLOOKUP(C825,数据集标准分类!E:F,2,0)</f>
        <v>#REF!</v>
      </c>
      <c r="F825" s="29" t="e">
        <f>VLOOKUP(D825,数据集标准分类!G:H,2,0)</f>
        <v>#N/A</v>
      </c>
      <c r="G825" s="29" t="s">
        <v>703</v>
      </c>
      <c r="H825" s="29" t="s">
        <v>704</v>
      </c>
      <c r="I825" s="29" t="s">
        <v>704</v>
      </c>
      <c r="J825" s="29" t="s">
        <v>705</v>
      </c>
      <c r="K825" s="29" t="s">
        <v>706</v>
      </c>
      <c r="L825" s="250">
        <v>12</v>
      </c>
      <c r="M825" s="45"/>
    </row>
    <row r="826" ht="31" spans="1:13">
      <c r="A826" s="248" t="s">
        <v>4175</v>
      </c>
      <c r="B826" s="45" t="s">
        <v>4174</v>
      </c>
      <c r="C826" s="249" t="e">
        <f>VLOOKUP(D826,#REF!,2,0)</f>
        <v>#REF!</v>
      </c>
      <c r="D826" s="263" t="s">
        <v>3211</v>
      </c>
      <c r="E826" s="18" t="e">
        <f>VLOOKUP(C826,数据集标准分类!E:F,2,0)</f>
        <v>#REF!</v>
      </c>
      <c r="F826" s="29" t="e">
        <f>VLOOKUP(D826,数据集标准分类!G:H,2,0)</f>
        <v>#N/A</v>
      </c>
      <c r="G826" s="29" t="s">
        <v>711</v>
      </c>
      <c r="H826" s="29" t="s">
        <v>712</v>
      </c>
      <c r="I826" s="29" t="s">
        <v>712</v>
      </c>
      <c r="J826" s="29" t="s">
        <v>713</v>
      </c>
      <c r="K826" s="29" t="s">
        <v>714</v>
      </c>
      <c r="L826" s="250">
        <v>13</v>
      </c>
      <c r="M826" s="45"/>
    </row>
    <row r="827" ht="31" spans="1:13">
      <c r="A827" s="248" t="s">
        <v>4175</v>
      </c>
      <c r="B827" s="45" t="s">
        <v>4174</v>
      </c>
      <c r="C827" s="249" t="e">
        <f>VLOOKUP(D827,#REF!,2,0)</f>
        <v>#REF!</v>
      </c>
      <c r="D827" s="263" t="s">
        <v>3211</v>
      </c>
      <c r="E827" s="18" t="e">
        <f>VLOOKUP(C827,数据集标准分类!E:F,2,0)</f>
        <v>#REF!</v>
      </c>
      <c r="F827" s="29" t="e">
        <f>VLOOKUP(D827,数据集标准分类!G:H,2,0)</f>
        <v>#N/A</v>
      </c>
      <c r="G827" s="29" t="s">
        <v>3225</v>
      </c>
      <c r="H827" s="29" t="s">
        <v>3226</v>
      </c>
      <c r="I827" s="29" t="s">
        <v>3226</v>
      </c>
      <c r="J827" s="29" t="s">
        <v>3227</v>
      </c>
      <c r="K827" s="29" t="s">
        <v>3228</v>
      </c>
      <c r="L827" s="250">
        <v>14</v>
      </c>
      <c r="M827" s="45"/>
    </row>
    <row r="828" ht="92" spans="1:13">
      <c r="A828" s="248" t="s">
        <v>4175</v>
      </c>
      <c r="B828" s="45" t="s">
        <v>4174</v>
      </c>
      <c r="C828" s="249" t="e">
        <f>VLOOKUP(D828,#REF!,2,0)</f>
        <v>#REF!</v>
      </c>
      <c r="D828" s="263" t="s">
        <v>3211</v>
      </c>
      <c r="E828" s="18" t="e">
        <f>VLOOKUP(C828,数据集标准分类!E:F,2,0)</f>
        <v>#REF!</v>
      </c>
      <c r="F828" s="29" t="e">
        <f>VLOOKUP(D828,数据集标准分类!G:H,2,0)</f>
        <v>#N/A</v>
      </c>
      <c r="G828" s="29" t="s">
        <v>3229</v>
      </c>
      <c r="H828" s="29" t="s">
        <v>3230</v>
      </c>
      <c r="I828" s="29" t="s">
        <v>3231</v>
      </c>
      <c r="J828" s="29" t="s">
        <v>3232</v>
      </c>
      <c r="K828" s="29" t="s">
        <v>3233</v>
      </c>
      <c r="L828" s="250">
        <v>15</v>
      </c>
      <c r="M828" s="45"/>
    </row>
    <row r="829" ht="31" spans="1:13">
      <c r="A829" s="248" t="s">
        <v>4175</v>
      </c>
      <c r="B829" s="45" t="s">
        <v>4174</v>
      </c>
      <c r="C829" s="249" t="e">
        <f>VLOOKUP(D829,#REF!,2,0)</f>
        <v>#REF!</v>
      </c>
      <c r="D829" s="263" t="s">
        <v>3211</v>
      </c>
      <c r="E829" s="18" t="e">
        <f>VLOOKUP(C829,数据集标准分类!E:F,2,0)</f>
        <v>#REF!</v>
      </c>
      <c r="F829" s="29" t="e">
        <f>VLOOKUP(D829,数据集标准分类!G:H,2,0)</f>
        <v>#N/A</v>
      </c>
      <c r="G829" s="29" t="s">
        <v>784</v>
      </c>
      <c r="H829" s="29" t="s">
        <v>785</v>
      </c>
      <c r="I829" s="29" t="s">
        <v>786</v>
      </c>
      <c r="J829" s="29" t="s">
        <v>787</v>
      </c>
      <c r="K829" s="29" t="s">
        <v>3234</v>
      </c>
      <c r="L829" s="250">
        <v>16</v>
      </c>
      <c r="M829" s="45"/>
    </row>
    <row r="830" ht="31" spans="1:13">
      <c r="A830" s="248" t="s">
        <v>4175</v>
      </c>
      <c r="B830" s="45" t="s">
        <v>4174</v>
      </c>
      <c r="C830" s="249" t="e">
        <f>VLOOKUP(D830,#REF!,2,0)</f>
        <v>#REF!</v>
      </c>
      <c r="D830" s="29" t="s">
        <v>2313</v>
      </c>
      <c r="E830" s="18" t="e">
        <f>VLOOKUP(C830,数据集标准分类!E:F,2,0)</f>
        <v>#REF!</v>
      </c>
      <c r="F830" s="29" t="e">
        <f>VLOOKUP(D830,数据集标准分类!G:H,2,0)</f>
        <v>#N/A</v>
      </c>
      <c r="G830" s="29" t="s">
        <v>172</v>
      </c>
      <c r="H830" s="29" t="s">
        <v>173</v>
      </c>
      <c r="I830" s="29" t="s">
        <v>174</v>
      </c>
      <c r="J830" s="29" t="s">
        <v>175</v>
      </c>
      <c r="K830" s="29" t="s">
        <v>1245</v>
      </c>
      <c r="L830" s="250">
        <v>1</v>
      </c>
      <c r="M830" s="45"/>
    </row>
    <row r="831" ht="31" spans="1:13">
      <c r="A831" s="248" t="s">
        <v>4175</v>
      </c>
      <c r="B831" s="45" t="s">
        <v>4174</v>
      </c>
      <c r="C831" s="249" t="e">
        <f>VLOOKUP(D831,#REF!,2,0)</f>
        <v>#REF!</v>
      </c>
      <c r="D831" s="29" t="s">
        <v>2313</v>
      </c>
      <c r="E831" s="18" t="e">
        <f>VLOOKUP(C831,数据集标准分类!E:F,2,0)</f>
        <v>#REF!</v>
      </c>
      <c r="F831" s="29" t="e">
        <f>VLOOKUP(D831,数据集标准分类!G:H,2,0)</f>
        <v>#N/A</v>
      </c>
      <c r="G831" s="29" t="s">
        <v>1323</v>
      </c>
      <c r="H831" s="29" t="s">
        <v>1324</v>
      </c>
      <c r="I831" s="29" t="s">
        <v>1325</v>
      </c>
      <c r="J831" s="29" t="s">
        <v>1326</v>
      </c>
      <c r="K831" s="29" t="s">
        <v>1327</v>
      </c>
      <c r="L831" s="250">
        <v>2</v>
      </c>
      <c r="M831" s="45"/>
    </row>
    <row r="832" ht="31" spans="1:13">
      <c r="A832" s="248" t="s">
        <v>4175</v>
      </c>
      <c r="B832" s="45" t="s">
        <v>4174</v>
      </c>
      <c r="C832" s="249" t="e">
        <f>VLOOKUP(D832,#REF!,2,0)</f>
        <v>#REF!</v>
      </c>
      <c r="D832" s="29" t="s">
        <v>2313</v>
      </c>
      <c r="E832" s="18" t="e">
        <f>VLOOKUP(C832,数据集标准分类!E:F,2,0)</f>
        <v>#REF!</v>
      </c>
      <c r="F832" s="29" t="e">
        <f>VLOOKUP(D832,数据集标准分类!G:H,2,0)</f>
        <v>#N/A</v>
      </c>
      <c r="G832" s="29" t="s">
        <v>1343</v>
      </c>
      <c r="H832" s="29" t="s">
        <v>1344</v>
      </c>
      <c r="I832" s="29" t="s">
        <v>1345</v>
      </c>
      <c r="J832" s="29" t="s">
        <v>1346</v>
      </c>
      <c r="K832" s="29" t="s">
        <v>1347</v>
      </c>
      <c r="L832" s="250">
        <v>3</v>
      </c>
      <c r="M832" s="45"/>
    </row>
    <row r="833" ht="31" spans="1:13">
      <c r="A833" s="248" t="s">
        <v>4175</v>
      </c>
      <c r="B833" s="45" t="s">
        <v>4174</v>
      </c>
      <c r="C833" s="249" t="e">
        <f>VLOOKUP(D833,#REF!,2,0)</f>
        <v>#REF!</v>
      </c>
      <c r="D833" s="29" t="s">
        <v>2313</v>
      </c>
      <c r="E833" s="18" t="e">
        <f>VLOOKUP(C833,数据集标准分类!E:F,2,0)</f>
        <v>#REF!</v>
      </c>
      <c r="F833" s="29" t="e">
        <f>VLOOKUP(D833,数据集标准分类!G:H,2,0)</f>
        <v>#N/A</v>
      </c>
      <c r="G833" s="29" t="s">
        <v>1349</v>
      </c>
      <c r="H833" s="29" t="s">
        <v>1350</v>
      </c>
      <c r="I833" s="29" t="s">
        <v>1351</v>
      </c>
      <c r="J833" s="29" t="s">
        <v>1352</v>
      </c>
      <c r="K833" s="29" t="s">
        <v>1353</v>
      </c>
      <c r="L833" s="250">
        <v>4</v>
      </c>
      <c r="M833" s="45"/>
    </row>
    <row r="834" ht="46" spans="1:13">
      <c r="A834" s="248" t="s">
        <v>4175</v>
      </c>
      <c r="B834" s="45" t="s">
        <v>4174</v>
      </c>
      <c r="C834" s="249" t="e">
        <f>VLOOKUP(D834,#REF!,2,0)</f>
        <v>#REF!</v>
      </c>
      <c r="D834" s="29" t="s">
        <v>2313</v>
      </c>
      <c r="E834" s="18" t="e">
        <f>VLOOKUP(C834,数据集标准分类!E:F,2,0)</f>
        <v>#REF!</v>
      </c>
      <c r="F834" s="29" t="e">
        <f>VLOOKUP(D834,数据集标准分类!G:H,2,0)</f>
        <v>#N/A</v>
      </c>
      <c r="G834" s="29" t="s">
        <v>2314</v>
      </c>
      <c r="H834" s="29" t="s">
        <v>2315</v>
      </c>
      <c r="I834" s="29" t="s">
        <v>2316</v>
      </c>
      <c r="J834" s="29" t="s">
        <v>2317</v>
      </c>
      <c r="K834" s="29" t="s">
        <v>2318</v>
      </c>
      <c r="L834" s="250">
        <v>5</v>
      </c>
      <c r="M834" s="45"/>
    </row>
    <row r="835" ht="46" spans="1:13">
      <c r="A835" s="248" t="s">
        <v>4175</v>
      </c>
      <c r="B835" s="45" t="s">
        <v>4174</v>
      </c>
      <c r="C835" s="249" t="e">
        <f>VLOOKUP(D835,#REF!,2,0)</f>
        <v>#REF!</v>
      </c>
      <c r="D835" s="29" t="s">
        <v>2313</v>
      </c>
      <c r="E835" s="18" t="e">
        <f>VLOOKUP(C835,数据集标准分类!E:F,2,0)</f>
        <v>#REF!</v>
      </c>
      <c r="F835" s="29" t="e">
        <f>VLOOKUP(D835,数据集标准分类!G:H,2,0)</f>
        <v>#N/A</v>
      </c>
      <c r="G835" s="29" t="s">
        <v>1399</v>
      </c>
      <c r="H835" s="29" t="s">
        <v>1400</v>
      </c>
      <c r="I835" s="29" t="s">
        <v>1401</v>
      </c>
      <c r="J835" s="29" t="s">
        <v>1402</v>
      </c>
      <c r="K835" s="29" t="s">
        <v>2319</v>
      </c>
      <c r="L835" s="250">
        <v>6</v>
      </c>
      <c r="M835" s="45"/>
    </row>
    <row r="836" ht="46" spans="1:13">
      <c r="A836" s="248" t="s">
        <v>4175</v>
      </c>
      <c r="B836" s="45" t="s">
        <v>4174</v>
      </c>
      <c r="C836" s="249" t="e">
        <f>VLOOKUP(D836,#REF!,2,0)</f>
        <v>#REF!</v>
      </c>
      <c r="D836" s="29" t="s">
        <v>2313</v>
      </c>
      <c r="E836" s="18" t="e">
        <f>VLOOKUP(C836,数据集标准分类!E:F,2,0)</f>
        <v>#REF!</v>
      </c>
      <c r="F836" s="29" t="e">
        <f>VLOOKUP(D836,数据集标准分类!G:H,2,0)</f>
        <v>#N/A</v>
      </c>
      <c r="G836" s="29" t="s">
        <v>2320</v>
      </c>
      <c r="H836" s="29" t="s">
        <v>2321</v>
      </c>
      <c r="I836" s="29" t="s">
        <v>2322</v>
      </c>
      <c r="J836" s="29" t="s">
        <v>2323</v>
      </c>
      <c r="K836" s="29" t="s">
        <v>2324</v>
      </c>
      <c r="L836" s="250">
        <v>7</v>
      </c>
      <c r="M836" s="45"/>
    </row>
    <row r="837" ht="31" spans="1:13">
      <c r="A837" s="248" t="s">
        <v>4175</v>
      </c>
      <c r="B837" s="45" t="s">
        <v>4174</v>
      </c>
      <c r="C837" s="249" t="e">
        <f>VLOOKUP(D837,#REF!,2,0)</f>
        <v>#REF!</v>
      </c>
      <c r="D837" s="29" t="s">
        <v>2313</v>
      </c>
      <c r="E837" s="18" t="e">
        <f>VLOOKUP(C837,数据集标准分类!E:F,2,0)</f>
        <v>#REF!</v>
      </c>
      <c r="F837" s="29" t="e">
        <f>VLOOKUP(D837,数据集标准分类!G:H,2,0)</f>
        <v>#N/A</v>
      </c>
      <c r="G837" s="29" t="s">
        <v>2325</v>
      </c>
      <c r="H837" s="29" t="s">
        <v>2326</v>
      </c>
      <c r="I837" s="29" t="s">
        <v>2327</v>
      </c>
      <c r="J837" s="29" t="s">
        <v>2328</v>
      </c>
      <c r="K837" s="29" t="s">
        <v>2329</v>
      </c>
      <c r="L837" s="250">
        <v>8</v>
      </c>
      <c r="M837" s="45"/>
    </row>
    <row r="838" ht="76" spans="1:13">
      <c r="A838" s="248" t="s">
        <v>4175</v>
      </c>
      <c r="B838" s="45" t="s">
        <v>4174</v>
      </c>
      <c r="C838" s="249" t="e">
        <f>VLOOKUP(D838,#REF!,2,0)</f>
        <v>#REF!</v>
      </c>
      <c r="D838" s="29" t="s">
        <v>2313</v>
      </c>
      <c r="E838" s="18" t="e">
        <f>VLOOKUP(C838,数据集标准分类!E:F,2,0)</f>
        <v>#REF!</v>
      </c>
      <c r="F838" s="29" t="e">
        <f>VLOOKUP(D838,数据集标准分类!G:H,2,0)</f>
        <v>#N/A</v>
      </c>
      <c r="G838" s="29" t="s">
        <v>1418</v>
      </c>
      <c r="H838" s="29" t="s">
        <v>1419</v>
      </c>
      <c r="I838" s="29" t="s">
        <v>1420</v>
      </c>
      <c r="J838" s="29" t="s">
        <v>1421</v>
      </c>
      <c r="K838" s="29" t="s">
        <v>2330</v>
      </c>
      <c r="L838" s="250">
        <v>9</v>
      </c>
      <c r="M838" s="45"/>
    </row>
    <row r="839" ht="46" spans="1:13">
      <c r="A839" s="248" t="s">
        <v>4175</v>
      </c>
      <c r="B839" s="45" t="s">
        <v>4174</v>
      </c>
      <c r="C839" s="249" t="e">
        <f>VLOOKUP(D839,#REF!,2,0)</f>
        <v>#REF!</v>
      </c>
      <c r="D839" s="29" t="s">
        <v>2313</v>
      </c>
      <c r="E839" s="18" t="e">
        <f>VLOOKUP(C839,数据集标准分类!E:F,2,0)</f>
        <v>#REF!</v>
      </c>
      <c r="F839" s="29" t="e">
        <f>VLOOKUP(D839,数据集标准分类!G:H,2,0)</f>
        <v>#N/A</v>
      </c>
      <c r="G839" s="29" t="s">
        <v>1418</v>
      </c>
      <c r="H839" s="29" t="s">
        <v>1419</v>
      </c>
      <c r="I839" s="29" t="s">
        <v>1420</v>
      </c>
      <c r="J839" s="29" t="s">
        <v>1421</v>
      </c>
      <c r="K839" s="29" t="s">
        <v>2331</v>
      </c>
      <c r="L839" s="250">
        <v>10</v>
      </c>
      <c r="M839" s="45"/>
    </row>
    <row r="840" ht="31" spans="1:13">
      <c r="A840" s="248" t="s">
        <v>4175</v>
      </c>
      <c r="B840" s="45" t="s">
        <v>4174</v>
      </c>
      <c r="C840" s="249" t="e">
        <f>VLOOKUP(D840,#REF!,2,0)</f>
        <v>#REF!</v>
      </c>
      <c r="D840" s="29" t="s">
        <v>2332</v>
      </c>
      <c r="E840" s="18" t="e">
        <f>VLOOKUP(C840,数据集标准分类!E:F,2,0)</f>
        <v>#REF!</v>
      </c>
      <c r="F840" s="29" t="e">
        <f>VLOOKUP(D840,数据集标准分类!G:H,2,0)</f>
        <v>#N/A</v>
      </c>
      <c r="G840" s="29" t="s">
        <v>172</v>
      </c>
      <c r="H840" s="29" t="s">
        <v>173</v>
      </c>
      <c r="I840" s="29" t="s">
        <v>174</v>
      </c>
      <c r="J840" s="29" t="s">
        <v>175</v>
      </c>
      <c r="K840" s="29" t="s">
        <v>1245</v>
      </c>
      <c r="L840" s="250">
        <v>1</v>
      </c>
      <c r="M840" s="45"/>
    </row>
    <row r="841" ht="61" spans="1:13">
      <c r="A841" s="248" t="s">
        <v>4175</v>
      </c>
      <c r="B841" s="45" t="s">
        <v>4174</v>
      </c>
      <c r="C841" s="249" t="e">
        <f>VLOOKUP(D841,#REF!,2,0)</f>
        <v>#REF!</v>
      </c>
      <c r="D841" s="29" t="s">
        <v>2332</v>
      </c>
      <c r="E841" s="18" t="e">
        <f>VLOOKUP(C841,数据集标准分类!E:F,2,0)</f>
        <v>#REF!</v>
      </c>
      <c r="F841" s="29" t="e">
        <f>VLOOKUP(D841,数据集标准分类!G:H,2,0)</f>
        <v>#N/A</v>
      </c>
      <c r="G841" s="29" t="s">
        <v>2333</v>
      </c>
      <c r="H841" s="29" t="s">
        <v>2334</v>
      </c>
      <c r="I841" s="29" t="s">
        <v>2335</v>
      </c>
      <c r="J841" s="29" t="s">
        <v>2336</v>
      </c>
      <c r="K841" s="29" t="s">
        <v>2337</v>
      </c>
      <c r="L841" s="250">
        <v>2</v>
      </c>
      <c r="M841" s="45"/>
    </row>
    <row r="842" ht="61" spans="1:13">
      <c r="A842" s="248" t="s">
        <v>4175</v>
      </c>
      <c r="B842" s="45" t="s">
        <v>4174</v>
      </c>
      <c r="C842" s="249" t="e">
        <f>VLOOKUP(D842,#REF!,2,0)</f>
        <v>#REF!</v>
      </c>
      <c r="D842" s="29" t="s">
        <v>2332</v>
      </c>
      <c r="E842" s="18" t="e">
        <f>VLOOKUP(C842,数据集标准分类!E:F,2,0)</f>
        <v>#REF!</v>
      </c>
      <c r="F842" s="29" t="e">
        <f>VLOOKUP(D842,数据集标准分类!G:H,2,0)</f>
        <v>#N/A</v>
      </c>
      <c r="G842" s="29" t="s">
        <v>2338</v>
      </c>
      <c r="H842" s="29" t="s">
        <v>2339</v>
      </c>
      <c r="I842" s="29" t="s">
        <v>2340</v>
      </c>
      <c r="J842" s="29" t="s">
        <v>2341</v>
      </c>
      <c r="K842" s="29" t="s">
        <v>2342</v>
      </c>
      <c r="L842" s="250">
        <v>3</v>
      </c>
      <c r="M842" s="45"/>
    </row>
    <row r="843" ht="46" spans="1:13">
      <c r="A843" s="248" t="s">
        <v>4175</v>
      </c>
      <c r="B843" s="45" t="s">
        <v>4174</v>
      </c>
      <c r="C843" s="249" t="e">
        <f>VLOOKUP(D843,#REF!,2,0)</f>
        <v>#REF!</v>
      </c>
      <c r="D843" s="29" t="s">
        <v>2332</v>
      </c>
      <c r="E843" s="18" t="e">
        <f>VLOOKUP(C843,数据集标准分类!E:F,2,0)</f>
        <v>#REF!</v>
      </c>
      <c r="F843" s="29" t="e">
        <f>VLOOKUP(D843,数据集标准分类!G:H,2,0)</f>
        <v>#N/A</v>
      </c>
      <c r="G843" s="29" t="s">
        <v>1394</v>
      </c>
      <c r="H843" s="29" t="s">
        <v>1395</v>
      </c>
      <c r="I843" s="29" t="s">
        <v>1396</v>
      </c>
      <c r="J843" s="29" t="s">
        <v>1397</v>
      </c>
      <c r="K843" s="29" t="s">
        <v>2343</v>
      </c>
      <c r="L843" s="250">
        <v>4</v>
      </c>
      <c r="M843" s="45"/>
    </row>
    <row r="844" ht="31" spans="1:13">
      <c r="A844" s="248" t="s">
        <v>4175</v>
      </c>
      <c r="B844" s="45" t="s">
        <v>4174</v>
      </c>
      <c r="C844" s="249" t="e">
        <f>VLOOKUP(D844,#REF!,2,0)</f>
        <v>#REF!</v>
      </c>
      <c r="D844" s="29" t="s">
        <v>2344</v>
      </c>
      <c r="E844" s="18" t="e">
        <f>VLOOKUP(C844,数据集标准分类!E:F,2,0)</f>
        <v>#REF!</v>
      </c>
      <c r="F844" s="29" t="e">
        <f>VLOOKUP(D844,数据集标准分类!G:H,2,0)</f>
        <v>#N/A</v>
      </c>
      <c r="G844" s="29" t="s">
        <v>172</v>
      </c>
      <c r="H844" s="29" t="s">
        <v>173</v>
      </c>
      <c r="I844" s="29" t="s">
        <v>174</v>
      </c>
      <c r="J844" s="29" t="s">
        <v>175</v>
      </c>
      <c r="K844" s="29" t="s">
        <v>1587</v>
      </c>
      <c r="L844" s="250">
        <v>1</v>
      </c>
      <c r="M844" s="45"/>
    </row>
    <row r="845" ht="31" spans="1:13">
      <c r="A845" s="248" t="s">
        <v>4175</v>
      </c>
      <c r="B845" s="45" t="s">
        <v>4174</v>
      </c>
      <c r="C845" s="249" t="e">
        <f>VLOOKUP(D845,#REF!,2,0)</f>
        <v>#REF!</v>
      </c>
      <c r="D845" s="29" t="s">
        <v>2344</v>
      </c>
      <c r="E845" s="18" t="e">
        <f>VLOOKUP(C845,数据集标准分类!E:F,2,0)</f>
        <v>#REF!</v>
      </c>
      <c r="F845" s="29" t="e">
        <f>VLOOKUP(D845,数据集标准分类!G:H,2,0)</f>
        <v>#N/A</v>
      </c>
      <c r="G845" s="29" t="s">
        <v>192</v>
      </c>
      <c r="H845" s="29" t="s">
        <v>193</v>
      </c>
      <c r="I845" s="29" t="s">
        <v>194</v>
      </c>
      <c r="J845" s="29" t="s">
        <v>195</v>
      </c>
      <c r="K845" s="29" t="s">
        <v>1722</v>
      </c>
      <c r="L845" s="250">
        <v>2</v>
      </c>
      <c r="M845" s="45"/>
    </row>
    <row r="846" ht="46" spans="1:13">
      <c r="A846" s="248" t="s">
        <v>4175</v>
      </c>
      <c r="B846" s="45" t="s">
        <v>4174</v>
      </c>
      <c r="C846" s="249" t="e">
        <f>VLOOKUP(D846,#REF!,2,0)</f>
        <v>#REF!</v>
      </c>
      <c r="D846" s="29" t="s">
        <v>2344</v>
      </c>
      <c r="E846" s="18" t="e">
        <f>VLOOKUP(C846,数据集标准分类!E:F,2,0)</f>
        <v>#REF!</v>
      </c>
      <c r="F846" s="29" t="e">
        <f>VLOOKUP(D846,数据集标准分类!G:H,2,0)</f>
        <v>#N/A</v>
      </c>
      <c r="G846" s="29" t="s">
        <v>2345</v>
      </c>
      <c r="H846" s="29" t="s">
        <v>2346</v>
      </c>
      <c r="I846" s="29" t="s">
        <v>2347</v>
      </c>
      <c r="J846" s="29" t="s">
        <v>2348</v>
      </c>
      <c r="K846" s="29" t="s">
        <v>1723</v>
      </c>
      <c r="L846" s="250">
        <v>3</v>
      </c>
      <c r="M846" s="45"/>
    </row>
    <row r="847" ht="31" spans="1:13">
      <c r="A847" s="248" t="s">
        <v>4175</v>
      </c>
      <c r="B847" s="45" t="s">
        <v>4174</v>
      </c>
      <c r="C847" s="249" t="e">
        <f>VLOOKUP(D847,#REF!,2,0)</f>
        <v>#REF!</v>
      </c>
      <c r="D847" s="29" t="s">
        <v>2344</v>
      </c>
      <c r="E847" s="18" t="e">
        <f>VLOOKUP(C847,数据集标准分类!E:F,2,0)</f>
        <v>#REF!</v>
      </c>
      <c r="F847" s="29" t="e">
        <f>VLOOKUP(D847,数据集标准分类!G:H,2,0)</f>
        <v>#N/A</v>
      </c>
      <c r="G847" s="29" t="s">
        <v>1678</v>
      </c>
      <c r="H847" s="29" t="s">
        <v>1679</v>
      </c>
      <c r="I847" s="29" t="s">
        <v>1680</v>
      </c>
      <c r="J847" s="29" t="s">
        <v>1681</v>
      </c>
      <c r="K847" s="29" t="s">
        <v>1735</v>
      </c>
      <c r="L847" s="250">
        <v>4</v>
      </c>
      <c r="M847" s="45"/>
    </row>
    <row r="848" ht="16.8" spans="1:13">
      <c r="A848" s="248" t="s">
        <v>4175</v>
      </c>
      <c r="B848" s="45" t="s">
        <v>4174</v>
      </c>
      <c r="C848" s="249" t="e">
        <f>VLOOKUP(D848,#REF!,2,0)</f>
        <v>#REF!</v>
      </c>
      <c r="D848" s="29" t="s">
        <v>2344</v>
      </c>
      <c r="E848" s="18" t="e">
        <f>VLOOKUP(C848,数据集标准分类!E:F,2,0)</f>
        <v>#REF!</v>
      </c>
      <c r="F848" s="29" t="e">
        <f>VLOOKUP(D848,数据集标准分类!G:H,2,0)</f>
        <v>#N/A</v>
      </c>
      <c r="G848" s="29" t="s">
        <v>1785</v>
      </c>
      <c r="H848" s="29" t="s">
        <v>1786</v>
      </c>
      <c r="I848" s="29" t="s">
        <v>1787</v>
      </c>
      <c r="J848" s="29" t="s">
        <v>1788</v>
      </c>
      <c r="K848" s="29" t="s">
        <v>1789</v>
      </c>
      <c r="L848" s="250">
        <v>5</v>
      </c>
      <c r="M848" s="45"/>
    </row>
    <row r="849" ht="16.8" spans="1:13">
      <c r="A849" s="248" t="s">
        <v>4175</v>
      </c>
      <c r="B849" s="45" t="s">
        <v>4174</v>
      </c>
      <c r="C849" s="249" t="e">
        <f>VLOOKUP(D849,#REF!,2,0)</f>
        <v>#REF!</v>
      </c>
      <c r="D849" s="29" t="s">
        <v>2344</v>
      </c>
      <c r="E849" s="18" t="e">
        <f>VLOOKUP(C849,数据集标准分类!E:F,2,0)</f>
        <v>#REF!</v>
      </c>
      <c r="F849" s="29" t="e">
        <f>VLOOKUP(D849,数据集标准分类!G:H,2,0)</f>
        <v>#N/A</v>
      </c>
      <c r="G849" s="29" t="s">
        <v>2349</v>
      </c>
      <c r="H849" s="29" t="s">
        <v>2350</v>
      </c>
      <c r="I849" s="29" t="s">
        <v>2351</v>
      </c>
      <c r="J849" s="29" t="s">
        <v>2352</v>
      </c>
      <c r="K849" s="29" t="s">
        <v>2353</v>
      </c>
      <c r="L849" s="250">
        <v>6</v>
      </c>
      <c r="M849" s="45"/>
    </row>
    <row r="850" ht="46" spans="1:13">
      <c r="A850" s="248" t="s">
        <v>4175</v>
      </c>
      <c r="B850" s="45" t="s">
        <v>4174</v>
      </c>
      <c r="C850" s="249" t="e">
        <f>VLOOKUP(D850,#REF!,2,0)</f>
        <v>#REF!</v>
      </c>
      <c r="D850" s="29" t="s">
        <v>2344</v>
      </c>
      <c r="E850" s="18" t="e">
        <f>VLOOKUP(C850,数据集标准分类!E:F,2,0)</f>
        <v>#REF!</v>
      </c>
      <c r="F850" s="29" t="e">
        <f>VLOOKUP(D850,数据集标准分类!G:H,2,0)</f>
        <v>#N/A</v>
      </c>
      <c r="G850" s="29" t="s">
        <v>421</v>
      </c>
      <c r="H850" s="29" t="s">
        <v>422</v>
      </c>
      <c r="I850" s="29" t="s">
        <v>423</v>
      </c>
      <c r="J850" s="29" t="s">
        <v>424</v>
      </c>
      <c r="K850" s="29" t="s">
        <v>1724</v>
      </c>
      <c r="L850" s="250">
        <v>7</v>
      </c>
      <c r="M850" s="45"/>
    </row>
    <row r="851" ht="16.8" spans="1:13">
      <c r="A851" s="248" t="s">
        <v>4175</v>
      </c>
      <c r="B851" s="45" t="s">
        <v>4174</v>
      </c>
      <c r="C851" s="249" t="e">
        <f>VLOOKUP(D851,#REF!,2,0)</f>
        <v>#REF!</v>
      </c>
      <c r="D851" s="29" t="s">
        <v>2344</v>
      </c>
      <c r="E851" s="18" t="e">
        <f>VLOOKUP(C851,数据集标准分类!E:F,2,0)</f>
        <v>#REF!</v>
      </c>
      <c r="F851" s="29" t="e">
        <f>VLOOKUP(D851,数据集标准分类!G:H,2,0)</f>
        <v>#N/A</v>
      </c>
      <c r="G851" s="29" t="s">
        <v>1730</v>
      </c>
      <c r="H851" s="29" t="s">
        <v>1731</v>
      </c>
      <c r="I851" s="29" t="s">
        <v>1732</v>
      </c>
      <c r="J851" s="29" t="s">
        <v>1733</v>
      </c>
      <c r="K851" s="29" t="s">
        <v>1734</v>
      </c>
      <c r="L851" s="250">
        <v>8</v>
      </c>
      <c r="M851" s="45"/>
    </row>
    <row r="852" ht="31" spans="1:13">
      <c r="A852" s="248" t="s">
        <v>4175</v>
      </c>
      <c r="B852" s="45" t="s">
        <v>4174</v>
      </c>
      <c r="C852" s="249" t="e">
        <f>VLOOKUP(D852,#REF!,2,0)</f>
        <v>#REF!</v>
      </c>
      <c r="D852" s="29" t="s">
        <v>2344</v>
      </c>
      <c r="E852" s="18" t="e">
        <f>VLOOKUP(C852,数据集标准分类!E:F,2,0)</f>
        <v>#REF!</v>
      </c>
      <c r="F852" s="29" t="e">
        <f>VLOOKUP(D852,数据集标准分类!G:H,2,0)</f>
        <v>#N/A</v>
      </c>
      <c r="G852" s="29" t="s">
        <v>1446</v>
      </c>
      <c r="H852" s="29" t="s">
        <v>1447</v>
      </c>
      <c r="I852" s="29" t="s">
        <v>1448</v>
      </c>
      <c r="J852" s="29" t="s">
        <v>1449</v>
      </c>
      <c r="K852" s="29" t="s">
        <v>2354</v>
      </c>
      <c r="L852" s="250">
        <v>9</v>
      </c>
      <c r="M852" s="45"/>
    </row>
    <row r="853" ht="31" spans="1:13">
      <c r="A853" s="248" t="s">
        <v>4175</v>
      </c>
      <c r="B853" s="45" t="s">
        <v>4174</v>
      </c>
      <c r="C853" s="249" t="e">
        <f>VLOOKUP(D853,#REF!,2,0)</f>
        <v>#REF!</v>
      </c>
      <c r="D853" s="29" t="s">
        <v>2344</v>
      </c>
      <c r="E853" s="18" t="e">
        <f>VLOOKUP(C853,数据集标准分类!E:F,2,0)</f>
        <v>#REF!</v>
      </c>
      <c r="F853" s="29" t="e">
        <f>VLOOKUP(D853,数据集标准分类!G:H,2,0)</f>
        <v>#N/A</v>
      </c>
      <c r="G853" s="29" t="s">
        <v>2355</v>
      </c>
      <c r="H853" s="29" t="s">
        <v>2356</v>
      </c>
      <c r="I853" s="29" t="s">
        <v>2357</v>
      </c>
      <c r="J853" s="29" t="s">
        <v>2358</v>
      </c>
      <c r="K853" s="29" t="s">
        <v>2359</v>
      </c>
      <c r="L853" s="250">
        <v>10</v>
      </c>
      <c r="M853" s="45"/>
    </row>
    <row r="854" ht="46" spans="1:13">
      <c r="A854" s="248" t="s">
        <v>4175</v>
      </c>
      <c r="B854" s="45" t="s">
        <v>4174</v>
      </c>
      <c r="C854" s="249" t="e">
        <f>VLOOKUP(D854,#REF!,2,0)</f>
        <v>#REF!</v>
      </c>
      <c r="D854" s="29" t="s">
        <v>2344</v>
      </c>
      <c r="E854" s="18" t="e">
        <f>VLOOKUP(C854,数据集标准分类!E:F,2,0)</f>
        <v>#REF!</v>
      </c>
      <c r="F854" s="29" t="e">
        <f>VLOOKUP(D854,数据集标准分类!G:H,2,0)</f>
        <v>#N/A</v>
      </c>
      <c r="G854" s="29" t="s">
        <v>2360</v>
      </c>
      <c r="H854" s="29" t="s">
        <v>2361</v>
      </c>
      <c r="I854" s="29" t="s">
        <v>2362</v>
      </c>
      <c r="J854" s="29" t="s">
        <v>2363</v>
      </c>
      <c r="K854" s="29" t="s">
        <v>2364</v>
      </c>
      <c r="L854" s="250">
        <v>11</v>
      </c>
      <c r="M854" s="45"/>
    </row>
    <row r="855" ht="76" spans="1:13">
      <c r="A855" s="248" t="s">
        <v>4175</v>
      </c>
      <c r="B855" s="45" t="s">
        <v>4174</v>
      </c>
      <c r="C855" s="249" t="e">
        <f>VLOOKUP(D855,#REF!,2,0)</f>
        <v>#REF!</v>
      </c>
      <c r="D855" s="29" t="s">
        <v>2344</v>
      </c>
      <c r="E855" s="18" t="e">
        <f>VLOOKUP(C855,数据集标准分类!E:F,2,0)</f>
        <v>#REF!</v>
      </c>
      <c r="F855" s="29" t="e">
        <f>VLOOKUP(D855,数据集标准分类!G:H,2,0)</f>
        <v>#N/A</v>
      </c>
      <c r="G855" s="29" t="s">
        <v>2365</v>
      </c>
      <c r="H855" s="29" t="s">
        <v>2366</v>
      </c>
      <c r="I855" s="29" t="s">
        <v>2367</v>
      </c>
      <c r="J855" s="29" t="s">
        <v>2368</v>
      </c>
      <c r="K855" s="29" t="s">
        <v>2330</v>
      </c>
      <c r="L855" s="250">
        <v>12</v>
      </c>
      <c r="M855" s="45"/>
    </row>
    <row r="856" ht="46" spans="1:13">
      <c r="A856" s="248" t="s">
        <v>4175</v>
      </c>
      <c r="B856" s="45" t="s">
        <v>4174</v>
      </c>
      <c r="C856" s="249" t="e">
        <f>VLOOKUP(D856,#REF!,2,0)</f>
        <v>#REF!</v>
      </c>
      <c r="D856" s="29" t="s">
        <v>2344</v>
      </c>
      <c r="E856" s="18" t="e">
        <f>VLOOKUP(C856,数据集标准分类!E:F,2,0)</f>
        <v>#REF!</v>
      </c>
      <c r="F856" s="29" t="e">
        <f>VLOOKUP(D856,数据集标准分类!G:H,2,0)</f>
        <v>#N/A</v>
      </c>
      <c r="G856" s="29" t="s">
        <v>2369</v>
      </c>
      <c r="H856" s="29" t="s">
        <v>2370</v>
      </c>
      <c r="I856" s="29" t="s">
        <v>2371</v>
      </c>
      <c r="J856" s="29" t="s">
        <v>2372</v>
      </c>
      <c r="K856" s="29" t="s">
        <v>2373</v>
      </c>
      <c r="L856" s="250">
        <v>13</v>
      </c>
      <c r="M856" s="45"/>
    </row>
    <row r="857" ht="31" spans="1:13">
      <c r="A857" s="248" t="s">
        <v>4175</v>
      </c>
      <c r="B857" s="45" t="s">
        <v>4174</v>
      </c>
      <c r="C857" s="249" t="e">
        <f>VLOOKUP(D857,#REF!,2,0)</f>
        <v>#REF!</v>
      </c>
      <c r="D857" s="29" t="s">
        <v>2374</v>
      </c>
      <c r="E857" s="18" t="e">
        <f>VLOOKUP(C857,数据集标准分类!E:F,2,0)</f>
        <v>#REF!</v>
      </c>
      <c r="F857" s="29" t="e">
        <f>VLOOKUP(D857,数据集标准分类!G:H,2,0)</f>
        <v>#N/A</v>
      </c>
      <c r="G857" s="29" t="s">
        <v>172</v>
      </c>
      <c r="H857" s="29" t="s">
        <v>173</v>
      </c>
      <c r="I857" s="29" t="s">
        <v>174</v>
      </c>
      <c r="J857" s="29" t="s">
        <v>175</v>
      </c>
      <c r="K857" s="29" t="s">
        <v>1587</v>
      </c>
      <c r="L857" s="250">
        <v>1</v>
      </c>
      <c r="M857" s="45"/>
    </row>
    <row r="858" ht="31" spans="1:13">
      <c r="A858" s="248" t="s">
        <v>4175</v>
      </c>
      <c r="B858" s="45" t="s">
        <v>4174</v>
      </c>
      <c r="C858" s="249" t="e">
        <f>VLOOKUP(D858,#REF!,2,0)</f>
        <v>#REF!</v>
      </c>
      <c r="D858" s="29" t="s">
        <v>2374</v>
      </c>
      <c r="E858" s="18" t="e">
        <f>VLOOKUP(C858,数据集标准分类!E:F,2,0)</f>
        <v>#REF!</v>
      </c>
      <c r="F858" s="29" t="e">
        <f>VLOOKUP(D858,数据集标准分类!G:H,2,0)</f>
        <v>#N/A</v>
      </c>
      <c r="G858" s="29" t="s">
        <v>192</v>
      </c>
      <c r="H858" s="29" t="s">
        <v>193</v>
      </c>
      <c r="I858" s="29" t="s">
        <v>194</v>
      </c>
      <c r="J858" s="29" t="s">
        <v>195</v>
      </c>
      <c r="K858" s="29" t="s">
        <v>1722</v>
      </c>
      <c r="L858" s="250">
        <v>2</v>
      </c>
      <c r="M858" s="45"/>
    </row>
    <row r="859" ht="46" spans="1:13">
      <c r="A859" s="248" t="s">
        <v>4175</v>
      </c>
      <c r="B859" s="45" t="s">
        <v>4174</v>
      </c>
      <c r="C859" s="249" t="e">
        <f>VLOOKUP(D859,#REF!,2,0)</f>
        <v>#REF!</v>
      </c>
      <c r="D859" s="29" t="s">
        <v>2374</v>
      </c>
      <c r="E859" s="18" t="e">
        <f>VLOOKUP(C859,数据集标准分类!E:F,2,0)</f>
        <v>#REF!</v>
      </c>
      <c r="F859" s="29" t="e">
        <f>VLOOKUP(D859,数据集标准分类!G:H,2,0)</f>
        <v>#N/A</v>
      </c>
      <c r="G859" s="29" t="s">
        <v>2345</v>
      </c>
      <c r="H859" s="29" t="s">
        <v>2346</v>
      </c>
      <c r="I859" s="29" t="s">
        <v>2347</v>
      </c>
      <c r="J859" s="29" t="s">
        <v>2348</v>
      </c>
      <c r="K859" s="29" t="s">
        <v>1723</v>
      </c>
      <c r="L859" s="250">
        <v>3</v>
      </c>
      <c r="M859" s="45"/>
    </row>
    <row r="860" ht="46" spans="1:13">
      <c r="A860" s="248" t="s">
        <v>4175</v>
      </c>
      <c r="B860" s="45" t="s">
        <v>4174</v>
      </c>
      <c r="C860" s="249" t="e">
        <f>VLOOKUP(D860,#REF!,2,0)</f>
        <v>#REF!</v>
      </c>
      <c r="D860" s="29" t="s">
        <v>2374</v>
      </c>
      <c r="E860" s="18" t="e">
        <f>VLOOKUP(C860,数据集标准分类!E:F,2,0)</f>
        <v>#REF!</v>
      </c>
      <c r="F860" s="29" t="e">
        <f>VLOOKUP(D860,数据集标准分类!G:H,2,0)</f>
        <v>#N/A</v>
      </c>
      <c r="G860" s="29" t="s">
        <v>421</v>
      </c>
      <c r="H860" s="29" t="s">
        <v>422</v>
      </c>
      <c r="I860" s="29" t="s">
        <v>423</v>
      </c>
      <c r="J860" s="29" t="s">
        <v>424</v>
      </c>
      <c r="K860" s="29" t="s">
        <v>1724</v>
      </c>
      <c r="L860" s="250">
        <v>4</v>
      </c>
      <c r="M860" s="45"/>
    </row>
    <row r="861" ht="16.8" spans="1:13">
      <c r="A861" s="248" t="s">
        <v>4175</v>
      </c>
      <c r="B861" s="45" t="s">
        <v>4174</v>
      </c>
      <c r="C861" s="249" t="e">
        <f>VLOOKUP(D861,#REF!,2,0)</f>
        <v>#REF!</v>
      </c>
      <c r="D861" s="29" t="s">
        <v>2374</v>
      </c>
      <c r="E861" s="18" t="e">
        <f>VLOOKUP(C861,数据集标准分类!E:F,2,0)</f>
        <v>#REF!</v>
      </c>
      <c r="F861" s="29" t="e">
        <f>VLOOKUP(D861,数据集标准分类!G:H,2,0)</f>
        <v>#N/A</v>
      </c>
      <c r="G861" s="29" t="s">
        <v>2375</v>
      </c>
      <c r="H861" s="29" t="s">
        <v>2376</v>
      </c>
      <c r="I861" s="29" t="s">
        <v>2377</v>
      </c>
      <c r="J861" s="29" t="s">
        <v>2378</v>
      </c>
      <c r="K861" s="29" t="s">
        <v>2379</v>
      </c>
      <c r="L861" s="250">
        <v>5</v>
      </c>
      <c r="M861" s="45"/>
    </row>
    <row r="862" ht="46" spans="1:13">
      <c r="A862" s="248" t="s">
        <v>4175</v>
      </c>
      <c r="B862" s="45" t="s">
        <v>4174</v>
      </c>
      <c r="C862" s="249" t="e">
        <f>VLOOKUP(D862,#REF!,2,0)</f>
        <v>#REF!</v>
      </c>
      <c r="D862" s="29" t="s">
        <v>2374</v>
      </c>
      <c r="E862" s="18" t="e">
        <f>VLOOKUP(C862,数据集标准分类!E:F,2,0)</f>
        <v>#REF!</v>
      </c>
      <c r="F862" s="29" t="e">
        <f>VLOOKUP(D862,数据集标准分类!G:H,2,0)</f>
        <v>#N/A</v>
      </c>
      <c r="G862" s="29" t="s">
        <v>2380</v>
      </c>
      <c r="H862" s="29" t="s">
        <v>2381</v>
      </c>
      <c r="I862" s="29" t="s">
        <v>2382</v>
      </c>
      <c r="J862" s="29" t="s">
        <v>2383</v>
      </c>
      <c r="K862" s="29" t="s">
        <v>2384</v>
      </c>
      <c r="L862" s="250">
        <v>6</v>
      </c>
      <c r="M862" s="45"/>
    </row>
    <row r="863" ht="31" spans="1:13">
      <c r="A863" s="248" t="s">
        <v>4175</v>
      </c>
      <c r="B863" s="45" t="s">
        <v>4174</v>
      </c>
      <c r="C863" s="249" t="e">
        <f>VLOOKUP(D863,#REF!,2,0)</f>
        <v>#REF!</v>
      </c>
      <c r="D863" s="29" t="s">
        <v>2374</v>
      </c>
      <c r="E863" s="18" t="e">
        <f>VLOOKUP(C863,数据集标准分类!E:F,2,0)</f>
        <v>#REF!</v>
      </c>
      <c r="F863" s="29" t="e">
        <f>VLOOKUP(D863,数据集标准分类!G:H,2,0)</f>
        <v>#N/A</v>
      </c>
      <c r="G863" s="29" t="s">
        <v>216</v>
      </c>
      <c r="H863" s="29" t="s">
        <v>217</v>
      </c>
      <c r="I863" s="29" t="s">
        <v>218</v>
      </c>
      <c r="J863" s="29" t="s">
        <v>219</v>
      </c>
      <c r="K863" s="29" t="s">
        <v>2385</v>
      </c>
      <c r="L863" s="250">
        <v>7</v>
      </c>
      <c r="M863" s="45"/>
    </row>
    <row r="864" ht="46" spans="1:13">
      <c r="A864" s="248" t="s">
        <v>4175</v>
      </c>
      <c r="B864" s="45" t="s">
        <v>4174</v>
      </c>
      <c r="C864" s="249" t="e">
        <f>VLOOKUP(D864,#REF!,2,0)</f>
        <v>#REF!</v>
      </c>
      <c r="D864" s="29" t="s">
        <v>2374</v>
      </c>
      <c r="E864" s="18" t="e">
        <f>VLOOKUP(C864,数据集标准分类!E:F,2,0)</f>
        <v>#REF!</v>
      </c>
      <c r="F864" s="29" t="e">
        <f>VLOOKUP(D864,数据集标准分类!G:H,2,0)</f>
        <v>#N/A</v>
      </c>
      <c r="G864" s="29" t="s">
        <v>2355</v>
      </c>
      <c r="H864" s="29" t="s">
        <v>2356</v>
      </c>
      <c r="I864" s="29" t="s">
        <v>2357</v>
      </c>
      <c r="J864" s="29" t="s">
        <v>2358</v>
      </c>
      <c r="K864" s="29" t="s">
        <v>2386</v>
      </c>
      <c r="L864" s="250">
        <v>8</v>
      </c>
      <c r="M864" s="45"/>
    </row>
    <row r="865" ht="31" spans="1:13">
      <c r="A865" s="248" t="s">
        <v>4175</v>
      </c>
      <c r="B865" s="45" t="s">
        <v>4174</v>
      </c>
      <c r="C865" s="249" t="e">
        <f>VLOOKUP(D865,#REF!,2,0)</f>
        <v>#REF!</v>
      </c>
      <c r="D865" s="29" t="s">
        <v>2374</v>
      </c>
      <c r="E865" s="18" t="e">
        <f>VLOOKUP(C865,数据集标准分类!E:F,2,0)</f>
        <v>#REF!</v>
      </c>
      <c r="F865" s="29" t="e">
        <f>VLOOKUP(D865,数据集标准分类!G:H,2,0)</f>
        <v>#N/A</v>
      </c>
      <c r="G865" s="29" t="s">
        <v>2387</v>
      </c>
      <c r="H865" s="29" t="s">
        <v>2388</v>
      </c>
      <c r="I865" s="29" t="s">
        <v>2389</v>
      </c>
      <c r="J865" s="29" t="s">
        <v>2390</v>
      </c>
      <c r="K865" s="29" t="s">
        <v>2391</v>
      </c>
      <c r="L865" s="250">
        <v>9</v>
      </c>
      <c r="M865" s="45"/>
    </row>
    <row r="866" ht="31" spans="1:13">
      <c r="A866" s="248" t="s">
        <v>4175</v>
      </c>
      <c r="B866" s="45" t="s">
        <v>4174</v>
      </c>
      <c r="C866" s="249" t="e">
        <f>VLOOKUP(D866,#REF!,2,0)</f>
        <v>#REF!</v>
      </c>
      <c r="D866" s="29" t="s">
        <v>2374</v>
      </c>
      <c r="E866" s="18" t="e">
        <f>VLOOKUP(C866,数据集标准分类!E:F,2,0)</f>
        <v>#REF!</v>
      </c>
      <c r="F866" s="29" t="e">
        <f>VLOOKUP(D866,数据集标准分类!G:H,2,0)</f>
        <v>#N/A</v>
      </c>
      <c r="G866" s="29" t="s">
        <v>2392</v>
      </c>
      <c r="H866" s="29" t="s">
        <v>2393</v>
      </c>
      <c r="I866" s="29" t="s">
        <v>2394</v>
      </c>
      <c r="J866" s="29" t="s">
        <v>2395</v>
      </c>
      <c r="K866" s="29" t="s">
        <v>2396</v>
      </c>
      <c r="L866" s="250">
        <v>10</v>
      </c>
      <c r="M866" s="45"/>
    </row>
    <row r="867" ht="76" spans="1:13">
      <c r="A867" s="248" t="s">
        <v>4175</v>
      </c>
      <c r="B867" s="45" t="s">
        <v>4174</v>
      </c>
      <c r="C867" s="249" t="e">
        <f>VLOOKUP(D867,#REF!,2,0)</f>
        <v>#REF!</v>
      </c>
      <c r="D867" s="29" t="s">
        <v>2374</v>
      </c>
      <c r="E867" s="18" t="e">
        <f>VLOOKUP(C867,数据集标准分类!E:F,2,0)</f>
        <v>#REF!</v>
      </c>
      <c r="F867" s="29" t="e">
        <f>VLOOKUP(D867,数据集标准分类!G:H,2,0)</f>
        <v>#N/A</v>
      </c>
      <c r="G867" s="29" t="s">
        <v>2365</v>
      </c>
      <c r="H867" s="29" t="s">
        <v>2366</v>
      </c>
      <c r="I867" s="29" t="s">
        <v>2367</v>
      </c>
      <c r="J867" s="29" t="s">
        <v>2368</v>
      </c>
      <c r="K867" s="29" t="s">
        <v>2330</v>
      </c>
      <c r="L867" s="250">
        <v>11</v>
      </c>
      <c r="M867" s="45"/>
    </row>
    <row r="868" ht="46" spans="1:13">
      <c r="A868" s="248" t="s">
        <v>4175</v>
      </c>
      <c r="B868" s="45" t="s">
        <v>4174</v>
      </c>
      <c r="C868" s="249" t="e">
        <f>VLOOKUP(D868,#REF!,2,0)</f>
        <v>#REF!</v>
      </c>
      <c r="D868" s="29" t="s">
        <v>2374</v>
      </c>
      <c r="E868" s="18" t="e">
        <f>VLOOKUP(C868,数据集标准分类!E:F,2,0)</f>
        <v>#REF!</v>
      </c>
      <c r="F868" s="29" t="e">
        <f>VLOOKUP(D868,数据集标准分类!G:H,2,0)</f>
        <v>#N/A</v>
      </c>
      <c r="G868" s="29" t="s">
        <v>2369</v>
      </c>
      <c r="H868" s="29" t="s">
        <v>2370</v>
      </c>
      <c r="I868" s="29" t="s">
        <v>2371</v>
      </c>
      <c r="J868" s="29" t="s">
        <v>2372</v>
      </c>
      <c r="K868" s="29" t="s">
        <v>2373</v>
      </c>
      <c r="L868" s="250">
        <v>12</v>
      </c>
      <c r="M868" s="45"/>
    </row>
    <row r="869" ht="31" spans="1:13">
      <c r="A869" s="248" t="s">
        <v>4175</v>
      </c>
      <c r="B869" s="45" t="s">
        <v>4174</v>
      </c>
      <c r="C869" s="249" t="e">
        <f>VLOOKUP(D869,#REF!,2,0)</f>
        <v>#REF!</v>
      </c>
      <c r="D869" s="29" t="s">
        <v>2397</v>
      </c>
      <c r="E869" s="18" t="e">
        <f>VLOOKUP(C869,数据集标准分类!E:F,2,0)</f>
        <v>#REF!</v>
      </c>
      <c r="F869" s="29" t="e">
        <f>VLOOKUP(D869,数据集标准分类!G:H,2,0)</f>
        <v>#N/A</v>
      </c>
      <c r="G869" s="29" t="s">
        <v>172</v>
      </c>
      <c r="H869" s="29" t="s">
        <v>173</v>
      </c>
      <c r="I869" s="29" t="s">
        <v>174</v>
      </c>
      <c r="J869" s="29" t="s">
        <v>175</v>
      </c>
      <c r="K869" s="29" t="s">
        <v>1245</v>
      </c>
      <c r="L869" s="250">
        <v>1</v>
      </c>
      <c r="M869" s="45"/>
    </row>
    <row r="870" ht="31" spans="1:13">
      <c r="A870" s="248" t="s">
        <v>4175</v>
      </c>
      <c r="B870" s="45" t="s">
        <v>4174</v>
      </c>
      <c r="C870" s="249" t="e">
        <f>VLOOKUP(D870,#REF!,2,0)</f>
        <v>#REF!</v>
      </c>
      <c r="D870" s="29" t="s">
        <v>2397</v>
      </c>
      <c r="E870" s="18" t="e">
        <f>VLOOKUP(C870,数据集标准分类!E:F,2,0)</f>
        <v>#REF!</v>
      </c>
      <c r="F870" s="29" t="e">
        <f>VLOOKUP(D870,数据集标准分类!G:H,2,0)</f>
        <v>#N/A</v>
      </c>
      <c r="G870" s="29" t="s">
        <v>2398</v>
      </c>
      <c r="H870" s="29" t="s">
        <v>2399</v>
      </c>
      <c r="I870" s="29" t="s">
        <v>2400</v>
      </c>
      <c r="J870" s="29" t="s">
        <v>2401</v>
      </c>
      <c r="K870" s="29" t="s">
        <v>2402</v>
      </c>
      <c r="L870" s="250">
        <v>2</v>
      </c>
      <c r="M870" s="45"/>
    </row>
    <row r="871" ht="31" spans="1:13">
      <c r="A871" s="248" t="s">
        <v>4175</v>
      </c>
      <c r="B871" s="45" t="s">
        <v>4174</v>
      </c>
      <c r="C871" s="249" t="e">
        <f>VLOOKUP(D871,#REF!,2,0)</f>
        <v>#REF!</v>
      </c>
      <c r="D871" s="29" t="s">
        <v>2397</v>
      </c>
      <c r="E871" s="18" t="e">
        <f>VLOOKUP(C871,数据集标准分类!E:F,2,0)</f>
        <v>#REF!</v>
      </c>
      <c r="F871" s="29" t="e">
        <f>VLOOKUP(D871,数据集标准分类!G:H,2,0)</f>
        <v>#N/A</v>
      </c>
      <c r="G871" s="29" t="s">
        <v>2403</v>
      </c>
      <c r="H871" s="29" t="s">
        <v>2404</v>
      </c>
      <c r="I871" s="29" t="s">
        <v>2405</v>
      </c>
      <c r="J871" s="29" t="s">
        <v>2406</v>
      </c>
      <c r="K871" s="29" t="s">
        <v>2407</v>
      </c>
      <c r="L871" s="250">
        <v>3</v>
      </c>
      <c r="M871" s="45"/>
    </row>
    <row r="872" ht="46" spans="1:13">
      <c r="A872" s="248" t="s">
        <v>4175</v>
      </c>
      <c r="B872" s="45" t="s">
        <v>4174</v>
      </c>
      <c r="C872" s="249" t="e">
        <f>VLOOKUP(D872,#REF!,2,0)</f>
        <v>#REF!</v>
      </c>
      <c r="D872" s="29" t="s">
        <v>2397</v>
      </c>
      <c r="E872" s="18" t="e">
        <f>VLOOKUP(C872,数据集标准分类!E:F,2,0)</f>
        <v>#REF!</v>
      </c>
      <c r="F872" s="29" t="e">
        <f>VLOOKUP(D872,数据集标准分类!G:H,2,0)</f>
        <v>#N/A</v>
      </c>
      <c r="G872" s="29" t="s">
        <v>2355</v>
      </c>
      <c r="H872" s="29" t="s">
        <v>2356</v>
      </c>
      <c r="I872" s="29" t="s">
        <v>2357</v>
      </c>
      <c r="J872" s="29" t="s">
        <v>2358</v>
      </c>
      <c r="K872" s="29" t="s">
        <v>2408</v>
      </c>
      <c r="L872" s="250">
        <v>4</v>
      </c>
      <c r="M872" s="45"/>
    </row>
    <row r="873" ht="46" spans="1:13">
      <c r="A873" s="248" t="s">
        <v>4175</v>
      </c>
      <c r="B873" s="45" t="s">
        <v>4174</v>
      </c>
      <c r="C873" s="249" t="e">
        <f>VLOOKUP(D873,#REF!,2,0)</f>
        <v>#REF!</v>
      </c>
      <c r="D873" s="29" t="s">
        <v>2397</v>
      </c>
      <c r="E873" s="18" t="e">
        <f>VLOOKUP(C873,数据集标准分类!E:F,2,0)</f>
        <v>#REF!</v>
      </c>
      <c r="F873" s="29" t="e">
        <f>VLOOKUP(D873,数据集标准分类!G:H,2,0)</f>
        <v>#N/A</v>
      </c>
      <c r="G873" s="29" t="s">
        <v>2360</v>
      </c>
      <c r="H873" s="29" t="s">
        <v>2361</v>
      </c>
      <c r="I873" s="29" t="s">
        <v>2362</v>
      </c>
      <c r="J873" s="29" t="s">
        <v>2363</v>
      </c>
      <c r="K873" s="29" t="s">
        <v>2364</v>
      </c>
      <c r="L873" s="250">
        <v>5</v>
      </c>
      <c r="M873" s="45"/>
    </row>
    <row r="874" ht="31" spans="1:13">
      <c r="A874" s="248" t="s">
        <v>4175</v>
      </c>
      <c r="B874" s="45" t="s">
        <v>4174</v>
      </c>
      <c r="C874" s="249" t="e">
        <f>VLOOKUP(D874,#REF!,2,0)</f>
        <v>#REF!</v>
      </c>
      <c r="D874" s="29" t="s">
        <v>2409</v>
      </c>
      <c r="E874" s="18" t="e">
        <f>VLOOKUP(C874,数据集标准分类!E:F,2,0)</f>
        <v>#REF!</v>
      </c>
      <c r="F874" s="29" t="e">
        <f>VLOOKUP(D874,数据集标准分类!G:H,2,0)</f>
        <v>#N/A</v>
      </c>
      <c r="G874" s="29" t="s">
        <v>172</v>
      </c>
      <c r="H874" s="29" t="s">
        <v>173</v>
      </c>
      <c r="I874" s="29" t="s">
        <v>174</v>
      </c>
      <c r="J874" s="29" t="s">
        <v>175</v>
      </c>
      <c r="K874" s="29" t="s">
        <v>1245</v>
      </c>
      <c r="L874" s="250">
        <v>1</v>
      </c>
      <c r="M874" s="264"/>
    </row>
    <row r="875" ht="61" spans="1:13">
      <c r="A875" s="248" t="s">
        <v>4175</v>
      </c>
      <c r="B875" s="45" t="s">
        <v>4174</v>
      </c>
      <c r="C875" s="249" t="e">
        <f>VLOOKUP(D875,#REF!,2,0)</f>
        <v>#REF!</v>
      </c>
      <c r="D875" s="29" t="s">
        <v>2409</v>
      </c>
      <c r="E875" s="18" t="e">
        <f>VLOOKUP(C875,数据集标准分类!E:F,2,0)</f>
        <v>#REF!</v>
      </c>
      <c r="F875" s="29" t="e">
        <f>VLOOKUP(D875,数据集标准分类!G:H,2,0)</f>
        <v>#N/A</v>
      </c>
      <c r="G875" s="29" t="s">
        <v>2410</v>
      </c>
      <c r="H875" s="29" t="s">
        <v>2411</v>
      </c>
      <c r="I875" s="29" t="s">
        <v>2412</v>
      </c>
      <c r="J875" s="29" t="s">
        <v>2413</v>
      </c>
      <c r="K875" s="29" t="s">
        <v>2414</v>
      </c>
      <c r="L875" s="250">
        <v>2</v>
      </c>
      <c r="M875" s="264"/>
    </row>
    <row r="876" ht="76" spans="1:13">
      <c r="A876" s="248" t="s">
        <v>4175</v>
      </c>
      <c r="B876" s="45" t="s">
        <v>4174</v>
      </c>
      <c r="C876" s="249" t="e">
        <f>VLOOKUP(D876,#REF!,2,0)</f>
        <v>#REF!</v>
      </c>
      <c r="D876" s="29" t="s">
        <v>2409</v>
      </c>
      <c r="E876" s="18" t="e">
        <f>VLOOKUP(C876,数据集标准分类!E:F,2,0)</f>
        <v>#REF!</v>
      </c>
      <c r="F876" s="29" t="e">
        <f>VLOOKUP(D876,数据集标准分类!G:H,2,0)</f>
        <v>#N/A</v>
      </c>
      <c r="G876" s="29" t="s">
        <v>2365</v>
      </c>
      <c r="H876" s="29" t="s">
        <v>2366</v>
      </c>
      <c r="I876" s="29" t="s">
        <v>2367</v>
      </c>
      <c r="J876" s="29" t="s">
        <v>2368</v>
      </c>
      <c r="K876" s="29" t="s">
        <v>2330</v>
      </c>
      <c r="L876" s="250">
        <v>3</v>
      </c>
      <c r="M876" s="264"/>
    </row>
    <row r="877" ht="31" spans="1:13">
      <c r="A877" s="248" t="s">
        <v>4175</v>
      </c>
      <c r="B877" s="45" t="s">
        <v>4174</v>
      </c>
      <c r="C877" s="249" t="e">
        <f>VLOOKUP(D877,#REF!,2,0)</f>
        <v>#REF!</v>
      </c>
      <c r="D877" s="29" t="s">
        <v>2409</v>
      </c>
      <c r="E877" s="18" t="e">
        <f>VLOOKUP(C877,数据集标准分类!E:F,2,0)</f>
        <v>#REF!</v>
      </c>
      <c r="F877" s="29" t="e">
        <f>VLOOKUP(D877,数据集标准分类!G:H,2,0)</f>
        <v>#N/A</v>
      </c>
      <c r="G877" s="29" t="s">
        <v>2369</v>
      </c>
      <c r="H877" s="29" t="s">
        <v>2370</v>
      </c>
      <c r="I877" s="29" t="s">
        <v>2371</v>
      </c>
      <c r="J877" s="29" t="s">
        <v>2372</v>
      </c>
      <c r="K877" s="29" t="s">
        <v>2415</v>
      </c>
      <c r="L877" s="250">
        <v>4</v>
      </c>
      <c r="M877" s="264"/>
    </row>
    <row r="878" ht="16.8" spans="1:13">
      <c r="A878" s="248" t="s">
        <v>4175</v>
      </c>
      <c r="B878" s="45" t="s">
        <v>4174</v>
      </c>
      <c r="C878" s="249" t="e">
        <f>VLOOKUP(D878,#REF!,2,0)</f>
        <v>#REF!</v>
      </c>
      <c r="D878" s="29" t="s">
        <v>2417</v>
      </c>
      <c r="E878" s="18" t="e">
        <f>VLOOKUP(C878,数据集标准分类!E:F,2,0)</f>
        <v>#REF!</v>
      </c>
      <c r="F878" s="29" t="e">
        <f>VLOOKUP(D878,数据集标准分类!G:H,2,0)</f>
        <v>#N/A</v>
      </c>
      <c r="G878" s="29" t="s">
        <v>137</v>
      </c>
      <c r="H878" s="29" t="s">
        <v>138</v>
      </c>
      <c r="I878" s="29" t="s">
        <v>139</v>
      </c>
      <c r="J878" s="29" t="s">
        <v>140</v>
      </c>
      <c r="K878" s="29" t="s">
        <v>141</v>
      </c>
      <c r="L878" s="250">
        <v>1</v>
      </c>
      <c r="M878" s="264"/>
    </row>
    <row r="879" ht="31" spans="1:13">
      <c r="A879" s="248" t="s">
        <v>4175</v>
      </c>
      <c r="B879" s="45" t="s">
        <v>4174</v>
      </c>
      <c r="C879" s="249" t="e">
        <f>VLOOKUP(D879,#REF!,2,0)</f>
        <v>#REF!</v>
      </c>
      <c r="D879" s="29" t="s">
        <v>2417</v>
      </c>
      <c r="E879" s="18" t="e">
        <f>VLOOKUP(C879,数据集标准分类!E:F,2,0)</f>
        <v>#REF!</v>
      </c>
      <c r="F879" s="29" t="e">
        <f>VLOOKUP(D879,数据集标准分类!G:H,2,0)</f>
        <v>#N/A</v>
      </c>
      <c r="G879" s="29" t="s">
        <v>172</v>
      </c>
      <c r="H879" s="29" t="s">
        <v>173</v>
      </c>
      <c r="I879" s="29" t="s">
        <v>174</v>
      </c>
      <c r="J879" s="29" t="s">
        <v>175</v>
      </c>
      <c r="K879" s="29" t="s">
        <v>1245</v>
      </c>
      <c r="L879" s="250">
        <v>2</v>
      </c>
      <c r="M879" s="264"/>
    </row>
    <row r="880" ht="31" spans="1:13">
      <c r="A880" s="248" t="s">
        <v>4175</v>
      </c>
      <c r="B880" s="45" t="s">
        <v>4174</v>
      </c>
      <c r="C880" s="249" t="e">
        <f>VLOOKUP(D880,#REF!,2,0)</f>
        <v>#REF!</v>
      </c>
      <c r="D880" s="29" t="s">
        <v>2417</v>
      </c>
      <c r="E880" s="18" t="e">
        <f>VLOOKUP(C880,数据集标准分类!E:F,2,0)</f>
        <v>#REF!</v>
      </c>
      <c r="F880" s="29" t="e">
        <f>VLOOKUP(D880,数据集标准分类!G:H,2,0)</f>
        <v>#N/A</v>
      </c>
      <c r="G880" s="29" t="s">
        <v>2419</v>
      </c>
      <c r="H880" s="29" t="s">
        <v>2420</v>
      </c>
      <c r="I880" s="29" t="s">
        <v>2421</v>
      </c>
      <c r="J880" s="29" t="s">
        <v>2422</v>
      </c>
      <c r="K880" s="29" t="s">
        <v>2423</v>
      </c>
      <c r="L880" s="250">
        <v>3</v>
      </c>
      <c r="M880" s="264"/>
    </row>
    <row r="881" ht="46" spans="1:13">
      <c r="A881" s="248" t="s">
        <v>4175</v>
      </c>
      <c r="B881" s="45" t="s">
        <v>4174</v>
      </c>
      <c r="C881" s="249" t="e">
        <f>VLOOKUP(D881,#REF!,2,0)</f>
        <v>#REF!</v>
      </c>
      <c r="D881" s="29" t="s">
        <v>2417</v>
      </c>
      <c r="E881" s="18" t="e">
        <f>VLOOKUP(C881,数据集标准分类!E:F,2,0)</f>
        <v>#REF!</v>
      </c>
      <c r="F881" s="29" t="e">
        <f>VLOOKUP(D881,数据集标准分类!G:H,2,0)</f>
        <v>#N/A</v>
      </c>
      <c r="G881" s="29" t="s">
        <v>1463</v>
      </c>
      <c r="H881" s="29" t="s">
        <v>1464</v>
      </c>
      <c r="I881" s="29" t="s">
        <v>1465</v>
      </c>
      <c r="J881" s="29" t="s">
        <v>1466</v>
      </c>
      <c r="K881" s="29" t="s">
        <v>1467</v>
      </c>
      <c r="L881" s="250">
        <v>4</v>
      </c>
      <c r="M881" s="264"/>
    </row>
    <row r="882" ht="16.8" spans="1:13">
      <c r="A882" s="248" t="s">
        <v>4175</v>
      </c>
      <c r="B882" s="45" t="s">
        <v>4174</v>
      </c>
      <c r="C882" s="249" t="e">
        <f>VLOOKUP(D882,#REF!,2,0)</f>
        <v>#REF!</v>
      </c>
      <c r="D882" s="29" t="s">
        <v>2417</v>
      </c>
      <c r="E882" s="18" t="e">
        <f>VLOOKUP(C882,数据集标准分类!E:F,2,0)</f>
        <v>#REF!</v>
      </c>
      <c r="F882" s="29" t="e">
        <f>VLOOKUP(D882,数据集标准分类!G:H,2,0)</f>
        <v>#N/A</v>
      </c>
      <c r="G882" s="29" t="s">
        <v>2424</v>
      </c>
      <c r="H882" s="29" t="s">
        <v>2425</v>
      </c>
      <c r="I882" s="29" t="s">
        <v>2426</v>
      </c>
      <c r="J882" s="29" t="s">
        <v>2427</v>
      </c>
      <c r="K882" s="29" t="s">
        <v>2428</v>
      </c>
      <c r="L882" s="250">
        <v>5</v>
      </c>
      <c r="M882" s="264"/>
    </row>
    <row r="883" ht="31" spans="1:13">
      <c r="A883" s="248" t="s">
        <v>4175</v>
      </c>
      <c r="B883" s="45" t="s">
        <v>4174</v>
      </c>
      <c r="C883" s="249" t="e">
        <f>VLOOKUP(D883,#REF!,2,0)</f>
        <v>#REF!</v>
      </c>
      <c r="D883" s="29" t="s">
        <v>2417</v>
      </c>
      <c r="E883" s="18" t="e">
        <f>VLOOKUP(C883,数据集标准分类!E:F,2,0)</f>
        <v>#REF!</v>
      </c>
      <c r="F883" s="29" t="e">
        <f>VLOOKUP(D883,数据集标准分类!G:H,2,0)</f>
        <v>#N/A</v>
      </c>
      <c r="G883" s="29" t="s">
        <v>2429</v>
      </c>
      <c r="H883" s="29" t="s">
        <v>2430</v>
      </c>
      <c r="I883" s="29" t="s">
        <v>2431</v>
      </c>
      <c r="J883" s="29" t="s">
        <v>2432</v>
      </c>
      <c r="K883" s="29" t="s">
        <v>2433</v>
      </c>
      <c r="L883" s="250">
        <v>6</v>
      </c>
      <c r="M883" s="264"/>
    </row>
    <row r="884" ht="16.8" spans="1:13">
      <c r="A884" s="248" t="s">
        <v>4175</v>
      </c>
      <c r="B884" s="45" t="s">
        <v>4174</v>
      </c>
      <c r="C884" s="249" t="e">
        <f>VLOOKUP(D884,#REF!,2,0)</f>
        <v>#REF!</v>
      </c>
      <c r="D884" s="29" t="s">
        <v>2417</v>
      </c>
      <c r="E884" s="18" t="e">
        <f>VLOOKUP(C884,数据集标准分类!E:F,2,0)</f>
        <v>#REF!</v>
      </c>
      <c r="F884" s="29" t="e">
        <f>VLOOKUP(D884,数据集标准分类!G:H,2,0)</f>
        <v>#N/A</v>
      </c>
      <c r="G884" s="29" t="s">
        <v>2434</v>
      </c>
      <c r="H884" s="29" t="s">
        <v>2435</v>
      </c>
      <c r="I884" s="29" t="s">
        <v>2436</v>
      </c>
      <c r="J884" s="29" t="s">
        <v>2437</v>
      </c>
      <c r="K884" s="29" t="s">
        <v>2438</v>
      </c>
      <c r="L884" s="250">
        <v>7</v>
      </c>
      <c r="M884" s="264"/>
    </row>
    <row r="885" ht="31" spans="1:13">
      <c r="A885" s="248" t="s">
        <v>4175</v>
      </c>
      <c r="B885" s="45" t="s">
        <v>4174</v>
      </c>
      <c r="C885" s="249" t="e">
        <f>VLOOKUP(D885,#REF!,2,0)</f>
        <v>#REF!</v>
      </c>
      <c r="D885" s="29" t="s">
        <v>2417</v>
      </c>
      <c r="E885" s="18" t="e">
        <f>VLOOKUP(C885,数据集标准分类!E:F,2,0)</f>
        <v>#REF!</v>
      </c>
      <c r="F885" s="29" t="e">
        <f>VLOOKUP(D885,数据集标准分类!G:H,2,0)</f>
        <v>#N/A</v>
      </c>
      <c r="G885" s="29" t="s">
        <v>2439</v>
      </c>
      <c r="H885" s="29" t="s">
        <v>2440</v>
      </c>
      <c r="I885" s="29" t="s">
        <v>2441</v>
      </c>
      <c r="J885" s="29" t="s">
        <v>2442</v>
      </c>
      <c r="K885" s="29" t="s">
        <v>2443</v>
      </c>
      <c r="L885" s="250">
        <v>8</v>
      </c>
      <c r="M885" s="264"/>
    </row>
    <row r="886" ht="46" spans="1:13">
      <c r="A886" s="248" t="s">
        <v>4175</v>
      </c>
      <c r="B886" s="45" t="s">
        <v>4174</v>
      </c>
      <c r="C886" s="249" t="e">
        <f>VLOOKUP(D886,#REF!,2,0)</f>
        <v>#REF!</v>
      </c>
      <c r="D886" s="29" t="s">
        <v>2417</v>
      </c>
      <c r="E886" s="18" t="e">
        <f>VLOOKUP(C886,数据集标准分类!E:F,2,0)</f>
        <v>#REF!</v>
      </c>
      <c r="F886" s="29" t="e">
        <f>VLOOKUP(D886,数据集标准分类!G:H,2,0)</f>
        <v>#N/A</v>
      </c>
      <c r="G886" s="29" t="s">
        <v>2444</v>
      </c>
      <c r="H886" s="29" t="s">
        <v>2445</v>
      </c>
      <c r="I886" s="29" t="s">
        <v>2446</v>
      </c>
      <c r="J886" s="29" t="s">
        <v>2447</v>
      </c>
      <c r="K886" s="29" t="s">
        <v>2448</v>
      </c>
      <c r="L886" s="250">
        <v>9</v>
      </c>
      <c r="M886" s="264"/>
    </row>
    <row r="887" ht="31" spans="1:13">
      <c r="A887" s="248" t="s">
        <v>4175</v>
      </c>
      <c r="B887" s="45" t="s">
        <v>4174</v>
      </c>
      <c r="C887" s="249" t="e">
        <f>VLOOKUP(D887,#REF!,2,0)</f>
        <v>#REF!</v>
      </c>
      <c r="D887" s="29" t="s">
        <v>2417</v>
      </c>
      <c r="E887" s="18" t="e">
        <f>VLOOKUP(C887,数据集标准分类!E:F,2,0)</f>
        <v>#REF!</v>
      </c>
      <c r="F887" s="29" t="e">
        <f>VLOOKUP(D887,数据集标准分类!G:H,2,0)</f>
        <v>#N/A</v>
      </c>
      <c r="G887" s="29" t="s">
        <v>2449</v>
      </c>
      <c r="H887" s="29" t="s">
        <v>2450</v>
      </c>
      <c r="I887" s="29" t="s">
        <v>2451</v>
      </c>
      <c r="J887" s="29" t="s">
        <v>2452</v>
      </c>
      <c r="K887" s="29" t="s">
        <v>2453</v>
      </c>
      <c r="L887" s="250">
        <v>10</v>
      </c>
      <c r="M887" s="264"/>
    </row>
    <row r="888" ht="31" spans="1:13">
      <c r="A888" s="248" t="s">
        <v>4175</v>
      </c>
      <c r="B888" s="45" t="s">
        <v>4174</v>
      </c>
      <c r="C888" s="249" t="e">
        <f>VLOOKUP(D888,#REF!,2,0)</f>
        <v>#REF!</v>
      </c>
      <c r="D888" s="29" t="s">
        <v>2417</v>
      </c>
      <c r="E888" s="18" t="e">
        <f>VLOOKUP(C888,数据集标准分类!E:F,2,0)</f>
        <v>#REF!</v>
      </c>
      <c r="F888" s="29" t="e">
        <f>VLOOKUP(D888,数据集标准分类!G:H,2,0)</f>
        <v>#N/A</v>
      </c>
      <c r="G888" s="29" t="s">
        <v>2454</v>
      </c>
      <c r="H888" s="29" t="s">
        <v>2455</v>
      </c>
      <c r="I888" s="29" t="s">
        <v>2456</v>
      </c>
      <c r="J888" s="29" t="s">
        <v>2457</v>
      </c>
      <c r="K888" s="29" t="s">
        <v>2458</v>
      </c>
      <c r="L888" s="250">
        <v>11</v>
      </c>
      <c r="M888" s="264"/>
    </row>
    <row r="889" ht="46" spans="1:13">
      <c r="A889" s="248" t="s">
        <v>4175</v>
      </c>
      <c r="B889" s="45" t="s">
        <v>4174</v>
      </c>
      <c r="C889" s="249" t="e">
        <f>VLOOKUP(D889,#REF!,2,0)</f>
        <v>#REF!</v>
      </c>
      <c r="D889" s="29" t="s">
        <v>2417</v>
      </c>
      <c r="E889" s="18" t="e">
        <f>VLOOKUP(C889,数据集标准分类!E:F,2,0)</f>
        <v>#REF!</v>
      </c>
      <c r="F889" s="29" t="e">
        <f>VLOOKUP(D889,数据集标准分类!G:H,2,0)</f>
        <v>#N/A</v>
      </c>
      <c r="G889" s="29" t="s">
        <v>2459</v>
      </c>
      <c r="H889" s="29" t="s">
        <v>2460</v>
      </c>
      <c r="I889" s="29" t="s">
        <v>2461</v>
      </c>
      <c r="J889" s="29" t="s">
        <v>2462</v>
      </c>
      <c r="K889" s="29" t="s">
        <v>2463</v>
      </c>
      <c r="L889" s="250">
        <v>12</v>
      </c>
      <c r="M889" s="264"/>
    </row>
    <row r="890" ht="16.8" spans="1:13">
      <c r="A890" s="248" t="s">
        <v>4175</v>
      </c>
      <c r="B890" s="45" t="s">
        <v>4174</v>
      </c>
      <c r="C890" s="249" t="e">
        <f>VLOOKUP(D890,#REF!,2,0)</f>
        <v>#REF!</v>
      </c>
      <c r="D890" s="29" t="s">
        <v>2417</v>
      </c>
      <c r="E890" s="18" t="e">
        <f>VLOOKUP(C890,数据集标准分类!E:F,2,0)</f>
        <v>#REF!</v>
      </c>
      <c r="F890" s="29" t="e">
        <f>VLOOKUP(D890,数据集标准分类!G:H,2,0)</f>
        <v>#N/A</v>
      </c>
      <c r="G890" s="29" t="s">
        <v>1298</v>
      </c>
      <c r="H890" s="29" t="s">
        <v>1299</v>
      </c>
      <c r="I890" s="29" t="s">
        <v>1300</v>
      </c>
      <c r="J890" s="29" t="s">
        <v>1301</v>
      </c>
      <c r="K890" s="29" t="s">
        <v>2464</v>
      </c>
      <c r="L890" s="250">
        <v>13</v>
      </c>
      <c r="M890" s="264"/>
    </row>
    <row r="891" ht="31" spans="1:13">
      <c r="A891" s="248" t="s">
        <v>4175</v>
      </c>
      <c r="B891" s="45" t="s">
        <v>4174</v>
      </c>
      <c r="C891" s="249" t="e">
        <f>VLOOKUP(D891,#REF!,2,0)</f>
        <v>#REF!</v>
      </c>
      <c r="D891" s="29" t="s">
        <v>2417</v>
      </c>
      <c r="E891" s="18" t="e">
        <f>VLOOKUP(C891,数据集标准分类!E:F,2,0)</f>
        <v>#REF!</v>
      </c>
      <c r="F891" s="29" t="e">
        <f>VLOOKUP(D891,数据集标准分类!G:H,2,0)</f>
        <v>#N/A</v>
      </c>
      <c r="G891" s="29" t="s">
        <v>1293</v>
      </c>
      <c r="H891" s="29" t="s">
        <v>1294</v>
      </c>
      <c r="I891" s="29" t="s">
        <v>1295</v>
      </c>
      <c r="J891" s="29" t="s">
        <v>1296</v>
      </c>
      <c r="K891" s="29" t="s">
        <v>2465</v>
      </c>
      <c r="L891" s="250">
        <v>14</v>
      </c>
      <c r="M891" s="264"/>
    </row>
    <row r="892" ht="31" spans="1:13">
      <c r="A892" s="248" t="s">
        <v>4175</v>
      </c>
      <c r="B892" s="45" t="s">
        <v>4174</v>
      </c>
      <c r="C892" s="249" t="e">
        <f>VLOOKUP(D892,#REF!,2,0)</f>
        <v>#REF!</v>
      </c>
      <c r="D892" s="29" t="s">
        <v>2417</v>
      </c>
      <c r="E892" s="18" t="e">
        <f>VLOOKUP(C892,数据集标准分类!E:F,2,0)</f>
        <v>#REF!</v>
      </c>
      <c r="F892" s="29" t="e">
        <f>VLOOKUP(D892,数据集标准分类!G:H,2,0)</f>
        <v>#N/A</v>
      </c>
      <c r="G892" s="29" t="s">
        <v>2466</v>
      </c>
      <c r="H892" s="29" t="s">
        <v>2467</v>
      </c>
      <c r="I892" s="29" t="s">
        <v>2468</v>
      </c>
      <c r="J892" s="29" t="s">
        <v>2469</v>
      </c>
      <c r="K892" s="29" t="s">
        <v>2470</v>
      </c>
      <c r="L892" s="250">
        <v>15</v>
      </c>
      <c r="M892" s="264"/>
    </row>
    <row r="893" ht="31" spans="1:13">
      <c r="A893" s="248" t="s">
        <v>4175</v>
      </c>
      <c r="B893" s="45" t="s">
        <v>4174</v>
      </c>
      <c r="C893" s="249" t="e">
        <f>VLOOKUP(D893,#REF!,2,0)</f>
        <v>#REF!</v>
      </c>
      <c r="D893" s="29" t="s">
        <v>2417</v>
      </c>
      <c r="E893" s="18" t="e">
        <f>VLOOKUP(C893,数据集标准分类!E:F,2,0)</f>
        <v>#REF!</v>
      </c>
      <c r="F893" s="29" t="e">
        <f>VLOOKUP(D893,数据集标准分类!G:H,2,0)</f>
        <v>#N/A</v>
      </c>
      <c r="G893" s="29" t="s">
        <v>2471</v>
      </c>
      <c r="H893" s="29" t="s">
        <v>2472</v>
      </c>
      <c r="I893" s="29" t="s">
        <v>2473</v>
      </c>
      <c r="J893" s="29" t="s">
        <v>2474</v>
      </c>
      <c r="K893" s="29" t="s">
        <v>2475</v>
      </c>
      <c r="L893" s="250">
        <v>16</v>
      </c>
      <c r="M893" s="264"/>
    </row>
    <row r="894" ht="31" spans="1:13">
      <c r="A894" s="248" t="s">
        <v>4175</v>
      </c>
      <c r="B894" s="45" t="s">
        <v>4174</v>
      </c>
      <c r="C894" s="249" t="e">
        <f>VLOOKUP(D894,#REF!,2,0)</f>
        <v>#REF!</v>
      </c>
      <c r="D894" s="29" t="s">
        <v>2417</v>
      </c>
      <c r="E894" s="18" t="e">
        <f>VLOOKUP(C894,数据集标准分类!E:F,2,0)</f>
        <v>#REF!</v>
      </c>
      <c r="F894" s="29" t="e">
        <f>VLOOKUP(D894,数据集标准分类!G:H,2,0)</f>
        <v>#N/A</v>
      </c>
      <c r="G894" s="29" t="s">
        <v>2476</v>
      </c>
      <c r="H894" s="29" t="s">
        <v>2477</v>
      </c>
      <c r="I894" s="29" t="s">
        <v>2478</v>
      </c>
      <c r="J894" s="29" t="s">
        <v>2479</v>
      </c>
      <c r="K894" s="29" t="s">
        <v>2480</v>
      </c>
      <c r="L894" s="250">
        <v>17</v>
      </c>
      <c r="M894" s="264"/>
    </row>
    <row r="895" ht="31" spans="1:13">
      <c r="A895" s="248" t="s">
        <v>4175</v>
      </c>
      <c r="B895" s="45" t="s">
        <v>4174</v>
      </c>
      <c r="C895" s="249" t="e">
        <f>VLOOKUP(D895,#REF!,2,0)</f>
        <v>#REF!</v>
      </c>
      <c r="D895" s="29" t="s">
        <v>2417</v>
      </c>
      <c r="E895" s="18" t="e">
        <f>VLOOKUP(C895,数据集标准分类!E:F,2,0)</f>
        <v>#REF!</v>
      </c>
      <c r="F895" s="29" t="e">
        <f>VLOOKUP(D895,数据集标准分类!G:H,2,0)</f>
        <v>#N/A</v>
      </c>
      <c r="G895" s="29" t="s">
        <v>2481</v>
      </c>
      <c r="H895" s="29" t="s">
        <v>2482</v>
      </c>
      <c r="I895" s="29" t="s">
        <v>2483</v>
      </c>
      <c r="J895" s="29" t="s">
        <v>2484</v>
      </c>
      <c r="K895" s="29" t="s">
        <v>2485</v>
      </c>
      <c r="L895" s="250">
        <v>18</v>
      </c>
      <c r="M895" s="264"/>
    </row>
    <row r="896" ht="31" spans="1:13">
      <c r="A896" s="248" t="s">
        <v>4175</v>
      </c>
      <c r="B896" s="45" t="s">
        <v>4174</v>
      </c>
      <c r="C896" s="249" t="e">
        <f>VLOOKUP(D896,#REF!,2,0)</f>
        <v>#REF!</v>
      </c>
      <c r="D896" s="29" t="s">
        <v>2417</v>
      </c>
      <c r="E896" s="18" t="e">
        <f>VLOOKUP(C896,数据集标准分类!E:F,2,0)</f>
        <v>#REF!</v>
      </c>
      <c r="F896" s="29" t="e">
        <f>VLOOKUP(D896,数据集标准分类!G:H,2,0)</f>
        <v>#N/A</v>
      </c>
      <c r="G896" s="29" t="s">
        <v>2486</v>
      </c>
      <c r="H896" s="29" t="s">
        <v>2487</v>
      </c>
      <c r="I896" s="29" t="s">
        <v>2488</v>
      </c>
      <c r="J896" s="29" t="s">
        <v>2489</v>
      </c>
      <c r="K896" s="29" t="s">
        <v>2490</v>
      </c>
      <c r="L896" s="250">
        <v>19</v>
      </c>
      <c r="M896" s="264"/>
    </row>
    <row r="897" ht="31" spans="1:13">
      <c r="A897" s="248" t="s">
        <v>4175</v>
      </c>
      <c r="B897" s="45" t="s">
        <v>4174</v>
      </c>
      <c r="C897" s="249" t="e">
        <f>VLOOKUP(D897,#REF!,2,0)</f>
        <v>#REF!</v>
      </c>
      <c r="D897" s="29" t="s">
        <v>2417</v>
      </c>
      <c r="E897" s="18" t="e">
        <f>VLOOKUP(C897,数据集标准分类!E:F,2,0)</f>
        <v>#REF!</v>
      </c>
      <c r="F897" s="29" t="e">
        <f>VLOOKUP(D897,数据集标准分类!G:H,2,0)</f>
        <v>#N/A</v>
      </c>
      <c r="G897" s="29" t="s">
        <v>2491</v>
      </c>
      <c r="H897" s="29" t="s">
        <v>2492</v>
      </c>
      <c r="I897" s="29" t="s">
        <v>2493</v>
      </c>
      <c r="J897" s="29" t="s">
        <v>2494</v>
      </c>
      <c r="K897" s="29" t="s">
        <v>2495</v>
      </c>
      <c r="L897" s="250">
        <v>20</v>
      </c>
      <c r="M897" s="264"/>
    </row>
    <row r="898" ht="31" spans="1:13">
      <c r="A898" s="248" t="s">
        <v>4175</v>
      </c>
      <c r="B898" s="45" t="s">
        <v>4174</v>
      </c>
      <c r="C898" s="249" t="e">
        <f>VLOOKUP(D898,#REF!,2,0)</f>
        <v>#REF!</v>
      </c>
      <c r="D898" s="29" t="s">
        <v>2417</v>
      </c>
      <c r="E898" s="18" t="e">
        <f>VLOOKUP(C898,数据集标准分类!E:F,2,0)</f>
        <v>#REF!</v>
      </c>
      <c r="F898" s="29" t="e">
        <f>VLOOKUP(D898,数据集标准分类!G:H,2,0)</f>
        <v>#N/A</v>
      </c>
      <c r="G898" s="29" t="s">
        <v>2496</v>
      </c>
      <c r="H898" s="29" t="s">
        <v>2497</v>
      </c>
      <c r="I898" s="29" t="s">
        <v>2498</v>
      </c>
      <c r="J898" s="29" t="s">
        <v>2499</v>
      </c>
      <c r="K898" s="29" t="s">
        <v>2500</v>
      </c>
      <c r="L898" s="250">
        <v>21</v>
      </c>
      <c r="M898" s="264"/>
    </row>
    <row r="899" ht="16.8" spans="1:13">
      <c r="A899" s="248" t="s">
        <v>4175</v>
      </c>
      <c r="B899" s="45" t="s">
        <v>4174</v>
      </c>
      <c r="C899" s="249" t="e">
        <f>VLOOKUP(D899,#REF!,2,0)</f>
        <v>#REF!</v>
      </c>
      <c r="D899" s="29" t="s">
        <v>2417</v>
      </c>
      <c r="E899" s="18" t="e">
        <f>VLOOKUP(C899,数据集标准分类!E:F,2,0)</f>
        <v>#REF!</v>
      </c>
      <c r="F899" s="29" t="e">
        <f>VLOOKUP(D899,数据集标准分类!G:H,2,0)</f>
        <v>#N/A</v>
      </c>
      <c r="G899" s="29" t="s">
        <v>2501</v>
      </c>
      <c r="H899" s="29" t="s">
        <v>2502</v>
      </c>
      <c r="I899" s="29" t="s">
        <v>2503</v>
      </c>
      <c r="J899" s="29" t="s">
        <v>2504</v>
      </c>
      <c r="K899" s="29" t="s">
        <v>2505</v>
      </c>
      <c r="L899" s="250">
        <v>22</v>
      </c>
      <c r="M899" s="264"/>
    </row>
    <row r="900" ht="16.8" spans="1:13">
      <c r="A900" s="248" t="s">
        <v>4175</v>
      </c>
      <c r="B900" s="45" t="s">
        <v>4174</v>
      </c>
      <c r="C900" s="249" t="e">
        <f>VLOOKUP(D900,#REF!,2,0)</f>
        <v>#REF!</v>
      </c>
      <c r="D900" s="29" t="s">
        <v>2417</v>
      </c>
      <c r="E900" s="18" t="e">
        <f>VLOOKUP(C900,数据集标准分类!E:F,2,0)</f>
        <v>#REF!</v>
      </c>
      <c r="F900" s="29" t="e">
        <f>VLOOKUP(D900,数据集标准分类!G:H,2,0)</f>
        <v>#N/A</v>
      </c>
      <c r="G900" s="171" t="s">
        <v>2506</v>
      </c>
      <c r="H900" s="171" t="s">
        <v>2507</v>
      </c>
      <c r="I900" s="29" t="s">
        <v>2508</v>
      </c>
      <c r="J900" s="171" t="s">
        <v>2509</v>
      </c>
      <c r="K900" s="171"/>
      <c r="L900" s="250">
        <v>23</v>
      </c>
      <c r="M900" s="264"/>
    </row>
    <row r="901" ht="16.8" spans="1:13">
      <c r="A901" s="248" t="s">
        <v>4175</v>
      </c>
      <c r="B901" s="45" t="s">
        <v>4174</v>
      </c>
      <c r="C901" s="249" t="e">
        <f>VLOOKUP(D901,#REF!,2,0)</f>
        <v>#REF!</v>
      </c>
      <c r="D901" s="29" t="s">
        <v>2417</v>
      </c>
      <c r="E901" s="18" t="e">
        <f>VLOOKUP(C901,数据集标准分类!E:F,2,0)</f>
        <v>#REF!</v>
      </c>
      <c r="F901" s="29" t="e">
        <f>VLOOKUP(D901,数据集标准分类!G:H,2,0)</f>
        <v>#N/A</v>
      </c>
      <c r="G901" s="171" t="s">
        <v>2510</v>
      </c>
      <c r="H901" s="171" t="s">
        <v>2511</v>
      </c>
      <c r="I901" s="29" t="s">
        <v>2512</v>
      </c>
      <c r="J901" s="171" t="s">
        <v>2513</v>
      </c>
      <c r="K901" s="171"/>
      <c r="L901" s="250">
        <v>24</v>
      </c>
      <c r="M901" s="264"/>
    </row>
    <row r="902" ht="16.8" spans="1:13">
      <c r="A902" s="248" t="s">
        <v>4175</v>
      </c>
      <c r="B902" s="45" t="s">
        <v>4174</v>
      </c>
      <c r="C902" s="249" t="e">
        <f>VLOOKUP(D902,#REF!,2,0)</f>
        <v>#REF!</v>
      </c>
      <c r="D902" s="29" t="s">
        <v>2417</v>
      </c>
      <c r="E902" s="18" t="e">
        <f>VLOOKUP(C902,数据集标准分类!E:F,2,0)</f>
        <v>#REF!</v>
      </c>
      <c r="F902" s="29" t="e">
        <f>VLOOKUP(D902,数据集标准分类!G:H,2,0)</f>
        <v>#N/A</v>
      </c>
      <c r="G902" s="171" t="s">
        <v>2514</v>
      </c>
      <c r="H902" s="171" t="s">
        <v>2515</v>
      </c>
      <c r="I902" s="29" t="s">
        <v>2516</v>
      </c>
      <c r="J902" s="171" t="s">
        <v>2517</v>
      </c>
      <c r="K902" s="171"/>
      <c r="L902" s="250">
        <v>25</v>
      </c>
      <c r="M902" s="264"/>
    </row>
    <row r="903" ht="16.8" spans="1:13">
      <c r="A903" s="248" t="s">
        <v>4175</v>
      </c>
      <c r="B903" s="45" t="s">
        <v>4174</v>
      </c>
      <c r="C903" s="249" t="e">
        <f>VLOOKUP(D903,#REF!,2,0)</f>
        <v>#REF!</v>
      </c>
      <c r="D903" s="29" t="s">
        <v>2417</v>
      </c>
      <c r="E903" s="18" t="e">
        <f>VLOOKUP(C903,数据集标准分类!E:F,2,0)</f>
        <v>#REF!</v>
      </c>
      <c r="F903" s="29" t="e">
        <f>VLOOKUP(D903,数据集标准分类!G:H,2,0)</f>
        <v>#N/A</v>
      </c>
      <c r="G903" s="171" t="s">
        <v>2518</v>
      </c>
      <c r="H903" s="171" t="s">
        <v>2519</v>
      </c>
      <c r="I903" s="29" t="s">
        <v>2520</v>
      </c>
      <c r="J903" s="171" t="s">
        <v>2521</v>
      </c>
      <c r="K903" s="171"/>
      <c r="L903" s="250">
        <v>26</v>
      </c>
      <c r="M903" s="264"/>
    </row>
    <row r="904" ht="16.8" spans="1:13">
      <c r="A904" s="248" t="s">
        <v>4175</v>
      </c>
      <c r="B904" s="45" t="s">
        <v>4174</v>
      </c>
      <c r="C904" s="249" t="e">
        <f>VLOOKUP(D904,#REF!,2,0)</f>
        <v>#REF!</v>
      </c>
      <c r="D904" s="29" t="s">
        <v>2522</v>
      </c>
      <c r="E904" s="18" t="e">
        <f>VLOOKUP(C904,数据集标准分类!E:F,2,0)</f>
        <v>#REF!</v>
      </c>
      <c r="F904" s="29" t="e">
        <f>VLOOKUP(D904,数据集标准分类!G:H,2,0)</f>
        <v>#N/A</v>
      </c>
      <c r="G904" s="29" t="s">
        <v>137</v>
      </c>
      <c r="H904" s="29" t="s">
        <v>138</v>
      </c>
      <c r="I904" s="29" t="s">
        <v>139</v>
      </c>
      <c r="J904" s="29" t="s">
        <v>140</v>
      </c>
      <c r="K904" s="29" t="s">
        <v>141</v>
      </c>
      <c r="L904" s="250">
        <v>1</v>
      </c>
      <c r="M904" s="264"/>
    </row>
    <row r="905" ht="46" spans="1:13">
      <c r="A905" s="248" t="s">
        <v>4175</v>
      </c>
      <c r="B905" s="45" t="s">
        <v>4174</v>
      </c>
      <c r="C905" s="249" t="e">
        <f>VLOOKUP(D905,#REF!,2,0)</f>
        <v>#REF!</v>
      </c>
      <c r="D905" s="29" t="s">
        <v>2522</v>
      </c>
      <c r="E905" s="18" t="e">
        <f>VLOOKUP(C905,数据集标准分类!E:F,2,0)</f>
        <v>#REF!</v>
      </c>
      <c r="F905" s="29" t="e">
        <f>VLOOKUP(D905,数据集标准分类!G:H,2,0)</f>
        <v>#N/A</v>
      </c>
      <c r="G905" s="29" t="s">
        <v>2523</v>
      </c>
      <c r="H905" s="29" t="s">
        <v>2524</v>
      </c>
      <c r="I905" s="29" t="s">
        <v>2525</v>
      </c>
      <c r="J905" s="29" t="s">
        <v>2526</v>
      </c>
      <c r="K905" s="29" t="s">
        <v>2527</v>
      </c>
      <c r="L905" s="250">
        <v>2</v>
      </c>
      <c r="M905" s="251"/>
    </row>
    <row r="906" ht="31" spans="1:13">
      <c r="A906" s="248" t="s">
        <v>4175</v>
      </c>
      <c r="B906" s="45" t="s">
        <v>4174</v>
      </c>
      <c r="C906" s="249" t="e">
        <f>VLOOKUP(D906,#REF!,2,0)</f>
        <v>#REF!</v>
      </c>
      <c r="D906" s="29" t="s">
        <v>2522</v>
      </c>
      <c r="E906" s="18" t="e">
        <f>VLOOKUP(C906,数据集标准分类!E:F,2,0)</f>
        <v>#REF!</v>
      </c>
      <c r="F906" s="29" t="e">
        <f>VLOOKUP(D906,数据集标准分类!G:H,2,0)</f>
        <v>#N/A</v>
      </c>
      <c r="G906" s="29" t="s">
        <v>172</v>
      </c>
      <c r="H906" s="29" t="s">
        <v>173</v>
      </c>
      <c r="I906" s="29" t="s">
        <v>174</v>
      </c>
      <c r="J906" s="29" t="s">
        <v>175</v>
      </c>
      <c r="K906" s="29" t="s">
        <v>1245</v>
      </c>
      <c r="L906" s="250">
        <v>3</v>
      </c>
      <c r="M906" s="251"/>
    </row>
    <row r="907" ht="46" spans="1:13">
      <c r="A907" s="248" t="s">
        <v>4175</v>
      </c>
      <c r="B907" s="45" t="s">
        <v>4174</v>
      </c>
      <c r="C907" s="249" t="e">
        <f>VLOOKUP(D907,#REF!,2,0)</f>
        <v>#REF!</v>
      </c>
      <c r="D907" s="29" t="s">
        <v>2522</v>
      </c>
      <c r="E907" s="18" t="e">
        <f>VLOOKUP(C907,数据集标准分类!E:F,2,0)</f>
        <v>#REF!</v>
      </c>
      <c r="F907" s="29" t="e">
        <f>VLOOKUP(D907,数据集标准分类!G:H,2,0)</f>
        <v>#N/A</v>
      </c>
      <c r="G907" s="29" t="s">
        <v>1463</v>
      </c>
      <c r="H907" s="29" t="s">
        <v>1464</v>
      </c>
      <c r="I907" s="29" t="s">
        <v>1465</v>
      </c>
      <c r="J907" s="29" t="s">
        <v>1466</v>
      </c>
      <c r="K907" s="29" t="s">
        <v>1467</v>
      </c>
      <c r="L907" s="250">
        <v>4</v>
      </c>
      <c r="M907" s="251"/>
    </row>
    <row r="908" ht="61" spans="1:13">
      <c r="A908" s="248" t="s">
        <v>4175</v>
      </c>
      <c r="B908" s="45" t="s">
        <v>4174</v>
      </c>
      <c r="C908" s="249" t="e">
        <f>VLOOKUP(D908,#REF!,2,0)</f>
        <v>#REF!</v>
      </c>
      <c r="D908" s="29" t="s">
        <v>2522</v>
      </c>
      <c r="E908" s="18" t="e">
        <f>VLOOKUP(C908,数据集标准分类!E:F,2,0)</f>
        <v>#REF!</v>
      </c>
      <c r="F908" s="29" t="e">
        <f>VLOOKUP(D908,数据集标准分类!G:H,2,0)</f>
        <v>#N/A</v>
      </c>
      <c r="G908" s="29" t="s">
        <v>663</v>
      </c>
      <c r="H908" s="29" t="s">
        <v>664</v>
      </c>
      <c r="I908" s="29" t="s">
        <v>665</v>
      </c>
      <c r="J908" s="29" t="s">
        <v>666</v>
      </c>
      <c r="K908" s="29" t="s">
        <v>667</v>
      </c>
      <c r="L908" s="250">
        <v>5</v>
      </c>
      <c r="M908" s="251"/>
    </row>
    <row r="909" ht="31" spans="1:13">
      <c r="A909" s="248" t="s">
        <v>4175</v>
      </c>
      <c r="B909" s="45" t="s">
        <v>4174</v>
      </c>
      <c r="C909" s="249" t="e">
        <f>VLOOKUP(D909,#REF!,2,0)</f>
        <v>#REF!</v>
      </c>
      <c r="D909" s="29" t="s">
        <v>2522</v>
      </c>
      <c r="E909" s="18" t="e">
        <f>VLOOKUP(C909,数据集标准分类!E:F,2,0)</f>
        <v>#REF!</v>
      </c>
      <c r="F909" s="29" t="e">
        <f>VLOOKUP(D909,数据集标准分类!G:H,2,0)</f>
        <v>#N/A</v>
      </c>
      <c r="G909" s="29" t="s">
        <v>2528</v>
      </c>
      <c r="H909" s="29" t="s">
        <v>2529</v>
      </c>
      <c r="I909" s="29" t="s">
        <v>2530</v>
      </c>
      <c r="J909" s="29" t="s">
        <v>2531</v>
      </c>
      <c r="K909" s="29" t="s">
        <v>2532</v>
      </c>
      <c r="L909" s="250">
        <v>6</v>
      </c>
      <c r="M909" s="251"/>
    </row>
    <row r="910" ht="60" customHeight="1" spans="1:13">
      <c r="A910" s="248" t="s">
        <v>4175</v>
      </c>
      <c r="B910" s="45" t="s">
        <v>4174</v>
      </c>
      <c r="C910" s="249" t="e">
        <f>VLOOKUP(D910,#REF!,2,0)</f>
        <v>#REF!</v>
      </c>
      <c r="D910" s="29" t="s">
        <v>2522</v>
      </c>
      <c r="E910" s="18" t="e">
        <f>VLOOKUP(C910,数据集标准分类!E:F,2,0)</f>
        <v>#REF!</v>
      </c>
      <c r="F910" s="29" t="e">
        <f>VLOOKUP(D910,数据集标准分类!G:H,2,0)</f>
        <v>#N/A</v>
      </c>
      <c r="G910" s="29" t="s">
        <v>2533</v>
      </c>
      <c r="H910" s="29" t="s">
        <v>2534</v>
      </c>
      <c r="I910" s="29" t="s">
        <v>2535</v>
      </c>
      <c r="J910" s="29" t="s">
        <v>2536</v>
      </c>
      <c r="K910" s="29" t="s">
        <v>2537</v>
      </c>
      <c r="L910" s="250">
        <v>7</v>
      </c>
      <c r="M910" s="251"/>
    </row>
    <row r="911" ht="16.8" spans="1:13">
      <c r="A911" s="248" t="s">
        <v>4175</v>
      </c>
      <c r="B911" s="45" t="s">
        <v>4174</v>
      </c>
      <c r="C911" s="249" t="e">
        <f>VLOOKUP(D911,#REF!,2,0)</f>
        <v>#REF!</v>
      </c>
      <c r="D911" s="29" t="s">
        <v>2522</v>
      </c>
      <c r="E911" s="18" t="e">
        <f>VLOOKUP(C911,数据集标准分类!E:F,2,0)</f>
        <v>#REF!</v>
      </c>
      <c r="F911" s="29" t="e">
        <f>VLOOKUP(D911,数据集标准分类!G:H,2,0)</f>
        <v>#N/A</v>
      </c>
      <c r="G911" s="29" t="s">
        <v>934</v>
      </c>
      <c r="H911" s="29" t="s">
        <v>935</v>
      </c>
      <c r="I911" s="29" t="s">
        <v>936</v>
      </c>
      <c r="J911" s="29" t="s">
        <v>937</v>
      </c>
      <c r="K911" s="29" t="s">
        <v>938</v>
      </c>
      <c r="L911" s="250">
        <v>8</v>
      </c>
      <c r="M911" s="251"/>
    </row>
    <row r="912" ht="31" spans="1:13">
      <c r="A912" s="248" t="s">
        <v>4175</v>
      </c>
      <c r="B912" s="45" t="s">
        <v>4174</v>
      </c>
      <c r="C912" s="249" t="e">
        <f>VLOOKUP(D912,#REF!,2,0)</f>
        <v>#REF!</v>
      </c>
      <c r="D912" s="29" t="s">
        <v>2522</v>
      </c>
      <c r="E912" s="18" t="e">
        <f>VLOOKUP(C912,数据集标准分类!E:F,2,0)</f>
        <v>#REF!</v>
      </c>
      <c r="F912" s="29" t="e">
        <f>VLOOKUP(D912,数据集标准分类!G:H,2,0)</f>
        <v>#N/A</v>
      </c>
      <c r="G912" s="29" t="s">
        <v>2538</v>
      </c>
      <c r="H912" s="29" t="s">
        <v>2539</v>
      </c>
      <c r="I912" s="29" t="s">
        <v>2540</v>
      </c>
      <c r="J912" s="29" t="s">
        <v>2541</v>
      </c>
      <c r="K912" s="29" t="s">
        <v>2542</v>
      </c>
      <c r="L912" s="250">
        <v>9</v>
      </c>
      <c r="M912" s="251"/>
    </row>
    <row r="913" ht="31" spans="1:13">
      <c r="A913" s="248" t="s">
        <v>4175</v>
      </c>
      <c r="B913" s="45" t="s">
        <v>4174</v>
      </c>
      <c r="C913" s="249" t="e">
        <f>VLOOKUP(D913,#REF!,2,0)</f>
        <v>#REF!</v>
      </c>
      <c r="D913" s="29" t="s">
        <v>2522</v>
      </c>
      <c r="E913" s="18" t="e">
        <f>VLOOKUP(C913,数据集标准分类!E:F,2,0)</f>
        <v>#REF!</v>
      </c>
      <c r="F913" s="29" t="e">
        <f>VLOOKUP(D913,数据集标准分类!G:H,2,0)</f>
        <v>#N/A</v>
      </c>
      <c r="G913" s="29" t="s">
        <v>192</v>
      </c>
      <c r="H913" s="29" t="s">
        <v>193</v>
      </c>
      <c r="I913" s="29" t="s">
        <v>194</v>
      </c>
      <c r="J913" s="29" t="s">
        <v>195</v>
      </c>
      <c r="K913" s="29" t="s">
        <v>2543</v>
      </c>
      <c r="L913" s="250">
        <v>10</v>
      </c>
      <c r="M913" s="251"/>
    </row>
    <row r="914" ht="16.8" spans="1:13">
      <c r="A914" s="248" t="s">
        <v>4175</v>
      </c>
      <c r="B914" s="45" t="s">
        <v>4174</v>
      </c>
      <c r="C914" s="249" t="e">
        <f>VLOOKUP(D914,#REF!,2,0)</f>
        <v>#REF!</v>
      </c>
      <c r="D914" s="29" t="s">
        <v>2522</v>
      </c>
      <c r="E914" s="18" t="e">
        <f>VLOOKUP(C914,数据集标准分类!E:F,2,0)</f>
        <v>#REF!</v>
      </c>
      <c r="F914" s="29" t="e">
        <f>VLOOKUP(D914,数据集标准分类!G:H,2,0)</f>
        <v>#N/A</v>
      </c>
      <c r="G914" s="29" t="s">
        <v>396</v>
      </c>
      <c r="H914" s="29" t="s">
        <v>397</v>
      </c>
      <c r="I914" s="29" t="s">
        <v>398</v>
      </c>
      <c r="J914" s="29" t="s">
        <v>399</v>
      </c>
      <c r="K914" s="29" t="s">
        <v>1260</v>
      </c>
      <c r="L914" s="250">
        <v>11</v>
      </c>
      <c r="M914" s="251"/>
    </row>
    <row r="915" ht="31" spans="1:13">
      <c r="A915" s="248" t="s">
        <v>4175</v>
      </c>
      <c r="B915" s="45" t="s">
        <v>4174</v>
      </c>
      <c r="C915" s="249" t="e">
        <f>VLOOKUP(D915,#REF!,2,0)</f>
        <v>#REF!</v>
      </c>
      <c r="D915" s="29" t="s">
        <v>2522</v>
      </c>
      <c r="E915" s="18" t="e">
        <f>VLOOKUP(C915,数据集标准分类!E:F,2,0)</f>
        <v>#REF!</v>
      </c>
      <c r="F915" s="29" t="e">
        <f>VLOOKUP(D915,数据集标准分类!G:H,2,0)</f>
        <v>#N/A</v>
      </c>
      <c r="G915" s="29" t="s">
        <v>2544</v>
      </c>
      <c r="H915" s="29" t="s">
        <v>2545</v>
      </c>
      <c r="I915" s="29" t="s">
        <v>2546</v>
      </c>
      <c r="J915" s="29" t="s">
        <v>2547</v>
      </c>
      <c r="K915" s="29" t="s">
        <v>2548</v>
      </c>
      <c r="L915" s="250">
        <v>12</v>
      </c>
      <c r="M915" s="251"/>
    </row>
    <row r="916" ht="60" customHeight="1" spans="1:13">
      <c r="A916" s="248" t="s">
        <v>4175</v>
      </c>
      <c r="B916" s="45" t="s">
        <v>4174</v>
      </c>
      <c r="C916" s="249" t="e">
        <f>VLOOKUP(D916,#REF!,2,0)</f>
        <v>#REF!</v>
      </c>
      <c r="D916" s="29" t="s">
        <v>2522</v>
      </c>
      <c r="E916" s="18" t="e">
        <f>VLOOKUP(C916,数据集标准分类!E:F,2,0)</f>
        <v>#REF!</v>
      </c>
      <c r="F916" s="29" t="e">
        <f>VLOOKUP(D916,数据集标准分类!G:H,2,0)</f>
        <v>#N/A</v>
      </c>
      <c r="G916" s="29" t="s">
        <v>1266</v>
      </c>
      <c r="H916" s="29" t="s">
        <v>1267</v>
      </c>
      <c r="I916" s="29" t="s">
        <v>1268</v>
      </c>
      <c r="J916" s="29" t="s">
        <v>1269</v>
      </c>
      <c r="K916" s="29" t="s">
        <v>1270</v>
      </c>
      <c r="L916" s="250">
        <v>13</v>
      </c>
      <c r="M916" s="251"/>
    </row>
    <row r="917" ht="16.8" spans="1:13">
      <c r="A917" s="248" t="s">
        <v>4175</v>
      </c>
      <c r="B917" s="45" t="s">
        <v>4174</v>
      </c>
      <c r="C917" s="249" t="e">
        <f>VLOOKUP(D917,#REF!,2,0)</f>
        <v>#REF!</v>
      </c>
      <c r="D917" s="29" t="s">
        <v>2522</v>
      </c>
      <c r="E917" s="18" t="e">
        <f>VLOOKUP(C917,数据集标准分类!E:F,2,0)</f>
        <v>#REF!</v>
      </c>
      <c r="F917" s="29" t="e">
        <f>VLOOKUP(D917,数据集标准分类!G:H,2,0)</f>
        <v>#N/A</v>
      </c>
      <c r="G917" s="29" t="s">
        <v>216</v>
      </c>
      <c r="H917" s="29" t="s">
        <v>217</v>
      </c>
      <c r="I917" s="29" t="s">
        <v>218</v>
      </c>
      <c r="J917" s="29" t="s">
        <v>219</v>
      </c>
      <c r="K917" s="29" t="s">
        <v>2549</v>
      </c>
      <c r="L917" s="250">
        <v>14</v>
      </c>
      <c r="M917" s="251"/>
    </row>
    <row r="918" ht="16.8" spans="1:13">
      <c r="A918" s="248" t="s">
        <v>4175</v>
      </c>
      <c r="B918" s="45" t="s">
        <v>4174</v>
      </c>
      <c r="C918" s="249" t="e">
        <f>VLOOKUP(D918,#REF!,2,0)</f>
        <v>#REF!</v>
      </c>
      <c r="D918" s="29" t="s">
        <v>2522</v>
      </c>
      <c r="E918" s="18" t="e">
        <f>VLOOKUP(C918,数据集标准分类!E:F,2,0)</f>
        <v>#REF!</v>
      </c>
      <c r="F918" s="29" t="e">
        <f>VLOOKUP(D918,数据集标准分类!G:H,2,0)</f>
        <v>#N/A</v>
      </c>
      <c r="G918" s="29" t="s">
        <v>1272</v>
      </c>
      <c r="H918" s="29" t="s">
        <v>1273</v>
      </c>
      <c r="I918" s="29" t="s">
        <v>1274</v>
      </c>
      <c r="J918" s="29" t="s">
        <v>1275</v>
      </c>
      <c r="K918" s="29" t="s">
        <v>1276</v>
      </c>
      <c r="L918" s="250">
        <v>15</v>
      </c>
      <c r="M918" s="251"/>
    </row>
    <row r="919" ht="46" spans="1:13">
      <c r="A919" s="248" t="s">
        <v>4175</v>
      </c>
      <c r="B919" s="45" t="s">
        <v>4174</v>
      </c>
      <c r="C919" s="249" t="e">
        <f>VLOOKUP(D919,#REF!,2,0)</f>
        <v>#REF!</v>
      </c>
      <c r="D919" s="29" t="s">
        <v>2522</v>
      </c>
      <c r="E919" s="18" t="e">
        <f>VLOOKUP(C919,数据集标准分类!E:F,2,0)</f>
        <v>#REF!</v>
      </c>
      <c r="F919" s="29" t="e">
        <f>VLOOKUP(D919,数据集标准分类!G:H,2,0)</f>
        <v>#N/A</v>
      </c>
      <c r="G919" s="29" t="s">
        <v>1430</v>
      </c>
      <c r="H919" s="29" t="s">
        <v>1431</v>
      </c>
      <c r="I919" s="29" t="s">
        <v>1432</v>
      </c>
      <c r="J919" s="29" t="s">
        <v>1433</v>
      </c>
      <c r="K919" s="29" t="s">
        <v>2550</v>
      </c>
      <c r="L919" s="250">
        <v>16</v>
      </c>
      <c r="M919" s="251"/>
    </row>
    <row r="920" ht="46" spans="1:13">
      <c r="A920" s="248" t="s">
        <v>4175</v>
      </c>
      <c r="B920" s="45" t="s">
        <v>4174</v>
      </c>
      <c r="C920" s="249" t="e">
        <f>VLOOKUP(D920,#REF!,2,0)</f>
        <v>#REF!</v>
      </c>
      <c r="D920" s="29" t="s">
        <v>2522</v>
      </c>
      <c r="E920" s="18" t="e">
        <f>VLOOKUP(C920,数据集标准分类!E:F,2,0)</f>
        <v>#REF!</v>
      </c>
      <c r="F920" s="29" t="e">
        <f>VLOOKUP(D920,数据集标准分类!G:H,2,0)</f>
        <v>#N/A</v>
      </c>
      <c r="G920" s="29" t="s">
        <v>421</v>
      </c>
      <c r="H920" s="29" t="s">
        <v>422</v>
      </c>
      <c r="I920" s="29" t="s">
        <v>423</v>
      </c>
      <c r="J920" s="29" t="s">
        <v>424</v>
      </c>
      <c r="K920" s="29" t="s">
        <v>425</v>
      </c>
      <c r="L920" s="250">
        <v>17</v>
      </c>
      <c r="M920" s="251"/>
    </row>
    <row r="921" ht="31" spans="1:13">
      <c r="A921" s="248" t="s">
        <v>4175</v>
      </c>
      <c r="B921" s="45" t="s">
        <v>4174</v>
      </c>
      <c r="C921" s="249" t="e">
        <f>VLOOKUP(D921,#REF!,2,0)</f>
        <v>#REF!</v>
      </c>
      <c r="D921" s="29" t="s">
        <v>2522</v>
      </c>
      <c r="E921" s="18" t="e">
        <f>VLOOKUP(C921,数据集标准分类!E:F,2,0)</f>
        <v>#REF!</v>
      </c>
      <c r="F921" s="29" t="e">
        <f>VLOOKUP(D921,数据集标准分类!G:H,2,0)</f>
        <v>#N/A</v>
      </c>
      <c r="G921" s="29" t="s">
        <v>784</v>
      </c>
      <c r="H921" s="29" t="s">
        <v>785</v>
      </c>
      <c r="I921" s="29" t="s">
        <v>786</v>
      </c>
      <c r="J921" s="29" t="s">
        <v>787</v>
      </c>
      <c r="K921" s="29" t="s">
        <v>2551</v>
      </c>
      <c r="L921" s="250">
        <v>18</v>
      </c>
      <c r="M921" s="251"/>
    </row>
    <row r="922" ht="60" customHeight="1" spans="1:13">
      <c r="A922" s="248" t="s">
        <v>4175</v>
      </c>
      <c r="B922" s="45" t="s">
        <v>4174</v>
      </c>
      <c r="C922" s="249" t="e">
        <f>VLOOKUP(D922,#REF!,2,0)</f>
        <v>#REF!</v>
      </c>
      <c r="D922" s="29" t="s">
        <v>2522</v>
      </c>
      <c r="E922" s="18" t="e">
        <f>VLOOKUP(C922,数据集标准分类!E:F,2,0)</f>
        <v>#REF!</v>
      </c>
      <c r="F922" s="29" t="e">
        <f>VLOOKUP(D922,数据集标准分类!G:H,2,0)</f>
        <v>#N/A</v>
      </c>
      <c r="G922" s="29" t="s">
        <v>2553</v>
      </c>
      <c r="H922" s="29" t="s">
        <v>2554</v>
      </c>
      <c r="I922" s="29" t="s">
        <v>2555</v>
      </c>
      <c r="J922" s="29" t="s">
        <v>2556</v>
      </c>
      <c r="K922" s="29" t="s">
        <v>2557</v>
      </c>
      <c r="L922" s="250">
        <v>19</v>
      </c>
      <c r="M922" s="251"/>
    </row>
    <row r="923" ht="16.8" spans="1:13">
      <c r="A923" s="248" t="s">
        <v>4175</v>
      </c>
      <c r="B923" s="45" t="s">
        <v>4174</v>
      </c>
      <c r="C923" s="249" t="e">
        <f>VLOOKUP(D923,#REF!,2,0)</f>
        <v>#REF!</v>
      </c>
      <c r="D923" s="29" t="s">
        <v>2522</v>
      </c>
      <c r="E923" s="18" t="e">
        <f>VLOOKUP(C923,数据集标准分类!E:F,2,0)</f>
        <v>#REF!</v>
      </c>
      <c r="F923" s="29" t="e">
        <f>VLOOKUP(D923,数据集标准分类!G:H,2,0)</f>
        <v>#N/A</v>
      </c>
      <c r="G923" s="29" t="s">
        <v>966</v>
      </c>
      <c r="H923" s="29" t="s">
        <v>967</v>
      </c>
      <c r="I923" s="29" t="s">
        <v>968</v>
      </c>
      <c r="J923" s="29" t="s">
        <v>969</v>
      </c>
      <c r="K923" s="29" t="s">
        <v>970</v>
      </c>
      <c r="L923" s="250">
        <v>20</v>
      </c>
      <c r="M923" s="251"/>
    </row>
    <row r="924" ht="16.8" spans="1:13">
      <c r="A924" s="248" t="s">
        <v>4175</v>
      </c>
      <c r="B924" s="45" t="s">
        <v>4174</v>
      </c>
      <c r="C924" s="249" t="e">
        <f>VLOOKUP(D924,#REF!,2,0)</f>
        <v>#REF!</v>
      </c>
      <c r="D924" s="29" t="s">
        <v>2522</v>
      </c>
      <c r="E924" s="18" t="e">
        <f>VLOOKUP(C924,数据集标准分类!E:F,2,0)</f>
        <v>#REF!</v>
      </c>
      <c r="F924" s="29" t="e">
        <f>VLOOKUP(D924,数据集标准分类!G:H,2,0)</f>
        <v>#N/A</v>
      </c>
      <c r="G924" s="29" t="s">
        <v>2424</v>
      </c>
      <c r="H924" s="29" t="s">
        <v>2425</v>
      </c>
      <c r="I924" s="29" t="s">
        <v>2426</v>
      </c>
      <c r="J924" s="29" t="s">
        <v>2427</v>
      </c>
      <c r="K924" s="29" t="s">
        <v>2428</v>
      </c>
      <c r="L924" s="250">
        <v>21</v>
      </c>
      <c r="M924" s="251"/>
    </row>
    <row r="925" ht="16.8" spans="1:13">
      <c r="A925" s="248" t="s">
        <v>4175</v>
      </c>
      <c r="B925" s="45" t="s">
        <v>4174</v>
      </c>
      <c r="C925" s="249" t="e">
        <f>VLOOKUP(D925,#REF!,2,0)</f>
        <v>#REF!</v>
      </c>
      <c r="D925" s="29" t="s">
        <v>2522</v>
      </c>
      <c r="E925" s="18" t="e">
        <f>VLOOKUP(C925,数据集标准分类!E:F,2,0)</f>
        <v>#REF!</v>
      </c>
      <c r="F925" s="29" t="e">
        <f>VLOOKUP(D925,数据集标准分类!G:H,2,0)</f>
        <v>#N/A</v>
      </c>
      <c r="G925" s="29" t="s">
        <v>2434</v>
      </c>
      <c r="H925" s="29" t="s">
        <v>2435</v>
      </c>
      <c r="I925" s="29" t="s">
        <v>2436</v>
      </c>
      <c r="J925" s="29" t="s">
        <v>2437</v>
      </c>
      <c r="K925" s="29" t="s">
        <v>2438</v>
      </c>
      <c r="L925" s="250">
        <v>22</v>
      </c>
      <c r="M925" s="251"/>
    </row>
    <row r="926" ht="16.8" spans="1:13">
      <c r="A926" s="248" t="s">
        <v>4175</v>
      </c>
      <c r="B926" s="45" t="s">
        <v>4174</v>
      </c>
      <c r="C926" s="249" t="e">
        <f>VLOOKUP(D926,#REF!,2,0)</f>
        <v>#REF!</v>
      </c>
      <c r="D926" s="29" t="s">
        <v>2522</v>
      </c>
      <c r="E926" s="18" t="e">
        <f>VLOOKUP(C926,数据集标准分类!E:F,2,0)</f>
        <v>#REF!</v>
      </c>
      <c r="F926" s="29" t="e">
        <f>VLOOKUP(D926,数据集标准分类!G:H,2,0)</f>
        <v>#N/A</v>
      </c>
      <c r="G926" s="29" t="s">
        <v>2559</v>
      </c>
      <c r="H926" s="29" t="s">
        <v>2560</v>
      </c>
      <c r="I926" s="29" t="s">
        <v>2561</v>
      </c>
      <c r="J926" s="29" t="s">
        <v>2562</v>
      </c>
      <c r="K926" s="29" t="s">
        <v>2563</v>
      </c>
      <c r="L926" s="250">
        <v>23</v>
      </c>
      <c r="M926" s="251"/>
    </row>
    <row r="927" ht="31" spans="1:13">
      <c r="A927" s="248" t="s">
        <v>4175</v>
      </c>
      <c r="B927" s="45" t="s">
        <v>4174</v>
      </c>
      <c r="C927" s="249" t="e">
        <f>VLOOKUP(D927,#REF!,2,0)</f>
        <v>#REF!</v>
      </c>
      <c r="D927" s="29" t="s">
        <v>2522</v>
      </c>
      <c r="E927" s="18" t="e">
        <f>VLOOKUP(C927,数据集标准分类!E:F,2,0)</f>
        <v>#REF!</v>
      </c>
      <c r="F927" s="29" t="e">
        <f>VLOOKUP(D927,数据集标准分类!G:H,2,0)</f>
        <v>#N/A</v>
      </c>
      <c r="G927" s="29" t="s">
        <v>2439</v>
      </c>
      <c r="H927" s="29" t="s">
        <v>2440</v>
      </c>
      <c r="I927" s="29" t="s">
        <v>2441</v>
      </c>
      <c r="J927" s="29" t="s">
        <v>2442</v>
      </c>
      <c r="K927" s="29" t="s">
        <v>2443</v>
      </c>
      <c r="L927" s="250">
        <v>24</v>
      </c>
      <c r="M927" s="251"/>
    </row>
    <row r="928" ht="60" customHeight="1" spans="1:13">
      <c r="A928" s="248" t="s">
        <v>4175</v>
      </c>
      <c r="B928" s="45" t="s">
        <v>4174</v>
      </c>
      <c r="C928" s="249" t="e">
        <f>VLOOKUP(D928,#REF!,2,0)</f>
        <v>#REF!</v>
      </c>
      <c r="D928" s="29" t="s">
        <v>2522</v>
      </c>
      <c r="E928" s="18" t="e">
        <f>VLOOKUP(C928,数据集标准分类!E:F,2,0)</f>
        <v>#REF!</v>
      </c>
      <c r="F928" s="29" t="e">
        <f>VLOOKUP(D928,数据集标准分类!G:H,2,0)</f>
        <v>#N/A</v>
      </c>
      <c r="G928" s="29" t="s">
        <v>2444</v>
      </c>
      <c r="H928" s="29" t="s">
        <v>2445</v>
      </c>
      <c r="I928" s="29" t="s">
        <v>2446</v>
      </c>
      <c r="J928" s="29" t="s">
        <v>2447</v>
      </c>
      <c r="K928" s="29" t="s">
        <v>2564</v>
      </c>
      <c r="L928" s="250">
        <v>25</v>
      </c>
      <c r="M928" s="251"/>
    </row>
    <row r="929" ht="31" spans="1:13">
      <c r="A929" s="248" t="s">
        <v>4175</v>
      </c>
      <c r="B929" s="45" t="s">
        <v>4174</v>
      </c>
      <c r="C929" s="249" t="e">
        <f>VLOOKUP(D929,#REF!,2,0)</f>
        <v>#REF!</v>
      </c>
      <c r="D929" s="29" t="s">
        <v>2522</v>
      </c>
      <c r="E929" s="18" t="e">
        <f>VLOOKUP(C929,数据集标准分类!E:F,2,0)</f>
        <v>#REF!</v>
      </c>
      <c r="F929" s="29" t="e">
        <f>VLOOKUP(D929,数据集标准分类!G:H,2,0)</f>
        <v>#N/A</v>
      </c>
      <c r="G929" s="29" t="s">
        <v>2565</v>
      </c>
      <c r="H929" s="29" t="s">
        <v>2566</v>
      </c>
      <c r="I929" s="29" t="s">
        <v>2567</v>
      </c>
      <c r="J929" s="29" t="s">
        <v>2568</v>
      </c>
      <c r="K929" s="29" t="s">
        <v>2569</v>
      </c>
      <c r="L929" s="250">
        <v>26</v>
      </c>
      <c r="M929" s="251"/>
    </row>
    <row r="930" ht="31" spans="1:13">
      <c r="A930" s="248" t="s">
        <v>4175</v>
      </c>
      <c r="B930" s="45" t="s">
        <v>4174</v>
      </c>
      <c r="C930" s="249" t="e">
        <f>VLOOKUP(D930,#REF!,2,0)</f>
        <v>#REF!</v>
      </c>
      <c r="D930" s="29" t="s">
        <v>2522</v>
      </c>
      <c r="E930" s="18" t="e">
        <f>VLOOKUP(C930,数据集标准分类!E:F,2,0)</f>
        <v>#REF!</v>
      </c>
      <c r="F930" s="29" t="e">
        <f>VLOOKUP(D930,数据集标准分类!G:H,2,0)</f>
        <v>#N/A</v>
      </c>
      <c r="G930" s="29" t="s">
        <v>2570</v>
      </c>
      <c r="H930" s="29" t="s">
        <v>2571</v>
      </c>
      <c r="I930" s="29" t="s">
        <v>2572</v>
      </c>
      <c r="J930" s="29" t="s">
        <v>2573</v>
      </c>
      <c r="K930" s="29" t="s">
        <v>2574</v>
      </c>
      <c r="L930" s="250">
        <v>27</v>
      </c>
      <c r="M930" s="251"/>
    </row>
    <row r="931" ht="46" spans="1:13">
      <c r="A931" s="248" t="s">
        <v>4175</v>
      </c>
      <c r="B931" s="45" t="s">
        <v>4174</v>
      </c>
      <c r="C931" s="249" t="e">
        <f>VLOOKUP(D931,#REF!,2,0)</f>
        <v>#REF!</v>
      </c>
      <c r="D931" s="29" t="s">
        <v>2522</v>
      </c>
      <c r="E931" s="18" t="e">
        <f>VLOOKUP(C931,数据集标准分类!E:F,2,0)</f>
        <v>#REF!</v>
      </c>
      <c r="F931" s="29" t="e">
        <f>VLOOKUP(D931,数据集标准分类!G:H,2,0)</f>
        <v>#N/A</v>
      </c>
      <c r="G931" s="29" t="s">
        <v>2575</v>
      </c>
      <c r="H931" s="29" t="s">
        <v>2576</v>
      </c>
      <c r="I931" s="29" t="s">
        <v>2577</v>
      </c>
      <c r="J931" s="29" t="s">
        <v>2578</v>
      </c>
      <c r="K931" s="29" t="s">
        <v>2579</v>
      </c>
      <c r="L931" s="250">
        <v>28</v>
      </c>
      <c r="M931" s="251"/>
    </row>
    <row r="932" ht="60" customHeight="1" spans="1:13">
      <c r="A932" s="248" t="s">
        <v>4175</v>
      </c>
      <c r="B932" s="45" t="s">
        <v>4174</v>
      </c>
      <c r="C932" s="249" t="e">
        <f>VLOOKUP(D932,#REF!,2,0)</f>
        <v>#REF!</v>
      </c>
      <c r="D932" s="29" t="s">
        <v>2522</v>
      </c>
      <c r="E932" s="18" t="e">
        <f>VLOOKUP(C932,数据集标准分类!E:F,2,0)</f>
        <v>#REF!</v>
      </c>
      <c r="F932" s="29" t="e">
        <f>VLOOKUP(D932,数据集标准分类!G:H,2,0)</f>
        <v>#N/A</v>
      </c>
      <c r="G932" s="29" t="s">
        <v>1298</v>
      </c>
      <c r="H932" s="29" t="s">
        <v>1299</v>
      </c>
      <c r="I932" s="29" t="s">
        <v>1300</v>
      </c>
      <c r="J932" s="29" t="s">
        <v>1301</v>
      </c>
      <c r="K932" s="29" t="s">
        <v>2580</v>
      </c>
      <c r="L932" s="250">
        <v>29</v>
      </c>
      <c r="M932" s="251"/>
    </row>
    <row r="933" ht="31" spans="1:13">
      <c r="A933" s="248" t="s">
        <v>4175</v>
      </c>
      <c r="B933" s="45" t="s">
        <v>4174</v>
      </c>
      <c r="C933" s="249" t="e">
        <f>VLOOKUP(D933,#REF!,2,0)</f>
        <v>#REF!</v>
      </c>
      <c r="D933" s="29" t="s">
        <v>2522</v>
      </c>
      <c r="E933" s="18" t="e">
        <f>VLOOKUP(C933,数据集标准分类!E:F,2,0)</f>
        <v>#REF!</v>
      </c>
      <c r="F933" s="29" t="e">
        <f>VLOOKUP(D933,数据集标准分类!G:H,2,0)</f>
        <v>#N/A</v>
      </c>
      <c r="G933" s="29" t="s">
        <v>1293</v>
      </c>
      <c r="H933" s="29" t="s">
        <v>1294</v>
      </c>
      <c r="I933" s="29" t="s">
        <v>1295</v>
      </c>
      <c r="J933" s="29" t="s">
        <v>1296</v>
      </c>
      <c r="K933" s="29" t="s">
        <v>2581</v>
      </c>
      <c r="L933" s="250">
        <v>30</v>
      </c>
      <c r="M933" s="251"/>
    </row>
    <row r="934" ht="31" spans="1:13">
      <c r="A934" s="248" t="s">
        <v>4175</v>
      </c>
      <c r="B934" s="45" t="s">
        <v>4174</v>
      </c>
      <c r="C934" s="249" t="e">
        <f>VLOOKUP(D934,#REF!,2,0)</f>
        <v>#REF!</v>
      </c>
      <c r="D934" s="29" t="s">
        <v>2522</v>
      </c>
      <c r="E934" s="18" t="e">
        <f>VLOOKUP(C934,数据集标准分类!E:F,2,0)</f>
        <v>#REF!</v>
      </c>
      <c r="F934" s="29" t="e">
        <f>VLOOKUP(D934,数据集标准分类!G:H,2,0)</f>
        <v>#N/A</v>
      </c>
      <c r="G934" s="29" t="s">
        <v>2466</v>
      </c>
      <c r="H934" s="29" t="s">
        <v>2467</v>
      </c>
      <c r="I934" s="29" t="s">
        <v>2468</v>
      </c>
      <c r="J934" s="29" t="s">
        <v>2469</v>
      </c>
      <c r="K934" s="29" t="s">
        <v>2582</v>
      </c>
      <c r="L934" s="250">
        <v>31</v>
      </c>
      <c r="M934" s="251"/>
    </row>
    <row r="935" ht="31" spans="1:13">
      <c r="A935" s="248" t="s">
        <v>4175</v>
      </c>
      <c r="B935" s="45" t="s">
        <v>4174</v>
      </c>
      <c r="C935" s="249" t="e">
        <f>VLOOKUP(D935,#REF!,2,0)</f>
        <v>#REF!</v>
      </c>
      <c r="D935" s="29" t="s">
        <v>2522</v>
      </c>
      <c r="E935" s="18" t="e">
        <f>VLOOKUP(C935,数据集标准分类!E:F,2,0)</f>
        <v>#REF!</v>
      </c>
      <c r="F935" s="29" t="e">
        <f>VLOOKUP(D935,数据集标准分类!G:H,2,0)</f>
        <v>#N/A</v>
      </c>
      <c r="G935" s="29" t="s">
        <v>2583</v>
      </c>
      <c r="H935" s="29" t="s">
        <v>2584</v>
      </c>
      <c r="I935" s="29" t="s">
        <v>2585</v>
      </c>
      <c r="J935" s="29" t="s">
        <v>2586</v>
      </c>
      <c r="K935" s="29" t="s">
        <v>2587</v>
      </c>
      <c r="L935" s="250">
        <v>32</v>
      </c>
      <c r="M935" s="251"/>
    </row>
    <row r="936" ht="31" spans="1:13">
      <c r="A936" s="248" t="s">
        <v>4175</v>
      </c>
      <c r="B936" s="45" t="s">
        <v>4174</v>
      </c>
      <c r="C936" s="249" t="e">
        <f>VLOOKUP(D936,#REF!,2,0)</f>
        <v>#REF!</v>
      </c>
      <c r="D936" s="29" t="s">
        <v>2522</v>
      </c>
      <c r="E936" s="18" t="e">
        <f>VLOOKUP(C936,数据集标准分类!E:F,2,0)</f>
        <v>#REF!</v>
      </c>
      <c r="F936" s="29" t="e">
        <f>VLOOKUP(D936,数据集标准分类!G:H,2,0)</f>
        <v>#N/A</v>
      </c>
      <c r="G936" s="29" t="s">
        <v>2588</v>
      </c>
      <c r="H936" s="29" t="s">
        <v>2589</v>
      </c>
      <c r="I936" s="29" t="s">
        <v>2590</v>
      </c>
      <c r="J936" s="29" t="s">
        <v>2591</v>
      </c>
      <c r="K936" s="29" t="s">
        <v>2592</v>
      </c>
      <c r="L936" s="250">
        <v>33</v>
      </c>
      <c r="M936" s="251"/>
    </row>
    <row r="937" ht="36" customHeight="1" spans="1:13">
      <c r="A937" s="248" t="s">
        <v>4175</v>
      </c>
      <c r="B937" s="45" t="s">
        <v>4174</v>
      </c>
      <c r="C937" s="249" t="e">
        <f>VLOOKUP(D937,#REF!,2,0)</f>
        <v>#REF!</v>
      </c>
      <c r="D937" s="29" t="s">
        <v>2522</v>
      </c>
      <c r="E937" s="18" t="e">
        <f>VLOOKUP(C937,数据集标准分类!E:F,2,0)</f>
        <v>#REF!</v>
      </c>
      <c r="F937" s="29" t="e">
        <f>VLOOKUP(D937,数据集标准分类!G:H,2,0)</f>
        <v>#N/A</v>
      </c>
      <c r="G937" s="29" t="s">
        <v>2593</v>
      </c>
      <c r="H937" s="29" t="s">
        <v>2594</v>
      </c>
      <c r="I937" s="29" t="s">
        <v>2595</v>
      </c>
      <c r="J937" s="29" t="s">
        <v>2596</v>
      </c>
      <c r="K937" s="29" t="s">
        <v>2597</v>
      </c>
      <c r="L937" s="250">
        <v>34</v>
      </c>
      <c r="M937" s="251"/>
    </row>
    <row r="938" ht="60" customHeight="1" spans="1:13">
      <c r="A938" s="248" t="s">
        <v>4175</v>
      </c>
      <c r="B938" s="45" t="s">
        <v>4174</v>
      </c>
      <c r="C938" s="249" t="e">
        <f>VLOOKUP(D938,#REF!,2,0)</f>
        <v>#REF!</v>
      </c>
      <c r="D938" s="29" t="s">
        <v>2522</v>
      </c>
      <c r="E938" s="18" t="e">
        <f>VLOOKUP(C938,数据集标准分类!E:F,2,0)</f>
        <v>#REF!</v>
      </c>
      <c r="F938" s="29" t="e">
        <f>VLOOKUP(D938,数据集标准分类!G:H,2,0)</f>
        <v>#N/A</v>
      </c>
      <c r="G938" s="29" t="s">
        <v>2598</v>
      </c>
      <c r="H938" s="29" t="s">
        <v>2599</v>
      </c>
      <c r="I938" s="29" t="s">
        <v>2600</v>
      </c>
      <c r="J938" s="29" t="s">
        <v>2601</v>
      </c>
      <c r="K938" s="29" t="s">
        <v>2602</v>
      </c>
      <c r="L938" s="250">
        <v>35</v>
      </c>
      <c r="M938" s="251"/>
    </row>
    <row r="939" ht="31" spans="1:13">
      <c r="A939" s="248" t="s">
        <v>4175</v>
      </c>
      <c r="B939" s="45" t="s">
        <v>4174</v>
      </c>
      <c r="C939" s="249" t="e">
        <f>VLOOKUP(D939,#REF!,2,0)</f>
        <v>#REF!</v>
      </c>
      <c r="D939" s="29" t="s">
        <v>2522</v>
      </c>
      <c r="E939" s="18" t="e">
        <f>VLOOKUP(C939,数据集标准分类!E:F,2,0)</f>
        <v>#REF!</v>
      </c>
      <c r="F939" s="29" t="e">
        <f>VLOOKUP(D939,数据集标准分类!G:H,2,0)</f>
        <v>#N/A</v>
      </c>
      <c r="G939" s="29" t="s">
        <v>2603</v>
      </c>
      <c r="H939" s="29" t="s">
        <v>2604</v>
      </c>
      <c r="I939" s="29" t="s">
        <v>2605</v>
      </c>
      <c r="J939" s="29" t="s">
        <v>2606</v>
      </c>
      <c r="K939" s="29" t="s">
        <v>2607</v>
      </c>
      <c r="L939" s="250">
        <v>36</v>
      </c>
      <c r="M939" s="251"/>
    </row>
    <row r="940" ht="16.8" spans="1:13">
      <c r="A940" s="248" t="s">
        <v>4175</v>
      </c>
      <c r="B940" s="45" t="s">
        <v>4174</v>
      </c>
      <c r="C940" s="249" t="e">
        <f>VLOOKUP(D940,#REF!,2,0)</f>
        <v>#REF!</v>
      </c>
      <c r="D940" s="29" t="s">
        <v>2522</v>
      </c>
      <c r="E940" s="18" t="e">
        <f>VLOOKUP(C940,数据集标准分类!E:F,2,0)</f>
        <v>#REF!</v>
      </c>
      <c r="F940" s="29" t="e">
        <f>VLOOKUP(D940,数据集标准分类!G:H,2,0)</f>
        <v>#N/A</v>
      </c>
      <c r="G940" s="171" t="s">
        <v>2608</v>
      </c>
      <c r="H940" s="171" t="s">
        <v>2609</v>
      </c>
      <c r="I940" s="29" t="s">
        <v>2610</v>
      </c>
      <c r="J940" s="171" t="s">
        <v>2611</v>
      </c>
      <c r="K940" s="171" t="s">
        <v>2611</v>
      </c>
      <c r="L940" s="250">
        <v>37</v>
      </c>
      <c r="M940" s="251"/>
    </row>
    <row r="941" ht="48" customHeight="1" spans="1:13">
      <c r="A941" s="248" t="s">
        <v>4175</v>
      </c>
      <c r="B941" s="45" t="s">
        <v>4174</v>
      </c>
      <c r="C941" s="249" t="e">
        <f>VLOOKUP(D941,#REF!,2,0)</f>
        <v>#REF!</v>
      </c>
      <c r="D941" s="29" t="s">
        <v>2522</v>
      </c>
      <c r="E941" s="18" t="e">
        <f>VLOOKUP(C941,数据集标准分类!E:F,2,0)</f>
        <v>#REF!</v>
      </c>
      <c r="F941" s="29" t="e">
        <f>VLOOKUP(D941,数据集标准分类!G:H,2,0)</f>
        <v>#N/A</v>
      </c>
      <c r="G941" s="171" t="s">
        <v>2612</v>
      </c>
      <c r="H941" s="171" t="s">
        <v>2613</v>
      </c>
      <c r="I941" s="29" t="s">
        <v>2614</v>
      </c>
      <c r="J941" s="171" t="s">
        <v>2615</v>
      </c>
      <c r="K941" s="171" t="s">
        <v>2615</v>
      </c>
      <c r="L941" s="265">
        <v>38</v>
      </c>
      <c r="M941" s="251"/>
    </row>
    <row r="942" ht="16.8" spans="1:13">
      <c r="A942" s="248" t="s">
        <v>4175</v>
      </c>
      <c r="B942" s="45" t="s">
        <v>4174</v>
      </c>
      <c r="C942" s="249" t="e">
        <f>VLOOKUP(D942,#REF!,2,0)</f>
        <v>#REF!</v>
      </c>
      <c r="D942" s="29" t="s">
        <v>2522</v>
      </c>
      <c r="E942" s="18" t="e">
        <f>VLOOKUP(C942,数据集标准分类!E:F,2,0)</f>
        <v>#REF!</v>
      </c>
      <c r="F942" s="29" t="e">
        <f>VLOOKUP(D942,数据集标准分类!G:H,2,0)</f>
        <v>#N/A</v>
      </c>
      <c r="G942" s="171" t="s">
        <v>2616</v>
      </c>
      <c r="H942" s="171" t="s">
        <v>2617</v>
      </c>
      <c r="I942" s="29" t="s">
        <v>2618</v>
      </c>
      <c r="J942" s="171" t="s">
        <v>2619</v>
      </c>
      <c r="K942" s="171" t="s">
        <v>2619</v>
      </c>
      <c r="L942" s="265">
        <v>39</v>
      </c>
      <c r="M942" s="251"/>
    </row>
    <row r="943" ht="36" customHeight="1" spans="1:13">
      <c r="A943" s="248" t="s">
        <v>4175</v>
      </c>
      <c r="B943" s="45" t="s">
        <v>4174</v>
      </c>
      <c r="C943" s="249" t="e">
        <f>VLOOKUP(D943,#REF!,2,0)</f>
        <v>#REF!</v>
      </c>
      <c r="D943" s="29" t="s">
        <v>2522</v>
      </c>
      <c r="E943" s="18" t="e">
        <f>VLOOKUP(C943,数据集标准分类!E:F,2,0)</f>
        <v>#REF!</v>
      </c>
      <c r="F943" s="29" t="e">
        <f>VLOOKUP(D943,数据集标准分类!G:H,2,0)</f>
        <v>#N/A</v>
      </c>
      <c r="G943" s="171" t="s">
        <v>2620</v>
      </c>
      <c r="H943" s="171" t="s">
        <v>2621</v>
      </c>
      <c r="I943" s="29" t="s">
        <v>2622</v>
      </c>
      <c r="J943" s="171" t="s">
        <v>2623</v>
      </c>
      <c r="K943" s="171" t="s">
        <v>2623</v>
      </c>
      <c r="L943" s="265">
        <v>40</v>
      </c>
      <c r="M943" s="251"/>
    </row>
    <row r="944" ht="16.8" spans="1:13">
      <c r="A944" s="248" t="s">
        <v>4175</v>
      </c>
      <c r="B944" s="45" t="s">
        <v>4174</v>
      </c>
      <c r="C944" s="249" t="e">
        <f>VLOOKUP(D944,#REF!,2,0)</f>
        <v>#REF!</v>
      </c>
      <c r="D944" s="29" t="s">
        <v>2522</v>
      </c>
      <c r="E944" s="18" t="e">
        <f>VLOOKUP(C944,数据集标准分类!E:F,2,0)</f>
        <v>#REF!</v>
      </c>
      <c r="F944" s="29" t="e">
        <f>VLOOKUP(D944,数据集标准分类!G:H,2,0)</f>
        <v>#N/A</v>
      </c>
      <c r="G944" s="171" t="s">
        <v>2506</v>
      </c>
      <c r="H944" s="171" t="s">
        <v>2507</v>
      </c>
      <c r="I944" s="29" t="s">
        <v>2508</v>
      </c>
      <c r="J944" s="171" t="s">
        <v>2624</v>
      </c>
      <c r="K944" s="171" t="s">
        <v>2624</v>
      </c>
      <c r="L944" s="265">
        <v>41</v>
      </c>
      <c r="M944" s="251"/>
    </row>
    <row r="945" ht="60" customHeight="1" spans="1:13">
      <c r="A945" s="248" t="s">
        <v>4175</v>
      </c>
      <c r="B945" s="45" t="s">
        <v>4174</v>
      </c>
      <c r="C945" s="249" t="e">
        <f>VLOOKUP(D945,#REF!,2,0)</f>
        <v>#REF!</v>
      </c>
      <c r="D945" s="29" t="s">
        <v>2625</v>
      </c>
      <c r="E945" s="18" t="e">
        <f>VLOOKUP(C945,数据集标准分类!E:F,2,0)</f>
        <v>#REF!</v>
      </c>
      <c r="F945" s="29" t="e">
        <f>VLOOKUP(D945,数据集标准分类!G:H,2,0)</f>
        <v>#N/A</v>
      </c>
      <c r="G945" s="29" t="s">
        <v>711</v>
      </c>
      <c r="H945" s="29" t="s">
        <v>712</v>
      </c>
      <c r="I945" s="29" t="s">
        <v>712</v>
      </c>
      <c r="J945" s="29" t="s">
        <v>713</v>
      </c>
      <c r="K945" s="29" t="s">
        <v>714</v>
      </c>
      <c r="L945" s="250">
        <v>1</v>
      </c>
      <c r="M945" s="251"/>
    </row>
    <row r="946" ht="31" spans="1:13">
      <c r="A946" s="248" t="s">
        <v>4175</v>
      </c>
      <c r="B946" s="45" t="s">
        <v>4174</v>
      </c>
      <c r="C946" s="249" t="e">
        <f>VLOOKUP(D946,#REF!,2,0)</f>
        <v>#REF!</v>
      </c>
      <c r="D946" s="29" t="s">
        <v>2625</v>
      </c>
      <c r="E946" s="18" t="e">
        <f>VLOOKUP(C946,数据集标准分类!E:F,2,0)</f>
        <v>#REF!</v>
      </c>
      <c r="F946" s="29" t="e">
        <f>VLOOKUP(D946,数据集标准分类!G:H,2,0)</f>
        <v>#N/A</v>
      </c>
      <c r="G946" s="29" t="s">
        <v>172</v>
      </c>
      <c r="H946" s="29" t="s">
        <v>173</v>
      </c>
      <c r="I946" s="29" t="s">
        <v>174</v>
      </c>
      <c r="J946" s="29" t="s">
        <v>175</v>
      </c>
      <c r="K946" s="29" t="s">
        <v>1245</v>
      </c>
      <c r="L946" s="250">
        <v>2</v>
      </c>
      <c r="M946" s="251"/>
    </row>
    <row r="947" ht="48" customHeight="1" spans="1:13">
      <c r="A947" s="248" t="s">
        <v>4175</v>
      </c>
      <c r="B947" s="45" t="s">
        <v>4174</v>
      </c>
      <c r="C947" s="249" t="e">
        <f>VLOOKUP(D947,#REF!,2,0)</f>
        <v>#REF!</v>
      </c>
      <c r="D947" s="29" t="s">
        <v>2625</v>
      </c>
      <c r="E947" s="18" t="e">
        <f>VLOOKUP(C947,数据集标准分类!E:F,2,0)</f>
        <v>#REF!</v>
      </c>
      <c r="F947" s="29" t="e">
        <f>VLOOKUP(D947,数据集标准分类!G:H,2,0)</f>
        <v>#N/A</v>
      </c>
      <c r="G947" s="29" t="s">
        <v>1418</v>
      </c>
      <c r="H947" s="29" t="s">
        <v>1419</v>
      </c>
      <c r="I947" s="29" t="s">
        <v>1420</v>
      </c>
      <c r="J947" s="29" t="s">
        <v>1421</v>
      </c>
      <c r="K947" s="29" t="s">
        <v>2626</v>
      </c>
      <c r="L947" s="250">
        <v>3</v>
      </c>
      <c r="M947" s="251"/>
    </row>
    <row r="948" ht="31" spans="1:13">
      <c r="A948" s="248" t="s">
        <v>4175</v>
      </c>
      <c r="B948" s="45" t="s">
        <v>4174</v>
      </c>
      <c r="C948" s="249" t="e">
        <f>VLOOKUP(D948,#REF!,2,0)</f>
        <v>#REF!</v>
      </c>
      <c r="D948" s="29" t="s">
        <v>2625</v>
      </c>
      <c r="E948" s="18" t="e">
        <f>VLOOKUP(C948,数据集标准分类!E:F,2,0)</f>
        <v>#REF!</v>
      </c>
      <c r="F948" s="29" t="e">
        <f>VLOOKUP(D948,数据集标准分类!G:H,2,0)</f>
        <v>#N/A</v>
      </c>
      <c r="G948" s="29" t="s">
        <v>2627</v>
      </c>
      <c r="H948" s="29" t="s">
        <v>2628</v>
      </c>
      <c r="I948" s="29" t="s">
        <v>2629</v>
      </c>
      <c r="J948" s="29" t="s">
        <v>2630</v>
      </c>
      <c r="K948" s="29" t="s">
        <v>2631</v>
      </c>
      <c r="L948" s="250">
        <v>4</v>
      </c>
      <c r="M948" s="251"/>
    </row>
    <row r="949" ht="31" spans="1:13">
      <c r="A949" s="248" t="s">
        <v>4175</v>
      </c>
      <c r="B949" s="45" t="s">
        <v>4174</v>
      </c>
      <c r="C949" s="249" t="e">
        <f>VLOOKUP(D949,#REF!,2,0)</f>
        <v>#REF!</v>
      </c>
      <c r="D949" s="29" t="s">
        <v>2625</v>
      </c>
      <c r="E949" s="18" t="e">
        <f>VLOOKUP(C949,数据集标准分类!E:F,2,0)</f>
        <v>#REF!</v>
      </c>
      <c r="F949" s="29" t="e">
        <f>VLOOKUP(D949,数据集标准分类!G:H,2,0)</f>
        <v>#N/A</v>
      </c>
      <c r="G949" s="29" t="s">
        <v>192</v>
      </c>
      <c r="H949" s="29" t="s">
        <v>193</v>
      </c>
      <c r="I949" s="29" t="s">
        <v>194</v>
      </c>
      <c r="J949" s="29" t="s">
        <v>195</v>
      </c>
      <c r="K949" s="29" t="s">
        <v>2543</v>
      </c>
      <c r="L949" s="250">
        <v>5</v>
      </c>
      <c r="M949" s="251"/>
    </row>
    <row r="950" ht="16.8" spans="1:13">
      <c r="A950" s="248" t="s">
        <v>4175</v>
      </c>
      <c r="B950" s="45" t="s">
        <v>4174</v>
      </c>
      <c r="C950" s="249" t="e">
        <f>VLOOKUP(D950,#REF!,2,0)</f>
        <v>#REF!</v>
      </c>
      <c r="D950" s="29" t="s">
        <v>2625</v>
      </c>
      <c r="E950" s="18" t="e">
        <f>VLOOKUP(C950,数据集标准分类!E:F,2,0)</f>
        <v>#REF!</v>
      </c>
      <c r="F950" s="29" t="e">
        <f>VLOOKUP(D950,数据集标准分类!G:H,2,0)</f>
        <v>#N/A</v>
      </c>
      <c r="G950" s="29" t="s">
        <v>396</v>
      </c>
      <c r="H950" s="29" t="s">
        <v>397</v>
      </c>
      <c r="I950" s="29" t="s">
        <v>398</v>
      </c>
      <c r="J950" s="29" t="s">
        <v>399</v>
      </c>
      <c r="K950" s="29" t="s">
        <v>1260</v>
      </c>
      <c r="L950" s="250">
        <v>6</v>
      </c>
      <c r="M950" s="251"/>
    </row>
    <row r="951" ht="60" customHeight="1" spans="1:13">
      <c r="A951" s="248" t="s">
        <v>4175</v>
      </c>
      <c r="B951" s="45" t="s">
        <v>4174</v>
      </c>
      <c r="C951" s="249" t="e">
        <f>VLOOKUP(D951,#REF!,2,0)</f>
        <v>#REF!</v>
      </c>
      <c r="D951" s="29" t="s">
        <v>2625</v>
      </c>
      <c r="E951" s="18" t="e">
        <f>VLOOKUP(C951,数据集标准分类!E:F,2,0)</f>
        <v>#REF!</v>
      </c>
      <c r="F951" s="29" t="e">
        <f>VLOOKUP(D951,数据集标准分类!G:H,2,0)</f>
        <v>#N/A</v>
      </c>
      <c r="G951" s="29" t="s">
        <v>1261</v>
      </c>
      <c r="H951" s="29" t="s">
        <v>1262</v>
      </c>
      <c r="I951" s="29" t="s">
        <v>1263</v>
      </c>
      <c r="J951" s="29" t="s">
        <v>1264</v>
      </c>
      <c r="K951" s="29" t="s">
        <v>2632</v>
      </c>
      <c r="L951" s="250">
        <v>7</v>
      </c>
      <c r="M951" s="251"/>
    </row>
    <row r="952" ht="31" spans="1:13">
      <c r="A952" s="248" t="s">
        <v>4175</v>
      </c>
      <c r="B952" s="45" t="s">
        <v>4174</v>
      </c>
      <c r="C952" s="249" t="e">
        <f>VLOOKUP(D952,#REF!,2,0)</f>
        <v>#REF!</v>
      </c>
      <c r="D952" s="29" t="s">
        <v>2625</v>
      </c>
      <c r="E952" s="18" t="e">
        <f>VLOOKUP(C952,数据集标准分类!E:F,2,0)</f>
        <v>#REF!</v>
      </c>
      <c r="F952" s="29" t="e">
        <f>VLOOKUP(D952,数据集标准分类!G:H,2,0)</f>
        <v>#N/A</v>
      </c>
      <c r="G952" s="29" t="s">
        <v>1266</v>
      </c>
      <c r="H952" s="29" t="s">
        <v>1267</v>
      </c>
      <c r="I952" s="29" t="s">
        <v>1268</v>
      </c>
      <c r="J952" s="29" t="s">
        <v>1269</v>
      </c>
      <c r="K952" s="29" t="s">
        <v>1270</v>
      </c>
      <c r="L952" s="250">
        <v>8</v>
      </c>
      <c r="M952" s="251"/>
    </row>
    <row r="953" ht="16.8" spans="1:13">
      <c r="A953" s="248" t="s">
        <v>4175</v>
      </c>
      <c r="B953" s="45" t="s">
        <v>4174</v>
      </c>
      <c r="C953" s="249" t="e">
        <f>VLOOKUP(D953,#REF!,2,0)</f>
        <v>#REF!</v>
      </c>
      <c r="D953" s="29" t="s">
        <v>2625</v>
      </c>
      <c r="E953" s="18" t="e">
        <f>VLOOKUP(C953,数据集标准分类!E:F,2,0)</f>
        <v>#REF!</v>
      </c>
      <c r="F953" s="29" t="e">
        <f>VLOOKUP(D953,数据集标准分类!G:H,2,0)</f>
        <v>#N/A</v>
      </c>
      <c r="G953" s="29" t="s">
        <v>216</v>
      </c>
      <c r="H953" s="29" t="s">
        <v>217</v>
      </c>
      <c r="I953" s="29" t="s">
        <v>218</v>
      </c>
      <c r="J953" s="29" t="s">
        <v>219</v>
      </c>
      <c r="K953" s="29" t="s">
        <v>2549</v>
      </c>
      <c r="L953" s="250">
        <v>9</v>
      </c>
      <c r="M953" s="251"/>
    </row>
    <row r="954" ht="16.8" spans="1:13">
      <c r="A954" s="248" t="s">
        <v>4175</v>
      </c>
      <c r="B954" s="45" t="s">
        <v>4174</v>
      </c>
      <c r="C954" s="249" t="e">
        <f>VLOOKUP(D954,#REF!,2,0)</f>
        <v>#REF!</v>
      </c>
      <c r="D954" s="29" t="s">
        <v>2625</v>
      </c>
      <c r="E954" s="18" t="e">
        <f>VLOOKUP(C954,数据集标准分类!E:F,2,0)</f>
        <v>#REF!</v>
      </c>
      <c r="F954" s="29" t="e">
        <f>VLOOKUP(D954,数据集标准分类!G:H,2,0)</f>
        <v>#N/A</v>
      </c>
      <c r="G954" s="29" t="s">
        <v>1272</v>
      </c>
      <c r="H954" s="29" t="s">
        <v>1273</v>
      </c>
      <c r="I954" s="29" t="s">
        <v>1274</v>
      </c>
      <c r="J954" s="29" t="s">
        <v>1275</v>
      </c>
      <c r="K954" s="29" t="s">
        <v>1276</v>
      </c>
      <c r="L954" s="250">
        <v>10</v>
      </c>
      <c r="M954" s="251"/>
    </row>
    <row r="955" ht="46" spans="1:13">
      <c r="A955" s="248" t="s">
        <v>4175</v>
      </c>
      <c r="B955" s="45" t="s">
        <v>4174</v>
      </c>
      <c r="C955" s="249" t="e">
        <f>VLOOKUP(D955,#REF!,2,0)</f>
        <v>#REF!</v>
      </c>
      <c r="D955" s="29" t="s">
        <v>2625</v>
      </c>
      <c r="E955" s="18" t="e">
        <f>VLOOKUP(C955,数据集标准分类!E:F,2,0)</f>
        <v>#REF!</v>
      </c>
      <c r="F955" s="29" t="e">
        <f>VLOOKUP(D955,数据集标准分类!G:H,2,0)</f>
        <v>#N/A</v>
      </c>
      <c r="G955" s="29" t="s">
        <v>1430</v>
      </c>
      <c r="H955" s="29" t="s">
        <v>1431</v>
      </c>
      <c r="I955" s="29" t="s">
        <v>1432</v>
      </c>
      <c r="J955" s="29" t="s">
        <v>1433</v>
      </c>
      <c r="K955" s="29" t="s">
        <v>2550</v>
      </c>
      <c r="L955" s="250">
        <v>11</v>
      </c>
      <c r="M955" s="251"/>
    </row>
    <row r="956" ht="16.8" spans="1:13">
      <c r="A956" s="248" t="s">
        <v>4175</v>
      </c>
      <c r="B956" s="45" t="s">
        <v>4174</v>
      </c>
      <c r="C956" s="249" t="e">
        <f>VLOOKUP(D956,#REF!,2,0)</f>
        <v>#REF!</v>
      </c>
      <c r="D956" s="29" t="s">
        <v>2625</v>
      </c>
      <c r="E956" s="18" t="e">
        <f>VLOOKUP(C956,数据集标准分类!E:F,2,0)</f>
        <v>#REF!</v>
      </c>
      <c r="F956" s="29" t="e">
        <f>VLOOKUP(D956,数据集标准分类!G:H,2,0)</f>
        <v>#N/A</v>
      </c>
      <c r="G956" s="29" t="s">
        <v>197</v>
      </c>
      <c r="H956" s="29" t="s">
        <v>198</v>
      </c>
      <c r="I956" s="29" t="s">
        <v>2074</v>
      </c>
      <c r="J956" s="29" t="s">
        <v>199</v>
      </c>
      <c r="K956" s="29" t="s">
        <v>2019</v>
      </c>
      <c r="L956" s="250">
        <v>12</v>
      </c>
      <c r="M956" s="251"/>
    </row>
    <row r="957" ht="31" spans="1:13">
      <c r="A957" s="248" t="s">
        <v>4175</v>
      </c>
      <c r="B957" s="45" t="s">
        <v>4174</v>
      </c>
      <c r="C957" s="249" t="e">
        <f>VLOOKUP(D957,#REF!,2,0)</f>
        <v>#REF!</v>
      </c>
      <c r="D957" s="29" t="s">
        <v>2625</v>
      </c>
      <c r="E957" s="18" t="e">
        <f>VLOOKUP(C957,数据集标准分类!E:F,2,0)</f>
        <v>#REF!</v>
      </c>
      <c r="F957" s="29" t="e">
        <f>VLOOKUP(D957,数据集标准分类!G:H,2,0)</f>
        <v>#N/A</v>
      </c>
      <c r="G957" s="29" t="s">
        <v>201</v>
      </c>
      <c r="H957" s="29" t="s">
        <v>202</v>
      </c>
      <c r="I957" s="29" t="s">
        <v>203</v>
      </c>
      <c r="J957" s="29" t="s">
        <v>204</v>
      </c>
      <c r="K957" s="29" t="s">
        <v>2075</v>
      </c>
      <c r="L957" s="250">
        <v>13</v>
      </c>
      <c r="M957" s="251"/>
    </row>
    <row r="958" ht="31" spans="1:13">
      <c r="A958" s="248" t="s">
        <v>4175</v>
      </c>
      <c r="B958" s="45" t="s">
        <v>4174</v>
      </c>
      <c r="C958" s="249" t="e">
        <f>VLOOKUP(D958,#REF!,2,0)</f>
        <v>#REF!</v>
      </c>
      <c r="D958" s="29" t="s">
        <v>2625</v>
      </c>
      <c r="E958" s="18" t="e">
        <f>VLOOKUP(C958,数据集标准分类!E:F,2,0)</f>
        <v>#REF!</v>
      </c>
      <c r="F958" s="29" t="e">
        <f>VLOOKUP(D958,数据集标准分类!G:H,2,0)</f>
        <v>#N/A</v>
      </c>
      <c r="G958" s="29" t="s">
        <v>211</v>
      </c>
      <c r="H958" s="29" t="s">
        <v>212</v>
      </c>
      <c r="I958" s="29" t="s">
        <v>213</v>
      </c>
      <c r="J958" s="29" t="s">
        <v>214</v>
      </c>
      <c r="K958" s="29" t="s">
        <v>215</v>
      </c>
      <c r="L958" s="250">
        <v>14</v>
      </c>
      <c r="M958" s="251"/>
    </row>
    <row r="959" ht="31" spans="1:13">
      <c r="A959" s="248" t="s">
        <v>4175</v>
      </c>
      <c r="B959" s="45" t="s">
        <v>4174</v>
      </c>
      <c r="C959" s="249" t="e">
        <f>VLOOKUP(D959,#REF!,2,0)</f>
        <v>#REF!</v>
      </c>
      <c r="D959" s="29" t="s">
        <v>2625</v>
      </c>
      <c r="E959" s="18" t="e">
        <f>VLOOKUP(C959,数据集标准分类!E:F,2,0)</f>
        <v>#REF!</v>
      </c>
      <c r="F959" s="29" t="e">
        <f>VLOOKUP(D959,数据集标准分类!G:H,2,0)</f>
        <v>#N/A</v>
      </c>
      <c r="G959" s="29" t="s">
        <v>2076</v>
      </c>
      <c r="H959" s="29" t="s">
        <v>2077</v>
      </c>
      <c r="I959" s="29" t="s">
        <v>2078</v>
      </c>
      <c r="J959" s="29" t="s">
        <v>2079</v>
      </c>
      <c r="K959" s="29" t="s">
        <v>2080</v>
      </c>
      <c r="L959" s="250">
        <v>15</v>
      </c>
      <c r="M959" s="251"/>
    </row>
    <row r="960" ht="31" spans="1:13">
      <c r="A960" s="248" t="s">
        <v>4175</v>
      </c>
      <c r="B960" s="45" t="s">
        <v>4174</v>
      </c>
      <c r="C960" s="249" t="e">
        <f>VLOOKUP(D960,#REF!,2,0)</f>
        <v>#REF!</v>
      </c>
      <c r="D960" s="29" t="s">
        <v>2625</v>
      </c>
      <c r="E960" s="18" t="e">
        <f>VLOOKUP(C960,数据集标准分类!E:F,2,0)</f>
        <v>#REF!</v>
      </c>
      <c r="F960" s="29" t="e">
        <f>VLOOKUP(D960,数据集标准分类!G:H,2,0)</f>
        <v>#N/A</v>
      </c>
      <c r="G960" s="29" t="s">
        <v>2633</v>
      </c>
      <c r="H960" s="29" t="s">
        <v>2634</v>
      </c>
      <c r="I960" s="29" t="s">
        <v>2635</v>
      </c>
      <c r="J960" s="29" t="s">
        <v>2636</v>
      </c>
      <c r="K960" s="29" t="s">
        <v>2637</v>
      </c>
      <c r="L960" s="250">
        <v>16</v>
      </c>
      <c r="M960" s="251"/>
    </row>
    <row r="961" ht="16.8" spans="1:13">
      <c r="A961" s="248" t="s">
        <v>4175</v>
      </c>
      <c r="B961" s="45" t="s">
        <v>4174</v>
      </c>
      <c r="C961" s="249" t="e">
        <f>VLOOKUP(D961,#REF!,2,0)</f>
        <v>#REF!</v>
      </c>
      <c r="D961" s="29" t="s">
        <v>2625</v>
      </c>
      <c r="E961" s="18" t="e">
        <f>VLOOKUP(C961,数据集标准分类!E:F,2,0)</f>
        <v>#REF!</v>
      </c>
      <c r="F961" s="29" t="e">
        <f>VLOOKUP(D961,数据集标准分类!G:H,2,0)</f>
        <v>#N/A</v>
      </c>
      <c r="G961" s="29" t="s">
        <v>2081</v>
      </c>
      <c r="H961" s="29" t="s">
        <v>2082</v>
      </c>
      <c r="I961" s="29" t="s">
        <v>2083</v>
      </c>
      <c r="J961" s="29" t="s">
        <v>2084</v>
      </c>
      <c r="K961" s="29" t="s">
        <v>2085</v>
      </c>
      <c r="L961" s="250">
        <v>17</v>
      </c>
      <c r="M961" s="251"/>
    </row>
    <row r="962" ht="16.8" spans="1:13">
      <c r="A962" s="248" t="s">
        <v>4175</v>
      </c>
      <c r="B962" s="45" t="s">
        <v>4174</v>
      </c>
      <c r="C962" s="249" t="e">
        <f>VLOOKUP(D962,#REF!,2,0)</f>
        <v>#REF!</v>
      </c>
      <c r="D962" s="29" t="s">
        <v>2625</v>
      </c>
      <c r="E962" s="18" t="e">
        <f>VLOOKUP(C962,数据集标准分类!E:F,2,0)</f>
        <v>#REF!</v>
      </c>
      <c r="F962" s="29" t="e">
        <f>VLOOKUP(D962,数据集标准分类!G:H,2,0)</f>
        <v>#N/A</v>
      </c>
      <c r="G962" s="29" t="s">
        <v>2086</v>
      </c>
      <c r="H962" s="29" t="s">
        <v>2087</v>
      </c>
      <c r="I962" s="29" t="s">
        <v>2088</v>
      </c>
      <c r="J962" s="29" t="s">
        <v>2089</v>
      </c>
      <c r="K962" s="29" t="s">
        <v>2090</v>
      </c>
      <c r="L962" s="250">
        <v>18</v>
      </c>
      <c r="M962" s="251"/>
    </row>
    <row r="963" ht="31" spans="1:13">
      <c r="A963" s="248" t="s">
        <v>4175</v>
      </c>
      <c r="B963" s="45" t="s">
        <v>4174</v>
      </c>
      <c r="C963" s="249" t="e">
        <f>VLOOKUP(D963,#REF!,2,0)</f>
        <v>#REF!</v>
      </c>
      <c r="D963" s="29" t="s">
        <v>2625</v>
      </c>
      <c r="E963" s="18" t="e">
        <f>VLOOKUP(C963,数据集标准分类!E:F,2,0)</f>
        <v>#REF!</v>
      </c>
      <c r="F963" s="29" t="e">
        <f>VLOOKUP(D963,数据集标准分类!G:H,2,0)</f>
        <v>#N/A</v>
      </c>
      <c r="G963" s="29" t="s">
        <v>2091</v>
      </c>
      <c r="H963" s="29" t="s">
        <v>2092</v>
      </c>
      <c r="I963" s="29" t="s">
        <v>2093</v>
      </c>
      <c r="J963" s="29" t="s">
        <v>2094</v>
      </c>
      <c r="K963" s="29" t="s">
        <v>2095</v>
      </c>
      <c r="L963" s="250">
        <v>19</v>
      </c>
      <c r="M963" s="251"/>
    </row>
    <row r="964" ht="31" spans="1:13">
      <c r="A964" s="248" t="s">
        <v>4175</v>
      </c>
      <c r="B964" s="45" t="s">
        <v>4174</v>
      </c>
      <c r="C964" s="249" t="e">
        <f>VLOOKUP(D964,#REF!,2,0)</f>
        <v>#REF!</v>
      </c>
      <c r="D964" s="29" t="s">
        <v>2625</v>
      </c>
      <c r="E964" s="18" t="e">
        <f>VLOOKUP(C964,数据集标准分类!E:F,2,0)</f>
        <v>#REF!</v>
      </c>
      <c r="F964" s="29" t="e">
        <f>VLOOKUP(D964,数据集标准分类!G:H,2,0)</f>
        <v>#N/A</v>
      </c>
      <c r="G964" s="29" t="s">
        <v>2096</v>
      </c>
      <c r="H964" s="29" t="s">
        <v>2097</v>
      </c>
      <c r="I964" s="29" t="s">
        <v>2098</v>
      </c>
      <c r="J964" s="29" t="s">
        <v>2099</v>
      </c>
      <c r="K964" s="29" t="s">
        <v>2100</v>
      </c>
      <c r="L964" s="250">
        <v>20</v>
      </c>
      <c r="M964" s="251"/>
    </row>
    <row r="965" ht="31" spans="1:13">
      <c r="A965" s="248" t="s">
        <v>4175</v>
      </c>
      <c r="B965" s="45" t="s">
        <v>4174</v>
      </c>
      <c r="C965" s="249" t="e">
        <f>VLOOKUP(D965,#REF!,2,0)</f>
        <v>#REF!</v>
      </c>
      <c r="D965" s="29" t="s">
        <v>2625</v>
      </c>
      <c r="E965" s="18" t="e">
        <f>VLOOKUP(C965,数据集标准分类!E:F,2,0)</f>
        <v>#REF!</v>
      </c>
      <c r="F965" s="29" t="e">
        <f>VLOOKUP(D965,数据集标准分类!G:H,2,0)</f>
        <v>#N/A</v>
      </c>
      <c r="G965" s="29" t="s">
        <v>503</v>
      </c>
      <c r="H965" s="29" t="s">
        <v>504</v>
      </c>
      <c r="I965" s="29" t="s">
        <v>505</v>
      </c>
      <c r="J965" s="29" t="s">
        <v>506</v>
      </c>
      <c r="K965" s="29" t="s">
        <v>1779</v>
      </c>
      <c r="L965" s="250">
        <v>21</v>
      </c>
      <c r="M965" s="251"/>
    </row>
    <row r="966" ht="31" spans="1:13">
      <c r="A966" s="248" t="s">
        <v>4175</v>
      </c>
      <c r="B966" s="45" t="s">
        <v>4174</v>
      </c>
      <c r="C966" s="249" t="e">
        <f>VLOOKUP(D966,#REF!,2,0)</f>
        <v>#REF!</v>
      </c>
      <c r="D966" s="29" t="s">
        <v>2625</v>
      </c>
      <c r="E966" s="18" t="e">
        <f>VLOOKUP(C966,数据集标准分类!E:F,2,0)</f>
        <v>#REF!</v>
      </c>
      <c r="F966" s="29" t="e">
        <f>VLOOKUP(D966,数据集标准分类!G:H,2,0)</f>
        <v>#N/A</v>
      </c>
      <c r="G966" s="29" t="s">
        <v>508</v>
      </c>
      <c r="H966" s="29" t="s">
        <v>509</v>
      </c>
      <c r="I966" s="29" t="s">
        <v>510</v>
      </c>
      <c r="J966" s="29" t="s">
        <v>511</v>
      </c>
      <c r="K966" s="29" t="s">
        <v>116</v>
      </c>
      <c r="L966" s="250">
        <v>22</v>
      </c>
      <c r="M966" s="251"/>
    </row>
    <row r="967" ht="16.8" spans="1:13">
      <c r="A967" s="248" t="s">
        <v>4175</v>
      </c>
      <c r="B967" s="45" t="s">
        <v>4174</v>
      </c>
      <c r="C967" s="249" t="e">
        <f>VLOOKUP(D967,#REF!,2,0)</f>
        <v>#REF!</v>
      </c>
      <c r="D967" s="29" t="s">
        <v>2625</v>
      </c>
      <c r="E967" s="18" t="e">
        <f>VLOOKUP(C967,数据集标准分类!E:F,2,0)</f>
        <v>#REF!</v>
      </c>
      <c r="F967" s="29" t="e">
        <f>VLOOKUP(D967,数据集标准分类!G:H,2,0)</f>
        <v>#N/A</v>
      </c>
      <c r="G967" s="29" t="s">
        <v>1921</v>
      </c>
      <c r="H967" s="29" t="s">
        <v>1922</v>
      </c>
      <c r="I967" s="29" t="s">
        <v>1923</v>
      </c>
      <c r="J967" s="29" t="s">
        <v>1924</v>
      </c>
      <c r="K967" s="29" t="s">
        <v>2638</v>
      </c>
      <c r="L967" s="250">
        <v>23</v>
      </c>
      <c r="M967" s="251"/>
    </row>
    <row r="968" ht="16.8" spans="1:13">
      <c r="A968" s="248" t="s">
        <v>4175</v>
      </c>
      <c r="B968" s="45" t="s">
        <v>4174</v>
      </c>
      <c r="C968" s="249" t="e">
        <f>VLOOKUP(D968,#REF!,2,0)</f>
        <v>#REF!</v>
      </c>
      <c r="D968" s="29" t="s">
        <v>2625</v>
      </c>
      <c r="E968" s="18" t="e">
        <f>VLOOKUP(C968,数据集标准分类!E:F,2,0)</f>
        <v>#REF!</v>
      </c>
      <c r="F968" s="29" t="e">
        <f>VLOOKUP(D968,数据集标准分类!G:H,2,0)</f>
        <v>#N/A</v>
      </c>
      <c r="G968" s="29" t="s">
        <v>1234</v>
      </c>
      <c r="H968" s="29" t="s">
        <v>1235</v>
      </c>
      <c r="I968" s="29" t="s">
        <v>1236</v>
      </c>
      <c r="J968" s="29" t="s">
        <v>1237</v>
      </c>
      <c r="K968" s="29" t="s">
        <v>2639</v>
      </c>
      <c r="L968" s="250">
        <v>24</v>
      </c>
      <c r="M968" s="251"/>
    </row>
    <row r="969" ht="31" spans="1:13">
      <c r="A969" s="248" t="s">
        <v>4175</v>
      </c>
      <c r="B969" s="45" t="s">
        <v>4174</v>
      </c>
      <c r="C969" s="249" t="e">
        <f>VLOOKUP(D969,#REF!,2,0)</f>
        <v>#REF!</v>
      </c>
      <c r="D969" s="29" t="s">
        <v>2625</v>
      </c>
      <c r="E969" s="18" t="e">
        <f>VLOOKUP(C969,数据集标准分类!E:F,2,0)</f>
        <v>#REF!</v>
      </c>
      <c r="F969" s="29" t="e">
        <f>VLOOKUP(D969,数据集标准分类!G:H,2,0)</f>
        <v>#N/A</v>
      </c>
      <c r="G969" s="29" t="s">
        <v>2640</v>
      </c>
      <c r="H969" s="29" t="s">
        <v>2641</v>
      </c>
      <c r="I969" s="29" t="s">
        <v>2642</v>
      </c>
      <c r="J969" s="29" t="s">
        <v>2643</v>
      </c>
      <c r="K969" s="29" t="s">
        <v>2644</v>
      </c>
      <c r="L969" s="250">
        <v>25</v>
      </c>
      <c r="M969" s="251"/>
    </row>
    <row r="970" ht="46" spans="1:13">
      <c r="A970" s="248" t="s">
        <v>4175</v>
      </c>
      <c r="B970" s="45" t="s">
        <v>4174</v>
      </c>
      <c r="C970" s="249" t="e">
        <f>VLOOKUP(D970,#REF!,2,0)</f>
        <v>#REF!</v>
      </c>
      <c r="D970" s="29" t="s">
        <v>2625</v>
      </c>
      <c r="E970" s="18" t="e">
        <f>VLOOKUP(C970,数据集标准分类!E:F,2,0)</f>
        <v>#REF!</v>
      </c>
      <c r="F970" s="29" t="e">
        <f>VLOOKUP(D970,数据集标准分类!G:H,2,0)</f>
        <v>#N/A</v>
      </c>
      <c r="G970" s="29" t="s">
        <v>2645</v>
      </c>
      <c r="H970" s="29" t="s">
        <v>2646</v>
      </c>
      <c r="I970" s="29" t="s">
        <v>2647</v>
      </c>
      <c r="J970" s="29" t="s">
        <v>2648</v>
      </c>
      <c r="K970" s="29" t="s">
        <v>2649</v>
      </c>
      <c r="L970" s="250">
        <v>26</v>
      </c>
      <c r="M970" s="251"/>
    </row>
    <row r="971" ht="31" spans="1:13">
      <c r="A971" s="248" t="s">
        <v>4175</v>
      </c>
      <c r="B971" s="45" t="s">
        <v>4174</v>
      </c>
      <c r="C971" s="265" t="e">
        <f>VLOOKUP(D971,#REF!,2,0)</f>
        <v>#REF!</v>
      </c>
      <c r="D971" s="18" t="s">
        <v>2650</v>
      </c>
      <c r="E971" s="18" t="e">
        <f>VLOOKUP(C971,数据集标准分类!E:F,2,0)</f>
        <v>#REF!</v>
      </c>
      <c r="F971" s="29" t="e">
        <f>VLOOKUP(D971,数据集标准分类!G:H,2,0)</f>
        <v>#N/A</v>
      </c>
      <c r="G971" s="29" t="s">
        <v>503</v>
      </c>
      <c r="H971" s="29" t="s">
        <v>504</v>
      </c>
      <c r="I971" s="29" t="s">
        <v>505</v>
      </c>
      <c r="J971" s="29" t="s">
        <v>506</v>
      </c>
      <c r="K971" s="29" t="s">
        <v>1779</v>
      </c>
      <c r="L971" s="250">
        <v>1</v>
      </c>
      <c r="M971" s="251"/>
    </row>
    <row r="972" ht="31" spans="1:13">
      <c r="A972" s="248" t="s">
        <v>4175</v>
      </c>
      <c r="B972" s="45" t="s">
        <v>4174</v>
      </c>
      <c r="C972" s="249" t="e">
        <f>VLOOKUP(D972,#REF!,2,0)</f>
        <v>#REF!</v>
      </c>
      <c r="D972" s="18" t="s">
        <v>2650</v>
      </c>
      <c r="E972" s="18" t="e">
        <f>VLOOKUP(C972,数据集标准分类!E:F,2,0)</f>
        <v>#REF!</v>
      </c>
      <c r="F972" s="29" t="e">
        <f>VLOOKUP(D972,数据集标准分类!G:H,2,0)</f>
        <v>#N/A</v>
      </c>
      <c r="G972" s="29" t="s">
        <v>508</v>
      </c>
      <c r="H972" s="29" t="s">
        <v>509</v>
      </c>
      <c r="I972" s="29" t="s">
        <v>510</v>
      </c>
      <c r="J972" s="29" t="s">
        <v>511</v>
      </c>
      <c r="K972" s="29" t="s">
        <v>116</v>
      </c>
      <c r="L972" s="250">
        <v>2</v>
      </c>
      <c r="M972" s="251"/>
    </row>
    <row r="973" ht="46" spans="1:13">
      <c r="A973" s="248" t="s">
        <v>4175</v>
      </c>
      <c r="B973" s="45" t="s">
        <v>4174</v>
      </c>
      <c r="C973" s="249" t="e">
        <f>VLOOKUP(D973,#REF!,2,0)</f>
        <v>#REF!</v>
      </c>
      <c r="D973" s="18" t="s">
        <v>2650</v>
      </c>
      <c r="E973" s="18" t="e">
        <f>VLOOKUP(C973,数据集标准分类!E:F,2,0)</f>
        <v>#REF!</v>
      </c>
      <c r="F973" s="29" t="e">
        <f>VLOOKUP(D973,数据集标准分类!G:H,2,0)</f>
        <v>#N/A</v>
      </c>
      <c r="G973" s="29" t="s">
        <v>147</v>
      </c>
      <c r="H973" s="29" t="s">
        <v>148</v>
      </c>
      <c r="I973" s="29" t="s">
        <v>149</v>
      </c>
      <c r="J973" s="29" t="s">
        <v>150</v>
      </c>
      <c r="K973" s="29" t="s">
        <v>151</v>
      </c>
      <c r="L973" s="250">
        <v>3</v>
      </c>
      <c r="M973" s="251"/>
    </row>
    <row r="974" ht="31" spans="1:13">
      <c r="A974" s="248" t="s">
        <v>4175</v>
      </c>
      <c r="B974" s="45" t="s">
        <v>4174</v>
      </c>
      <c r="C974" s="249" t="e">
        <f>VLOOKUP(D974,#REF!,2,0)</f>
        <v>#REF!</v>
      </c>
      <c r="D974" s="18" t="s">
        <v>2650</v>
      </c>
      <c r="E974" s="18" t="e">
        <f>VLOOKUP(C974,数据集标准分类!E:F,2,0)</f>
        <v>#REF!</v>
      </c>
      <c r="F974" s="29" t="e">
        <f>VLOOKUP(D974,数据集标准分类!G:H,2,0)</f>
        <v>#N/A</v>
      </c>
      <c r="G974" s="29" t="s">
        <v>2652</v>
      </c>
      <c r="H974" s="29" t="s">
        <v>2653</v>
      </c>
      <c r="I974" s="29" t="s">
        <v>2654</v>
      </c>
      <c r="J974" s="29" t="s">
        <v>2655</v>
      </c>
      <c r="K974" s="29" t="s">
        <v>2656</v>
      </c>
      <c r="L974" s="250">
        <v>4</v>
      </c>
      <c r="M974" s="251"/>
    </row>
    <row r="975" ht="61" spans="1:13">
      <c r="A975" s="248" t="s">
        <v>4175</v>
      </c>
      <c r="B975" s="45" t="s">
        <v>4174</v>
      </c>
      <c r="C975" s="249" t="e">
        <f>VLOOKUP(D975,#REF!,2,0)</f>
        <v>#REF!</v>
      </c>
      <c r="D975" s="18" t="s">
        <v>2650</v>
      </c>
      <c r="E975" s="18" t="e">
        <f>VLOOKUP(C975,数据集标准分类!E:F,2,0)</f>
        <v>#REF!</v>
      </c>
      <c r="F975" s="29" t="e">
        <f>VLOOKUP(D975,数据集标准分类!G:H,2,0)</f>
        <v>#N/A</v>
      </c>
      <c r="G975" s="29" t="s">
        <v>663</v>
      </c>
      <c r="H975" s="29" t="s">
        <v>664</v>
      </c>
      <c r="I975" s="29" t="s">
        <v>665</v>
      </c>
      <c r="J975" s="29" t="s">
        <v>666</v>
      </c>
      <c r="K975" s="29" t="s">
        <v>667</v>
      </c>
      <c r="L975" s="250">
        <v>5</v>
      </c>
      <c r="M975" s="251"/>
    </row>
    <row r="976" ht="31" spans="1:13">
      <c r="A976" s="248" t="s">
        <v>4175</v>
      </c>
      <c r="B976" s="45" t="s">
        <v>4174</v>
      </c>
      <c r="C976" s="249" t="e">
        <f>VLOOKUP(D976,#REF!,2,0)</f>
        <v>#REF!</v>
      </c>
      <c r="D976" s="18" t="s">
        <v>2650</v>
      </c>
      <c r="E976" s="18" t="e">
        <f>VLOOKUP(C976,数据集标准分类!E:F,2,0)</f>
        <v>#REF!</v>
      </c>
      <c r="F976" s="29" t="e">
        <f>VLOOKUP(D976,数据集标准分类!G:H,2,0)</f>
        <v>#N/A</v>
      </c>
      <c r="G976" s="29" t="s">
        <v>668</v>
      </c>
      <c r="H976" s="29" t="s">
        <v>669</v>
      </c>
      <c r="I976" s="29" t="s">
        <v>670</v>
      </c>
      <c r="J976" s="29" t="s">
        <v>671</v>
      </c>
      <c r="K976" s="29" t="s">
        <v>672</v>
      </c>
      <c r="L976" s="250">
        <v>6</v>
      </c>
      <c r="M976" s="251"/>
    </row>
    <row r="977" ht="31" spans="1:13">
      <c r="A977" s="248" t="s">
        <v>4175</v>
      </c>
      <c r="B977" s="45" t="s">
        <v>4174</v>
      </c>
      <c r="C977" s="249" t="e">
        <f>VLOOKUP(D977,#REF!,2,0)</f>
        <v>#REF!</v>
      </c>
      <c r="D977" s="18" t="s">
        <v>2650</v>
      </c>
      <c r="E977" s="18" t="e">
        <f>VLOOKUP(C977,数据集标准分类!E:F,2,0)</f>
        <v>#REF!</v>
      </c>
      <c r="F977" s="29" t="e">
        <f>VLOOKUP(D977,数据集标准分类!G:H,2,0)</f>
        <v>#N/A</v>
      </c>
      <c r="G977" s="29" t="s">
        <v>918</v>
      </c>
      <c r="H977" s="29" t="s">
        <v>919</v>
      </c>
      <c r="I977" s="29" t="s">
        <v>920</v>
      </c>
      <c r="J977" s="29" t="s">
        <v>921</v>
      </c>
      <c r="K977" s="29" t="s">
        <v>922</v>
      </c>
      <c r="L977" s="250">
        <v>7</v>
      </c>
      <c r="M977" s="251"/>
    </row>
    <row r="978" ht="16.8" spans="1:13">
      <c r="A978" s="248" t="s">
        <v>4175</v>
      </c>
      <c r="B978" s="45" t="s">
        <v>4174</v>
      </c>
      <c r="C978" s="249" t="e">
        <f>VLOOKUP(D978,#REF!,2,0)</f>
        <v>#REF!</v>
      </c>
      <c r="D978" s="18" t="s">
        <v>2650</v>
      </c>
      <c r="E978" s="18" t="e">
        <f>VLOOKUP(C978,数据集标准分类!E:F,2,0)</f>
        <v>#REF!</v>
      </c>
      <c r="F978" s="29" t="e">
        <f>VLOOKUP(D978,数据集标准分类!G:H,2,0)</f>
        <v>#N/A</v>
      </c>
      <c r="G978" s="29" t="s">
        <v>2657</v>
      </c>
      <c r="H978" s="29" t="s">
        <v>2658</v>
      </c>
      <c r="I978" s="29" t="s">
        <v>2659</v>
      </c>
      <c r="J978" s="29" t="s">
        <v>2660</v>
      </c>
      <c r="K978" s="29" t="s">
        <v>2661</v>
      </c>
      <c r="L978" s="250">
        <v>8</v>
      </c>
      <c r="M978" s="251"/>
    </row>
    <row r="979" ht="61" spans="1:13">
      <c r="A979" s="248" t="s">
        <v>4175</v>
      </c>
      <c r="B979" s="45" t="s">
        <v>4174</v>
      </c>
      <c r="C979" s="249" t="e">
        <f>VLOOKUP(D979,#REF!,2,0)</f>
        <v>#REF!</v>
      </c>
      <c r="D979" s="18" t="s">
        <v>2650</v>
      </c>
      <c r="E979" s="18" t="e">
        <f>VLOOKUP(C979,数据集标准分类!E:F,2,0)</f>
        <v>#REF!</v>
      </c>
      <c r="F979" s="29" t="e">
        <f>VLOOKUP(D979,数据集标准分类!G:H,2,0)</f>
        <v>#N/A</v>
      </c>
      <c r="G979" s="29" t="s">
        <v>2662</v>
      </c>
      <c r="H979" s="29" t="s">
        <v>2663</v>
      </c>
      <c r="I979" s="29" t="s">
        <v>2664</v>
      </c>
      <c r="J979" s="29" t="s">
        <v>2665</v>
      </c>
      <c r="K979" s="29" t="s">
        <v>2666</v>
      </c>
      <c r="L979" s="250">
        <v>9</v>
      </c>
      <c r="M979" s="251"/>
    </row>
    <row r="980" ht="46" spans="1:13">
      <c r="A980" s="248" t="s">
        <v>4175</v>
      </c>
      <c r="B980" s="45" t="s">
        <v>4174</v>
      </c>
      <c r="C980" s="249" t="e">
        <f>VLOOKUP(D980,#REF!,2,0)</f>
        <v>#REF!</v>
      </c>
      <c r="D980" s="18" t="s">
        <v>2650</v>
      </c>
      <c r="E980" s="18" t="e">
        <f>VLOOKUP(C980,数据集标准分类!E:F,2,0)</f>
        <v>#REF!</v>
      </c>
      <c r="F980" s="29" t="e">
        <f>VLOOKUP(D980,数据集标准分类!G:H,2,0)</f>
        <v>#N/A</v>
      </c>
      <c r="G980" s="29" t="s">
        <v>784</v>
      </c>
      <c r="H980" s="29" t="s">
        <v>785</v>
      </c>
      <c r="I980" s="29" t="s">
        <v>786</v>
      </c>
      <c r="J980" s="29" t="s">
        <v>787</v>
      </c>
      <c r="K980" s="29" t="s">
        <v>788</v>
      </c>
      <c r="L980" s="250">
        <v>10</v>
      </c>
      <c r="M980" s="251"/>
    </row>
    <row r="981" ht="31" spans="1:13">
      <c r="A981" s="248" t="s">
        <v>4175</v>
      </c>
      <c r="B981" s="45" t="s">
        <v>4174</v>
      </c>
      <c r="C981" s="249" t="e">
        <f>VLOOKUP(D981,#REF!,2,0)</f>
        <v>#REF!</v>
      </c>
      <c r="D981" s="18" t="s">
        <v>2650</v>
      </c>
      <c r="E981" s="18" t="e">
        <f>VLOOKUP(C981,数据集标准分类!E:F,2,0)</f>
        <v>#REF!</v>
      </c>
      <c r="F981" s="29" t="e">
        <f>VLOOKUP(D981,数据集标准分类!G:H,2,0)</f>
        <v>#N/A</v>
      </c>
      <c r="G981" s="29" t="s">
        <v>2667</v>
      </c>
      <c r="H981" s="29" t="s">
        <v>2668</v>
      </c>
      <c r="I981" s="29" t="s">
        <v>2669</v>
      </c>
      <c r="J981" s="29" t="s">
        <v>2670</v>
      </c>
      <c r="K981" s="29" t="s">
        <v>2671</v>
      </c>
      <c r="L981" s="250">
        <v>11</v>
      </c>
      <c r="M981" s="251"/>
    </row>
    <row r="982" ht="31" spans="1:13">
      <c r="A982" s="248" t="s">
        <v>4175</v>
      </c>
      <c r="B982" s="45" t="s">
        <v>4174</v>
      </c>
      <c r="C982" s="249" t="e">
        <f>VLOOKUP(D982,#REF!,2,0)</f>
        <v>#REF!</v>
      </c>
      <c r="D982" s="18" t="s">
        <v>2650</v>
      </c>
      <c r="E982" s="18" t="e">
        <f>VLOOKUP(C982,数据集标准分类!E:F,2,0)</f>
        <v>#REF!</v>
      </c>
      <c r="F982" s="29" t="e">
        <f>VLOOKUP(D982,数据集标准分类!G:H,2,0)</f>
        <v>#N/A</v>
      </c>
      <c r="G982" s="29" t="s">
        <v>779</v>
      </c>
      <c r="H982" s="29" t="s">
        <v>780</v>
      </c>
      <c r="I982" s="29" t="s">
        <v>781</v>
      </c>
      <c r="J982" s="29" t="s">
        <v>782</v>
      </c>
      <c r="K982" s="29" t="s">
        <v>2672</v>
      </c>
      <c r="L982" s="250">
        <v>12</v>
      </c>
      <c r="M982" s="251"/>
    </row>
    <row r="983" ht="46" spans="1:13">
      <c r="A983" s="248" t="s">
        <v>4175</v>
      </c>
      <c r="B983" s="45" t="s">
        <v>4174</v>
      </c>
      <c r="C983" s="249" t="e">
        <f>VLOOKUP(D983,#REF!,2,0)</f>
        <v>#REF!</v>
      </c>
      <c r="D983" s="18" t="s">
        <v>2650</v>
      </c>
      <c r="E983" s="18" t="e">
        <f>VLOOKUP(C983,数据集标准分类!E:F,2,0)</f>
        <v>#REF!</v>
      </c>
      <c r="F983" s="29" t="e">
        <f>VLOOKUP(D983,数据集标准分类!G:H,2,0)</f>
        <v>#N/A</v>
      </c>
      <c r="G983" s="29" t="s">
        <v>798</v>
      </c>
      <c r="H983" s="29" t="s">
        <v>799</v>
      </c>
      <c r="I983" s="29" t="s">
        <v>800</v>
      </c>
      <c r="J983" s="29" t="s">
        <v>801</v>
      </c>
      <c r="K983" s="29" t="s">
        <v>2673</v>
      </c>
      <c r="L983" s="250">
        <v>13</v>
      </c>
      <c r="M983" s="251"/>
    </row>
    <row r="984" ht="46" spans="1:13">
      <c r="A984" s="248" t="s">
        <v>4175</v>
      </c>
      <c r="B984" s="45" t="s">
        <v>4174</v>
      </c>
      <c r="C984" s="249" t="e">
        <f>VLOOKUP(D984,#REF!,2,0)</f>
        <v>#REF!</v>
      </c>
      <c r="D984" s="18" t="s">
        <v>2650</v>
      </c>
      <c r="E984" s="18" t="e">
        <f>VLOOKUP(C984,数据集标准分类!E:F,2,0)</f>
        <v>#REF!</v>
      </c>
      <c r="F984" s="29" t="e">
        <f>VLOOKUP(D984,数据集标准分类!G:H,2,0)</f>
        <v>#N/A</v>
      </c>
      <c r="G984" s="29" t="s">
        <v>793</v>
      </c>
      <c r="H984" s="29" t="s">
        <v>794</v>
      </c>
      <c r="I984" s="29" t="s">
        <v>795</v>
      </c>
      <c r="J984" s="29" t="s">
        <v>796</v>
      </c>
      <c r="K984" s="29" t="s">
        <v>2674</v>
      </c>
      <c r="L984" s="250">
        <v>14</v>
      </c>
      <c r="M984" s="251"/>
    </row>
    <row r="985" ht="46" spans="1:13">
      <c r="A985" s="248" t="s">
        <v>4175</v>
      </c>
      <c r="B985" s="45" t="s">
        <v>4174</v>
      </c>
      <c r="C985" s="249" t="e">
        <f>VLOOKUP(D985,#REF!,2,0)</f>
        <v>#REF!</v>
      </c>
      <c r="D985" s="18" t="s">
        <v>2650</v>
      </c>
      <c r="E985" s="18" t="e">
        <f>VLOOKUP(C985,数据集标准分类!E:F,2,0)</f>
        <v>#REF!</v>
      </c>
      <c r="F985" s="29" t="e">
        <f>VLOOKUP(D985,数据集标准分类!G:H,2,0)</f>
        <v>#N/A</v>
      </c>
      <c r="G985" s="29" t="s">
        <v>808</v>
      </c>
      <c r="H985" s="29" t="s">
        <v>809</v>
      </c>
      <c r="I985" s="29" t="s">
        <v>810</v>
      </c>
      <c r="J985" s="29" t="s">
        <v>811</v>
      </c>
      <c r="K985" s="29" t="s">
        <v>2675</v>
      </c>
      <c r="L985" s="250">
        <v>15</v>
      </c>
      <c r="M985" s="251"/>
    </row>
    <row r="986" ht="46" spans="1:13">
      <c r="A986" s="248" t="s">
        <v>4175</v>
      </c>
      <c r="B986" s="45" t="s">
        <v>4174</v>
      </c>
      <c r="C986" s="249" t="e">
        <f>VLOOKUP(D986,#REF!,2,0)</f>
        <v>#REF!</v>
      </c>
      <c r="D986" s="18" t="s">
        <v>2650</v>
      </c>
      <c r="E986" s="18" t="e">
        <f>VLOOKUP(C986,数据集标准分类!E:F,2,0)</f>
        <v>#REF!</v>
      </c>
      <c r="F986" s="29" t="e">
        <f>VLOOKUP(D986,数据集标准分类!G:H,2,0)</f>
        <v>#N/A</v>
      </c>
      <c r="G986" s="29" t="s">
        <v>803</v>
      </c>
      <c r="H986" s="29" t="s">
        <v>804</v>
      </c>
      <c r="I986" s="29" t="s">
        <v>805</v>
      </c>
      <c r="J986" s="29" t="s">
        <v>806</v>
      </c>
      <c r="K986" s="29" t="s">
        <v>2676</v>
      </c>
      <c r="L986" s="250">
        <v>16</v>
      </c>
      <c r="M986" s="251"/>
    </row>
    <row r="987" ht="46" spans="1:13">
      <c r="A987" s="248" t="s">
        <v>4175</v>
      </c>
      <c r="B987" s="45" t="s">
        <v>4174</v>
      </c>
      <c r="C987" s="249" t="e">
        <f>VLOOKUP(D987,#REF!,2,0)</f>
        <v>#REF!</v>
      </c>
      <c r="D987" s="18" t="s">
        <v>2650</v>
      </c>
      <c r="E987" s="18" t="e">
        <f>VLOOKUP(C987,数据集标准分类!E:F,2,0)</f>
        <v>#REF!</v>
      </c>
      <c r="F987" s="29" t="e">
        <f>VLOOKUP(D987,数据集标准分类!G:H,2,0)</f>
        <v>#N/A</v>
      </c>
      <c r="G987" s="29" t="s">
        <v>818</v>
      </c>
      <c r="H987" s="29" t="s">
        <v>819</v>
      </c>
      <c r="I987" s="29" t="s">
        <v>820</v>
      </c>
      <c r="J987" s="29" t="s">
        <v>821</v>
      </c>
      <c r="K987" s="29" t="s">
        <v>2677</v>
      </c>
      <c r="L987" s="250">
        <v>17</v>
      </c>
      <c r="M987" s="251"/>
    </row>
    <row r="988" ht="46" spans="1:13">
      <c r="A988" s="248" t="s">
        <v>4175</v>
      </c>
      <c r="B988" s="45" t="s">
        <v>4174</v>
      </c>
      <c r="C988" s="249" t="e">
        <f>VLOOKUP(D988,#REF!,2,0)</f>
        <v>#REF!</v>
      </c>
      <c r="D988" s="18" t="s">
        <v>2650</v>
      </c>
      <c r="E988" s="18" t="e">
        <f>VLOOKUP(C988,数据集标准分类!E:F,2,0)</f>
        <v>#REF!</v>
      </c>
      <c r="F988" s="29" t="e">
        <f>VLOOKUP(D988,数据集标准分类!G:H,2,0)</f>
        <v>#N/A</v>
      </c>
      <c r="G988" s="29" t="s">
        <v>813</v>
      </c>
      <c r="H988" s="29" t="s">
        <v>814</v>
      </c>
      <c r="I988" s="29" t="s">
        <v>815</v>
      </c>
      <c r="J988" s="29" t="s">
        <v>816</v>
      </c>
      <c r="K988" s="29" t="s">
        <v>2678</v>
      </c>
      <c r="L988" s="250">
        <v>18</v>
      </c>
      <c r="M988" s="251"/>
    </row>
    <row r="989" ht="31" spans="1:13">
      <c r="A989" s="248" t="s">
        <v>4175</v>
      </c>
      <c r="B989" s="45" t="s">
        <v>4174</v>
      </c>
      <c r="C989" s="249" t="e">
        <f>VLOOKUP(D989,#REF!,2,0)</f>
        <v>#REF!</v>
      </c>
      <c r="D989" s="18" t="s">
        <v>2650</v>
      </c>
      <c r="E989" s="18" t="e">
        <f>VLOOKUP(C989,数据集标准分类!E:F,2,0)</f>
        <v>#REF!</v>
      </c>
      <c r="F989" s="29" t="e">
        <f>VLOOKUP(D989,数据集标准分类!G:H,2,0)</f>
        <v>#N/A</v>
      </c>
      <c r="G989" s="29" t="s">
        <v>2679</v>
      </c>
      <c r="H989" s="29" t="s">
        <v>2680</v>
      </c>
      <c r="I989" s="29" t="s">
        <v>2681</v>
      </c>
      <c r="J989" s="29" t="s">
        <v>2682</v>
      </c>
      <c r="K989" s="29" t="s">
        <v>2683</v>
      </c>
      <c r="L989" s="250">
        <v>19</v>
      </c>
      <c r="M989" s="251"/>
    </row>
    <row r="990" ht="31" spans="1:13">
      <c r="A990" s="248" t="s">
        <v>4175</v>
      </c>
      <c r="B990" s="45" t="s">
        <v>4174</v>
      </c>
      <c r="C990" s="249" t="e">
        <f>VLOOKUP(D990,#REF!,2,0)</f>
        <v>#REF!</v>
      </c>
      <c r="D990" s="18" t="s">
        <v>2650</v>
      </c>
      <c r="E990" s="18" t="e">
        <f>VLOOKUP(C990,数据集标准分类!E:F,2,0)</f>
        <v>#REF!</v>
      </c>
      <c r="F990" s="29" t="e">
        <f>VLOOKUP(D990,数据集标准分类!G:H,2,0)</f>
        <v>#N/A</v>
      </c>
      <c r="G990" s="29" t="s">
        <v>789</v>
      </c>
      <c r="H990" s="29" t="s">
        <v>790</v>
      </c>
      <c r="I990" s="29" t="s">
        <v>790</v>
      </c>
      <c r="J990" s="29" t="s">
        <v>791</v>
      </c>
      <c r="K990" s="29" t="s">
        <v>792</v>
      </c>
      <c r="L990" s="250">
        <v>20</v>
      </c>
      <c r="M990" s="251"/>
    </row>
    <row r="991" ht="31" spans="1:13">
      <c r="A991" s="248" t="s">
        <v>4175</v>
      </c>
      <c r="B991" s="45" t="s">
        <v>4174</v>
      </c>
      <c r="C991" s="249" t="e">
        <f>VLOOKUP(D991,#REF!,2,0)</f>
        <v>#REF!</v>
      </c>
      <c r="D991" s="18" t="s">
        <v>2650</v>
      </c>
      <c r="E991" s="18" t="e">
        <f>VLOOKUP(C991,数据集标准分类!E:F,2,0)</f>
        <v>#REF!</v>
      </c>
      <c r="F991" s="29" t="e">
        <f>VLOOKUP(D991,数据集标准分类!G:H,2,0)</f>
        <v>#N/A</v>
      </c>
      <c r="G991" s="29" t="s">
        <v>2685</v>
      </c>
      <c r="H991" s="29" t="s">
        <v>2686</v>
      </c>
      <c r="I991" s="29" t="s">
        <v>2687</v>
      </c>
      <c r="J991" s="29" t="s">
        <v>2688</v>
      </c>
      <c r="K991" s="29" t="s">
        <v>2689</v>
      </c>
      <c r="L991" s="250">
        <v>21</v>
      </c>
      <c r="M991" s="251"/>
    </row>
    <row r="992" ht="16.8" spans="1:13">
      <c r="A992" s="248" t="s">
        <v>4175</v>
      </c>
      <c r="B992" s="45" t="s">
        <v>4174</v>
      </c>
      <c r="C992" s="249" t="e">
        <f>VLOOKUP(D992,#REF!,2,0)</f>
        <v>#REF!</v>
      </c>
      <c r="D992" s="18" t="s">
        <v>2650</v>
      </c>
      <c r="E992" s="18" t="e">
        <f>VLOOKUP(C992,数据集标准分类!E:F,2,0)</f>
        <v>#REF!</v>
      </c>
      <c r="F992" s="29" t="e">
        <f>VLOOKUP(D992,数据集标准分类!G:H,2,0)</f>
        <v>#N/A</v>
      </c>
      <c r="G992" s="29" t="s">
        <v>2690</v>
      </c>
      <c r="H992" s="29" t="s">
        <v>2691</v>
      </c>
      <c r="I992" s="29" t="s">
        <v>2692</v>
      </c>
      <c r="J992" s="29" t="s">
        <v>2693</v>
      </c>
      <c r="K992" s="29" t="s">
        <v>2694</v>
      </c>
      <c r="L992" s="250">
        <v>22</v>
      </c>
      <c r="M992" s="251"/>
    </row>
    <row r="993" ht="31" spans="1:13">
      <c r="A993" s="248" t="s">
        <v>4175</v>
      </c>
      <c r="B993" s="45" t="s">
        <v>4174</v>
      </c>
      <c r="C993" s="249" t="e">
        <f>VLOOKUP(D993,#REF!,2,0)</f>
        <v>#REF!</v>
      </c>
      <c r="D993" s="18" t="s">
        <v>2650</v>
      </c>
      <c r="E993" s="18" t="e">
        <f>VLOOKUP(C993,数据集标准分类!E:F,2,0)</f>
        <v>#REF!</v>
      </c>
      <c r="F993" s="29" t="e">
        <f>VLOOKUP(D993,数据集标准分类!G:H,2,0)</f>
        <v>#N/A</v>
      </c>
      <c r="G993" s="29" t="s">
        <v>1921</v>
      </c>
      <c r="H993" s="29" t="s">
        <v>1922</v>
      </c>
      <c r="I993" s="29" t="s">
        <v>1923</v>
      </c>
      <c r="J993" s="29" t="s">
        <v>1924</v>
      </c>
      <c r="K993" s="29" t="s">
        <v>2695</v>
      </c>
      <c r="L993" s="250">
        <v>23</v>
      </c>
      <c r="M993" s="251"/>
    </row>
    <row r="994" ht="60" customHeight="1" spans="1:13">
      <c r="A994" s="248" t="s">
        <v>4175</v>
      </c>
      <c r="B994" s="45" t="s">
        <v>4174</v>
      </c>
      <c r="C994" s="249" t="e">
        <f>VLOOKUP(D994,#REF!,2,0)</f>
        <v>#REF!</v>
      </c>
      <c r="D994" s="18" t="s">
        <v>2650</v>
      </c>
      <c r="E994" s="18" t="e">
        <f>VLOOKUP(C994,数据集标准分类!E:F,2,0)</f>
        <v>#REF!</v>
      </c>
      <c r="F994" s="29" t="e">
        <f>VLOOKUP(D994,数据集标准分类!G:H,2,0)</f>
        <v>#N/A</v>
      </c>
      <c r="G994" s="29" t="s">
        <v>2696</v>
      </c>
      <c r="H994" s="29" t="s">
        <v>2697</v>
      </c>
      <c r="I994" s="29" t="s">
        <v>2698</v>
      </c>
      <c r="J994" s="29" t="s">
        <v>2699</v>
      </c>
      <c r="K994" s="29" t="s">
        <v>2700</v>
      </c>
      <c r="L994" s="250">
        <v>24</v>
      </c>
      <c r="M994" s="251"/>
    </row>
    <row r="995" ht="31" spans="1:13">
      <c r="A995" s="248" t="s">
        <v>4175</v>
      </c>
      <c r="B995" s="45" t="s">
        <v>4174</v>
      </c>
      <c r="C995" s="249" t="e">
        <f>VLOOKUP(D995,#REF!,2,0)</f>
        <v>#REF!</v>
      </c>
      <c r="D995" s="18" t="s">
        <v>2650</v>
      </c>
      <c r="E995" s="18" t="e">
        <f>VLOOKUP(C995,数据集标准分类!E:F,2,0)</f>
        <v>#REF!</v>
      </c>
      <c r="F995" s="29" t="e">
        <f>VLOOKUP(D995,数据集标准分类!G:H,2,0)</f>
        <v>#N/A</v>
      </c>
      <c r="G995" s="29" t="s">
        <v>2701</v>
      </c>
      <c r="H995" s="29" t="s">
        <v>2702</v>
      </c>
      <c r="I995" s="29" t="s">
        <v>2703</v>
      </c>
      <c r="J995" s="29" t="s">
        <v>2704</v>
      </c>
      <c r="K995" s="29" t="s">
        <v>2705</v>
      </c>
      <c r="L995" s="250">
        <v>25</v>
      </c>
      <c r="M995" s="251"/>
    </row>
    <row r="996" ht="16.8" spans="1:13">
      <c r="A996" s="248" t="s">
        <v>4175</v>
      </c>
      <c r="B996" s="45" t="s">
        <v>4174</v>
      </c>
      <c r="C996" s="249" t="e">
        <f>VLOOKUP(D996,#REF!,2,0)</f>
        <v>#REF!</v>
      </c>
      <c r="D996" s="18" t="s">
        <v>2650</v>
      </c>
      <c r="E996" s="18" t="e">
        <f>VLOOKUP(C996,数据集标准分类!E:F,2,0)</f>
        <v>#REF!</v>
      </c>
      <c r="F996" s="29" t="e">
        <f>VLOOKUP(D996,数据集标准分类!G:H,2,0)</f>
        <v>#N/A</v>
      </c>
      <c r="G996" s="29" t="s">
        <v>2706</v>
      </c>
      <c r="H996" s="29" t="s">
        <v>2707</v>
      </c>
      <c r="I996" s="29" t="s">
        <v>2708</v>
      </c>
      <c r="J996" s="29" t="s">
        <v>2709</v>
      </c>
      <c r="K996" s="29" t="s">
        <v>2710</v>
      </c>
      <c r="L996" s="250">
        <v>26</v>
      </c>
      <c r="M996" s="251"/>
    </row>
    <row r="997" ht="31" spans="1:13">
      <c r="A997" s="248" t="s">
        <v>4175</v>
      </c>
      <c r="B997" s="45" t="s">
        <v>4174</v>
      </c>
      <c r="C997" s="249" t="e">
        <f>VLOOKUP(D997,#REF!,2,0)</f>
        <v>#REF!</v>
      </c>
      <c r="D997" s="18" t="s">
        <v>2650</v>
      </c>
      <c r="E997" s="18" t="e">
        <f>VLOOKUP(C997,数据集标准分类!E:F,2,0)</f>
        <v>#REF!</v>
      </c>
      <c r="F997" s="29" t="e">
        <f>VLOOKUP(D997,数据集标准分类!G:H,2,0)</f>
        <v>#N/A</v>
      </c>
      <c r="G997" s="29" t="s">
        <v>2711</v>
      </c>
      <c r="H997" s="29" t="s">
        <v>2712</v>
      </c>
      <c r="I997" s="29" t="s">
        <v>2713</v>
      </c>
      <c r="J997" s="29" t="s">
        <v>2714</v>
      </c>
      <c r="K997" s="29" t="s">
        <v>2715</v>
      </c>
      <c r="L997" s="250">
        <v>27</v>
      </c>
      <c r="M997" s="251"/>
    </row>
    <row r="998" ht="31" spans="1:13">
      <c r="A998" s="248" t="s">
        <v>4175</v>
      </c>
      <c r="B998" s="45" t="s">
        <v>4174</v>
      </c>
      <c r="C998" s="249" t="e">
        <f>VLOOKUP(D998,#REF!,2,0)</f>
        <v>#REF!</v>
      </c>
      <c r="D998" s="29" t="s">
        <v>3653</v>
      </c>
      <c r="E998" s="18" t="e">
        <f>VLOOKUP(C998,数据集标准分类!E:F,2,0)</f>
        <v>#REF!</v>
      </c>
      <c r="F998" s="29" t="e">
        <f>VLOOKUP(D998,数据集标准分类!G:H,2,0)</f>
        <v>#N/A</v>
      </c>
      <c r="G998" s="29" t="s">
        <v>172</v>
      </c>
      <c r="H998" s="29" t="s">
        <v>173</v>
      </c>
      <c r="I998" s="29" t="s">
        <v>174</v>
      </c>
      <c r="J998" s="29" t="s">
        <v>175</v>
      </c>
      <c r="K998" s="29" t="s">
        <v>1245</v>
      </c>
      <c r="L998" s="250">
        <v>1</v>
      </c>
      <c r="M998" s="251"/>
    </row>
    <row r="999" ht="31" spans="1:13">
      <c r="A999" s="248" t="s">
        <v>4175</v>
      </c>
      <c r="B999" s="45" t="s">
        <v>4174</v>
      </c>
      <c r="C999" s="249" t="e">
        <f>VLOOKUP(D999,#REF!,2,0)</f>
        <v>#REF!</v>
      </c>
      <c r="D999" s="29" t="s">
        <v>3653</v>
      </c>
      <c r="E999" s="18" t="e">
        <f>VLOOKUP(C999,数据集标准分类!E:F,2,0)</f>
        <v>#REF!</v>
      </c>
      <c r="F999" s="29" t="e">
        <f>VLOOKUP(D999,数据集标准分类!G:H,2,0)</f>
        <v>#N/A</v>
      </c>
      <c r="G999" s="29" t="s">
        <v>3436</v>
      </c>
      <c r="H999" s="29" t="s">
        <v>3437</v>
      </c>
      <c r="I999" s="29" t="s">
        <v>3438</v>
      </c>
      <c r="J999" s="29" t="s">
        <v>3439</v>
      </c>
      <c r="K999" s="29" t="s">
        <v>3440</v>
      </c>
      <c r="L999" s="250">
        <v>2</v>
      </c>
      <c r="M999" s="251"/>
    </row>
    <row r="1000" ht="60" customHeight="1" spans="1:13">
      <c r="A1000" s="248" t="s">
        <v>4175</v>
      </c>
      <c r="B1000" s="45" t="s">
        <v>4174</v>
      </c>
      <c r="C1000" s="249" t="e">
        <f>VLOOKUP(D1000,#REF!,2,0)</f>
        <v>#REF!</v>
      </c>
      <c r="D1000" s="29" t="s">
        <v>3653</v>
      </c>
      <c r="E1000" s="18" t="e">
        <f>VLOOKUP(C1000,数据集标准分类!E:F,2,0)</f>
        <v>#REF!</v>
      </c>
      <c r="F1000" s="29" t="e">
        <f>VLOOKUP(D1000,数据集标准分类!G:H,2,0)</f>
        <v>#N/A</v>
      </c>
      <c r="G1000" s="29" t="s">
        <v>3441</v>
      </c>
      <c r="H1000" s="29" t="s">
        <v>3442</v>
      </c>
      <c r="I1000" s="29" t="s">
        <v>3443</v>
      </c>
      <c r="J1000" s="29" t="s">
        <v>3444</v>
      </c>
      <c r="K1000" s="29" t="s">
        <v>3445</v>
      </c>
      <c r="L1000" s="250">
        <v>3</v>
      </c>
      <c r="M1000" s="251"/>
    </row>
    <row r="1001" ht="31" spans="1:13">
      <c r="A1001" s="248" t="s">
        <v>4175</v>
      </c>
      <c r="B1001" s="45" t="s">
        <v>4174</v>
      </c>
      <c r="C1001" s="249" t="e">
        <f>VLOOKUP(D1001,#REF!,2,0)</f>
        <v>#REF!</v>
      </c>
      <c r="D1001" s="29" t="s">
        <v>3653</v>
      </c>
      <c r="E1001" s="18" t="e">
        <f>VLOOKUP(C1001,数据集标准分类!E:F,2,0)</f>
        <v>#REF!</v>
      </c>
      <c r="F1001" s="29" t="e">
        <f>VLOOKUP(D1001,数据集标准分类!G:H,2,0)</f>
        <v>#N/A</v>
      </c>
      <c r="G1001" s="29" t="s">
        <v>3654</v>
      </c>
      <c r="H1001" s="29" t="s">
        <v>3655</v>
      </c>
      <c r="I1001" s="29" t="s">
        <v>3656</v>
      </c>
      <c r="J1001" s="29" t="s">
        <v>3657</v>
      </c>
      <c r="K1001" s="29" t="s">
        <v>3658</v>
      </c>
      <c r="L1001" s="250">
        <v>4</v>
      </c>
      <c r="M1001" s="251"/>
    </row>
    <row r="1002" ht="16.8" spans="1:13">
      <c r="A1002" s="248" t="s">
        <v>4175</v>
      </c>
      <c r="B1002" s="45" t="s">
        <v>4174</v>
      </c>
      <c r="C1002" s="249" t="e">
        <f>VLOOKUP(D1002,#REF!,2,0)</f>
        <v>#REF!</v>
      </c>
      <c r="D1002" s="29" t="s">
        <v>3653</v>
      </c>
      <c r="E1002" s="18" t="e">
        <f>VLOOKUP(C1002,数据集标准分类!E:F,2,0)</f>
        <v>#REF!</v>
      </c>
      <c r="F1002" s="29" t="e">
        <f>VLOOKUP(D1002,数据集标准分类!G:H,2,0)</f>
        <v>#N/A</v>
      </c>
      <c r="G1002" s="29" t="s">
        <v>3498</v>
      </c>
      <c r="H1002" s="29" t="s">
        <v>3499</v>
      </c>
      <c r="I1002" s="29" t="s">
        <v>3500</v>
      </c>
      <c r="J1002" s="29" t="s">
        <v>3501</v>
      </c>
      <c r="K1002" s="29" t="s">
        <v>3502</v>
      </c>
      <c r="L1002" s="250">
        <v>5</v>
      </c>
      <c r="M1002" s="251"/>
    </row>
    <row r="1003" ht="16.8" spans="1:13">
      <c r="A1003" s="248" t="s">
        <v>4175</v>
      </c>
      <c r="B1003" s="45" t="s">
        <v>4174</v>
      </c>
      <c r="C1003" s="249" t="e">
        <f>VLOOKUP(D1003,#REF!,2,0)</f>
        <v>#REF!</v>
      </c>
      <c r="D1003" s="29" t="s">
        <v>3653</v>
      </c>
      <c r="E1003" s="18" t="e">
        <f>VLOOKUP(C1003,数据集标准分类!E:F,2,0)</f>
        <v>#REF!</v>
      </c>
      <c r="F1003" s="29" t="e">
        <f>VLOOKUP(D1003,数据集标准分类!G:H,2,0)</f>
        <v>#N/A</v>
      </c>
      <c r="G1003" s="29" t="s">
        <v>3493</v>
      </c>
      <c r="H1003" s="29" t="s">
        <v>3494</v>
      </c>
      <c r="I1003" s="29" t="s">
        <v>3495</v>
      </c>
      <c r="J1003" s="29" t="s">
        <v>3496</v>
      </c>
      <c r="K1003" s="29" t="s">
        <v>3497</v>
      </c>
      <c r="L1003" s="250">
        <v>6</v>
      </c>
      <c r="M1003" s="251"/>
    </row>
    <row r="1004" ht="31" spans="1:13">
      <c r="A1004" s="248" t="s">
        <v>4175</v>
      </c>
      <c r="B1004" s="45" t="s">
        <v>4174</v>
      </c>
      <c r="C1004" s="249" t="e">
        <f>VLOOKUP(D1004,#REF!,2,0)</f>
        <v>#REF!</v>
      </c>
      <c r="D1004" s="29" t="s">
        <v>3653</v>
      </c>
      <c r="E1004" s="18" t="e">
        <f>VLOOKUP(C1004,数据集标准分类!E:F,2,0)</f>
        <v>#REF!</v>
      </c>
      <c r="F1004" s="29" t="e">
        <f>VLOOKUP(D1004,数据集标准分类!G:H,2,0)</f>
        <v>#N/A</v>
      </c>
      <c r="G1004" s="29" t="s">
        <v>3503</v>
      </c>
      <c r="H1004" s="29" t="s">
        <v>3504</v>
      </c>
      <c r="I1004" s="29" t="s">
        <v>3505</v>
      </c>
      <c r="J1004" s="29" t="s">
        <v>3506</v>
      </c>
      <c r="K1004" s="29" t="s">
        <v>3507</v>
      </c>
      <c r="L1004" s="250">
        <v>7</v>
      </c>
      <c r="M1004" s="251"/>
    </row>
    <row r="1005" ht="31" spans="1:13">
      <c r="A1005" s="248" t="s">
        <v>4175</v>
      </c>
      <c r="B1005" s="45" t="s">
        <v>4174</v>
      </c>
      <c r="C1005" s="249" t="e">
        <f>VLOOKUP(D1005,#REF!,2,0)</f>
        <v>#REF!</v>
      </c>
      <c r="D1005" s="29" t="s">
        <v>3653</v>
      </c>
      <c r="E1005" s="18" t="e">
        <f>VLOOKUP(C1005,数据集标准分类!E:F,2,0)</f>
        <v>#REF!</v>
      </c>
      <c r="F1005" s="29" t="e">
        <f>VLOOKUP(D1005,数据集标准分类!G:H,2,0)</f>
        <v>#N/A</v>
      </c>
      <c r="G1005" s="64" t="s">
        <v>3457</v>
      </c>
      <c r="H1005" s="29" t="s">
        <v>3458</v>
      </c>
      <c r="I1005" s="29" t="s">
        <v>3459</v>
      </c>
      <c r="J1005" s="29" t="s">
        <v>3460</v>
      </c>
      <c r="K1005" s="29" t="s">
        <v>3461</v>
      </c>
      <c r="L1005" s="250">
        <v>8</v>
      </c>
      <c r="M1005" s="251"/>
    </row>
    <row r="1006" ht="16.8" spans="1:13">
      <c r="A1006" s="248" t="s">
        <v>4175</v>
      </c>
      <c r="B1006" s="45" t="s">
        <v>4174</v>
      </c>
      <c r="C1006" s="249" t="e">
        <f>VLOOKUP(D1006,#REF!,2,0)</f>
        <v>#REF!</v>
      </c>
      <c r="D1006" s="29" t="s">
        <v>3653</v>
      </c>
      <c r="E1006" s="18" t="e">
        <f>VLOOKUP(C1006,数据集标准分类!E:F,2,0)</f>
        <v>#REF!</v>
      </c>
      <c r="F1006" s="29" t="e">
        <f>VLOOKUP(D1006,数据集标准分类!G:H,2,0)</f>
        <v>#N/A</v>
      </c>
      <c r="G1006" s="29" t="s">
        <v>3467</v>
      </c>
      <c r="H1006" s="29" t="s">
        <v>3468</v>
      </c>
      <c r="I1006" s="29" t="s">
        <v>3469</v>
      </c>
      <c r="J1006" s="29" t="s">
        <v>3470</v>
      </c>
      <c r="K1006" s="29" t="s">
        <v>3471</v>
      </c>
      <c r="L1006" s="250">
        <v>9</v>
      </c>
      <c r="M1006" s="251"/>
    </row>
    <row r="1007" ht="16.8" spans="1:13">
      <c r="A1007" s="248" t="s">
        <v>4175</v>
      </c>
      <c r="B1007" s="45" t="s">
        <v>4174</v>
      </c>
      <c r="C1007" s="249" t="e">
        <f>VLOOKUP(D1007,#REF!,2,0)</f>
        <v>#REF!</v>
      </c>
      <c r="D1007" s="29" t="s">
        <v>3653</v>
      </c>
      <c r="E1007" s="18" t="e">
        <f>VLOOKUP(C1007,数据集标准分类!E:F,2,0)</f>
        <v>#REF!</v>
      </c>
      <c r="F1007" s="29" t="e">
        <f>VLOOKUP(D1007,数据集标准分类!G:H,2,0)</f>
        <v>#N/A</v>
      </c>
      <c r="G1007" s="29" t="s">
        <v>3472</v>
      </c>
      <c r="H1007" s="29" t="s">
        <v>3473</v>
      </c>
      <c r="I1007" s="29" t="s">
        <v>3474</v>
      </c>
      <c r="J1007" s="29" t="s">
        <v>3475</v>
      </c>
      <c r="K1007" s="29" t="s">
        <v>3476</v>
      </c>
      <c r="L1007" s="250">
        <v>10</v>
      </c>
      <c r="M1007" s="251"/>
    </row>
    <row r="1008" ht="16.8" spans="1:13">
      <c r="A1008" s="248" t="s">
        <v>4175</v>
      </c>
      <c r="B1008" s="45" t="s">
        <v>4174</v>
      </c>
      <c r="C1008" s="249" t="e">
        <f>VLOOKUP(D1008,#REF!,2,0)</f>
        <v>#REF!</v>
      </c>
      <c r="D1008" s="29" t="s">
        <v>3653</v>
      </c>
      <c r="E1008" s="18" t="e">
        <f>VLOOKUP(C1008,数据集标准分类!E:F,2,0)</f>
        <v>#REF!</v>
      </c>
      <c r="F1008" s="29" t="e">
        <f>VLOOKUP(D1008,数据集标准分类!G:H,2,0)</f>
        <v>#N/A</v>
      </c>
      <c r="G1008" s="29" t="s">
        <v>3462</v>
      </c>
      <c r="H1008" s="29" t="s">
        <v>3463</v>
      </c>
      <c r="I1008" s="29" t="s">
        <v>3464</v>
      </c>
      <c r="J1008" s="29" t="s">
        <v>3465</v>
      </c>
      <c r="K1008" s="29" t="s">
        <v>3466</v>
      </c>
      <c r="L1008" s="250">
        <v>11</v>
      </c>
      <c r="M1008" s="251"/>
    </row>
    <row r="1009" ht="16.8" spans="1:13">
      <c r="A1009" s="248" t="s">
        <v>4175</v>
      </c>
      <c r="B1009" s="45" t="s">
        <v>4174</v>
      </c>
      <c r="C1009" s="249" t="e">
        <f>VLOOKUP(D1009,#REF!,2,0)</f>
        <v>#REF!</v>
      </c>
      <c r="D1009" s="29" t="s">
        <v>3653</v>
      </c>
      <c r="E1009" s="18" t="e">
        <f>VLOOKUP(C1009,数据集标准分类!E:F,2,0)</f>
        <v>#REF!</v>
      </c>
      <c r="F1009" s="29" t="e">
        <f>VLOOKUP(D1009,数据集标准分类!G:H,2,0)</f>
        <v>#N/A</v>
      </c>
      <c r="G1009" s="29" t="s">
        <v>3487</v>
      </c>
      <c r="H1009" s="29" t="s">
        <v>3488</v>
      </c>
      <c r="I1009" s="29" t="s">
        <v>3489</v>
      </c>
      <c r="J1009" s="29" t="s">
        <v>3490</v>
      </c>
      <c r="K1009" s="29" t="s">
        <v>3491</v>
      </c>
      <c r="L1009" s="250">
        <v>12</v>
      </c>
      <c r="M1009" s="251"/>
    </row>
    <row r="1010" ht="31" spans="1:13">
      <c r="A1010" s="248" t="s">
        <v>4175</v>
      </c>
      <c r="B1010" s="45" t="s">
        <v>4174</v>
      </c>
      <c r="C1010" s="249" t="e">
        <f>VLOOKUP(D1010,#REF!,2,0)</f>
        <v>#REF!</v>
      </c>
      <c r="D1010" s="29" t="s">
        <v>3653</v>
      </c>
      <c r="E1010" s="18" t="e">
        <f>VLOOKUP(C1010,数据集标准分类!E:F,2,0)</f>
        <v>#REF!</v>
      </c>
      <c r="F1010" s="29" t="e">
        <f>VLOOKUP(D1010,数据集标准分类!G:H,2,0)</f>
        <v>#N/A</v>
      </c>
      <c r="G1010" s="29" t="s">
        <v>3391</v>
      </c>
      <c r="H1010" s="29" t="s">
        <v>3392</v>
      </c>
      <c r="I1010" s="29" t="s">
        <v>3393</v>
      </c>
      <c r="J1010" s="29" t="s">
        <v>3394</v>
      </c>
      <c r="K1010" s="29" t="s">
        <v>3395</v>
      </c>
      <c r="L1010" s="250">
        <v>13</v>
      </c>
      <c r="M1010" s="251"/>
    </row>
    <row r="1011" ht="31" spans="1:13">
      <c r="A1011" s="248" t="s">
        <v>4175</v>
      </c>
      <c r="B1011" s="45" t="s">
        <v>4174</v>
      </c>
      <c r="C1011" s="249" t="e">
        <f>VLOOKUP(D1011,#REF!,2,0)</f>
        <v>#REF!</v>
      </c>
      <c r="D1011" s="29" t="s">
        <v>5065</v>
      </c>
      <c r="E1011" s="18" t="e">
        <f>VLOOKUP(C1011,数据集标准分类!E:F,2,0)</f>
        <v>#REF!</v>
      </c>
      <c r="F1011" s="29" t="e">
        <f>VLOOKUP(D1011,数据集标准分类!G:H,2,0)</f>
        <v>#N/A</v>
      </c>
      <c r="G1011" s="29" t="s">
        <v>56</v>
      </c>
      <c r="H1011" s="29" t="s">
        <v>57</v>
      </c>
      <c r="I1011" s="29" t="s">
        <v>58</v>
      </c>
      <c r="J1011" s="29" t="s">
        <v>59</v>
      </c>
      <c r="K1011" s="29" t="s">
        <v>60</v>
      </c>
      <c r="L1011" s="250">
        <v>1</v>
      </c>
      <c r="M1011" s="251"/>
    </row>
    <row r="1012" ht="46" spans="1:13">
      <c r="A1012" s="248" t="s">
        <v>4175</v>
      </c>
      <c r="B1012" s="45" t="s">
        <v>4174</v>
      </c>
      <c r="C1012" s="249" t="e">
        <f>VLOOKUP(D1012,#REF!,2,0)</f>
        <v>#REF!</v>
      </c>
      <c r="D1012" s="29" t="s">
        <v>5065</v>
      </c>
      <c r="E1012" s="18" t="e">
        <f>VLOOKUP(C1012,数据集标准分类!E:F,2,0)</f>
        <v>#REF!</v>
      </c>
      <c r="F1012" s="29" t="e">
        <f>VLOOKUP(D1012,数据集标准分类!G:H,2,0)</f>
        <v>#N/A</v>
      </c>
      <c r="G1012" s="29" t="s">
        <v>3248</v>
      </c>
      <c r="H1012" s="29" t="s">
        <v>3249</v>
      </c>
      <c r="I1012" s="29" t="s">
        <v>3250</v>
      </c>
      <c r="J1012" s="29" t="s">
        <v>3251</v>
      </c>
      <c r="K1012" s="29" t="s">
        <v>3252</v>
      </c>
      <c r="L1012" s="250">
        <v>2</v>
      </c>
      <c r="M1012" s="251"/>
    </row>
    <row r="1013" ht="31" spans="1:13">
      <c r="A1013" s="248" t="s">
        <v>4175</v>
      </c>
      <c r="B1013" s="45" t="s">
        <v>4174</v>
      </c>
      <c r="C1013" s="249" t="e">
        <f>VLOOKUP(D1013,#REF!,2,0)</f>
        <v>#REF!</v>
      </c>
      <c r="D1013" s="29" t="s">
        <v>5065</v>
      </c>
      <c r="E1013" s="18" t="e">
        <f>VLOOKUP(C1013,数据集标准分类!E:F,2,0)</f>
        <v>#REF!</v>
      </c>
      <c r="F1013" s="29" t="e">
        <f>VLOOKUP(D1013,数据集标准分类!G:H,2,0)</f>
        <v>#N/A</v>
      </c>
      <c r="G1013" s="29" t="s">
        <v>3253</v>
      </c>
      <c r="H1013" s="29" t="s">
        <v>3254</v>
      </c>
      <c r="I1013" s="29" t="s">
        <v>3255</v>
      </c>
      <c r="J1013" s="29" t="s">
        <v>3256</v>
      </c>
      <c r="K1013" s="29" t="s">
        <v>3257</v>
      </c>
      <c r="L1013" s="250">
        <v>3</v>
      </c>
      <c r="M1013" s="251"/>
    </row>
    <row r="1014" ht="31" spans="1:13">
      <c r="A1014" s="248" t="s">
        <v>4175</v>
      </c>
      <c r="B1014" s="45" t="s">
        <v>4174</v>
      </c>
      <c r="C1014" s="249" t="e">
        <f>VLOOKUP(D1014,#REF!,2,0)</f>
        <v>#REF!</v>
      </c>
      <c r="D1014" s="29" t="s">
        <v>5065</v>
      </c>
      <c r="E1014" s="18" t="e">
        <f>VLOOKUP(C1014,数据集标准分类!E:F,2,0)</f>
        <v>#REF!</v>
      </c>
      <c r="F1014" s="29" t="e">
        <f>VLOOKUP(D1014,数据集标准分类!G:H,2,0)</f>
        <v>#N/A</v>
      </c>
      <c r="G1014" s="29" t="s">
        <v>943</v>
      </c>
      <c r="H1014" s="29" t="s">
        <v>944</v>
      </c>
      <c r="I1014" s="29" t="s">
        <v>945</v>
      </c>
      <c r="J1014" s="29" t="s">
        <v>946</v>
      </c>
      <c r="K1014" s="29" t="s">
        <v>1561</v>
      </c>
      <c r="L1014" s="250">
        <v>4</v>
      </c>
      <c r="M1014" s="251"/>
    </row>
    <row r="1015" ht="46" spans="1:13">
      <c r="A1015" s="248" t="s">
        <v>4175</v>
      </c>
      <c r="B1015" s="45" t="s">
        <v>4174</v>
      </c>
      <c r="C1015" s="249" t="e">
        <f>VLOOKUP(D1015,#REF!,2,0)</f>
        <v>#REF!</v>
      </c>
      <c r="D1015" s="29" t="s">
        <v>5065</v>
      </c>
      <c r="E1015" s="18" t="e">
        <f>VLOOKUP(C1015,数据集标准分类!E:F,2,0)</f>
        <v>#REF!</v>
      </c>
      <c r="F1015" s="29" t="e">
        <f>VLOOKUP(D1015,数据集标准分类!G:H,2,0)</f>
        <v>#N/A</v>
      </c>
      <c r="G1015" s="29" t="s">
        <v>152</v>
      </c>
      <c r="H1015" s="29" t="s">
        <v>153</v>
      </c>
      <c r="I1015" s="29" t="s">
        <v>154</v>
      </c>
      <c r="J1015" s="29" t="s">
        <v>155</v>
      </c>
      <c r="K1015" s="29" t="s">
        <v>156</v>
      </c>
      <c r="L1015" s="250">
        <v>5</v>
      </c>
      <c r="M1015" s="251"/>
    </row>
    <row r="1016" ht="31" spans="1:13">
      <c r="A1016" s="248" t="s">
        <v>4175</v>
      </c>
      <c r="B1016" s="45" t="s">
        <v>4174</v>
      </c>
      <c r="C1016" s="249" t="e">
        <f>VLOOKUP(D1016,#REF!,2,0)</f>
        <v>#REF!</v>
      </c>
      <c r="D1016" s="29" t="s">
        <v>5065</v>
      </c>
      <c r="E1016" s="18" t="e">
        <f>VLOOKUP(C1016,数据集标准分类!E:F,2,0)</f>
        <v>#REF!</v>
      </c>
      <c r="F1016" s="29" t="e">
        <f>VLOOKUP(D1016,数据集标准分类!G:H,2,0)</f>
        <v>#N/A</v>
      </c>
      <c r="G1016" s="29" t="s">
        <v>934</v>
      </c>
      <c r="H1016" s="29" t="s">
        <v>935</v>
      </c>
      <c r="I1016" s="29" t="s">
        <v>936</v>
      </c>
      <c r="J1016" s="29" t="s">
        <v>937</v>
      </c>
      <c r="K1016" s="29" t="s">
        <v>3258</v>
      </c>
      <c r="L1016" s="250">
        <v>6</v>
      </c>
      <c r="M1016" s="251"/>
    </row>
    <row r="1017" ht="31" spans="1:13">
      <c r="A1017" s="248" t="s">
        <v>4175</v>
      </c>
      <c r="B1017" s="45" t="s">
        <v>4174</v>
      </c>
      <c r="C1017" s="249" t="e">
        <f>VLOOKUP(D1017,#REF!,2,0)</f>
        <v>#REF!</v>
      </c>
      <c r="D1017" s="29" t="s">
        <v>5065</v>
      </c>
      <c r="E1017" s="18" t="e">
        <f>VLOOKUP(C1017,数据集标准分类!E:F,2,0)</f>
        <v>#REF!</v>
      </c>
      <c r="F1017" s="29" t="e">
        <f>VLOOKUP(D1017,数据集标准分类!G:H,2,0)</f>
        <v>#N/A</v>
      </c>
      <c r="G1017" s="29" t="s">
        <v>711</v>
      </c>
      <c r="H1017" s="29" t="s">
        <v>712</v>
      </c>
      <c r="I1017" s="29" t="s">
        <v>712</v>
      </c>
      <c r="J1017" s="29" t="s">
        <v>713</v>
      </c>
      <c r="K1017" s="29" t="s">
        <v>714</v>
      </c>
      <c r="L1017" s="250">
        <v>7</v>
      </c>
      <c r="M1017" s="251"/>
    </row>
    <row r="1018" ht="31" spans="1:13">
      <c r="A1018" s="248" t="s">
        <v>4175</v>
      </c>
      <c r="B1018" s="45" t="s">
        <v>4174</v>
      </c>
      <c r="C1018" s="249" t="e">
        <f>VLOOKUP(D1018,#REF!,2,0)</f>
        <v>#REF!</v>
      </c>
      <c r="D1018" s="29" t="s">
        <v>5065</v>
      </c>
      <c r="E1018" s="18" t="e">
        <f>VLOOKUP(C1018,数据集标准分类!E:F,2,0)</f>
        <v>#REF!</v>
      </c>
      <c r="F1018" s="29" t="e">
        <f>VLOOKUP(D1018,数据集标准分类!G:H,2,0)</f>
        <v>#N/A</v>
      </c>
      <c r="G1018" s="29" t="s">
        <v>684</v>
      </c>
      <c r="H1018" s="29" t="s">
        <v>685</v>
      </c>
      <c r="I1018" s="29" t="s">
        <v>686</v>
      </c>
      <c r="J1018" s="29" t="s">
        <v>687</v>
      </c>
      <c r="K1018" s="29" t="s">
        <v>688</v>
      </c>
      <c r="L1018" s="250">
        <v>8</v>
      </c>
      <c r="M1018" s="251"/>
    </row>
    <row r="1019" ht="31" spans="1:13">
      <c r="A1019" s="248" t="s">
        <v>4175</v>
      </c>
      <c r="B1019" s="45" t="s">
        <v>4174</v>
      </c>
      <c r="C1019" s="249" t="e">
        <f>VLOOKUP(D1019,#REF!,2,0)</f>
        <v>#REF!</v>
      </c>
      <c r="D1019" s="29" t="s">
        <v>5065</v>
      </c>
      <c r="E1019" s="18" t="e">
        <f>VLOOKUP(C1019,数据集标准分类!E:F,2,0)</f>
        <v>#REF!</v>
      </c>
      <c r="F1019" s="29" t="e">
        <f>VLOOKUP(D1019,数据集标准分类!G:H,2,0)</f>
        <v>#N/A</v>
      </c>
      <c r="G1019" s="29" t="s">
        <v>694</v>
      </c>
      <c r="H1019" s="29" t="s">
        <v>695</v>
      </c>
      <c r="I1019" s="29" t="s">
        <v>696</v>
      </c>
      <c r="J1019" s="29" t="s">
        <v>697</v>
      </c>
      <c r="K1019" s="29" t="s">
        <v>2057</v>
      </c>
      <c r="L1019" s="250">
        <v>9</v>
      </c>
      <c r="M1019" s="251"/>
    </row>
    <row r="1020" ht="31" spans="1:13">
      <c r="A1020" s="248" t="s">
        <v>4175</v>
      </c>
      <c r="B1020" s="45" t="s">
        <v>4174</v>
      </c>
      <c r="C1020" s="249" t="e">
        <f>VLOOKUP(D1020,#REF!,2,0)</f>
        <v>#REF!</v>
      </c>
      <c r="D1020" s="29" t="s">
        <v>5065</v>
      </c>
      <c r="E1020" s="18" t="e">
        <f>VLOOKUP(C1020,数据集标准分类!E:F,2,0)</f>
        <v>#REF!</v>
      </c>
      <c r="F1020" s="29" t="e">
        <f>VLOOKUP(D1020,数据集标准分类!G:H,2,0)</f>
        <v>#N/A</v>
      </c>
      <c r="G1020" s="29" t="s">
        <v>689</v>
      </c>
      <c r="H1020" s="29" t="s">
        <v>690</v>
      </c>
      <c r="I1020" s="29" t="s">
        <v>691</v>
      </c>
      <c r="J1020" s="29" t="s">
        <v>692</v>
      </c>
      <c r="K1020" s="29" t="s">
        <v>693</v>
      </c>
      <c r="L1020" s="250">
        <v>10</v>
      </c>
      <c r="M1020" s="251"/>
    </row>
    <row r="1021" ht="15.75" customHeight="1" spans="1:13">
      <c r="A1021" s="248" t="s">
        <v>4175</v>
      </c>
      <c r="B1021" s="45" t="s">
        <v>4174</v>
      </c>
      <c r="C1021" s="249" t="e">
        <f>VLOOKUP(D1021,#REF!,2,0)</f>
        <v>#REF!</v>
      </c>
      <c r="D1021" s="29" t="s">
        <v>5065</v>
      </c>
      <c r="E1021" s="18" t="e">
        <f>VLOOKUP(C1021,数据集标准分类!E:F,2,0)</f>
        <v>#REF!</v>
      </c>
      <c r="F1021" s="29" t="e">
        <f>VLOOKUP(D1021,数据集标准分类!G:H,2,0)</f>
        <v>#N/A</v>
      </c>
      <c r="G1021" s="29" t="s">
        <v>699</v>
      </c>
      <c r="H1021" s="29" t="s">
        <v>700</v>
      </c>
      <c r="I1021" s="29" t="s">
        <v>700</v>
      </c>
      <c r="J1021" s="29" t="s">
        <v>701</v>
      </c>
      <c r="K1021" s="29" t="s">
        <v>702</v>
      </c>
      <c r="L1021" s="250">
        <v>11</v>
      </c>
      <c r="M1021" s="251"/>
    </row>
    <row r="1022" ht="31" spans="1:13">
      <c r="A1022" s="248" t="s">
        <v>4175</v>
      </c>
      <c r="B1022" s="45" t="s">
        <v>4174</v>
      </c>
      <c r="C1022" s="249" t="e">
        <f>VLOOKUP(D1022,#REF!,2,0)</f>
        <v>#REF!</v>
      </c>
      <c r="D1022" s="29" t="s">
        <v>5065</v>
      </c>
      <c r="E1022" s="18" t="e">
        <f>VLOOKUP(C1022,数据集标准分类!E:F,2,0)</f>
        <v>#REF!</v>
      </c>
      <c r="F1022" s="29" t="e">
        <f>VLOOKUP(D1022,数据集标准分类!G:H,2,0)</f>
        <v>#N/A</v>
      </c>
      <c r="G1022" s="29" t="s">
        <v>703</v>
      </c>
      <c r="H1022" s="29" t="s">
        <v>704</v>
      </c>
      <c r="I1022" s="29" t="s">
        <v>704</v>
      </c>
      <c r="J1022" s="29" t="s">
        <v>705</v>
      </c>
      <c r="K1022" s="29" t="s">
        <v>706</v>
      </c>
      <c r="L1022" s="250">
        <v>12</v>
      </c>
      <c r="M1022" s="251"/>
    </row>
    <row r="1023" ht="31" spans="1:13">
      <c r="A1023" s="248" t="s">
        <v>4175</v>
      </c>
      <c r="B1023" s="45" t="s">
        <v>4174</v>
      </c>
      <c r="C1023" s="249" t="e">
        <f>VLOOKUP(D1023,#REF!,2,0)</f>
        <v>#REF!</v>
      </c>
      <c r="D1023" s="29" t="s">
        <v>5065</v>
      </c>
      <c r="E1023" s="18" t="e">
        <f>VLOOKUP(C1023,数据集标准分类!E:F,2,0)</f>
        <v>#REF!</v>
      </c>
      <c r="F1023" s="29" t="e">
        <f>VLOOKUP(D1023,数据集标准分类!G:H,2,0)</f>
        <v>#N/A</v>
      </c>
      <c r="G1023" s="29" t="s">
        <v>167</v>
      </c>
      <c r="H1023" s="29" t="s">
        <v>168</v>
      </c>
      <c r="I1023" s="29" t="s">
        <v>169</v>
      </c>
      <c r="J1023" s="29" t="s">
        <v>170</v>
      </c>
      <c r="K1023" s="29" t="s">
        <v>3259</v>
      </c>
      <c r="L1023" s="250">
        <v>13</v>
      </c>
      <c r="M1023" s="251"/>
    </row>
    <row r="1024" ht="31" spans="1:13">
      <c r="A1024" s="248" t="s">
        <v>4175</v>
      </c>
      <c r="B1024" s="45" t="s">
        <v>4174</v>
      </c>
      <c r="C1024" s="249" t="e">
        <f>VLOOKUP(D1024,#REF!,2,0)</f>
        <v>#REF!</v>
      </c>
      <c r="D1024" s="29" t="s">
        <v>5065</v>
      </c>
      <c r="E1024" s="18" t="e">
        <f>VLOOKUP(C1024,数据集标准分类!E:F,2,0)</f>
        <v>#REF!</v>
      </c>
      <c r="F1024" s="29" t="e">
        <f>VLOOKUP(D1024,数据集标准分类!G:H,2,0)</f>
        <v>#N/A</v>
      </c>
      <c r="G1024" s="29" t="s">
        <v>340</v>
      </c>
      <c r="H1024" s="29" t="s">
        <v>341</v>
      </c>
      <c r="I1024" s="29" t="s">
        <v>342</v>
      </c>
      <c r="J1024" s="29" t="s">
        <v>343</v>
      </c>
      <c r="K1024" s="29" t="s">
        <v>344</v>
      </c>
      <c r="L1024" s="250">
        <v>14</v>
      </c>
      <c r="M1024" s="251"/>
    </row>
    <row r="1025" ht="61" spans="1:13">
      <c r="A1025" s="248" t="s">
        <v>4175</v>
      </c>
      <c r="B1025" s="45" t="s">
        <v>4174</v>
      </c>
      <c r="C1025" s="249" t="e">
        <f>VLOOKUP(D1025,#REF!,2,0)</f>
        <v>#REF!</v>
      </c>
      <c r="D1025" s="29" t="s">
        <v>5065</v>
      </c>
      <c r="E1025" s="18" t="e">
        <f>VLOOKUP(C1025,数据集标准分类!E:F,2,0)</f>
        <v>#REF!</v>
      </c>
      <c r="F1025" s="29" t="e">
        <f>VLOOKUP(D1025,数据集标准分类!G:H,2,0)</f>
        <v>#N/A</v>
      </c>
      <c r="G1025" s="29" t="s">
        <v>1989</v>
      </c>
      <c r="H1025" s="29" t="s">
        <v>1990</v>
      </c>
      <c r="I1025" s="29" t="s">
        <v>1991</v>
      </c>
      <c r="J1025" s="29" t="s">
        <v>1992</v>
      </c>
      <c r="K1025" s="29" t="s">
        <v>1993</v>
      </c>
      <c r="L1025" s="250">
        <v>15</v>
      </c>
      <c r="M1025" s="251"/>
    </row>
    <row r="1026" ht="31" spans="1:13">
      <c r="A1026" s="248" t="s">
        <v>4175</v>
      </c>
      <c r="B1026" s="45" t="s">
        <v>4174</v>
      </c>
      <c r="C1026" s="249" t="e">
        <f>VLOOKUP(D1026,#REF!,2,0)</f>
        <v>#REF!</v>
      </c>
      <c r="D1026" s="29" t="s">
        <v>5065</v>
      </c>
      <c r="E1026" s="18" t="e">
        <f>VLOOKUP(C1026,数据集标准分类!E:F,2,0)</f>
        <v>#REF!</v>
      </c>
      <c r="F1026" s="29" t="e">
        <f>VLOOKUP(D1026,数据集标准分类!G:H,2,0)</f>
        <v>#N/A</v>
      </c>
      <c r="G1026" s="29" t="s">
        <v>3260</v>
      </c>
      <c r="H1026" s="29" t="s">
        <v>3261</v>
      </c>
      <c r="I1026" s="29" t="s">
        <v>3262</v>
      </c>
      <c r="J1026" s="29" t="s">
        <v>3263</v>
      </c>
      <c r="K1026" s="29" t="s">
        <v>3264</v>
      </c>
      <c r="L1026" s="250">
        <v>16</v>
      </c>
      <c r="M1026" s="251"/>
    </row>
    <row r="1027" ht="15.75" customHeight="1" spans="1:13">
      <c r="A1027" s="248" t="s">
        <v>4175</v>
      </c>
      <c r="B1027" s="45" t="s">
        <v>4174</v>
      </c>
      <c r="C1027" s="249" t="e">
        <f>VLOOKUP(D1027,#REF!,2,0)</f>
        <v>#REF!</v>
      </c>
      <c r="D1027" s="29" t="s">
        <v>5065</v>
      </c>
      <c r="E1027" s="18" t="e">
        <f>VLOOKUP(C1027,数据集标准分类!E:F,2,0)</f>
        <v>#REF!</v>
      </c>
      <c r="F1027" s="29" t="e">
        <f>VLOOKUP(D1027,数据集标准分类!G:H,2,0)</f>
        <v>#N/A</v>
      </c>
      <c r="G1027" s="29" t="s">
        <v>3265</v>
      </c>
      <c r="H1027" s="29" t="s">
        <v>3266</v>
      </c>
      <c r="I1027" s="29" t="s">
        <v>3267</v>
      </c>
      <c r="J1027" s="29" t="s">
        <v>3268</v>
      </c>
      <c r="K1027" s="29" t="s">
        <v>3269</v>
      </c>
      <c r="L1027" s="250">
        <v>17</v>
      </c>
      <c r="M1027" s="251"/>
    </row>
    <row r="1028" ht="31" spans="1:13">
      <c r="A1028" s="248" t="s">
        <v>4175</v>
      </c>
      <c r="B1028" s="45" t="s">
        <v>4174</v>
      </c>
      <c r="C1028" s="249" t="e">
        <f>VLOOKUP(D1028,#REF!,2,0)</f>
        <v>#REF!</v>
      </c>
      <c r="D1028" s="29" t="s">
        <v>5065</v>
      </c>
      <c r="E1028" s="18" t="e">
        <f>VLOOKUP(C1028,数据集标准分类!E:F,2,0)</f>
        <v>#REF!</v>
      </c>
      <c r="F1028" s="29" t="e">
        <f>VLOOKUP(D1028,数据集标准分类!G:H,2,0)</f>
        <v>#N/A</v>
      </c>
      <c r="G1028" s="29" t="s">
        <v>2199</v>
      </c>
      <c r="H1028" s="29" t="s">
        <v>2200</v>
      </c>
      <c r="I1028" s="29" t="s">
        <v>2201</v>
      </c>
      <c r="J1028" s="29" t="s">
        <v>2202</v>
      </c>
      <c r="K1028" s="29" t="s">
        <v>2203</v>
      </c>
      <c r="L1028" s="250">
        <v>18</v>
      </c>
      <c r="M1028" s="251"/>
    </row>
    <row r="1029" ht="16.8" spans="1:13">
      <c r="A1029" s="248" t="s">
        <v>4175</v>
      </c>
      <c r="B1029" s="45" t="s">
        <v>4174</v>
      </c>
      <c r="C1029" s="249" t="e">
        <f>VLOOKUP(D1029,#REF!,2,0)</f>
        <v>#REF!</v>
      </c>
      <c r="D1029" s="29" t="s">
        <v>5065</v>
      </c>
      <c r="E1029" s="18" t="e">
        <f>VLOOKUP(C1029,数据集标准分类!E:F,2,0)</f>
        <v>#REF!</v>
      </c>
      <c r="F1029" s="29" t="e">
        <f>VLOOKUP(D1029,数据集标准分类!G:H,2,0)</f>
        <v>#N/A</v>
      </c>
      <c r="G1029" s="29" t="s">
        <v>3270</v>
      </c>
      <c r="H1029" s="29" t="s">
        <v>3271</v>
      </c>
      <c r="I1029" s="29" t="s">
        <v>3272</v>
      </c>
      <c r="J1029" s="29" t="s">
        <v>3273</v>
      </c>
      <c r="K1029" s="29" t="s">
        <v>3274</v>
      </c>
      <c r="L1029" s="250">
        <v>19</v>
      </c>
      <c r="M1029" s="251"/>
    </row>
    <row r="1030" ht="16.8" spans="1:13">
      <c r="A1030" s="248" t="s">
        <v>4175</v>
      </c>
      <c r="B1030" s="45" t="s">
        <v>4174</v>
      </c>
      <c r="C1030" s="249" t="e">
        <f>VLOOKUP(D1030,#REF!,2,0)</f>
        <v>#REF!</v>
      </c>
      <c r="D1030" s="29" t="s">
        <v>5065</v>
      </c>
      <c r="E1030" s="18" t="e">
        <f>VLOOKUP(C1030,数据集标准分类!E:F,2,0)</f>
        <v>#REF!</v>
      </c>
      <c r="F1030" s="29" t="e">
        <f>VLOOKUP(D1030,数据集标准分类!G:H,2,0)</f>
        <v>#N/A</v>
      </c>
      <c r="G1030" s="29" t="s">
        <v>2123</v>
      </c>
      <c r="H1030" s="29" t="s">
        <v>2124</v>
      </c>
      <c r="I1030" s="29" t="s">
        <v>2125</v>
      </c>
      <c r="J1030" s="29" t="s">
        <v>2126</v>
      </c>
      <c r="K1030" s="29" t="s">
        <v>2127</v>
      </c>
      <c r="L1030" s="250">
        <v>20</v>
      </c>
      <c r="M1030" s="251"/>
    </row>
    <row r="1031" ht="31" spans="1:13">
      <c r="A1031" s="248" t="s">
        <v>4175</v>
      </c>
      <c r="B1031" s="45" t="s">
        <v>4174</v>
      </c>
      <c r="C1031" s="249" t="e">
        <f>VLOOKUP(D1031,#REF!,2,0)</f>
        <v>#REF!</v>
      </c>
      <c r="D1031" s="29" t="s">
        <v>5065</v>
      </c>
      <c r="E1031" s="18" t="e">
        <f>VLOOKUP(C1031,数据集标准分类!E:F,2,0)</f>
        <v>#REF!</v>
      </c>
      <c r="F1031" s="29" t="e">
        <f>VLOOKUP(D1031,数据集标准分类!G:H,2,0)</f>
        <v>#N/A</v>
      </c>
      <c r="G1031" s="29" t="s">
        <v>3275</v>
      </c>
      <c r="H1031" s="29" t="s">
        <v>3276</v>
      </c>
      <c r="I1031" s="29" t="s">
        <v>3277</v>
      </c>
      <c r="J1031" s="29" t="s">
        <v>3278</v>
      </c>
      <c r="K1031" s="29" t="s">
        <v>3279</v>
      </c>
      <c r="L1031" s="250">
        <v>21</v>
      </c>
      <c r="M1031" s="251"/>
    </row>
    <row r="1032" ht="31" spans="1:13">
      <c r="A1032" s="248" t="s">
        <v>4175</v>
      </c>
      <c r="B1032" s="45" t="s">
        <v>4174</v>
      </c>
      <c r="C1032" s="249" t="e">
        <f>VLOOKUP(D1032,#REF!,2,0)</f>
        <v>#REF!</v>
      </c>
      <c r="D1032" s="29" t="s">
        <v>5065</v>
      </c>
      <c r="E1032" s="18" t="e">
        <f>VLOOKUP(C1032,数据集标准分类!E:F,2,0)</f>
        <v>#REF!</v>
      </c>
      <c r="F1032" s="29" t="e">
        <f>VLOOKUP(D1032,数据集标准分类!G:H,2,0)</f>
        <v>#N/A</v>
      </c>
      <c r="G1032" s="29" t="s">
        <v>3280</v>
      </c>
      <c r="H1032" s="29" t="s">
        <v>3281</v>
      </c>
      <c r="I1032" s="29" t="s">
        <v>3282</v>
      </c>
      <c r="J1032" s="29" t="s">
        <v>3283</v>
      </c>
      <c r="K1032" s="29" t="s">
        <v>3284</v>
      </c>
      <c r="L1032" s="250">
        <v>22</v>
      </c>
      <c r="M1032" s="251"/>
    </row>
    <row r="1033" ht="31" spans="1:13">
      <c r="A1033" s="248" t="s">
        <v>4175</v>
      </c>
      <c r="B1033" s="45" t="s">
        <v>4174</v>
      </c>
      <c r="C1033" s="249" t="e">
        <f>VLOOKUP(D1033,#REF!,2,0)</f>
        <v>#REF!</v>
      </c>
      <c r="D1033" s="29" t="s">
        <v>5065</v>
      </c>
      <c r="E1033" s="18" t="e">
        <f>VLOOKUP(C1033,数据集标准分类!E:F,2,0)</f>
        <v>#REF!</v>
      </c>
      <c r="F1033" s="29" t="e">
        <f>VLOOKUP(D1033,数据集标准分类!G:H,2,0)</f>
        <v>#N/A</v>
      </c>
      <c r="G1033" s="29" t="s">
        <v>3285</v>
      </c>
      <c r="H1033" s="29" t="s">
        <v>3286</v>
      </c>
      <c r="I1033" s="29" t="s">
        <v>3287</v>
      </c>
      <c r="J1033" s="29" t="s">
        <v>3288</v>
      </c>
      <c r="K1033" s="29" t="s">
        <v>3289</v>
      </c>
      <c r="L1033" s="250">
        <v>23</v>
      </c>
      <c r="M1033" s="251"/>
    </row>
    <row r="1034" ht="31" spans="1:13">
      <c r="A1034" s="248" t="s">
        <v>4175</v>
      </c>
      <c r="B1034" s="45" t="s">
        <v>4174</v>
      </c>
      <c r="C1034" s="249" t="e">
        <f>VLOOKUP(D1034,#REF!,2,0)</f>
        <v>#REF!</v>
      </c>
      <c r="D1034" s="29" t="s">
        <v>5065</v>
      </c>
      <c r="E1034" s="18" t="e">
        <f>VLOOKUP(C1034,数据集标准分类!E:F,2,0)</f>
        <v>#REF!</v>
      </c>
      <c r="F1034" s="29" t="e">
        <f>VLOOKUP(D1034,数据集标准分类!G:H,2,0)</f>
        <v>#N/A</v>
      </c>
      <c r="G1034" s="29" t="s">
        <v>508</v>
      </c>
      <c r="H1034" s="29" t="s">
        <v>509</v>
      </c>
      <c r="I1034" s="29" t="s">
        <v>510</v>
      </c>
      <c r="J1034" s="29" t="s">
        <v>511</v>
      </c>
      <c r="K1034" s="29" t="s">
        <v>116</v>
      </c>
      <c r="L1034" s="250">
        <v>24</v>
      </c>
      <c r="M1034" s="251"/>
    </row>
    <row r="1035" ht="31" spans="1:13">
      <c r="A1035" s="248" t="s">
        <v>4175</v>
      </c>
      <c r="B1035" s="45" t="s">
        <v>4174</v>
      </c>
      <c r="C1035" s="249" t="e">
        <f>VLOOKUP(D1035,#REF!,2,0)</f>
        <v>#REF!</v>
      </c>
      <c r="D1035" s="29" t="s">
        <v>5065</v>
      </c>
      <c r="E1035" s="18" t="e">
        <f>VLOOKUP(C1035,数据集标准分类!E:F,2,0)</f>
        <v>#REF!</v>
      </c>
      <c r="F1035" s="29" t="e">
        <f>VLOOKUP(D1035,数据集标准分类!G:H,2,0)</f>
        <v>#N/A</v>
      </c>
      <c r="G1035" s="29" t="s">
        <v>673</v>
      </c>
      <c r="H1035" s="29" t="s">
        <v>674</v>
      </c>
      <c r="I1035" s="29" t="s">
        <v>675</v>
      </c>
      <c r="J1035" s="29" t="s">
        <v>676</v>
      </c>
      <c r="K1035" s="29" t="s">
        <v>677</v>
      </c>
      <c r="L1035" s="250">
        <v>25</v>
      </c>
      <c r="M1035" s="251"/>
    </row>
    <row r="1036" ht="31" spans="1:13">
      <c r="A1036" s="248" t="s">
        <v>4175</v>
      </c>
      <c r="B1036" s="45" t="s">
        <v>4174</v>
      </c>
      <c r="C1036" s="249" t="e">
        <f>VLOOKUP(D1036,#REF!,2,0)</f>
        <v>#REF!</v>
      </c>
      <c r="D1036" s="29" t="s">
        <v>5065</v>
      </c>
      <c r="E1036" s="18" t="e">
        <f>VLOOKUP(C1036,数据集标准分类!E:F,2,0)</f>
        <v>#REF!</v>
      </c>
      <c r="F1036" s="29" t="e">
        <f>VLOOKUP(D1036,数据集标准分类!G:H,2,0)</f>
        <v>#N/A</v>
      </c>
      <c r="G1036" s="29" t="s">
        <v>87</v>
      </c>
      <c r="H1036" s="29" t="s">
        <v>88</v>
      </c>
      <c r="I1036" s="29" t="s">
        <v>89</v>
      </c>
      <c r="J1036" s="29" t="s">
        <v>90</v>
      </c>
      <c r="K1036" s="29" t="s">
        <v>91</v>
      </c>
      <c r="L1036" s="250">
        <v>26</v>
      </c>
      <c r="M1036" s="251"/>
    </row>
    <row r="1037" ht="31" spans="1:13">
      <c r="A1037" s="248" t="s">
        <v>4175</v>
      </c>
      <c r="B1037" s="45" t="s">
        <v>4174</v>
      </c>
      <c r="C1037" s="249" t="e">
        <f>VLOOKUP(D1037,#REF!,2,0)</f>
        <v>#REF!</v>
      </c>
      <c r="D1037" s="29" t="s">
        <v>5065</v>
      </c>
      <c r="E1037" s="18" t="e">
        <f>VLOOKUP(C1037,数据集标准分类!E:F,2,0)</f>
        <v>#REF!</v>
      </c>
      <c r="F1037" s="29" t="e">
        <f>VLOOKUP(D1037,数据集标准分类!G:H,2,0)</f>
        <v>#N/A</v>
      </c>
      <c r="G1037" s="29" t="s">
        <v>678</v>
      </c>
      <c r="H1037" s="29" t="s">
        <v>679</v>
      </c>
      <c r="I1037" s="29" t="s">
        <v>680</v>
      </c>
      <c r="J1037" s="29" t="s">
        <v>681</v>
      </c>
      <c r="K1037" s="29" t="s">
        <v>682</v>
      </c>
      <c r="L1037" s="250">
        <v>27</v>
      </c>
      <c r="M1037" s="251"/>
    </row>
    <row r="1038" ht="46" spans="1:13">
      <c r="A1038" s="248" t="s">
        <v>4175</v>
      </c>
      <c r="B1038" s="45" t="s">
        <v>4174</v>
      </c>
      <c r="C1038" s="249" t="e">
        <f>VLOOKUP(D1038,#REF!,2,0)</f>
        <v>#REF!</v>
      </c>
      <c r="D1038" s="29" t="s">
        <v>5065</v>
      </c>
      <c r="E1038" s="18" t="e">
        <f>VLOOKUP(C1038,数据集标准分类!E:F,2,0)</f>
        <v>#REF!</v>
      </c>
      <c r="F1038" s="29" t="e">
        <f>VLOOKUP(D1038,数据集标准分类!G:H,2,0)</f>
        <v>#N/A</v>
      </c>
      <c r="G1038" s="29" t="s">
        <v>92</v>
      </c>
      <c r="H1038" s="29" t="s">
        <v>93</v>
      </c>
      <c r="I1038" s="29" t="s">
        <v>94</v>
      </c>
      <c r="J1038" s="29" t="s">
        <v>95</v>
      </c>
      <c r="K1038" s="29" t="s">
        <v>96</v>
      </c>
      <c r="L1038" s="250">
        <v>28</v>
      </c>
      <c r="M1038" s="251"/>
    </row>
    <row r="1039" ht="31" spans="1:13">
      <c r="A1039" s="248" t="s">
        <v>4175</v>
      </c>
      <c r="B1039" s="45" t="s">
        <v>4174</v>
      </c>
      <c r="C1039" s="249" t="e">
        <f>VLOOKUP(D1039,#REF!,2,0)</f>
        <v>#REF!</v>
      </c>
      <c r="D1039" s="29" t="s">
        <v>5065</v>
      </c>
      <c r="E1039" s="18" t="e">
        <f>VLOOKUP(C1039,数据集标准分类!E:F,2,0)</f>
        <v>#REF!</v>
      </c>
      <c r="F1039" s="29" t="e">
        <f>VLOOKUP(D1039,数据集标准分类!G:H,2,0)</f>
        <v>#N/A</v>
      </c>
      <c r="G1039" s="29" t="s">
        <v>107</v>
      </c>
      <c r="H1039" s="29" t="s">
        <v>108</v>
      </c>
      <c r="I1039" s="29" t="s">
        <v>109</v>
      </c>
      <c r="J1039" s="29" t="s">
        <v>110</v>
      </c>
      <c r="K1039" s="29" t="s">
        <v>101</v>
      </c>
      <c r="L1039" s="250">
        <v>29</v>
      </c>
      <c r="M1039" s="251"/>
    </row>
    <row r="1040" ht="31" spans="1:13">
      <c r="A1040" s="248" t="s">
        <v>4175</v>
      </c>
      <c r="B1040" s="45" t="s">
        <v>4174</v>
      </c>
      <c r="C1040" s="249" t="e">
        <f>VLOOKUP(D1040,#REF!,2,0)</f>
        <v>#REF!</v>
      </c>
      <c r="D1040" s="29" t="s">
        <v>5065</v>
      </c>
      <c r="E1040" s="18" t="e">
        <f>VLOOKUP(C1040,数据集标准分类!E:F,2,0)</f>
        <v>#REF!</v>
      </c>
      <c r="F1040" s="29" t="e">
        <f>VLOOKUP(D1040,数据集标准分类!G:H,2,0)</f>
        <v>#N/A</v>
      </c>
      <c r="G1040" s="29" t="s">
        <v>97</v>
      </c>
      <c r="H1040" s="29" t="s">
        <v>98</v>
      </c>
      <c r="I1040" s="29" t="s">
        <v>99</v>
      </c>
      <c r="J1040" s="29" t="s">
        <v>100</v>
      </c>
      <c r="K1040" s="29" t="s">
        <v>106</v>
      </c>
      <c r="L1040" s="250">
        <v>30</v>
      </c>
      <c r="M1040" s="251"/>
    </row>
    <row r="1041" ht="31" spans="1:13">
      <c r="A1041" s="248" t="s">
        <v>4175</v>
      </c>
      <c r="B1041" s="45" t="s">
        <v>4174</v>
      </c>
      <c r="C1041" s="249" t="e">
        <f>VLOOKUP(D1041,#REF!,2,0)</f>
        <v>#REF!</v>
      </c>
      <c r="D1041" s="29" t="s">
        <v>5065</v>
      </c>
      <c r="E1041" s="18" t="e">
        <f>VLOOKUP(C1041,数据集标准分类!E:F,2,0)</f>
        <v>#REF!</v>
      </c>
      <c r="F1041" s="29" t="e">
        <f>VLOOKUP(D1041,数据集标准分类!G:H,2,0)</f>
        <v>#N/A</v>
      </c>
      <c r="G1041" s="29" t="s">
        <v>112</v>
      </c>
      <c r="H1041" s="29" t="s">
        <v>113</v>
      </c>
      <c r="I1041" s="29" t="s">
        <v>114</v>
      </c>
      <c r="J1041" s="29" t="s">
        <v>115</v>
      </c>
      <c r="K1041" s="29" t="s">
        <v>111</v>
      </c>
      <c r="L1041" s="250">
        <v>31</v>
      </c>
      <c r="M1041" s="251"/>
    </row>
    <row r="1042" ht="31" spans="1:13">
      <c r="A1042" s="248" t="s">
        <v>4175</v>
      </c>
      <c r="B1042" s="45" t="s">
        <v>4174</v>
      </c>
      <c r="C1042" s="249" t="e">
        <f>VLOOKUP(D1042,#REF!,2,0)</f>
        <v>#REF!</v>
      </c>
      <c r="D1042" s="29" t="s">
        <v>5065</v>
      </c>
      <c r="E1042" s="18" t="e">
        <f>VLOOKUP(C1042,数据集标准分类!E:F,2,0)</f>
        <v>#REF!</v>
      </c>
      <c r="F1042" s="29" t="e">
        <f>VLOOKUP(D1042,数据集标准分类!G:H,2,0)</f>
        <v>#N/A</v>
      </c>
      <c r="G1042" s="29" t="s">
        <v>508</v>
      </c>
      <c r="H1042" s="29" t="s">
        <v>509</v>
      </c>
      <c r="I1042" s="29" t="s">
        <v>510</v>
      </c>
      <c r="J1042" s="29" t="s">
        <v>511</v>
      </c>
      <c r="K1042" s="29" t="s">
        <v>116</v>
      </c>
      <c r="L1042" s="250">
        <v>32</v>
      </c>
      <c r="M1042" s="251"/>
    </row>
    <row r="1043" ht="46" spans="1:13">
      <c r="A1043" s="248" t="s">
        <v>4175</v>
      </c>
      <c r="B1043" s="45" t="s">
        <v>4174</v>
      </c>
      <c r="C1043" s="249" t="e">
        <f>VLOOKUP(D1043,#REF!,2,0)</f>
        <v>#REF!</v>
      </c>
      <c r="D1043" s="29" t="s">
        <v>5065</v>
      </c>
      <c r="E1043" s="18" t="e">
        <f>VLOOKUP(C1043,数据集标准分类!E:F,2,0)</f>
        <v>#REF!</v>
      </c>
      <c r="F1043" s="29" t="e">
        <f>VLOOKUP(D1043,数据集标准分类!G:H,2,0)</f>
        <v>#N/A</v>
      </c>
      <c r="G1043" s="29" t="s">
        <v>126</v>
      </c>
      <c r="H1043" s="29" t="s">
        <v>127</v>
      </c>
      <c r="I1043" s="29" t="s">
        <v>128</v>
      </c>
      <c r="J1043" s="29" t="s">
        <v>129</v>
      </c>
      <c r="K1043" s="29" t="s">
        <v>130</v>
      </c>
      <c r="L1043" s="250">
        <v>33</v>
      </c>
      <c r="M1043" s="251"/>
    </row>
    <row r="1044" ht="92" spans="1:13">
      <c r="A1044" s="248" t="s">
        <v>4175</v>
      </c>
      <c r="B1044" s="45" t="s">
        <v>4174</v>
      </c>
      <c r="C1044" s="249" t="e">
        <f>VLOOKUP(D1044,#REF!,2,0)</f>
        <v>#REF!</v>
      </c>
      <c r="D1044" s="29" t="s">
        <v>5065</v>
      </c>
      <c r="E1044" s="18" t="e">
        <f>VLOOKUP(C1044,数据集标准分类!E:F,2,0)</f>
        <v>#REF!</v>
      </c>
      <c r="F1044" s="29" t="e">
        <f>VLOOKUP(D1044,数据集标准分类!G:H,2,0)</f>
        <v>#N/A</v>
      </c>
      <c r="G1044" s="29" t="s">
        <v>3229</v>
      </c>
      <c r="H1044" s="29" t="s">
        <v>3230</v>
      </c>
      <c r="I1044" s="29" t="s">
        <v>3231</v>
      </c>
      <c r="J1044" s="29" t="s">
        <v>3232</v>
      </c>
      <c r="K1044" s="29" t="s">
        <v>3233</v>
      </c>
      <c r="L1044" s="250">
        <v>34</v>
      </c>
      <c r="M1044" s="251"/>
    </row>
    <row r="1045" ht="31" spans="1:13">
      <c r="A1045" s="248" t="s">
        <v>4175</v>
      </c>
      <c r="B1045" s="45" t="s">
        <v>4174</v>
      </c>
      <c r="C1045" s="249" t="e">
        <f>VLOOKUP(D1045,#REF!,2,0)</f>
        <v>#REF!</v>
      </c>
      <c r="D1045" s="29" t="s">
        <v>5065</v>
      </c>
      <c r="E1045" s="18" t="e">
        <f>VLOOKUP(C1045,数据集标准分类!E:F,2,0)</f>
        <v>#REF!</v>
      </c>
      <c r="F1045" s="29" t="e">
        <f>VLOOKUP(D1045,数据集标准分类!G:H,2,0)</f>
        <v>#N/A</v>
      </c>
      <c r="G1045" s="29" t="s">
        <v>784</v>
      </c>
      <c r="H1045" s="29" t="s">
        <v>785</v>
      </c>
      <c r="I1045" s="29" t="s">
        <v>786</v>
      </c>
      <c r="J1045" s="29" t="s">
        <v>787</v>
      </c>
      <c r="K1045" s="29" t="s">
        <v>3234</v>
      </c>
      <c r="L1045" s="250">
        <v>35</v>
      </c>
      <c r="M1045" s="251"/>
    </row>
    <row r="1046" ht="16.8" spans="1:13">
      <c r="A1046" s="248" t="s">
        <v>4175</v>
      </c>
      <c r="B1046" s="45" t="s">
        <v>4174</v>
      </c>
      <c r="C1046" s="249" t="e">
        <f>VLOOKUP(D1046,#REF!,2,0)</f>
        <v>#REF!</v>
      </c>
      <c r="D1046" s="29" t="s">
        <v>5065</v>
      </c>
      <c r="E1046" s="18" t="e">
        <f>VLOOKUP(C1046,数据集标准分类!E:F,2,0)</f>
        <v>#REF!</v>
      </c>
      <c r="F1046" s="29" t="e">
        <f>VLOOKUP(D1046,数据集标准分类!G:H,2,0)</f>
        <v>#N/A</v>
      </c>
      <c r="G1046" s="29" t="s">
        <v>3290</v>
      </c>
      <c r="H1046" s="29" t="s">
        <v>3291</v>
      </c>
      <c r="I1046" s="29" t="s">
        <v>3292</v>
      </c>
      <c r="J1046" s="29" t="s">
        <v>3293</v>
      </c>
      <c r="K1046" s="29" t="s">
        <v>3294</v>
      </c>
      <c r="L1046" s="250">
        <v>36</v>
      </c>
      <c r="M1046" s="251"/>
    </row>
    <row r="1047" ht="31" spans="1:13">
      <c r="A1047" s="248" t="s">
        <v>4175</v>
      </c>
      <c r="B1047" s="45" t="s">
        <v>4174</v>
      </c>
      <c r="C1047" s="249" t="e">
        <f>VLOOKUP(D1047,#REF!,2,0)</f>
        <v>#REF!</v>
      </c>
      <c r="D1047" s="29" t="s">
        <v>5065</v>
      </c>
      <c r="E1047" s="18" t="e">
        <f>VLOOKUP(C1047,数据集标准分类!E:F,2,0)</f>
        <v>#REF!</v>
      </c>
      <c r="F1047" s="29" t="e">
        <f>VLOOKUP(D1047,数据集标准分类!G:H,2,0)</f>
        <v>#N/A</v>
      </c>
      <c r="G1047" s="29" t="s">
        <v>3295</v>
      </c>
      <c r="H1047" s="29" t="s">
        <v>3296</v>
      </c>
      <c r="I1047" s="29" t="s">
        <v>3297</v>
      </c>
      <c r="J1047" s="29" t="s">
        <v>3298</v>
      </c>
      <c r="K1047" s="29" t="s">
        <v>3299</v>
      </c>
      <c r="L1047" s="250">
        <v>37</v>
      </c>
      <c r="M1047" s="251"/>
    </row>
    <row r="1048" ht="31" spans="1:13">
      <c r="A1048" s="248" t="s">
        <v>4175</v>
      </c>
      <c r="B1048" s="45" t="s">
        <v>4174</v>
      </c>
      <c r="C1048" s="249" t="e">
        <f>VLOOKUP(D1048,#REF!,2,0)</f>
        <v>#REF!</v>
      </c>
      <c r="D1048" s="29" t="s">
        <v>5065</v>
      </c>
      <c r="E1048" s="18" t="e">
        <f>VLOOKUP(C1048,数据集标准分类!E:F,2,0)</f>
        <v>#REF!</v>
      </c>
      <c r="F1048" s="29" t="e">
        <f>VLOOKUP(D1048,数据集标准分类!G:H,2,0)</f>
        <v>#N/A</v>
      </c>
      <c r="G1048" s="29" t="s">
        <v>3300</v>
      </c>
      <c r="H1048" s="29" t="s">
        <v>3301</v>
      </c>
      <c r="I1048" s="29" t="s">
        <v>3302</v>
      </c>
      <c r="J1048" s="29" t="s">
        <v>3303</v>
      </c>
      <c r="K1048" s="29" t="s">
        <v>3304</v>
      </c>
      <c r="L1048" s="250">
        <v>38</v>
      </c>
      <c r="M1048" s="251"/>
    </row>
    <row r="1049" ht="31" spans="1:13">
      <c r="A1049" s="248" t="s">
        <v>4175</v>
      </c>
      <c r="B1049" s="45" t="s">
        <v>4174</v>
      </c>
      <c r="C1049" s="249" t="e">
        <f>VLOOKUP(D1049,#REF!,2,0)</f>
        <v>#REF!</v>
      </c>
      <c r="D1049" s="29" t="s">
        <v>5065</v>
      </c>
      <c r="E1049" s="18" t="e">
        <f>VLOOKUP(C1049,数据集标准分类!E:F,2,0)</f>
        <v>#REF!</v>
      </c>
      <c r="F1049" s="29" t="e">
        <f>VLOOKUP(D1049,数据集标准分类!G:H,2,0)</f>
        <v>#N/A</v>
      </c>
      <c r="G1049" s="29" t="s">
        <v>3305</v>
      </c>
      <c r="H1049" s="29" t="s">
        <v>3306</v>
      </c>
      <c r="I1049" s="29" t="s">
        <v>3307</v>
      </c>
      <c r="J1049" s="29" t="s">
        <v>3308</v>
      </c>
      <c r="K1049" s="29" t="s">
        <v>3309</v>
      </c>
      <c r="L1049" s="250">
        <v>39</v>
      </c>
      <c r="M1049" s="251"/>
    </row>
    <row r="1050" ht="16.8" spans="1:13">
      <c r="A1050" s="248" t="s">
        <v>4175</v>
      </c>
      <c r="B1050" s="45" t="s">
        <v>4174</v>
      </c>
      <c r="C1050" s="249" t="e">
        <f>VLOOKUP(D1050,#REF!,2,0)</f>
        <v>#REF!</v>
      </c>
      <c r="D1050" s="29" t="s">
        <v>5065</v>
      </c>
      <c r="E1050" s="18" t="e">
        <f>VLOOKUP(C1050,数据集标准分类!E:F,2,0)</f>
        <v>#REF!</v>
      </c>
      <c r="F1050" s="29" t="e">
        <f>VLOOKUP(D1050,数据集标准分类!G:H,2,0)</f>
        <v>#N/A</v>
      </c>
      <c r="G1050" s="29" t="s">
        <v>3310</v>
      </c>
      <c r="H1050" s="29" t="s">
        <v>3311</v>
      </c>
      <c r="I1050" s="29" t="s">
        <v>3312</v>
      </c>
      <c r="J1050" s="29" t="s">
        <v>3313</v>
      </c>
      <c r="K1050" s="29" t="s">
        <v>3314</v>
      </c>
      <c r="L1050" s="250">
        <v>40</v>
      </c>
      <c r="M1050" s="251"/>
    </row>
    <row r="1051" ht="31" spans="1:13">
      <c r="A1051" s="248" t="s">
        <v>4175</v>
      </c>
      <c r="B1051" s="45" t="s">
        <v>4174</v>
      </c>
      <c r="C1051" s="249" t="e">
        <f>VLOOKUP(D1051,#REF!,2,0)</f>
        <v>#REF!</v>
      </c>
      <c r="D1051" s="29" t="s">
        <v>5065</v>
      </c>
      <c r="E1051" s="18" t="e">
        <f>VLOOKUP(C1051,数据集标准分类!E:F,2,0)</f>
        <v>#REF!</v>
      </c>
      <c r="F1051" s="29" t="e">
        <f>VLOOKUP(D1051,数据集标准分类!G:H,2,0)</f>
        <v>#N/A</v>
      </c>
      <c r="G1051" s="29" t="s">
        <v>3315</v>
      </c>
      <c r="H1051" s="29" t="s">
        <v>3316</v>
      </c>
      <c r="I1051" s="29" t="s">
        <v>3317</v>
      </c>
      <c r="J1051" s="29" t="s">
        <v>3318</v>
      </c>
      <c r="K1051" s="29" t="s">
        <v>3319</v>
      </c>
      <c r="L1051" s="250">
        <v>41</v>
      </c>
      <c r="M1051" s="251"/>
    </row>
    <row r="1052" ht="31" spans="1:13">
      <c r="A1052" s="248" t="s">
        <v>4175</v>
      </c>
      <c r="B1052" s="45" t="s">
        <v>4174</v>
      </c>
      <c r="C1052" s="249" t="e">
        <f>VLOOKUP(D1052,#REF!,2,0)</f>
        <v>#REF!</v>
      </c>
      <c r="D1052" s="29" t="s">
        <v>5065</v>
      </c>
      <c r="E1052" s="18" t="e">
        <f>VLOOKUP(C1052,数据集标准分类!E:F,2,0)</f>
        <v>#REF!</v>
      </c>
      <c r="F1052" s="29" t="e">
        <f>VLOOKUP(D1052,数据集标准分类!G:H,2,0)</f>
        <v>#N/A</v>
      </c>
      <c r="G1052" s="29" t="s">
        <v>3320</v>
      </c>
      <c r="H1052" s="29" t="s">
        <v>3321</v>
      </c>
      <c r="I1052" s="29" t="s">
        <v>3322</v>
      </c>
      <c r="J1052" s="29" t="s">
        <v>3323</v>
      </c>
      <c r="K1052" s="29" t="s">
        <v>3324</v>
      </c>
      <c r="L1052" s="250">
        <v>42</v>
      </c>
      <c r="M1052" s="251"/>
    </row>
    <row r="1053" ht="46" spans="1:13">
      <c r="A1053" s="248" t="s">
        <v>4175</v>
      </c>
      <c r="B1053" s="45" t="s">
        <v>4174</v>
      </c>
      <c r="C1053" s="249" t="e">
        <f>VLOOKUP(D1053,#REF!,2,0)</f>
        <v>#REF!</v>
      </c>
      <c r="D1053" s="29" t="s">
        <v>5065</v>
      </c>
      <c r="E1053" s="18" t="e">
        <f>VLOOKUP(C1053,数据集标准分类!E:F,2,0)</f>
        <v>#REF!</v>
      </c>
      <c r="F1053" s="29" t="e">
        <f>VLOOKUP(D1053,数据集标准分类!G:H,2,0)</f>
        <v>#N/A</v>
      </c>
      <c r="G1053" s="29" t="s">
        <v>3192</v>
      </c>
      <c r="H1053" s="29" t="s">
        <v>3193</v>
      </c>
      <c r="I1053" s="29" t="s">
        <v>3194</v>
      </c>
      <c r="J1053" s="29" t="s">
        <v>3195</v>
      </c>
      <c r="K1053" s="29" t="s">
        <v>3325</v>
      </c>
      <c r="L1053" s="250">
        <v>43</v>
      </c>
      <c r="M1053" s="251"/>
    </row>
    <row r="1054" ht="31" spans="1:13">
      <c r="A1054" s="248" t="s">
        <v>4175</v>
      </c>
      <c r="B1054" s="45" t="s">
        <v>4174</v>
      </c>
      <c r="C1054" s="249" t="e">
        <f>VLOOKUP(D1054,#REF!,2,0)</f>
        <v>#REF!</v>
      </c>
      <c r="D1054" s="29" t="s">
        <v>3388</v>
      </c>
      <c r="E1054" s="18" t="e">
        <f>VLOOKUP(C1054,数据集标准分类!E:F,2,0)</f>
        <v>#REF!</v>
      </c>
      <c r="F1054" s="29" t="e">
        <f>VLOOKUP(D1054,数据集标准分类!G:H,2,0)</f>
        <v>#N/A</v>
      </c>
      <c r="G1054" s="29" t="s">
        <v>172</v>
      </c>
      <c r="H1054" s="29" t="s">
        <v>173</v>
      </c>
      <c r="I1054" s="29" t="s">
        <v>174</v>
      </c>
      <c r="J1054" s="29" t="s">
        <v>175</v>
      </c>
      <c r="K1054" s="29" t="s">
        <v>3389</v>
      </c>
      <c r="L1054" s="250">
        <v>1</v>
      </c>
      <c r="M1054" s="251"/>
    </row>
    <row r="1055" ht="46" spans="1:13">
      <c r="A1055" s="248" t="s">
        <v>4175</v>
      </c>
      <c r="B1055" s="45" t="s">
        <v>4174</v>
      </c>
      <c r="C1055" s="249" t="e">
        <f>VLOOKUP(D1055,#REF!,2,0)</f>
        <v>#REF!</v>
      </c>
      <c r="D1055" s="29" t="s">
        <v>3388</v>
      </c>
      <c r="E1055" s="18" t="e">
        <f>VLOOKUP(C1055,数据集标准分类!E:F,2,0)</f>
        <v>#REF!</v>
      </c>
      <c r="F1055" s="29" t="e">
        <f>VLOOKUP(D1055,数据集标准分类!G:H,2,0)</f>
        <v>#N/A</v>
      </c>
      <c r="G1055" s="29" t="s">
        <v>157</v>
      </c>
      <c r="H1055" s="29" t="s">
        <v>158</v>
      </c>
      <c r="I1055" s="29" t="s">
        <v>159</v>
      </c>
      <c r="J1055" s="29" t="s">
        <v>160</v>
      </c>
      <c r="K1055" s="29" t="s">
        <v>161</v>
      </c>
      <c r="L1055" s="250">
        <v>2</v>
      </c>
      <c r="M1055" s="251"/>
    </row>
    <row r="1056" ht="31" spans="1:13">
      <c r="A1056" s="248" t="s">
        <v>4175</v>
      </c>
      <c r="B1056" s="45" t="s">
        <v>4174</v>
      </c>
      <c r="C1056" s="249" t="e">
        <f>VLOOKUP(D1056,#REF!,2,0)</f>
        <v>#REF!</v>
      </c>
      <c r="D1056" s="29" t="s">
        <v>3388</v>
      </c>
      <c r="E1056" s="18" t="e">
        <f>VLOOKUP(C1056,数据集标准分类!E:F,2,0)</f>
        <v>#REF!</v>
      </c>
      <c r="F1056" s="29" t="e">
        <f>VLOOKUP(D1056,数据集标准分类!G:H,2,0)</f>
        <v>#N/A</v>
      </c>
      <c r="G1056" s="29" t="s">
        <v>3260</v>
      </c>
      <c r="H1056" s="29" t="s">
        <v>3261</v>
      </c>
      <c r="I1056" s="29" t="s">
        <v>3262</v>
      </c>
      <c r="J1056" s="29" t="s">
        <v>3263</v>
      </c>
      <c r="K1056" s="29" t="s">
        <v>3264</v>
      </c>
      <c r="L1056" s="250">
        <v>3</v>
      </c>
      <c r="M1056" s="251"/>
    </row>
    <row r="1057" ht="31" spans="1:13">
      <c r="A1057" s="248" t="s">
        <v>4175</v>
      </c>
      <c r="B1057" s="45" t="s">
        <v>4174</v>
      </c>
      <c r="C1057" s="249" t="e">
        <f>VLOOKUP(D1057,#REF!,2,0)</f>
        <v>#REF!</v>
      </c>
      <c r="D1057" s="29" t="s">
        <v>3388</v>
      </c>
      <c r="E1057" s="18" t="e">
        <f>VLOOKUP(C1057,数据集标准分类!E:F,2,0)</f>
        <v>#REF!</v>
      </c>
      <c r="F1057" s="29" t="e">
        <f>VLOOKUP(D1057,数据集标准分类!G:H,2,0)</f>
        <v>#N/A</v>
      </c>
      <c r="G1057" s="29" t="s">
        <v>3285</v>
      </c>
      <c r="H1057" s="29" t="s">
        <v>3286</v>
      </c>
      <c r="I1057" s="29" t="s">
        <v>3287</v>
      </c>
      <c r="J1057" s="29" t="s">
        <v>3288</v>
      </c>
      <c r="K1057" s="29" t="s">
        <v>3289</v>
      </c>
      <c r="L1057" s="250">
        <v>4</v>
      </c>
      <c r="M1057" s="251"/>
    </row>
    <row r="1058" ht="16.8" spans="1:13">
      <c r="A1058" s="248" t="s">
        <v>4175</v>
      </c>
      <c r="B1058" s="45" t="s">
        <v>4174</v>
      </c>
      <c r="C1058" s="249" t="e">
        <f>VLOOKUP(D1058,#REF!,2,0)</f>
        <v>#REF!</v>
      </c>
      <c r="D1058" s="29" t="s">
        <v>3388</v>
      </c>
      <c r="E1058" s="18" t="e">
        <f>VLOOKUP(C1058,数据集标准分类!E:F,2,0)</f>
        <v>#REF!</v>
      </c>
      <c r="F1058" s="29" t="e">
        <f>VLOOKUP(D1058,数据集标准分类!G:H,2,0)</f>
        <v>#N/A</v>
      </c>
      <c r="G1058" s="29" t="s">
        <v>971</v>
      </c>
      <c r="H1058" s="29" t="s">
        <v>972</v>
      </c>
      <c r="I1058" s="29" t="s">
        <v>973</v>
      </c>
      <c r="J1058" s="29" t="s">
        <v>974</v>
      </c>
      <c r="K1058" s="29" t="s">
        <v>975</v>
      </c>
      <c r="L1058" s="250">
        <v>5</v>
      </c>
      <c r="M1058" s="251"/>
    </row>
    <row r="1059" ht="31" spans="1:13">
      <c r="A1059" s="248" t="s">
        <v>4175</v>
      </c>
      <c r="B1059" s="45" t="s">
        <v>4174</v>
      </c>
      <c r="C1059" s="249" t="e">
        <f>VLOOKUP(D1059,#REF!,2,0)</f>
        <v>#REF!</v>
      </c>
      <c r="D1059" s="29" t="s">
        <v>3388</v>
      </c>
      <c r="E1059" s="18" t="e">
        <f>VLOOKUP(C1059,数据集标准分类!E:F,2,0)</f>
        <v>#REF!</v>
      </c>
      <c r="F1059" s="29" t="e">
        <f>VLOOKUP(D1059,数据集标准分类!G:H,2,0)</f>
        <v>#N/A</v>
      </c>
      <c r="G1059" s="29" t="s">
        <v>355</v>
      </c>
      <c r="H1059" s="29" t="s">
        <v>356</v>
      </c>
      <c r="I1059" s="29" t="s">
        <v>357</v>
      </c>
      <c r="J1059" s="29" t="s">
        <v>358</v>
      </c>
      <c r="K1059" s="29" t="s">
        <v>359</v>
      </c>
      <c r="L1059" s="250">
        <v>6</v>
      </c>
      <c r="M1059" s="251"/>
    </row>
    <row r="1060" ht="60" customHeight="1" spans="1:13">
      <c r="A1060" s="248" t="s">
        <v>4175</v>
      </c>
      <c r="B1060" s="45" t="s">
        <v>4174</v>
      </c>
      <c r="C1060" s="249" t="e">
        <f>VLOOKUP(D1060,#REF!,2,0)</f>
        <v>#REF!</v>
      </c>
      <c r="D1060" s="29" t="s">
        <v>3388</v>
      </c>
      <c r="E1060" s="18" t="e">
        <f>VLOOKUP(C1060,数据集标准分类!E:F,2,0)</f>
        <v>#REF!</v>
      </c>
      <c r="F1060" s="29" t="e">
        <f>VLOOKUP(D1060,数据集标准分类!G:H,2,0)</f>
        <v>#N/A</v>
      </c>
      <c r="G1060" s="29" t="s">
        <v>201</v>
      </c>
      <c r="H1060" s="29" t="s">
        <v>202</v>
      </c>
      <c r="I1060" s="29" t="s">
        <v>203</v>
      </c>
      <c r="J1060" s="29" t="s">
        <v>204</v>
      </c>
      <c r="K1060" s="29" t="s">
        <v>3390</v>
      </c>
      <c r="L1060" s="250">
        <v>7</v>
      </c>
      <c r="M1060" s="251"/>
    </row>
    <row r="1061" ht="31" spans="1:13">
      <c r="A1061" s="248" t="s">
        <v>4175</v>
      </c>
      <c r="B1061" s="45" t="s">
        <v>4174</v>
      </c>
      <c r="C1061" s="249" t="e">
        <f>VLOOKUP(D1061,#REF!,2,0)</f>
        <v>#REF!</v>
      </c>
      <c r="D1061" s="29" t="s">
        <v>3388</v>
      </c>
      <c r="E1061" s="18" t="e">
        <f>VLOOKUP(C1061,数据集标准分类!E:F,2,0)</f>
        <v>#REF!</v>
      </c>
      <c r="F1061" s="29" t="e">
        <f>VLOOKUP(D1061,数据集标准分类!G:H,2,0)</f>
        <v>#N/A</v>
      </c>
      <c r="G1061" s="29" t="s">
        <v>3391</v>
      </c>
      <c r="H1061" s="29" t="s">
        <v>3392</v>
      </c>
      <c r="I1061" s="29" t="s">
        <v>3393</v>
      </c>
      <c r="J1061" s="29" t="s">
        <v>3394</v>
      </c>
      <c r="K1061" s="29" t="s">
        <v>3395</v>
      </c>
      <c r="L1061" s="250">
        <v>8</v>
      </c>
      <c r="M1061" s="251"/>
    </row>
    <row r="1062" ht="31" spans="1:13">
      <c r="A1062" s="248" t="s">
        <v>4175</v>
      </c>
      <c r="B1062" s="45" t="s">
        <v>4174</v>
      </c>
      <c r="C1062" s="249" t="e">
        <f>VLOOKUP(D1062,#REF!,2,0)</f>
        <v>#REF!</v>
      </c>
      <c r="D1062" s="29" t="s">
        <v>3388</v>
      </c>
      <c r="E1062" s="18" t="e">
        <f>VLOOKUP(C1062,数据集标准分类!E:F,2,0)</f>
        <v>#REF!</v>
      </c>
      <c r="F1062" s="29" t="e">
        <f>VLOOKUP(D1062,数据集标准分类!G:H,2,0)</f>
        <v>#N/A</v>
      </c>
      <c r="G1062" s="29" t="s">
        <v>3396</v>
      </c>
      <c r="H1062" s="29" t="s">
        <v>3397</v>
      </c>
      <c r="I1062" s="29" t="s">
        <v>3398</v>
      </c>
      <c r="J1062" s="29" t="s">
        <v>3399</v>
      </c>
      <c r="K1062" s="29" t="s">
        <v>3400</v>
      </c>
      <c r="L1062" s="250">
        <v>9</v>
      </c>
      <c r="M1062" s="251"/>
    </row>
    <row r="1063" ht="31" spans="1:13">
      <c r="A1063" s="248" t="s">
        <v>4175</v>
      </c>
      <c r="B1063" s="45" t="s">
        <v>4174</v>
      </c>
      <c r="C1063" s="249" t="e">
        <f>VLOOKUP(D1063,#REF!,2,0)</f>
        <v>#REF!</v>
      </c>
      <c r="D1063" s="29" t="s">
        <v>3388</v>
      </c>
      <c r="E1063" s="18" t="e">
        <f>VLOOKUP(C1063,数据集标准分类!E:F,2,0)</f>
        <v>#REF!</v>
      </c>
      <c r="F1063" s="29" t="e">
        <f>VLOOKUP(D1063,数据集标准分类!G:H,2,0)</f>
        <v>#N/A</v>
      </c>
      <c r="G1063" s="29" t="s">
        <v>3401</v>
      </c>
      <c r="H1063" s="29" t="s">
        <v>3402</v>
      </c>
      <c r="I1063" s="29" t="s">
        <v>3403</v>
      </c>
      <c r="J1063" s="29" t="s">
        <v>3404</v>
      </c>
      <c r="K1063" s="29" t="s">
        <v>3405</v>
      </c>
      <c r="L1063" s="250">
        <v>10</v>
      </c>
      <c r="M1063" s="251"/>
    </row>
    <row r="1064" ht="31" spans="1:13">
      <c r="A1064" s="248" t="s">
        <v>4175</v>
      </c>
      <c r="B1064" s="45" t="s">
        <v>4174</v>
      </c>
      <c r="C1064" s="249" t="e">
        <f>VLOOKUP(D1064,#REF!,2,0)</f>
        <v>#REF!</v>
      </c>
      <c r="D1064" s="29" t="s">
        <v>3388</v>
      </c>
      <c r="E1064" s="18" t="e">
        <f>VLOOKUP(C1064,数据集标准分类!E:F,2,0)</f>
        <v>#REF!</v>
      </c>
      <c r="F1064" s="29" t="e">
        <f>VLOOKUP(D1064,数据集标准分类!G:H,2,0)</f>
        <v>#N/A</v>
      </c>
      <c r="G1064" s="29" t="s">
        <v>3406</v>
      </c>
      <c r="H1064" s="29" t="s">
        <v>3407</v>
      </c>
      <c r="I1064" s="29" t="s">
        <v>3408</v>
      </c>
      <c r="J1064" s="29" t="s">
        <v>3409</v>
      </c>
      <c r="K1064" s="29" t="s">
        <v>3410</v>
      </c>
      <c r="L1064" s="250">
        <v>11</v>
      </c>
      <c r="M1064" s="251"/>
    </row>
    <row r="1065" ht="31" spans="1:13">
      <c r="A1065" s="248" t="s">
        <v>4175</v>
      </c>
      <c r="B1065" s="45" t="s">
        <v>4174</v>
      </c>
      <c r="C1065" s="249" t="e">
        <f>VLOOKUP(D1065,#REF!,2,0)</f>
        <v>#REF!</v>
      </c>
      <c r="D1065" s="29" t="s">
        <v>3814</v>
      </c>
      <c r="E1065" s="18" t="e">
        <f>VLOOKUP(C1065,数据集标准分类!E:F,2,0)</f>
        <v>#REF!</v>
      </c>
      <c r="F1065" s="29" t="e">
        <f>VLOOKUP(D1065,数据集标准分类!G:H,2,0)</f>
        <v>#N/A</v>
      </c>
      <c r="G1065" s="29" t="s">
        <v>1791</v>
      </c>
      <c r="H1065" s="29" t="s">
        <v>1792</v>
      </c>
      <c r="I1065" s="29" t="s">
        <v>1793</v>
      </c>
      <c r="J1065" s="29" t="s">
        <v>1794</v>
      </c>
      <c r="K1065" s="29" t="s">
        <v>1795</v>
      </c>
      <c r="L1065" s="250">
        <v>1</v>
      </c>
      <c r="M1065" s="251"/>
    </row>
    <row r="1066" ht="60" customHeight="1" spans="1:13">
      <c r="A1066" s="248" t="s">
        <v>4175</v>
      </c>
      <c r="B1066" s="45" t="s">
        <v>4174</v>
      </c>
      <c r="C1066" s="249" t="e">
        <f>VLOOKUP(D1066,#REF!,2,0)</f>
        <v>#REF!</v>
      </c>
      <c r="D1066" s="29" t="s">
        <v>3814</v>
      </c>
      <c r="E1066" s="18" t="e">
        <f>VLOOKUP(C1066,数据集标准分类!E:F,2,0)</f>
        <v>#REF!</v>
      </c>
      <c r="F1066" s="29" t="e">
        <f>VLOOKUP(D1066,数据集标准分类!G:H,2,0)</f>
        <v>#N/A</v>
      </c>
      <c r="G1066" s="29" t="s">
        <v>3815</v>
      </c>
      <c r="H1066" s="29" t="s">
        <v>3816</v>
      </c>
      <c r="I1066" s="29" t="s">
        <v>3817</v>
      </c>
      <c r="J1066" s="29" t="s">
        <v>3818</v>
      </c>
      <c r="K1066" s="29" t="s">
        <v>3819</v>
      </c>
      <c r="L1066" s="250">
        <v>2</v>
      </c>
      <c r="M1066" s="251"/>
    </row>
    <row r="1067" ht="46" spans="1:13">
      <c r="A1067" s="248" t="s">
        <v>4175</v>
      </c>
      <c r="B1067" s="45" t="s">
        <v>4174</v>
      </c>
      <c r="C1067" s="249" t="e">
        <f>VLOOKUP(D1067,#REF!,2,0)</f>
        <v>#REF!</v>
      </c>
      <c r="D1067" s="29" t="s">
        <v>3814</v>
      </c>
      <c r="E1067" s="18" t="e">
        <f>VLOOKUP(C1067,数据集标准分类!E:F,2,0)</f>
        <v>#REF!</v>
      </c>
      <c r="F1067" s="29" t="e">
        <f>VLOOKUP(D1067,数据集标准分类!G:H,2,0)</f>
        <v>#N/A</v>
      </c>
      <c r="G1067" s="29" t="s">
        <v>3820</v>
      </c>
      <c r="H1067" s="29" t="s">
        <v>3821</v>
      </c>
      <c r="I1067" s="29" t="s">
        <v>3822</v>
      </c>
      <c r="J1067" s="29" t="s">
        <v>3823</v>
      </c>
      <c r="K1067" s="29" t="s">
        <v>3824</v>
      </c>
      <c r="L1067" s="250">
        <v>3</v>
      </c>
      <c r="M1067" s="251"/>
    </row>
    <row r="1068" ht="31" spans="1:13">
      <c r="A1068" s="248" t="s">
        <v>4175</v>
      </c>
      <c r="B1068" s="45" t="s">
        <v>4174</v>
      </c>
      <c r="C1068" s="249" t="e">
        <f>VLOOKUP(D1068,#REF!,2,0)</f>
        <v>#REF!</v>
      </c>
      <c r="D1068" s="29" t="s">
        <v>3814</v>
      </c>
      <c r="E1068" s="18" t="e">
        <f>VLOOKUP(C1068,数据集标准分类!E:F,2,0)</f>
        <v>#REF!</v>
      </c>
      <c r="F1068" s="29" t="e">
        <f>VLOOKUP(D1068,数据集标准分类!G:H,2,0)</f>
        <v>#N/A</v>
      </c>
      <c r="G1068" s="29" t="s">
        <v>3825</v>
      </c>
      <c r="H1068" s="29" t="s">
        <v>3826</v>
      </c>
      <c r="I1068" s="29" t="s">
        <v>3827</v>
      </c>
      <c r="J1068" s="29" t="s">
        <v>3828</v>
      </c>
      <c r="K1068" s="29" t="s">
        <v>3829</v>
      </c>
      <c r="L1068" s="250">
        <v>4</v>
      </c>
      <c r="M1068" s="251"/>
    </row>
    <row r="1069" ht="16.8" spans="1:13">
      <c r="A1069" s="248" t="s">
        <v>4175</v>
      </c>
      <c r="B1069" s="45" t="s">
        <v>4174</v>
      </c>
      <c r="C1069" s="249" t="e">
        <f>VLOOKUP(D1069,#REF!,2,0)</f>
        <v>#REF!</v>
      </c>
      <c r="D1069" s="29" t="s">
        <v>3814</v>
      </c>
      <c r="E1069" s="18" t="e">
        <f>VLOOKUP(C1069,数据集标准分类!E:F,2,0)</f>
        <v>#REF!</v>
      </c>
      <c r="F1069" s="29" t="e">
        <f>VLOOKUP(D1069,数据集标准分类!G:H,2,0)</f>
        <v>#N/A</v>
      </c>
      <c r="G1069" s="29" t="s">
        <v>3830</v>
      </c>
      <c r="H1069" s="29" t="s">
        <v>3831</v>
      </c>
      <c r="I1069" s="29" t="s">
        <v>3832</v>
      </c>
      <c r="J1069" s="29" t="s">
        <v>3833</v>
      </c>
      <c r="K1069" s="29" t="s">
        <v>3834</v>
      </c>
      <c r="L1069" s="250">
        <v>5</v>
      </c>
      <c r="M1069" s="251"/>
    </row>
    <row r="1070" ht="46" spans="1:13">
      <c r="A1070" s="248" t="s">
        <v>4175</v>
      </c>
      <c r="B1070" s="45" t="s">
        <v>4174</v>
      </c>
      <c r="C1070" s="249" t="e">
        <f>VLOOKUP(D1070,#REF!,2,0)</f>
        <v>#REF!</v>
      </c>
      <c r="D1070" s="29" t="s">
        <v>3814</v>
      </c>
      <c r="E1070" s="18" t="e">
        <f>VLOOKUP(C1070,数据集标准分类!E:F,2,0)</f>
        <v>#REF!</v>
      </c>
      <c r="F1070" s="29" t="e">
        <f>VLOOKUP(D1070,数据集标准分类!G:H,2,0)</f>
        <v>#N/A</v>
      </c>
      <c r="G1070" s="29" t="s">
        <v>3835</v>
      </c>
      <c r="H1070" s="29" t="s">
        <v>3836</v>
      </c>
      <c r="I1070" s="29" t="s">
        <v>3836</v>
      </c>
      <c r="J1070" s="29" t="s">
        <v>3837</v>
      </c>
      <c r="K1070" s="29" t="s">
        <v>3838</v>
      </c>
      <c r="L1070" s="250">
        <v>6</v>
      </c>
      <c r="M1070" s="251"/>
    </row>
    <row r="1071" ht="31" spans="1:13">
      <c r="A1071" s="248" t="s">
        <v>4175</v>
      </c>
      <c r="B1071" s="45" t="s">
        <v>4174</v>
      </c>
      <c r="C1071" s="249" t="e">
        <f>VLOOKUP(D1071,#REF!,2,0)</f>
        <v>#REF!</v>
      </c>
      <c r="D1071" s="29" t="s">
        <v>3814</v>
      </c>
      <c r="E1071" s="18" t="e">
        <f>VLOOKUP(C1071,数据集标准分类!E:F,2,0)</f>
        <v>#REF!</v>
      </c>
      <c r="F1071" s="29" t="e">
        <f>VLOOKUP(D1071,数据集标准分类!G:H,2,0)</f>
        <v>#N/A</v>
      </c>
      <c r="G1071" s="29" t="s">
        <v>3839</v>
      </c>
      <c r="H1071" s="29" t="s">
        <v>3840</v>
      </c>
      <c r="I1071" s="29" t="s">
        <v>3841</v>
      </c>
      <c r="J1071" s="29" t="s">
        <v>3842</v>
      </c>
      <c r="K1071" s="29" t="s">
        <v>3843</v>
      </c>
      <c r="L1071" s="250">
        <v>7</v>
      </c>
      <c r="M1071" s="251"/>
    </row>
    <row r="1072" ht="31" spans="1:13">
      <c r="A1072" s="248" t="s">
        <v>4175</v>
      </c>
      <c r="B1072" s="45" t="s">
        <v>4174</v>
      </c>
      <c r="C1072" s="249" t="e">
        <f>VLOOKUP(D1072,#REF!,2,0)</f>
        <v>#REF!</v>
      </c>
      <c r="D1072" s="29" t="s">
        <v>3814</v>
      </c>
      <c r="E1072" s="18" t="e">
        <f>VLOOKUP(C1072,数据集标准分类!E:F,2,0)</f>
        <v>#REF!</v>
      </c>
      <c r="F1072" s="29" t="e">
        <f>VLOOKUP(D1072,数据集标准分类!G:H,2,0)</f>
        <v>#N/A</v>
      </c>
      <c r="G1072" s="29" t="s">
        <v>3844</v>
      </c>
      <c r="H1072" s="29" t="s">
        <v>3845</v>
      </c>
      <c r="I1072" s="29" t="s">
        <v>3846</v>
      </c>
      <c r="J1072" s="29" t="s">
        <v>3847</v>
      </c>
      <c r="K1072" s="29" t="s">
        <v>3848</v>
      </c>
      <c r="L1072" s="250">
        <v>8</v>
      </c>
      <c r="M1072" s="251"/>
    </row>
    <row r="1073" ht="31" spans="1:13">
      <c r="A1073" s="248" t="s">
        <v>4175</v>
      </c>
      <c r="B1073" s="45" t="s">
        <v>4174</v>
      </c>
      <c r="C1073" s="249" t="e">
        <f>VLOOKUP(D1073,#REF!,2,0)</f>
        <v>#REF!</v>
      </c>
      <c r="D1073" s="29" t="s">
        <v>3814</v>
      </c>
      <c r="E1073" s="18" t="e">
        <f>VLOOKUP(C1073,数据集标准分类!E:F,2,0)</f>
        <v>#REF!</v>
      </c>
      <c r="F1073" s="29" t="e">
        <f>VLOOKUP(D1073,数据集标准分类!G:H,2,0)</f>
        <v>#N/A</v>
      </c>
      <c r="G1073" s="64" t="s">
        <v>711</v>
      </c>
      <c r="H1073" s="29" t="s">
        <v>712</v>
      </c>
      <c r="I1073" s="29" t="s">
        <v>712</v>
      </c>
      <c r="J1073" s="29" t="s">
        <v>713</v>
      </c>
      <c r="K1073" s="29" t="s">
        <v>3849</v>
      </c>
      <c r="L1073" s="250">
        <v>9</v>
      </c>
      <c r="M1073" s="251"/>
    </row>
    <row r="1074" ht="31" spans="1:13">
      <c r="A1074" s="248" t="s">
        <v>4175</v>
      </c>
      <c r="B1074" s="45" t="s">
        <v>4174</v>
      </c>
      <c r="C1074" s="249" t="e">
        <f>VLOOKUP(D1074,#REF!,2,0)</f>
        <v>#REF!</v>
      </c>
      <c r="D1074" s="29" t="s">
        <v>3814</v>
      </c>
      <c r="E1074" s="18" t="e">
        <f>VLOOKUP(C1074,数据集标准分类!E:F,2,0)</f>
        <v>#REF!</v>
      </c>
      <c r="F1074" s="29" t="e">
        <f>VLOOKUP(D1074,数据集标准分类!G:H,2,0)</f>
        <v>#N/A</v>
      </c>
      <c r="G1074" s="29" t="s">
        <v>707</v>
      </c>
      <c r="H1074" s="29" t="s">
        <v>708</v>
      </c>
      <c r="I1074" s="29" t="s">
        <v>708</v>
      </c>
      <c r="J1074" s="29" t="s">
        <v>709</v>
      </c>
      <c r="K1074" s="29" t="s">
        <v>3850</v>
      </c>
      <c r="L1074" s="250">
        <v>10</v>
      </c>
      <c r="M1074" s="251"/>
    </row>
    <row r="1075" ht="31" spans="1:13">
      <c r="A1075" s="248" t="s">
        <v>4175</v>
      </c>
      <c r="B1075" s="45" t="s">
        <v>4174</v>
      </c>
      <c r="C1075" s="249" t="e">
        <f>VLOOKUP(D1075,#REF!,2,0)</f>
        <v>#REF!</v>
      </c>
      <c r="D1075" s="29" t="s">
        <v>3814</v>
      </c>
      <c r="E1075" s="18" t="e">
        <f>VLOOKUP(C1075,数据集标准分类!E:F,2,0)</f>
        <v>#REF!</v>
      </c>
      <c r="F1075" s="29" t="e">
        <f>VLOOKUP(D1075,数据集标准分类!G:H,2,0)</f>
        <v>#N/A</v>
      </c>
      <c r="G1075" s="64" t="s">
        <v>3851</v>
      </c>
      <c r="H1075" s="29" t="s">
        <v>3852</v>
      </c>
      <c r="I1075" s="29" t="s">
        <v>3853</v>
      </c>
      <c r="J1075" s="29" t="s">
        <v>3854</v>
      </c>
      <c r="K1075" s="29" t="s">
        <v>3855</v>
      </c>
      <c r="L1075" s="250">
        <v>11</v>
      </c>
      <c r="M1075" s="251"/>
    </row>
    <row r="1076" ht="31" spans="1:13">
      <c r="A1076" s="248" t="s">
        <v>4175</v>
      </c>
      <c r="B1076" s="45" t="s">
        <v>4174</v>
      </c>
      <c r="C1076" s="249" t="e">
        <f>VLOOKUP(D1076,#REF!,2,0)</f>
        <v>#REF!</v>
      </c>
      <c r="D1076" s="29" t="s">
        <v>3814</v>
      </c>
      <c r="E1076" s="18" t="e">
        <f>VLOOKUP(C1076,数据集标准分类!E:F,2,0)</f>
        <v>#REF!</v>
      </c>
      <c r="F1076" s="29" t="e">
        <f>VLOOKUP(D1076,数据集标准分类!G:H,2,0)</f>
        <v>#N/A</v>
      </c>
      <c r="G1076" s="29" t="s">
        <v>2123</v>
      </c>
      <c r="H1076" s="29" t="s">
        <v>2124</v>
      </c>
      <c r="I1076" s="29" t="s">
        <v>2125</v>
      </c>
      <c r="J1076" s="29" t="s">
        <v>2126</v>
      </c>
      <c r="K1076" s="29" t="s">
        <v>3856</v>
      </c>
      <c r="L1076" s="250">
        <v>12</v>
      </c>
      <c r="M1076" s="251"/>
    </row>
    <row r="1077" ht="31" spans="1:13">
      <c r="A1077" s="248" t="s">
        <v>4175</v>
      </c>
      <c r="B1077" s="45" t="s">
        <v>4174</v>
      </c>
      <c r="C1077" s="249" t="e">
        <f>VLOOKUP(D1077,#REF!,2,0)</f>
        <v>#REF!</v>
      </c>
      <c r="D1077" s="29" t="s">
        <v>3814</v>
      </c>
      <c r="E1077" s="18" t="e">
        <f>VLOOKUP(C1077,数据集标准分类!E:F,2,0)</f>
        <v>#REF!</v>
      </c>
      <c r="F1077" s="29" t="e">
        <f>VLOOKUP(D1077,数据集标准分类!G:H,2,0)</f>
        <v>#N/A</v>
      </c>
      <c r="G1077" s="29" t="s">
        <v>918</v>
      </c>
      <c r="H1077" s="29" t="s">
        <v>919</v>
      </c>
      <c r="I1077" s="29" t="s">
        <v>920</v>
      </c>
      <c r="J1077" s="29" t="s">
        <v>921</v>
      </c>
      <c r="K1077" s="29" t="s">
        <v>922</v>
      </c>
      <c r="L1077" s="250">
        <v>13</v>
      </c>
      <c r="M1077" s="251"/>
    </row>
    <row r="1078" ht="31" spans="1:13">
      <c r="A1078" s="248" t="s">
        <v>4175</v>
      </c>
      <c r="B1078" s="45" t="s">
        <v>4174</v>
      </c>
      <c r="C1078" s="249" t="e">
        <f>VLOOKUP(D1078,#REF!,2,0)</f>
        <v>#REF!</v>
      </c>
      <c r="D1078" s="29" t="s">
        <v>3814</v>
      </c>
      <c r="E1078" s="18" t="e">
        <f>VLOOKUP(C1078,数据集标准分类!E:F,2,0)</f>
        <v>#REF!</v>
      </c>
      <c r="F1078" s="29" t="e">
        <f>VLOOKUP(D1078,数据集标准分类!G:H,2,0)</f>
        <v>#N/A</v>
      </c>
      <c r="G1078" s="29" t="s">
        <v>97</v>
      </c>
      <c r="H1078" s="29" t="s">
        <v>98</v>
      </c>
      <c r="I1078" s="29" t="s">
        <v>99</v>
      </c>
      <c r="J1078" s="29" t="s">
        <v>100</v>
      </c>
      <c r="K1078" s="29" t="s">
        <v>106</v>
      </c>
      <c r="L1078" s="250">
        <v>14</v>
      </c>
      <c r="M1078" s="251"/>
    </row>
    <row r="1079" ht="31" spans="1:13">
      <c r="A1079" s="248" t="s">
        <v>4175</v>
      </c>
      <c r="B1079" s="45" t="s">
        <v>4174</v>
      </c>
      <c r="C1079" s="249" t="e">
        <f>VLOOKUP(D1079,#REF!,2,0)</f>
        <v>#REF!</v>
      </c>
      <c r="D1079" s="29" t="s">
        <v>3814</v>
      </c>
      <c r="E1079" s="18" t="e">
        <f>VLOOKUP(C1079,数据集标准分类!E:F,2,0)</f>
        <v>#REF!</v>
      </c>
      <c r="F1079" s="29" t="e">
        <f>VLOOKUP(D1079,数据集标准分类!G:H,2,0)</f>
        <v>#N/A</v>
      </c>
      <c r="G1079" s="29" t="s">
        <v>102</v>
      </c>
      <c r="H1079" s="29" t="s">
        <v>103</v>
      </c>
      <c r="I1079" s="29" t="s">
        <v>104</v>
      </c>
      <c r="J1079" s="29" t="s">
        <v>105</v>
      </c>
      <c r="K1079" s="29" t="s">
        <v>3857</v>
      </c>
      <c r="L1079" s="250">
        <v>15</v>
      </c>
      <c r="M1079" s="251"/>
    </row>
    <row r="1080" ht="31" spans="1:13">
      <c r="A1080" s="248" t="s">
        <v>4175</v>
      </c>
      <c r="B1080" s="45" t="s">
        <v>4174</v>
      </c>
      <c r="C1080" s="249" t="e">
        <f>VLOOKUP(D1080,#REF!,2,0)</f>
        <v>#REF!</v>
      </c>
      <c r="D1080" s="29" t="s">
        <v>3814</v>
      </c>
      <c r="E1080" s="18" t="e">
        <f>VLOOKUP(C1080,数据集标准分类!E:F,2,0)</f>
        <v>#REF!</v>
      </c>
      <c r="F1080" s="29" t="e">
        <f>VLOOKUP(D1080,数据集标准分类!G:H,2,0)</f>
        <v>#N/A</v>
      </c>
      <c r="G1080" s="29" t="s">
        <v>699</v>
      </c>
      <c r="H1080" s="29" t="s">
        <v>700</v>
      </c>
      <c r="I1080" s="29" t="s">
        <v>700</v>
      </c>
      <c r="J1080" s="29" t="s">
        <v>701</v>
      </c>
      <c r="K1080" s="29" t="s">
        <v>702</v>
      </c>
      <c r="L1080" s="250">
        <v>16</v>
      </c>
      <c r="M1080" s="251"/>
    </row>
    <row r="1081" ht="31" spans="1:13">
      <c r="A1081" s="248" t="s">
        <v>4175</v>
      </c>
      <c r="B1081" s="45" t="s">
        <v>4174</v>
      </c>
      <c r="C1081" s="249" t="e">
        <f>VLOOKUP(D1081,#REF!,2,0)</f>
        <v>#REF!</v>
      </c>
      <c r="D1081" s="29" t="s">
        <v>3814</v>
      </c>
      <c r="E1081" s="18" t="e">
        <f>VLOOKUP(C1081,数据集标准分类!E:F,2,0)</f>
        <v>#REF!</v>
      </c>
      <c r="F1081" s="29" t="e">
        <f>VLOOKUP(D1081,数据集标准分类!G:H,2,0)</f>
        <v>#N/A</v>
      </c>
      <c r="G1081" s="29" t="s">
        <v>703</v>
      </c>
      <c r="H1081" s="29" t="s">
        <v>704</v>
      </c>
      <c r="I1081" s="29" t="s">
        <v>704</v>
      </c>
      <c r="J1081" s="29" t="s">
        <v>705</v>
      </c>
      <c r="K1081" s="29" t="s">
        <v>706</v>
      </c>
      <c r="L1081" s="250">
        <v>17</v>
      </c>
      <c r="M1081" s="251"/>
    </row>
    <row r="1082" ht="31" spans="1:13">
      <c r="A1082" s="248" t="s">
        <v>4175</v>
      </c>
      <c r="B1082" s="45" t="s">
        <v>4174</v>
      </c>
      <c r="C1082" s="249" t="e">
        <f>VLOOKUP(D1082,#REF!,2,0)</f>
        <v>#REF!</v>
      </c>
      <c r="D1082" s="29" t="s">
        <v>3814</v>
      </c>
      <c r="E1082" s="18" t="e">
        <f>VLOOKUP(C1082,数据集标准分类!E:F,2,0)</f>
        <v>#REF!</v>
      </c>
      <c r="F1082" s="29" t="e">
        <f>VLOOKUP(D1082,数据集标准分类!G:H,2,0)</f>
        <v>#N/A</v>
      </c>
      <c r="G1082" s="29" t="s">
        <v>684</v>
      </c>
      <c r="H1082" s="29" t="s">
        <v>685</v>
      </c>
      <c r="I1082" s="29" t="s">
        <v>686</v>
      </c>
      <c r="J1082" s="29" t="s">
        <v>687</v>
      </c>
      <c r="K1082" s="29" t="s">
        <v>688</v>
      </c>
      <c r="L1082" s="250">
        <v>18</v>
      </c>
      <c r="M1082" s="251"/>
    </row>
    <row r="1083" ht="31" spans="1:13">
      <c r="A1083" s="248" t="s">
        <v>4175</v>
      </c>
      <c r="B1083" s="45" t="s">
        <v>4174</v>
      </c>
      <c r="C1083" s="249" t="e">
        <f>VLOOKUP(D1083,#REF!,2,0)</f>
        <v>#REF!</v>
      </c>
      <c r="D1083" s="29" t="s">
        <v>3814</v>
      </c>
      <c r="E1083" s="18" t="e">
        <f>VLOOKUP(C1083,数据集标准分类!E:F,2,0)</f>
        <v>#REF!</v>
      </c>
      <c r="F1083" s="29" t="e">
        <f>VLOOKUP(D1083,数据集标准分类!G:H,2,0)</f>
        <v>#N/A</v>
      </c>
      <c r="G1083" s="29" t="s">
        <v>689</v>
      </c>
      <c r="H1083" s="29" t="s">
        <v>690</v>
      </c>
      <c r="I1083" s="29" t="s">
        <v>691</v>
      </c>
      <c r="J1083" s="29" t="s">
        <v>692</v>
      </c>
      <c r="K1083" s="29" t="s">
        <v>693</v>
      </c>
      <c r="L1083" s="250">
        <v>19</v>
      </c>
      <c r="M1083" s="251"/>
    </row>
    <row r="1084" ht="31" spans="1:13">
      <c r="A1084" s="248" t="s">
        <v>4175</v>
      </c>
      <c r="B1084" s="45" t="s">
        <v>4174</v>
      </c>
      <c r="C1084" s="249" t="e">
        <f>VLOOKUP(D1084,#REF!,2,0)</f>
        <v>#REF!</v>
      </c>
      <c r="D1084" s="29" t="s">
        <v>3814</v>
      </c>
      <c r="E1084" s="18" t="e">
        <f>VLOOKUP(C1084,数据集标准分类!E:F,2,0)</f>
        <v>#REF!</v>
      </c>
      <c r="F1084" s="29" t="e">
        <f>VLOOKUP(D1084,数据集标准分类!G:H,2,0)</f>
        <v>#N/A</v>
      </c>
      <c r="G1084" s="29" t="s">
        <v>694</v>
      </c>
      <c r="H1084" s="29" t="s">
        <v>695</v>
      </c>
      <c r="I1084" s="29" t="s">
        <v>696</v>
      </c>
      <c r="J1084" s="29" t="s">
        <v>697</v>
      </c>
      <c r="K1084" s="29" t="s">
        <v>2057</v>
      </c>
      <c r="L1084" s="250">
        <v>20</v>
      </c>
      <c r="M1084" s="251"/>
    </row>
    <row r="1085" ht="46" spans="1:13">
      <c r="A1085" s="248" t="s">
        <v>4175</v>
      </c>
      <c r="B1085" s="45" t="s">
        <v>4174</v>
      </c>
      <c r="C1085" s="249" t="e">
        <f>VLOOKUP(D1085,#REF!,2,0)</f>
        <v>#REF!</v>
      </c>
      <c r="D1085" s="29" t="s">
        <v>3814</v>
      </c>
      <c r="E1085" s="18" t="e">
        <f>VLOOKUP(C1085,数据集标准分类!E:F,2,0)</f>
        <v>#REF!</v>
      </c>
      <c r="F1085" s="29" t="e">
        <f>VLOOKUP(D1085,数据集标准分类!G:H,2,0)</f>
        <v>#N/A</v>
      </c>
      <c r="G1085" s="29" t="s">
        <v>1964</v>
      </c>
      <c r="H1085" s="29" t="s">
        <v>1965</v>
      </c>
      <c r="I1085" s="29" t="s">
        <v>1966</v>
      </c>
      <c r="J1085" s="29" t="s">
        <v>1967</v>
      </c>
      <c r="K1085" s="29" t="s">
        <v>3858</v>
      </c>
      <c r="L1085" s="250">
        <v>21</v>
      </c>
      <c r="M1085" s="251"/>
    </row>
    <row r="1086" ht="31" spans="1:13">
      <c r="A1086" s="248" t="s">
        <v>4175</v>
      </c>
      <c r="B1086" s="45" t="s">
        <v>4174</v>
      </c>
      <c r="C1086" s="249" t="e">
        <f>VLOOKUP(D1086,#REF!,2,0)</f>
        <v>#REF!</v>
      </c>
      <c r="D1086" s="29" t="s">
        <v>3814</v>
      </c>
      <c r="E1086" s="18" t="e">
        <f>VLOOKUP(C1086,数据集标准分类!E:F,2,0)</f>
        <v>#REF!</v>
      </c>
      <c r="F1086" s="29" t="e">
        <f>VLOOKUP(D1086,数据集标准分类!G:H,2,0)</f>
        <v>#N/A</v>
      </c>
      <c r="G1086" s="29" t="s">
        <v>3225</v>
      </c>
      <c r="H1086" s="29" t="s">
        <v>3226</v>
      </c>
      <c r="I1086" s="29" t="s">
        <v>3226</v>
      </c>
      <c r="J1086" s="29" t="s">
        <v>3227</v>
      </c>
      <c r="K1086" s="29" t="s">
        <v>3228</v>
      </c>
      <c r="L1086" s="250">
        <v>22</v>
      </c>
      <c r="M1086" s="251"/>
    </row>
    <row r="1087" ht="31" spans="1:13">
      <c r="A1087" s="248" t="s">
        <v>4175</v>
      </c>
      <c r="B1087" s="45" t="s">
        <v>4174</v>
      </c>
      <c r="C1087" s="249" t="e">
        <f>VLOOKUP(D1087,#REF!,2,0)</f>
        <v>#REF!</v>
      </c>
      <c r="D1087" s="29" t="s">
        <v>3814</v>
      </c>
      <c r="E1087" s="18" t="e">
        <f>VLOOKUP(C1087,数据集标准分类!E:F,2,0)</f>
        <v>#REF!</v>
      </c>
      <c r="F1087" s="29" t="e">
        <f>VLOOKUP(D1087,数据集标准分类!G:H,2,0)</f>
        <v>#N/A</v>
      </c>
      <c r="G1087" s="29" t="s">
        <v>1828</v>
      </c>
      <c r="H1087" s="29" t="s">
        <v>1829</v>
      </c>
      <c r="I1087" s="29" t="s">
        <v>1830</v>
      </c>
      <c r="J1087" s="29" t="s">
        <v>1831</v>
      </c>
      <c r="K1087" s="29" t="s">
        <v>1832</v>
      </c>
      <c r="L1087" s="250">
        <v>23</v>
      </c>
      <c r="M1087" s="251"/>
    </row>
    <row r="1088" ht="31" spans="1:13">
      <c r="A1088" s="248" t="s">
        <v>4175</v>
      </c>
      <c r="B1088" s="45" t="s">
        <v>4174</v>
      </c>
      <c r="C1088" s="249" t="e">
        <f>VLOOKUP(D1088,#REF!,2,0)</f>
        <v>#REF!</v>
      </c>
      <c r="D1088" s="29" t="s">
        <v>3814</v>
      </c>
      <c r="E1088" s="18" t="e">
        <f>VLOOKUP(C1088,数据集标准分类!E:F,2,0)</f>
        <v>#REF!</v>
      </c>
      <c r="F1088" s="29" t="e">
        <f>VLOOKUP(D1088,数据集标准分类!G:H,2,0)</f>
        <v>#N/A</v>
      </c>
      <c r="G1088" s="29" t="s">
        <v>3859</v>
      </c>
      <c r="H1088" s="29" t="s">
        <v>3860</v>
      </c>
      <c r="I1088" s="29" t="s">
        <v>3861</v>
      </c>
      <c r="J1088" s="29" t="s">
        <v>3862</v>
      </c>
      <c r="K1088" s="29" t="s">
        <v>3863</v>
      </c>
      <c r="L1088" s="250">
        <v>24</v>
      </c>
      <c r="M1088" s="251"/>
    </row>
    <row r="1089" ht="16.8" spans="1:13">
      <c r="A1089" s="248" t="s">
        <v>4175</v>
      </c>
      <c r="B1089" s="45" t="s">
        <v>4174</v>
      </c>
      <c r="C1089" s="249" t="e">
        <f>VLOOKUP(D1089,#REF!,2,0)</f>
        <v>#REF!</v>
      </c>
      <c r="D1089" s="29" t="s">
        <v>3814</v>
      </c>
      <c r="E1089" s="18" t="e">
        <f>VLOOKUP(C1089,数据集标准分类!E:F,2,0)</f>
        <v>#REF!</v>
      </c>
      <c r="F1089" s="29" t="e">
        <f>VLOOKUP(D1089,数据集标准分类!G:H,2,0)</f>
        <v>#N/A</v>
      </c>
      <c r="G1089" s="29" t="s">
        <v>3864</v>
      </c>
      <c r="H1089" s="29" t="s">
        <v>3865</v>
      </c>
      <c r="I1089" s="29" t="s">
        <v>3866</v>
      </c>
      <c r="J1089" s="29" t="s">
        <v>3867</v>
      </c>
      <c r="K1089" s="29" t="s">
        <v>3868</v>
      </c>
      <c r="L1089" s="250">
        <v>25</v>
      </c>
      <c r="M1089" s="251"/>
    </row>
    <row r="1090" ht="31" spans="1:13">
      <c r="A1090" s="248" t="s">
        <v>4175</v>
      </c>
      <c r="B1090" s="45" t="s">
        <v>4174</v>
      </c>
      <c r="C1090" s="249" t="e">
        <f>VLOOKUP(D1090,#REF!,2,0)</f>
        <v>#REF!</v>
      </c>
      <c r="D1090" s="29" t="s">
        <v>3814</v>
      </c>
      <c r="E1090" s="18" t="e">
        <f>VLOOKUP(C1090,数据集标准分类!E:F,2,0)</f>
        <v>#REF!</v>
      </c>
      <c r="F1090" s="29" t="e">
        <f>VLOOKUP(D1090,数据集标准分类!G:H,2,0)</f>
        <v>#N/A</v>
      </c>
      <c r="G1090" s="29" t="s">
        <v>3869</v>
      </c>
      <c r="H1090" s="29" t="s">
        <v>3870</v>
      </c>
      <c r="I1090" s="29" t="s">
        <v>3871</v>
      </c>
      <c r="J1090" s="29" t="s">
        <v>3872</v>
      </c>
      <c r="K1090" s="29" t="s">
        <v>3873</v>
      </c>
      <c r="L1090" s="250">
        <v>26</v>
      </c>
      <c r="M1090" s="251"/>
    </row>
    <row r="1091" ht="46" spans="1:13">
      <c r="A1091" s="248" t="s">
        <v>4175</v>
      </c>
      <c r="B1091" s="45" t="s">
        <v>4174</v>
      </c>
      <c r="C1091" s="249" t="e">
        <f>VLOOKUP(D1091,#REF!,2,0)</f>
        <v>#REF!</v>
      </c>
      <c r="D1091" s="29" t="s">
        <v>3814</v>
      </c>
      <c r="E1091" s="18" t="e">
        <f>VLOOKUP(C1091,数据集标准分类!E:F,2,0)</f>
        <v>#REF!</v>
      </c>
      <c r="F1091" s="29" t="e">
        <f>VLOOKUP(D1091,数据集标准分类!G:H,2,0)</f>
        <v>#N/A</v>
      </c>
      <c r="G1091" s="29" t="s">
        <v>3874</v>
      </c>
      <c r="H1091" s="29" t="s">
        <v>3875</v>
      </c>
      <c r="I1091" s="29" t="s">
        <v>3876</v>
      </c>
      <c r="J1091" s="29" t="s">
        <v>3877</v>
      </c>
      <c r="K1091" s="29" t="s">
        <v>3878</v>
      </c>
      <c r="L1091" s="250">
        <v>27</v>
      </c>
      <c r="M1091" s="251"/>
    </row>
    <row r="1092" ht="46" spans="1:13">
      <c r="A1092" s="248" t="s">
        <v>4175</v>
      </c>
      <c r="B1092" s="45" t="s">
        <v>4174</v>
      </c>
      <c r="C1092" s="249" t="e">
        <f>VLOOKUP(D1092,#REF!,2,0)</f>
        <v>#REF!</v>
      </c>
      <c r="D1092" s="29" t="s">
        <v>3814</v>
      </c>
      <c r="E1092" s="18" t="e">
        <f>VLOOKUP(C1092,数据集标准分类!E:F,2,0)</f>
        <v>#REF!</v>
      </c>
      <c r="F1092" s="29" t="e">
        <f>VLOOKUP(D1092,数据集标准分类!G:H,2,0)</f>
        <v>#N/A</v>
      </c>
      <c r="G1092" s="29" t="s">
        <v>3879</v>
      </c>
      <c r="H1092" s="29" t="s">
        <v>3880</v>
      </c>
      <c r="I1092" s="29" t="s">
        <v>3881</v>
      </c>
      <c r="J1092" s="29" t="s">
        <v>3882</v>
      </c>
      <c r="K1092" s="29" t="s">
        <v>3883</v>
      </c>
      <c r="L1092" s="250">
        <v>28</v>
      </c>
      <c r="M1092" s="251"/>
    </row>
    <row r="1093" ht="31" spans="1:13">
      <c r="A1093" s="248" t="s">
        <v>4175</v>
      </c>
      <c r="B1093" s="45" t="s">
        <v>4174</v>
      </c>
      <c r="C1093" s="249" t="e">
        <f>VLOOKUP(D1093,#REF!,2,0)</f>
        <v>#REF!</v>
      </c>
      <c r="D1093" s="29" t="s">
        <v>3814</v>
      </c>
      <c r="E1093" s="18" t="e">
        <f>VLOOKUP(C1093,数据集标准分类!E:F,2,0)</f>
        <v>#REF!</v>
      </c>
      <c r="F1093" s="29" t="e">
        <f>VLOOKUP(D1093,数据集标准分类!G:H,2,0)</f>
        <v>#N/A</v>
      </c>
      <c r="G1093" s="29" t="s">
        <v>1959</v>
      </c>
      <c r="H1093" s="29" t="s">
        <v>1960</v>
      </c>
      <c r="I1093" s="29" t="s">
        <v>1961</v>
      </c>
      <c r="J1093" s="29" t="s">
        <v>1962</v>
      </c>
      <c r="K1093" s="29" t="s">
        <v>3884</v>
      </c>
      <c r="L1093" s="250">
        <v>29</v>
      </c>
      <c r="M1093" s="251"/>
    </row>
    <row r="1094" ht="16.8" spans="1:13">
      <c r="A1094" s="248" t="s">
        <v>4175</v>
      </c>
      <c r="B1094" s="45" t="s">
        <v>4174</v>
      </c>
      <c r="C1094" s="249" t="e">
        <f>VLOOKUP(D1094,#REF!,2,0)</f>
        <v>#REF!</v>
      </c>
      <c r="D1094" s="29" t="s">
        <v>3814</v>
      </c>
      <c r="E1094" s="18" t="e">
        <f>VLOOKUP(C1094,数据集标准分类!E:F,2,0)</f>
        <v>#REF!</v>
      </c>
      <c r="F1094" s="29" t="e">
        <f>VLOOKUP(D1094,数据集标准分类!G:H,2,0)</f>
        <v>#N/A</v>
      </c>
      <c r="G1094" s="29" t="s">
        <v>3885</v>
      </c>
      <c r="H1094" s="29" t="s">
        <v>3886</v>
      </c>
      <c r="I1094" s="29" t="s">
        <v>3887</v>
      </c>
      <c r="J1094" s="29" t="s">
        <v>3888</v>
      </c>
      <c r="K1094" s="29" t="s">
        <v>3889</v>
      </c>
      <c r="L1094" s="250">
        <v>30</v>
      </c>
      <c r="M1094" s="251"/>
    </row>
    <row r="1095" ht="31" spans="1:13">
      <c r="A1095" s="248" t="s">
        <v>4175</v>
      </c>
      <c r="B1095" s="45" t="s">
        <v>4174</v>
      </c>
      <c r="C1095" s="249" t="e">
        <f>VLOOKUP(D1095,#REF!,2,0)</f>
        <v>#REF!</v>
      </c>
      <c r="D1095" s="29" t="s">
        <v>3814</v>
      </c>
      <c r="E1095" s="18" t="e">
        <f>VLOOKUP(C1095,数据集标准分类!E:F,2,0)</f>
        <v>#REF!</v>
      </c>
      <c r="F1095" s="29" t="e">
        <f>VLOOKUP(D1095,数据集标准分类!G:H,2,0)</f>
        <v>#N/A</v>
      </c>
      <c r="G1095" s="29" t="s">
        <v>3890</v>
      </c>
      <c r="H1095" s="29" t="s">
        <v>3891</v>
      </c>
      <c r="I1095" s="29" t="s">
        <v>3892</v>
      </c>
      <c r="J1095" s="29" t="s">
        <v>3893</v>
      </c>
      <c r="K1095" s="29" t="s">
        <v>3894</v>
      </c>
      <c r="L1095" s="250">
        <v>31</v>
      </c>
      <c r="M1095" s="251"/>
    </row>
    <row r="1096" ht="31" spans="1:13">
      <c r="A1096" s="248" t="s">
        <v>4175</v>
      </c>
      <c r="B1096" s="45" t="s">
        <v>4174</v>
      </c>
      <c r="C1096" s="249" t="e">
        <f>VLOOKUP(D1096,#REF!,2,0)</f>
        <v>#REF!</v>
      </c>
      <c r="D1096" s="29" t="s">
        <v>3814</v>
      </c>
      <c r="E1096" s="18" t="e">
        <f>VLOOKUP(C1096,数据集标准分类!E:F,2,0)</f>
        <v>#REF!</v>
      </c>
      <c r="F1096" s="29" t="e">
        <f>VLOOKUP(D1096,数据集标准分类!G:H,2,0)</f>
        <v>#N/A</v>
      </c>
      <c r="G1096" s="29" t="s">
        <v>3895</v>
      </c>
      <c r="H1096" s="29" t="s">
        <v>3896</v>
      </c>
      <c r="I1096" s="29" t="s">
        <v>3897</v>
      </c>
      <c r="J1096" s="29" t="s">
        <v>3898</v>
      </c>
      <c r="K1096" s="29" t="s">
        <v>3899</v>
      </c>
      <c r="L1096" s="250">
        <v>32</v>
      </c>
      <c r="M1096" s="251"/>
    </row>
    <row r="1097" ht="31" spans="1:13">
      <c r="A1097" s="248" t="s">
        <v>4175</v>
      </c>
      <c r="B1097" s="45" t="s">
        <v>4174</v>
      </c>
      <c r="C1097" s="249" t="e">
        <f>VLOOKUP(D1097,#REF!,2,0)</f>
        <v>#REF!</v>
      </c>
      <c r="D1097" s="29" t="s">
        <v>3814</v>
      </c>
      <c r="E1097" s="18" t="e">
        <f>VLOOKUP(C1097,数据集标准分类!E:F,2,0)</f>
        <v>#REF!</v>
      </c>
      <c r="F1097" s="29" t="e">
        <f>VLOOKUP(D1097,数据集标准分类!G:H,2,0)</f>
        <v>#N/A</v>
      </c>
      <c r="G1097" s="29" t="s">
        <v>3900</v>
      </c>
      <c r="H1097" s="29" t="s">
        <v>3901</v>
      </c>
      <c r="I1097" s="29" t="s">
        <v>3902</v>
      </c>
      <c r="J1097" s="29" t="s">
        <v>3903</v>
      </c>
      <c r="K1097" s="29" t="s">
        <v>3904</v>
      </c>
      <c r="L1097" s="250">
        <v>33</v>
      </c>
      <c r="M1097" s="251"/>
    </row>
    <row r="1098" ht="16.8" spans="1:13">
      <c r="A1098" s="248" t="s">
        <v>4175</v>
      </c>
      <c r="B1098" s="45" t="s">
        <v>4174</v>
      </c>
      <c r="C1098" s="249" t="e">
        <f>VLOOKUP(D1098,#REF!,2,0)</f>
        <v>#REF!</v>
      </c>
      <c r="D1098" s="29" t="s">
        <v>3814</v>
      </c>
      <c r="E1098" s="18" t="e">
        <f>VLOOKUP(C1098,数据集标准分类!E:F,2,0)</f>
        <v>#REF!</v>
      </c>
      <c r="F1098" s="29" t="e">
        <f>VLOOKUP(D1098,数据集标准分类!G:H,2,0)</f>
        <v>#N/A</v>
      </c>
      <c r="G1098" s="29" t="s">
        <v>3905</v>
      </c>
      <c r="H1098" s="29" t="s">
        <v>3906</v>
      </c>
      <c r="I1098" s="29" t="s">
        <v>3907</v>
      </c>
      <c r="J1098" s="29" t="s">
        <v>3908</v>
      </c>
      <c r="K1098" s="29" t="s">
        <v>3909</v>
      </c>
      <c r="L1098" s="250">
        <v>34</v>
      </c>
      <c r="M1098" s="251"/>
    </row>
    <row r="1099" ht="16.8" spans="1:13">
      <c r="A1099" s="248" t="s">
        <v>4175</v>
      </c>
      <c r="B1099" s="45" t="s">
        <v>4174</v>
      </c>
      <c r="C1099" s="249" t="e">
        <f>VLOOKUP(D1099,#REF!,2,0)</f>
        <v>#REF!</v>
      </c>
      <c r="D1099" s="29" t="s">
        <v>3814</v>
      </c>
      <c r="E1099" s="18" t="e">
        <f>VLOOKUP(C1099,数据集标准分类!E:F,2,0)</f>
        <v>#REF!</v>
      </c>
      <c r="F1099" s="29" t="e">
        <f>VLOOKUP(D1099,数据集标准分类!G:H,2,0)</f>
        <v>#N/A</v>
      </c>
      <c r="G1099" s="29" t="s">
        <v>3910</v>
      </c>
      <c r="H1099" s="29" t="s">
        <v>3911</v>
      </c>
      <c r="I1099" s="29" t="s">
        <v>3912</v>
      </c>
      <c r="J1099" s="29" t="s">
        <v>3913</v>
      </c>
      <c r="K1099" s="29" t="s">
        <v>3914</v>
      </c>
      <c r="L1099" s="250">
        <v>35</v>
      </c>
      <c r="M1099" s="251"/>
    </row>
    <row r="1100" ht="16.8" spans="1:13">
      <c r="A1100" s="248" t="s">
        <v>4175</v>
      </c>
      <c r="B1100" s="45" t="s">
        <v>4174</v>
      </c>
      <c r="C1100" s="249" t="e">
        <f>VLOOKUP(D1100,#REF!,2,0)</f>
        <v>#REF!</v>
      </c>
      <c r="D1100" s="29" t="s">
        <v>3814</v>
      </c>
      <c r="E1100" s="18" t="e">
        <f>VLOOKUP(C1100,数据集标准分类!E:F,2,0)</f>
        <v>#REF!</v>
      </c>
      <c r="F1100" s="29" t="e">
        <f>VLOOKUP(D1100,数据集标准分类!G:H,2,0)</f>
        <v>#N/A</v>
      </c>
      <c r="G1100" s="29" t="s">
        <v>3915</v>
      </c>
      <c r="H1100" s="29" t="s">
        <v>3916</v>
      </c>
      <c r="I1100" s="29" t="s">
        <v>3917</v>
      </c>
      <c r="J1100" s="29" t="s">
        <v>3918</v>
      </c>
      <c r="K1100" s="29" t="s">
        <v>3919</v>
      </c>
      <c r="L1100" s="250">
        <v>36</v>
      </c>
      <c r="M1100" s="251"/>
    </row>
    <row r="1101" ht="31" spans="1:13">
      <c r="A1101" s="248" t="s">
        <v>4175</v>
      </c>
      <c r="B1101" s="45" t="s">
        <v>4174</v>
      </c>
      <c r="C1101" s="249" t="e">
        <f>VLOOKUP(D1101,#REF!,2,0)</f>
        <v>#REF!</v>
      </c>
      <c r="D1101" s="29" t="s">
        <v>3814</v>
      </c>
      <c r="E1101" s="18" t="e">
        <f>VLOOKUP(C1101,数据集标准分类!E:F,2,0)</f>
        <v>#REF!</v>
      </c>
      <c r="F1101" s="29" t="e">
        <f>VLOOKUP(D1101,数据集标准分类!G:H,2,0)</f>
        <v>#N/A</v>
      </c>
      <c r="G1101" s="29" t="s">
        <v>3920</v>
      </c>
      <c r="H1101" s="29" t="s">
        <v>3921</v>
      </c>
      <c r="I1101" s="29" t="s">
        <v>3922</v>
      </c>
      <c r="J1101" s="29" t="s">
        <v>3923</v>
      </c>
      <c r="K1101" s="29" t="s">
        <v>3924</v>
      </c>
      <c r="L1101" s="250">
        <v>37</v>
      </c>
      <c r="M1101" s="251"/>
    </row>
    <row r="1102" ht="31" spans="1:13">
      <c r="A1102" s="248" t="s">
        <v>4175</v>
      </c>
      <c r="B1102" s="45" t="s">
        <v>4174</v>
      </c>
      <c r="C1102" s="249" t="e">
        <f>VLOOKUP(D1102,#REF!,2,0)</f>
        <v>#REF!</v>
      </c>
      <c r="D1102" s="29" t="s">
        <v>3814</v>
      </c>
      <c r="E1102" s="18" t="e">
        <f>VLOOKUP(C1102,数据集标准分类!E:F,2,0)</f>
        <v>#REF!</v>
      </c>
      <c r="F1102" s="29" t="e">
        <f>VLOOKUP(D1102,数据集标准分类!G:H,2,0)</f>
        <v>#N/A</v>
      </c>
      <c r="G1102" s="29" t="s">
        <v>3925</v>
      </c>
      <c r="H1102" s="29" t="s">
        <v>3926</v>
      </c>
      <c r="I1102" s="29" t="s">
        <v>3927</v>
      </c>
      <c r="J1102" s="29" t="s">
        <v>3928</v>
      </c>
      <c r="K1102" s="29" t="s">
        <v>3929</v>
      </c>
      <c r="L1102" s="250">
        <v>38</v>
      </c>
      <c r="M1102" s="251"/>
    </row>
    <row r="1103" ht="46" spans="1:13">
      <c r="A1103" s="248" t="s">
        <v>4175</v>
      </c>
      <c r="B1103" s="45" t="s">
        <v>4174</v>
      </c>
      <c r="C1103" s="249" t="e">
        <f>VLOOKUP(D1103,#REF!,2,0)</f>
        <v>#REF!</v>
      </c>
      <c r="D1103" s="29" t="s">
        <v>3814</v>
      </c>
      <c r="E1103" s="18" t="e">
        <f>VLOOKUP(C1103,数据集标准分类!E:F,2,0)</f>
        <v>#REF!</v>
      </c>
      <c r="F1103" s="29" t="e">
        <f>VLOOKUP(D1103,数据集标准分类!G:H,2,0)</f>
        <v>#N/A</v>
      </c>
      <c r="G1103" s="29" t="s">
        <v>1480</v>
      </c>
      <c r="H1103" s="29" t="s">
        <v>1481</v>
      </c>
      <c r="I1103" s="29" t="s">
        <v>1482</v>
      </c>
      <c r="J1103" s="29" t="s">
        <v>1483</v>
      </c>
      <c r="K1103" s="29" t="s">
        <v>3930</v>
      </c>
      <c r="L1103" s="250">
        <v>39</v>
      </c>
      <c r="M1103" s="251"/>
    </row>
    <row r="1104" ht="31" spans="1:13">
      <c r="A1104" s="248" t="s">
        <v>4175</v>
      </c>
      <c r="B1104" s="45" t="s">
        <v>4174</v>
      </c>
      <c r="C1104" s="249" t="e">
        <f>VLOOKUP(D1104,#REF!,2,0)</f>
        <v>#REF!</v>
      </c>
      <c r="D1104" s="29" t="s">
        <v>3814</v>
      </c>
      <c r="E1104" s="18" t="e">
        <f>VLOOKUP(C1104,数据集标准分类!E:F,2,0)</f>
        <v>#REF!</v>
      </c>
      <c r="F1104" s="29" t="e">
        <f>VLOOKUP(D1104,数据集标准分类!G:H,2,0)</f>
        <v>#N/A</v>
      </c>
      <c r="G1104" s="29" t="s">
        <v>3931</v>
      </c>
      <c r="H1104" s="29" t="s">
        <v>3932</v>
      </c>
      <c r="I1104" s="29" t="s">
        <v>3933</v>
      </c>
      <c r="J1104" s="29" t="s">
        <v>3934</v>
      </c>
      <c r="K1104" s="29" t="s">
        <v>3935</v>
      </c>
      <c r="L1104" s="250">
        <v>40</v>
      </c>
      <c r="M1104" s="251"/>
    </row>
    <row r="1105" ht="16.8" spans="1:13">
      <c r="A1105" s="248" t="s">
        <v>4175</v>
      </c>
      <c r="B1105" s="45" t="s">
        <v>4174</v>
      </c>
      <c r="C1105" s="249" t="e">
        <f>VLOOKUP(D1105,#REF!,2,0)</f>
        <v>#REF!</v>
      </c>
      <c r="D1105" s="29" t="s">
        <v>3814</v>
      </c>
      <c r="E1105" s="18" t="e">
        <f>VLOOKUP(C1105,数据集标准分类!E:F,2,0)</f>
        <v>#REF!</v>
      </c>
      <c r="F1105" s="29" t="e">
        <f>VLOOKUP(D1105,数据集标准分类!G:H,2,0)</f>
        <v>#N/A</v>
      </c>
      <c r="G1105" s="29" t="s">
        <v>3936</v>
      </c>
      <c r="H1105" s="29" t="s">
        <v>3937</v>
      </c>
      <c r="I1105" s="29" t="s">
        <v>3938</v>
      </c>
      <c r="J1105" s="29" t="s">
        <v>3939</v>
      </c>
      <c r="K1105" s="29" t="s">
        <v>3940</v>
      </c>
      <c r="L1105" s="250">
        <v>41</v>
      </c>
      <c r="M1105" s="251"/>
    </row>
    <row r="1106" ht="31" spans="1:13">
      <c r="A1106" s="248" t="s">
        <v>4175</v>
      </c>
      <c r="B1106" s="45" t="s">
        <v>4174</v>
      </c>
      <c r="C1106" s="249" t="e">
        <f>VLOOKUP(D1106,#REF!,2,0)</f>
        <v>#REF!</v>
      </c>
      <c r="D1106" s="29" t="s">
        <v>3941</v>
      </c>
      <c r="E1106" s="18" t="e">
        <f>VLOOKUP(C1106,数据集标准分类!E:F,2,0)</f>
        <v>#REF!</v>
      </c>
      <c r="F1106" s="29" t="e">
        <f>VLOOKUP(D1106,数据集标准分类!G:H,2,0)</f>
        <v>#N/A</v>
      </c>
      <c r="G1106" s="29" t="s">
        <v>3815</v>
      </c>
      <c r="H1106" s="29" t="s">
        <v>3816</v>
      </c>
      <c r="I1106" s="29" t="s">
        <v>3817</v>
      </c>
      <c r="J1106" s="29" t="s">
        <v>3818</v>
      </c>
      <c r="K1106" s="29" t="s">
        <v>3819</v>
      </c>
      <c r="L1106" s="250">
        <v>1</v>
      </c>
      <c r="M1106" s="251"/>
    </row>
    <row r="1107" ht="46" spans="1:13">
      <c r="A1107" s="248" t="s">
        <v>4175</v>
      </c>
      <c r="B1107" s="45" t="s">
        <v>4174</v>
      </c>
      <c r="C1107" s="249" t="e">
        <f>VLOOKUP(D1107,#REF!,2,0)</f>
        <v>#REF!</v>
      </c>
      <c r="D1107" s="29" t="s">
        <v>3941</v>
      </c>
      <c r="E1107" s="18" t="e">
        <f>VLOOKUP(C1107,数据集标准分类!E:F,2,0)</f>
        <v>#REF!</v>
      </c>
      <c r="F1107" s="29" t="e">
        <f>VLOOKUP(D1107,数据集标准分类!G:H,2,0)</f>
        <v>#N/A</v>
      </c>
      <c r="G1107" s="29" t="s">
        <v>3820</v>
      </c>
      <c r="H1107" s="29" t="s">
        <v>3821</v>
      </c>
      <c r="I1107" s="29" t="s">
        <v>3822</v>
      </c>
      <c r="J1107" s="29" t="s">
        <v>3823</v>
      </c>
      <c r="K1107" s="29" t="s">
        <v>3824</v>
      </c>
      <c r="L1107" s="250">
        <v>2</v>
      </c>
      <c r="M1107" s="251"/>
    </row>
    <row r="1108" ht="46" spans="1:13">
      <c r="A1108" s="248" t="s">
        <v>4175</v>
      </c>
      <c r="B1108" s="45" t="s">
        <v>4174</v>
      </c>
      <c r="C1108" s="249" t="e">
        <f>VLOOKUP(D1108,#REF!,2,0)</f>
        <v>#REF!</v>
      </c>
      <c r="D1108" s="29" t="s">
        <v>3941</v>
      </c>
      <c r="E1108" s="18" t="e">
        <f>VLOOKUP(C1108,数据集标准分类!E:F,2,0)</f>
        <v>#REF!</v>
      </c>
      <c r="F1108" s="29" t="e">
        <f>VLOOKUP(D1108,数据集标准分类!G:H,2,0)</f>
        <v>#N/A</v>
      </c>
      <c r="G1108" s="29" t="s">
        <v>3835</v>
      </c>
      <c r="H1108" s="29" t="s">
        <v>3836</v>
      </c>
      <c r="I1108" s="29" t="s">
        <v>3836</v>
      </c>
      <c r="J1108" s="29" t="s">
        <v>3837</v>
      </c>
      <c r="K1108" s="29" t="s">
        <v>3838</v>
      </c>
      <c r="L1108" s="250">
        <v>3</v>
      </c>
      <c r="M1108" s="251"/>
    </row>
    <row r="1109" ht="31" spans="1:13">
      <c r="A1109" s="248" t="s">
        <v>4175</v>
      </c>
      <c r="B1109" s="45" t="s">
        <v>4174</v>
      </c>
      <c r="C1109" s="249" t="e">
        <f>VLOOKUP(D1109,#REF!,2,0)</f>
        <v>#REF!</v>
      </c>
      <c r="D1109" s="29" t="s">
        <v>3941</v>
      </c>
      <c r="E1109" s="18" t="e">
        <f>VLOOKUP(C1109,数据集标准分类!E:F,2,0)</f>
        <v>#REF!</v>
      </c>
      <c r="F1109" s="29" t="e">
        <f>VLOOKUP(D1109,数据集标准分类!G:H,2,0)</f>
        <v>#N/A</v>
      </c>
      <c r="G1109" s="29" t="s">
        <v>3942</v>
      </c>
      <c r="H1109" s="29" t="s">
        <v>3943</v>
      </c>
      <c r="I1109" s="29" t="s">
        <v>3944</v>
      </c>
      <c r="J1109" s="29" t="s">
        <v>3945</v>
      </c>
      <c r="K1109" s="29" t="s">
        <v>3946</v>
      </c>
      <c r="L1109" s="250">
        <v>4</v>
      </c>
      <c r="M1109" s="251"/>
    </row>
    <row r="1110" ht="31" spans="1:13">
      <c r="A1110" s="248" t="s">
        <v>4175</v>
      </c>
      <c r="B1110" s="45" t="s">
        <v>4174</v>
      </c>
      <c r="C1110" s="249" t="e">
        <f>VLOOKUP(D1110,#REF!,2,0)</f>
        <v>#REF!</v>
      </c>
      <c r="D1110" s="29" t="s">
        <v>3941</v>
      </c>
      <c r="E1110" s="18" t="e">
        <f>VLOOKUP(C1110,数据集标准分类!E:F,2,0)</f>
        <v>#REF!</v>
      </c>
      <c r="F1110" s="29" t="e">
        <f>VLOOKUP(D1110,数据集标准分类!G:H,2,0)</f>
        <v>#N/A</v>
      </c>
      <c r="G1110" s="29" t="s">
        <v>3947</v>
      </c>
      <c r="H1110" s="29" t="s">
        <v>3948</v>
      </c>
      <c r="I1110" s="29" t="s">
        <v>3949</v>
      </c>
      <c r="J1110" s="29" t="s">
        <v>3950</v>
      </c>
      <c r="K1110" s="29" t="s">
        <v>3951</v>
      </c>
      <c r="L1110" s="250">
        <v>5</v>
      </c>
      <c r="M1110" s="251"/>
    </row>
    <row r="1111" ht="16.8" spans="1:13">
      <c r="A1111" s="248" t="s">
        <v>4175</v>
      </c>
      <c r="B1111" s="45" t="s">
        <v>4174</v>
      </c>
      <c r="C1111" s="249" t="e">
        <f>VLOOKUP(D1111,#REF!,2,0)</f>
        <v>#REF!</v>
      </c>
      <c r="D1111" s="29" t="s">
        <v>3941</v>
      </c>
      <c r="E1111" s="18" t="e">
        <f>VLOOKUP(C1111,数据集标准分类!E:F,2,0)</f>
        <v>#REF!</v>
      </c>
      <c r="F1111" s="29" t="e">
        <f>VLOOKUP(D1111,数据集标准分类!G:H,2,0)</f>
        <v>#N/A</v>
      </c>
      <c r="G1111" s="29" t="s">
        <v>3952</v>
      </c>
      <c r="H1111" s="29" t="s">
        <v>3953</v>
      </c>
      <c r="I1111" s="29" t="s">
        <v>3954</v>
      </c>
      <c r="J1111" s="29" t="s">
        <v>3955</v>
      </c>
      <c r="K1111" s="29" t="s">
        <v>3956</v>
      </c>
      <c r="L1111" s="250">
        <v>6</v>
      </c>
      <c r="M1111" s="251"/>
    </row>
    <row r="1112" ht="31" spans="1:13">
      <c r="A1112" s="248" t="s">
        <v>4175</v>
      </c>
      <c r="B1112" s="45" t="s">
        <v>4174</v>
      </c>
      <c r="C1112" s="249" t="e">
        <f>VLOOKUP(D1112,#REF!,2,0)</f>
        <v>#REF!</v>
      </c>
      <c r="D1112" s="29" t="s">
        <v>3941</v>
      </c>
      <c r="E1112" s="18" t="e">
        <f>VLOOKUP(C1112,数据集标准分类!E:F,2,0)</f>
        <v>#REF!</v>
      </c>
      <c r="F1112" s="29" t="e">
        <f>VLOOKUP(D1112,数据集标准分类!G:H,2,0)</f>
        <v>#N/A</v>
      </c>
      <c r="G1112" s="29" t="s">
        <v>3957</v>
      </c>
      <c r="H1112" s="29" t="s">
        <v>3958</v>
      </c>
      <c r="I1112" s="29" t="s">
        <v>3959</v>
      </c>
      <c r="J1112" s="29" t="s">
        <v>3960</v>
      </c>
      <c r="K1112" s="29" t="s">
        <v>3961</v>
      </c>
      <c r="L1112" s="250">
        <v>7</v>
      </c>
      <c r="M1112" s="251"/>
    </row>
    <row r="1113" ht="31" spans="1:13">
      <c r="A1113" s="248" t="s">
        <v>4175</v>
      </c>
      <c r="B1113" s="45" t="s">
        <v>4174</v>
      </c>
      <c r="C1113" s="249" t="e">
        <f>VLOOKUP(D1113,#REF!,2,0)</f>
        <v>#REF!</v>
      </c>
      <c r="D1113" s="29" t="s">
        <v>3941</v>
      </c>
      <c r="E1113" s="18" t="e">
        <f>VLOOKUP(C1113,数据集标准分类!E:F,2,0)</f>
        <v>#REF!</v>
      </c>
      <c r="F1113" s="29" t="e">
        <f>VLOOKUP(D1113,数据集标准分类!G:H,2,0)</f>
        <v>#N/A</v>
      </c>
      <c r="G1113" s="29" t="s">
        <v>3962</v>
      </c>
      <c r="H1113" s="29" t="s">
        <v>3963</v>
      </c>
      <c r="I1113" s="29" t="s">
        <v>3964</v>
      </c>
      <c r="J1113" s="29" t="s">
        <v>3965</v>
      </c>
      <c r="K1113" s="29" t="s">
        <v>3966</v>
      </c>
      <c r="L1113" s="250">
        <v>8</v>
      </c>
      <c r="M1113" s="251"/>
    </row>
    <row r="1114" ht="61" spans="1:13">
      <c r="A1114" s="248" t="s">
        <v>4175</v>
      </c>
      <c r="B1114" s="45" t="s">
        <v>4174</v>
      </c>
      <c r="C1114" s="249" t="e">
        <f>VLOOKUP(D1114,#REF!,2,0)</f>
        <v>#REF!</v>
      </c>
      <c r="D1114" s="29" t="s">
        <v>3941</v>
      </c>
      <c r="E1114" s="18" t="e">
        <f>VLOOKUP(C1114,数据集标准分类!E:F,2,0)</f>
        <v>#REF!</v>
      </c>
      <c r="F1114" s="29" t="e">
        <f>VLOOKUP(D1114,数据集标准分类!G:H,2,0)</f>
        <v>#N/A</v>
      </c>
      <c r="G1114" s="29" t="s">
        <v>3967</v>
      </c>
      <c r="H1114" s="29" t="s">
        <v>3968</v>
      </c>
      <c r="I1114" s="29" t="s">
        <v>3969</v>
      </c>
      <c r="J1114" s="29" t="s">
        <v>3970</v>
      </c>
      <c r="K1114" s="29" t="s">
        <v>3971</v>
      </c>
      <c r="L1114" s="250">
        <v>9</v>
      </c>
      <c r="M1114" s="251"/>
    </row>
    <row r="1115" ht="31" spans="1:13">
      <c r="A1115" s="248" t="s">
        <v>4175</v>
      </c>
      <c r="B1115" s="45" t="s">
        <v>4174</v>
      </c>
      <c r="C1115" s="249" t="e">
        <f>VLOOKUP(D1115,#REF!,2,0)</f>
        <v>#REF!</v>
      </c>
      <c r="D1115" s="29" t="s">
        <v>3941</v>
      </c>
      <c r="E1115" s="18" t="e">
        <f>VLOOKUP(C1115,数据集标准分类!E:F,2,0)</f>
        <v>#REF!</v>
      </c>
      <c r="F1115" s="29" t="e">
        <f>VLOOKUP(D1115,数据集标准分类!G:H,2,0)</f>
        <v>#N/A</v>
      </c>
      <c r="G1115" s="29" t="s">
        <v>3972</v>
      </c>
      <c r="H1115" s="29" t="s">
        <v>3973</v>
      </c>
      <c r="I1115" s="29" t="s">
        <v>3974</v>
      </c>
      <c r="J1115" s="29" t="s">
        <v>3975</v>
      </c>
      <c r="K1115" s="29" t="s">
        <v>3976</v>
      </c>
      <c r="L1115" s="250">
        <v>10</v>
      </c>
      <c r="M1115" s="251"/>
    </row>
    <row r="1116" ht="46" spans="1:13">
      <c r="A1116" s="248" t="s">
        <v>4175</v>
      </c>
      <c r="B1116" s="45" t="s">
        <v>4174</v>
      </c>
      <c r="C1116" s="249" t="e">
        <f>VLOOKUP(D1116,#REF!,2,0)</f>
        <v>#REF!</v>
      </c>
      <c r="D1116" s="29" t="s">
        <v>3941</v>
      </c>
      <c r="E1116" s="18" t="e">
        <f>VLOOKUP(C1116,数据集标准分类!E:F,2,0)</f>
        <v>#REF!</v>
      </c>
      <c r="F1116" s="29" t="e">
        <f>VLOOKUP(D1116,数据集标准分类!G:H,2,0)</f>
        <v>#N/A</v>
      </c>
      <c r="G1116" s="29" t="s">
        <v>3977</v>
      </c>
      <c r="H1116" s="29" t="s">
        <v>3978</v>
      </c>
      <c r="I1116" s="29" t="s">
        <v>3979</v>
      </c>
      <c r="J1116" s="29" t="s">
        <v>3980</v>
      </c>
      <c r="K1116" s="29" t="s">
        <v>3981</v>
      </c>
      <c r="L1116" s="250">
        <v>11</v>
      </c>
      <c r="M1116" s="251"/>
    </row>
    <row r="1117" ht="31" spans="1:13">
      <c r="A1117" s="248" t="s">
        <v>4175</v>
      </c>
      <c r="B1117" s="45" t="s">
        <v>4174</v>
      </c>
      <c r="C1117" s="249" t="e">
        <f>VLOOKUP(D1117,#REF!,2,0)</f>
        <v>#REF!</v>
      </c>
      <c r="D1117" s="29" t="s">
        <v>3941</v>
      </c>
      <c r="E1117" s="18" t="e">
        <f>VLOOKUP(C1117,数据集标准分类!E:F,2,0)</f>
        <v>#REF!</v>
      </c>
      <c r="F1117" s="29" t="e">
        <f>VLOOKUP(D1117,数据集标准分类!G:H,2,0)</f>
        <v>#N/A</v>
      </c>
      <c r="G1117" s="29" t="s">
        <v>3982</v>
      </c>
      <c r="H1117" s="29" t="s">
        <v>3983</v>
      </c>
      <c r="I1117" s="29" t="s">
        <v>3984</v>
      </c>
      <c r="J1117" s="29" t="s">
        <v>3985</v>
      </c>
      <c r="K1117" s="29" t="s">
        <v>3986</v>
      </c>
      <c r="L1117" s="250">
        <v>12</v>
      </c>
      <c r="M1117" s="251"/>
    </row>
    <row r="1118" ht="46" spans="1:13">
      <c r="A1118" s="248" t="s">
        <v>4175</v>
      </c>
      <c r="B1118" s="45" t="s">
        <v>4174</v>
      </c>
      <c r="C1118" s="249" t="e">
        <f>VLOOKUP(D1118,#REF!,2,0)</f>
        <v>#REF!</v>
      </c>
      <c r="D1118" s="29" t="s">
        <v>3941</v>
      </c>
      <c r="E1118" s="18" t="e">
        <f>VLOOKUP(C1118,数据集标准分类!E:F,2,0)</f>
        <v>#REF!</v>
      </c>
      <c r="F1118" s="29" t="e">
        <f>VLOOKUP(D1118,数据集标准分类!G:H,2,0)</f>
        <v>#N/A</v>
      </c>
      <c r="G1118" s="29" t="s">
        <v>3987</v>
      </c>
      <c r="H1118" s="29" t="s">
        <v>3988</v>
      </c>
      <c r="I1118" s="29" t="s">
        <v>3989</v>
      </c>
      <c r="J1118" s="29" t="s">
        <v>3990</v>
      </c>
      <c r="K1118" s="29" t="s">
        <v>3991</v>
      </c>
      <c r="L1118" s="250">
        <v>13</v>
      </c>
      <c r="M1118" s="251"/>
    </row>
    <row r="1119" ht="31" spans="1:13">
      <c r="A1119" s="248" t="s">
        <v>4175</v>
      </c>
      <c r="B1119" s="45" t="s">
        <v>4174</v>
      </c>
      <c r="C1119" s="249" t="e">
        <f>VLOOKUP(D1119,#REF!,2,0)</f>
        <v>#REF!</v>
      </c>
      <c r="D1119" s="29" t="s">
        <v>3941</v>
      </c>
      <c r="E1119" s="18" t="e">
        <f>VLOOKUP(C1119,数据集标准分类!E:F,2,0)</f>
        <v>#REF!</v>
      </c>
      <c r="F1119" s="29" t="e">
        <f>VLOOKUP(D1119,数据集标准分类!G:H,2,0)</f>
        <v>#N/A</v>
      </c>
      <c r="G1119" s="29" t="s">
        <v>3992</v>
      </c>
      <c r="H1119" s="29" t="s">
        <v>3993</v>
      </c>
      <c r="I1119" s="29" t="s">
        <v>3994</v>
      </c>
      <c r="J1119" s="29" t="s">
        <v>3995</v>
      </c>
      <c r="K1119" s="29" t="s">
        <v>3996</v>
      </c>
      <c r="L1119" s="250">
        <v>14</v>
      </c>
      <c r="M1119" s="251"/>
    </row>
    <row r="1120" ht="46" spans="1:13">
      <c r="A1120" s="248" t="s">
        <v>4175</v>
      </c>
      <c r="B1120" s="45" t="s">
        <v>4174</v>
      </c>
      <c r="C1120" s="249" t="e">
        <f>VLOOKUP(D1120,#REF!,2,0)</f>
        <v>#REF!</v>
      </c>
      <c r="D1120" s="29" t="s">
        <v>3941</v>
      </c>
      <c r="E1120" s="18" t="e">
        <f>VLOOKUP(C1120,数据集标准分类!E:F,2,0)</f>
        <v>#REF!</v>
      </c>
      <c r="F1120" s="29" t="e">
        <f>VLOOKUP(D1120,数据集标准分类!G:H,2,0)</f>
        <v>#N/A</v>
      </c>
      <c r="G1120" s="29" t="s">
        <v>3997</v>
      </c>
      <c r="H1120" s="29" t="s">
        <v>3998</v>
      </c>
      <c r="I1120" s="29" t="s">
        <v>3999</v>
      </c>
      <c r="J1120" s="29" t="s">
        <v>4000</v>
      </c>
      <c r="K1120" s="29" t="s">
        <v>4001</v>
      </c>
      <c r="L1120" s="250">
        <v>15</v>
      </c>
      <c r="M1120" s="251"/>
    </row>
    <row r="1121" ht="31" spans="1:13">
      <c r="A1121" s="248" t="s">
        <v>4175</v>
      </c>
      <c r="B1121" s="45" t="s">
        <v>4174</v>
      </c>
      <c r="C1121" s="249" t="e">
        <f>VLOOKUP(D1121,#REF!,2,0)</f>
        <v>#REF!</v>
      </c>
      <c r="D1121" s="29" t="s">
        <v>3941</v>
      </c>
      <c r="E1121" s="18" t="e">
        <f>VLOOKUP(C1121,数据集标准分类!E:F,2,0)</f>
        <v>#REF!</v>
      </c>
      <c r="F1121" s="29" t="e">
        <f>VLOOKUP(D1121,数据集标准分类!G:H,2,0)</f>
        <v>#N/A</v>
      </c>
      <c r="G1121" s="29" t="s">
        <v>1828</v>
      </c>
      <c r="H1121" s="29" t="s">
        <v>1829</v>
      </c>
      <c r="I1121" s="29" t="s">
        <v>1830</v>
      </c>
      <c r="J1121" s="29" t="s">
        <v>1831</v>
      </c>
      <c r="K1121" s="29" t="s">
        <v>4002</v>
      </c>
      <c r="L1121" s="250">
        <v>16</v>
      </c>
      <c r="M1121" s="251"/>
    </row>
    <row r="1122" ht="31" spans="1:13">
      <c r="A1122" s="248" t="s">
        <v>4175</v>
      </c>
      <c r="B1122" s="45" t="s">
        <v>4174</v>
      </c>
      <c r="C1122" s="249" t="e">
        <f>VLOOKUP(D1122,#REF!,2,0)</f>
        <v>#REF!</v>
      </c>
      <c r="D1122" s="29" t="s">
        <v>3941</v>
      </c>
      <c r="E1122" s="18" t="e">
        <f>VLOOKUP(C1122,数据集标准分类!E:F,2,0)</f>
        <v>#REF!</v>
      </c>
      <c r="F1122" s="29" t="e">
        <f>VLOOKUP(D1122,数据集标准分类!G:H,2,0)</f>
        <v>#N/A</v>
      </c>
      <c r="G1122" s="29" t="s">
        <v>4003</v>
      </c>
      <c r="H1122" s="29" t="s">
        <v>4004</v>
      </c>
      <c r="I1122" s="29" t="s">
        <v>4005</v>
      </c>
      <c r="J1122" s="29" t="s">
        <v>4006</v>
      </c>
      <c r="K1122" s="29" t="s">
        <v>4007</v>
      </c>
      <c r="L1122" s="250">
        <v>17</v>
      </c>
      <c r="M1122" s="251"/>
    </row>
    <row r="1123" ht="24" customHeight="1" spans="1:13">
      <c r="A1123" s="248" t="s">
        <v>4175</v>
      </c>
      <c r="B1123" s="45" t="s">
        <v>4174</v>
      </c>
      <c r="C1123" s="249" t="e">
        <f>VLOOKUP(D1123,#REF!,2,0)</f>
        <v>#REF!</v>
      </c>
      <c r="D1123" s="29" t="s">
        <v>3941</v>
      </c>
      <c r="E1123" s="18" t="e">
        <f>VLOOKUP(C1123,数据集标准分类!E:F,2,0)</f>
        <v>#REF!</v>
      </c>
      <c r="F1123" s="29" t="e">
        <f>VLOOKUP(D1123,数据集标准分类!G:H,2,0)</f>
        <v>#N/A</v>
      </c>
      <c r="G1123" s="29" t="s">
        <v>4008</v>
      </c>
      <c r="H1123" s="29" t="s">
        <v>4009</v>
      </c>
      <c r="I1123" s="29" t="s">
        <v>4010</v>
      </c>
      <c r="J1123" s="29" t="s">
        <v>4011</v>
      </c>
      <c r="K1123" s="29" t="s">
        <v>4012</v>
      </c>
      <c r="L1123" s="250">
        <v>18</v>
      </c>
      <c r="M1123" s="251"/>
    </row>
    <row r="1124" ht="46" spans="1:13">
      <c r="A1124" s="248" t="s">
        <v>4175</v>
      </c>
      <c r="B1124" s="45" t="s">
        <v>4174</v>
      </c>
      <c r="C1124" s="249" t="e">
        <f>VLOOKUP(D1124,#REF!,2,0)</f>
        <v>#REF!</v>
      </c>
      <c r="D1124" s="29" t="s">
        <v>3941</v>
      </c>
      <c r="E1124" s="18" t="e">
        <f>VLOOKUP(C1124,数据集标准分类!E:F,2,0)</f>
        <v>#REF!</v>
      </c>
      <c r="F1124" s="29" t="e">
        <f>VLOOKUP(D1124,数据集标准分类!G:H,2,0)</f>
        <v>#N/A</v>
      </c>
      <c r="G1124" s="29" t="s">
        <v>1833</v>
      </c>
      <c r="H1124" s="29" t="s">
        <v>1834</v>
      </c>
      <c r="I1124" s="29" t="s">
        <v>1835</v>
      </c>
      <c r="J1124" s="29" t="s">
        <v>1836</v>
      </c>
      <c r="K1124" s="29" t="s">
        <v>4013</v>
      </c>
      <c r="L1124" s="250">
        <v>19</v>
      </c>
      <c r="M1124" s="251"/>
    </row>
    <row r="1125" ht="16.8" spans="1:13">
      <c r="A1125" s="248" t="s">
        <v>4175</v>
      </c>
      <c r="B1125" s="45" t="s">
        <v>4174</v>
      </c>
      <c r="C1125" s="249" t="e">
        <f>VLOOKUP(D1125,#REF!,2,0)</f>
        <v>#REF!</v>
      </c>
      <c r="D1125" s="29" t="s">
        <v>3941</v>
      </c>
      <c r="E1125" s="18" t="e">
        <f>VLOOKUP(C1125,数据集标准分类!E:F,2,0)</f>
        <v>#REF!</v>
      </c>
      <c r="F1125" s="29" t="e">
        <f>VLOOKUP(D1125,数据集标准分类!G:H,2,0)</f>
        <v>#N/A</v>
      </c>
      <c r="G1125" s="29" t="s">
        <v>1796</v>
      </c>
      <c r="H1125" s="29" t="s">
        <v>1797</v>
      </c>
      <c r="I1125" s="29" t="s">
        <v>1798</v>
      </c>
      <c r="J1125" s="29" t="s">
        <v>1799</v>
      </c>
      <c r="K1125" s="29" t="s">
        <v>1800</v>
      </c>
      <c r="L1125" s="250">
        <v>20</v>
      </c>
      <c r="M1125" s="251"/>
    </row>
    <row r="1126" ht="16.8" spans="1:13">
      <c r="A1126" s="248" t="s">
        <v>4175</v>
      </c>
      <c r="B1126" s="45" t="s">
        <v>4174</v>
      </c>
      <c r="C1126" s="249" t="e">
        <f>VLOOKUP(D1126,#REF!,2,0)</f>
        <v>#REF!</v>
      </c>
      <c r="D1126" s="29" t="s">
        <v>3941</v>
      </c>
      <c r="E1126" s="18" t="e">
        <f>VLOOKUP(C1126,数据集标准分类!E:F,2,0)</f>
        <v>#REF!</v>
      </c>
      <c r="F1126" s="29" t="e">
        <f>VLOOKUP(D1126,数据集标准分类!G:H,2,0)</f>
        <v>#N/A</v>
      </c>
      <c r="G1126" s="29" t="s">
        <v>4014</v>
      </c>
      <c r="H1126" s="29" t="s">
        <v>4015</v>
      </c>
      <c r="I1126" s="29" t="s">
        <v>4016</v>
      </c>
      <c r="J1126" s="29" t="s">
        <v>4017</v>
      </c>
      <c r="K1126" s="29" t="s">
        <v>4018</v>
      </c>
      <c r="L1126" s="250">
        <v>21</v>
      </c>
      <c r="M1126" s="251"/>
    </row>
    <row r="1127" ht="16.8" spans="1:13">
      <c r="A1127" s="248" t="s">
        <v>4175</v>
      </c>
      <c r="B1127" s="45" t="s">
        <v>4174</v>
      </c>
      <c r="C1127" s="249" t="e">
        <f>VLOOKUP(D1127,#REF!,2,0)</f>
        <v>#REF!</v>
      </c>
      <c r="D1127" s="29" t="s">
        <v>3941</v>
      </c>
      <c r="E1127" s="18" t="e">
        <f>VLOOKUP(C1127,数据集标准分类!E:F,2,0)</f>
        <v>#REF!</v>
      </c>
      <c r="F1127" s="29" t="e">
        <f>VLOOKUP(D1127,数据集标准分类!G:H,2,0)</f>
        <v>#N/A</v>
      </c>
      <c r="G1127" s="29" t="s">
        <v>4019</v>
      </c>
      <c r="H1127" s="29" t="s">
        <v>4020</v>
      </c>
      <c r="I1127" s="29" t="s">
        <v>4021</v>
      </c>
      <c r="J1127" s="29" t="s">
        <v>4022</v>
      </c>
      <c r="K1127" s="29" t="s">
        <v>4023</v>
      </c>
      <c r="L1127" s="250">
        <v>22</v>
      </c>
      <c r="M1127" s="251"/>
    </row>
    <row r="1128" ht="31" spans="1:13">
      <c r="A1128" s="248" t="s">
        <v>4175</v>
      </c>
      <c r="B1128" s="45" t="s">
        <v>4174</v>
      </c>
      <c r="C1128" s="249" t="e">
        <f>VLOOKUP(D1128,#REF!,2,0)</f>
        <v>#REF!</v>
      </c>
      <c r="D1128" s="29" t="s">
        <v>3941</v>
      </c>
      <c r="E1128" s="18" t="e">
        <f>VLOOKUP(C1128,数据集标准分类!E:F,2,0)</f>
        <v>#REF!</v>
      </c>
      <c r="F1128" s="29" t="e">
        <f>VLOOKUP(D1128,数据集标准分类!G:H,2,0)</f>
        <v>#N/A</v>
      </c>
      <c r="G1128" s="29" t="s">
        <v>1801</v>
      </c>
      <c r="H1128" s="29" t="s">
        <v>1802</v>
      </c>
      <c r="I1128" s="29" t="s">
        <v>1803</v>
      </c>
      <c r="J1128" s="29" t="s">
        <v>1804</v>
      </c>
      <c r="K1128" s="29" t="s">
        <v>1805</v>
      </c>
      <c r="L1128" s="250">
        <v>23</v>
      </c>
      <c r="M1128" s="251"/>
    </row>
    <row r="1129" ht="24" customHeight="1" spans="1:13">
      <c r="A1129" s="248" t="s">
        <v>4175</v>
      </c>
      <c r="B1129" s="45" t="s">
        <v>4174</v>
      </c>
      <c r="C1129" s="249" t="e">
        <f>VLOOKUP(D1129,#REF!,2,0)</f>
        <v>#REF!</v>
      </c>
      <c r="D1129" s="29" t="s">
        <v>3941</v>
      </c>
      <c r="E1129" s="18" t="e">
        <f>VLOOKUP(C1129,数据集标准分类!E:F,2,0)</f>
        <v>#REF!</v>
      </c>
      <c r="F1129" s="29" t="e">
        <f>VLOOKUP(D1129,数据集标准分类!G:H,2,0)</f>
        <v>#N/A</v>
      </c>
      <c r="G1129" s="29" t="s">
        <v>1806</v>
      </c>
      <c r="H1129" s="29" t="s">
        <v>1807</v>
      </c>
      <c r="I1129" s="29" t="s">
        <v>1808</v>
      </c>
      <c r="J1129" s="29" t="s">
        <v>1809</v>
      </c>
      <c r="K1129" s="29" t="s">
        <v>1810</v>
      </c>
      <c r="L1129" s="250">
        <v>24</v>
      </c>
      <c r="M1129" s="251"/>
    </row>
    <row r="1130" ht="31" spans="1:13">
      <c r="A1130" s="248" t="s">
        <v>4175</v>
      </c>
      <c r="B1130" s="45" t="s">
        <v>4174</v>
      </c>
      <c r="C1130" s="249" t="e">
        <f>VLOOKUP(D1130,#REF!,2,0)</f>
        <v>#REF!</v>
      </c>
      <c r="D1130" s="29" t="s">
        <v>3941</v>
      </c>
      <c r="E1130" s="18" t="e">
        <f>VLOOKUP(C1130,数据集标准分类!E:F,2,0)</f>
        <v>#REF!</v>
      </c>
      <c r="F1130" s="29" t="e">
        <f>VLOOKUP(D1130,数据集标准分类!G:H,2,0)</f>
        <v>#N/A</v>
      </c>
      <c r="G1130" s="29" t="s">
        <v>4024</v>
      </c>
      <c r="H1130" s="29" t="s">
        <v>4025</v>
      </c>
      <c r="I1130" s="29" t="s">
        <v>4026</v>
      </c>
      <c r="J1130" s="29" t="s">
        <v>4027</v>
      </c>
      <c r="K1130" s="29" t="s">
        <v>4028</v>
      </c>
      <c r="L1130" s="250">
        <v>25</v>
      </c>
      <c r="M1130" s="251"/>
    </row>
    <row r="1131" ht="16.8" spans="1:13">
      <c r="A1131" s="248" t="s">
        <v>4175</v>
      </c>
      <c r="B1131" s="45" t="s">
        <v>4174</v>
      </c>
      <c r="C1131" s="249" t="e">
        <f>VLOOKUP(D1131,#REF!,2,0)</f>
        <v>#REF!</v>
      </c>
      <c r="D1131" s="29" t="s">
        <v>3941</v>
      </c>
      <c r="E1131" s="18" t="e">
        <f>VLOOKUP(C1131,数据集标准分类!E:F,2,0)</f>
        <v>#REF!</v>
      </c>
      <c r="F1131" s="29" t="e">
        <f>VLOOKUP(D1131,数据集标准分类!G:H,2,0)</f>
        <v>#N/A</v>
      </c>
      <c r="G1131" s="64" t="s">
        <v>4029</v>
      </c>
      <c r="H1131" s="29" t="s">
        <v>4030</v>
      </c>
      <c r="I1131" s="29" t="s">
        <v>4031</v>
      </c>
      <c r="J1131" s="29" t="s">
        <v>4032</v>
      </c>
      <c r="K1131" s="29" t="s">
        <v>4033</v>
      </c>
      <c r="L1131" s="250">
        <v>26</v>
      </c>
      <c r="M1131" s="251"/>
    </row>
    <row r="1132" ht="31" spans="1:13">
      <c r="A1132" s="248" t="s">
        <v>4175</v>
      </c>
      <c r="B1132" s="45" t="s">
        <v>4174</v>
      </c>
      <c r="C1132" s="249" t="e">
        <f>VLOOKUP(D1132,#REF!,2,0)</f>
        <v>#REF!</v>
      </c>
      <c r="D1132" s="29" t="s">
        <v>3941</v>
      </c>
      <c r="E1132" s="18" t="e">
        <f>VLOOKUP(C1132,数据集标准分类!E:F,2,0)</f>
        <v>#REF!</v>
      </c>
      <c r="F1132" s="29" t="e">
        <f>VLOOKUP(D1132,数据集标准分类!G:H,2,0)</f>
        <v>#N/A</v>
      </c>
      <c r="G1132" s="29" t="s">
        <v>4034</v>
      </c>
      <c r="H1132" s="29" t="s">
        <v>4035</v>
      </c>
      <c r="I1132" s="29" t="s">
        <v>4036</v>
      </c>
      <c r="J1132" s="29" t="s">
        <v>4037</v>
      </c>
      <c r="K1132" s="29" t="s">
        <v>4038</v>
      </c>
      <c r="L1132" s="250">
        <v>27</v>
      </c>
      <c r="M1132" s="251"/>
    </row>
    <row r="1133" ht="31" spans="1:13">
      <c r="A1133" s="248" t="s">
        <v>4175</v>
      </c>
      <c r="B1133" s="45" t="s">
        <v>4174</v>
      </c>
      <c r="C1133" s="249" t="e">
        <f>VLOOKUP(D1133,#REF!,2,0)</f>
        <v>#REF!</v>
      </c>
      <c r="D1133" s="29" t="s">
        <v>3941</v>
      </c>
      <c r="E1133" s="18" t="e">
        <f>VLOOKUP(C1133,数据集标准分类!E:F,2,0)</f>
        <v>#REF!</v>
      </c>
      <c r="F1133" s="29" t="e">
        <f>VLOOKUP(D1133,数据集标准分类!G:H,2,0)</f>
        <v>#N/A</v>
      </c>
      <c r="G1133" s="29" t="s">
        <v>4039</v>
      </c>
      <c r="H1133" s="29" t="s">
        <v>4040</v>
      </c>
      <c r="I1133" s="29" t="s">
        <v>4041</v>
      </c>
      <c r="J1133" s="29" t="s">
        <v>4042</v>
      </c>
      <c r="K1133" s="29" t="s">
        <v>4043</v>
      </c>
      <c r="L1133" s="250">
        <v>28</v>
      </c>
      <c r="M1133" s="251"/>
    </row>
    <row r="1134" ht="16.8" spans="1:13">
      <c r="A1134" s="248" t="s">
        <v>4175</v>
      </c>
      <c r="B1134" s="45" t="s">
        <v>4174</v>
      </c>
      <c r="C1134" s="249" t="e">
        <f>VLOOKUP(D1134,#REF!,2,0)</f>
        <v>#REF!</v>
      </c>
      <c r="D1134" s="29" t="s">
        <v>3941</v>
      </c>
      <c r="E1134" s="18" t="e">
        <f>VLOOKUP(C1134,数据集标准分类!E:F,2,0)</f>
        <v>#REF!</v>
      </c>
      <c r="F1134" s="29" t="e">
        <f>VLOOKUP(D1134,数据集标准分类!G:H,2,0)</f>
        <v>#N/A</v>
      </c>
      <c r="G1134" s="29" t="s">
        <v>4044</v>
      </c>
      <c r="H1134" s="29" t="s">
        <v>4045</v>
      </c>
      <c r="I1134" s="29" t="s">
        <v>4046</v>
      </c>
      <c r="J1134" s="29" t="s">
        <v>4047</v>
      </c>
      <c r="K1134" s="29" t="s">
        <v>4048</v>
      </c>
      <c r="L1134" s="250">
        <v>29</v>
      </c>
      <c r="M1134" s="251"/>
    </row>
    <row r="1135" ht="31" spans="1:13">
      <c r="A1135" s="248" t="s">
        <v>4175</v>
      </c>
      <c r="B1135" s="45" t="s">
        <v>4174</v>
      </c>
      <c r="C1135" s="249" t="e">
        <f>VLOOKUP(D1135,#REF!,2,0)</f>
        <v>#REF!</v>
      </c>
      <c r="D1135" s="29" t="s">
        <v>3941</v>
      </c>
      <c r="E1135" s="18" t="e">
        <f>VLOOKUP(C1135,数据集标准分类!E:F,2,0)</f>
        <v>#REF!</v>
      </c>
      <c r="F1135" s="29" t="e">
        <f>VLOOKUP(D1135,数据集标准分类!G:H,2,0)</f>
        <v>#N/A</v>
      </c>
      <c r="G1135" s="29" t="s">
        <v>4049</v>
      </c>
      <c r="H1135" s="29" t="s">
        <v>4050</v>
      </c>
      <c r="I1135" s="29" t="s">
        <v>4051</v>
      </c>
      <c r="J1135" s="29" t="s">
        <v>4052</v>
      </c>
      <c r="K1135" s="29" t="s">
        <v>4053</v>
      </c>
      <c r="L1135" s="250">
        <v>30</v>
      </c>
      <c r="M1135" s="251"/>
    </row>
    <row r="1136" ht="31" spans="1:13">
      <c r="A1136" s="248" t="s">
        <v>4175</v>
      </c>
      <c r="B1136" s="45" t="s">
        <v>4174</v>
      </c>
      <c r="C1136" s="249" t="e">
        <f>VLOOKUP(D1136,#REF!,2,0)</f>
        <v>#REF!</v>
      </c>
      <c r="D1136" s="29" t="s">
        <v>3941</v>
      </c>
      <c r="E1136" s="18" t="e">
        <f>VLOOKUP(C1136,数据集标准分类!E:F,2,0)</f>
        <v>#REF!</v>
      </c>
      <c r="F1136" s="29" t="e">
        <f>VLOOKUP(D1136,数据集标准分类!G:H,2,0)</f>
        <v>#N/A</v>
      </c>
      <c r="G1136" s="29" t="s">
        <v>4054</v>
      </c>
      <c r="H1136" s="29" t="s">
        <v>4055</v>
      </c>
      <c r="I1136" s="29" t="s">
        <v>4056</v>
      </c>
      <c r="J1136" s="29" t="s">
        <v>4057</v>
      </c>
      <c r="K1136" s="29" t="s">
        <v>4058</v>
      </c>
      <c r="L1136" s="250">
        <v>31</v>
      </c>
      <c r="M1136" s="251"/>
    </row>
    <row r="1137" ht="31" spans="1:13">
      <c r="A1137" s="248" t="s">
        <v>4175</v>
      </c>
      <c r="B1137" s="45" t="s">
        <v>4174</v>
      </c>
      <c r="C1137" s="249" t="e">
        <f>VLOOKUP(D1137,#REF!,2,0)</f>
        <v>#REF!</v>
      </c>
      <c r="D1137" s="29" t="s">
        <v>3941</v>
      </c>
      <c r="E1137" s="18" t="e">
        <f>VLOOKUP(C1137,数据集标准分类!E:F,2,0)</f>
        <v>#REF!</v>
      </c>
      <c r="F1137" s="29" t="e">
        <f>VLOOKUP(D1137,数据集标准分类!G:H,2,0)</f>
        <v>#N/A</v>
      </c>
      <c r="G1137" s="29" t="s">
        <v>4059</v>
      </c>
      <c r="H1137" s="29" t="s">
        <v>4060</v>
      </c>
      <c r="I1137" s="29" t="s">
        <v>4061</v>
      </c>
      <c r="J1137" s="29" t="s">
        <v>4062</v>
      </c>
      <c r="K1137" s="29" t="s">
        <v>4063</v>
      </c>
      <c r="L1137" s="250">
        <v>32</v>
      </c>
      <c r="M1137" s="251"/>
    </row>
    <row r="1138" ht="16.8" spans="1:13">
      <c r="A1138" s="248" t="s">
        <v>4175</v>
      </c>
      <c r="B1138" s="45" t="s">
        <v>4174</v>
      </c>
      <c r="C1138" s="249" t="e">
        <f>VLOOKUP(D1138,#REF!,2,0)</f>
        <v>#REF!</v>
      </c>
      <c r="D1138" s="29" t="s">
        <v>3941</v>
      </c>
      <c r="E1138" s="18" t="e">
        <f>VLOOKUP(C1138,数据集标准分类!E:F,2,0)</f>
        <v>#REF!</v>
      </c>
      <c r="F1138" s="29" t="e">
        <f>VLOOKUP(D1138,数据集标准分类!G:H,2,0)</f>
        <v>#N/A</v>
      </c>
      <c r="G1138" s="29" t="s">
        <v>4064</v>
      </c>
      <c r="H1138" s="29" t="s">
        <v>4065</v>
      </c>
      <c r="I1138" s="29" t="s">
        <v>4066</v>
      </c>
      <c r="J1138" s="29" t="s">
        <v>4067</v>
      </c>
      <c r="K1138" s="29" t="s">
        <v>4068</v>
      </c>
      <c r="L1138" s="250">
        <v>33</v>
      </c>
      <c r="M1138" s="251"/>
    </row>
    <row r="1139" ht="31" spans="1:13">
      <c r="A1139" s="248" t="s">
        <v>4175</v>
      </c>
      <c r="B1139" s="45" t="s">
        <v>4174</v>
      </c>
      <c r="C1139" s="249" t="e">
        <f>VLOOKUP(D1139,#REF!,2,0)</f>
        <v>#REF!</v>
      </c>
      <c r="D1139" s="29" t="s">
        <v>3941</v>
      </c>
      <c r="E1139" s="18" t="e">
        <f>VLOOKUP(C1139,数据集标准分类!E:F,2,0)</f>
        <v>#REF!</v>
      </c>
      <c r="F1139" s="29" t="e">
        <f>VLOOKUP(D1139,数据集标准分类!G:H,2,0)</f>
        <v>#N/A</v>
      </c>
      <c r="G1139" s="29" t="s">
        <v>4069</v>
      </c>
      <c r="H1139" s="29" t="s">
        <v>4070</v>
      </c>
      <c r="I1139" s="29" t="s">
        <v>4071</v>
      </c>
      <c r="J1139" s="29" t="s">
        <v>4072</v>
      </c>
      <c r="K1139" s="29" t="s">
        <v>4073</v>
      </c>
      <c r="L1139" s="250">
        <v>34</v>
      </c>
      <c r="M1139" s="251"/>
    </row>
    <row r="1140" ht="46" spans="1:13">
      <c r="A1140" s="248" t="s">
        <v>4175</v>
      </c>
      <c r="B1140" s="45" t="s">
        <v>4174</v>
      </c>
      <c r="C1140" s="249" t="e">
        <f>VLOOKUP(D1140,#REF!,2,0)</f>
        <v>#REF!</v>
      </c>
      <c r="D1140" s="29" t="s">
        <v>3941</v>
      </c>
      <c r="E1140" s="18" t="e">
        <f>VLOOKUP(C1140,数据集标准分类!E:F,2,0)</f>
        <v>#REF!</v>
      </c>
      <c r="F1140" s="29" t="e">
        <f>VLOOKUP(D1140,数据集标准分类!G:H,2,0)</f>
        <v>#N/A</v>
      </c>
      <c r="G1140" s="29" t="s">
        <v>421</v>
      </c>
      <c r="H1140" s="29" t="s">
        <v>422</v>
      </c>
      <c r="I1140" s="29" t="s">
        <v>423</v>
      </c>
      <c r="J1140" s="29" t="s">
        <v>424</v>
      </c>
      <c r="K1140" s="29" t="s">
        <v>425</v>
      </c>
      <c r="L1140" s="250">
        <v>35</v>
      </c>
      <c r="M1140" s="251"/>
    </row>
    <row r="1141" ht="16.8" spans="1:13">
      <c r="A1141" s="248" t="s">
        <v>4175</v>
      </c>
      <c r="B1141" s="45" t="s">
        <v>4174</v>
      </c>
      <c r="C1141" s="249" t="e">
        <f>VLOOKUP(D1141,#REF!,2,0)</f>
        <v>#REF!</v>
      </c>
      <c r="D1141" s="29" t="s">
        <v>3941</v>
      </c>
      <c r="E1141" s="18" t="e">
        <f>VLOOKUP(C1141,数据集标准分类!E:F,2,0)</f>
        <v>#REF!</v>
      </c>
      <c r="F1141" s="29" t="e">
        <f>VLOOKUP(D1141,数据集标准分类!G:H,2,0)</f>
        <v>#N/A</v>
      </c>
      <c r="G1141" s="29" t="s">
        <v>2015</v>
      </c>
      <c r="H1141" s="29" t="s">
        <v>2016</v>
      </c>
      <c r="I1141" s="29" t="s">
        <v>2017</v>
      </c>
      <c r="J1141" s="29" t="s">
        <v>2018</v>
      </c>
      <c r="K1141" s="29" t="s">
        <v>4074</v>
      </c>
      <c r="L1141" s="250">
        <v>36</v>
      </c>
      <c r="M1141" s="251"/>
    </row>
    <row r="1142" ht="31" spans="1:13">
      <c r="A1142" s="248" t="s">
        <v>4175</v>
      </c>
      <c r="B1142" s="45" t="s">
        <v>4174</v>
      </c>
      <c r="C1142" s="249" t="e">
        <f>VLOOKUP(D1142,#REF!,2,0)</f>
        <v>#REF!</v>
      </c>
      <c r="D1142" s="29" t="s">
        <v>3941</v>
      </c>
      <c r="E1142" s="18" t="e">
        <f>VLOOKUP(C1142,数据集标准分类!E:F,2,0)</f>
        <v>#REF!</v>
      </c>
      <c r="F1142" s="29" t="e">
        <f>VLOOKUP(D1142,数据集标准分类!G:H,2,0)</f>
        <v>#N/A</v>
      </c>
      <c r="G1142" s="29" t="s">
        <v>4075</v>
      </c>
      <c r="H1142" s="29" t="s">
        <v>4076</v>
      </c>
      <c r="I1142" s="29" t="s">
        <v>4077</v>
      </c>
      <c r="J1142" s="29" t="s">
        <v>4078</v>
      </c>
      <c r="K1142" s="29" t="s">
        <v>4079</v>
      </c>
      <c r="L1142" s="250">
        <v>37</v>
      </c>
      <c r="M1142" s="251"/>
    </row>
    <row r="1143" ht="31" spans="1:13">
      <c r="A1143" s="248" t="s">
        <v>4175</v>
      </c>
      <c r="B1143" s="45" t="s">
        <v>4174</v>
      </c>
      <c r="C1143" s="249" t="e">
        <f>VLOOKUP(D1143,#REF!,2,0)</f>
        <v>#REF!</v>
      </c>
      <c r="D1143" s="29" t="s">
        <v>3941</v>
      </c>
      <c r="E1143" s="18" t="e">
        <f>VLOOKUP(C1143,数据集标准分类!E:F,2,0)</f>
        <v>#REF!</v>
      </c>
      <c r="F1143" s="29" t="e">
        <f>VLOOKUP(D1143,数据集标准分类!G:H,2,0)</f>
        <v>#N/A</v>
      </c>
      <c r="G1143" s="29" t="s">
        <v>4080</v>
      </c>
      <c r="H1143" s="29" t="s">
        <v>4081</v>
      </c>
      <c r="I1143" s="29" t="s">
        <v>4082</v>
      </c>
      <c r="J1143" s="29" t="s">
        <v>4083</v>
      </c>
      <c r="K1143" s="29" t="s">
        <v>4084</v>
      </c>
      <c r="L1143" s="250">
        <v>38</v>
      </c>
      <c r="M1143" s="251"/>
    </row>
    <row r="1144" ht="31" spans="1:13">
      <c r="A1144" s="248" t="s">
        <v>4175</v>
      </c>
      <c r="B1144" s="45" t="s">
        <v>4174</v>
      </c>
      <c r="C1144" s="249" t="e">
        <f>VLOOKUP(D1144,#REF!,2,0)</f>
        <v>#REF!</v>
      </c>
      <c r="D1144" s="29" t="s">
        <v>3941</v>
      </c>
      <c r="E1144" s="18" t="e">
        <f>VLOOKUP(C1144,数据集标准分类!E:F,2,0)</f>
        <v>#REF!</v>
      </c>
      <c r="F1144" s="29" t="e">
        <f>VLOOKUP(D1144,数据集标准分类!G:H,2,0)</f>
        <v>#N/A</v>
      </c>
      <c r="G1144" s="29" t="s">
        <v>4085</v>
      </c>
      <c r="H1144" s="29" t="s">
        <v>4086</v>
      </c>
      <c r="I1144" s="29" t="s">
        <v>4087</v>
      </c>
      <c r="J1144" s="29" t="s">
        <v>4088</v>
      </c>
      <c r="K1144" s="29" t="s">
        <v>4089</v>
      </c>
      <c r="L1144" s="250">
        <v>39</v>
      </c>
      <c r="M1144" s="251"/>
    </row>
    <row r="1145" ht="31" spans="1:13">
      <c r="A1145" s="248" t="s">
        <v>4175</v>
      </c>
      <c r="B1145" s="45" t="s">
        <v>4174</v>
      </c>
      <c r="C1145" s="249" t="e">
        <f>VLOOKUP(D1145,#REF!,2,0)</f>
        <v>#REF!</v>
      </c>
      <c r="D1145" s="29" t="s">
        <v>3941</v>
      </c>
      <c r="E1145" s="18" t="e">
        <f>VLOOKUP(C1145,数据集标准分类!E:F,2,0)</f>
        <v>#REF!</v>
      </c>
      <c r="F1145" s="29" t="e">
        <f>VLOOKUP(D1145,数据集标准分类!G:H,2,0)</f>
        <v>#N/A</v>
      </c>
      <c r="G1145" s="29" t="s">
        <v>4090</v>
      </c>
      <c r="H1145" s="29" t="s">
        <v>4091</v>
      </c>
      <c r="I1145" s="29" t="s">
        <v>4092</v>
      </c>
      <c r="J1145" s="29" t="s">
        <v>4093</v>
      </c>
      <c r="K1145" s="29" t="s">
        <v>4094</v>
      </c>
      <c r="L1145" s="250">
        <v>40</v>
      </c>
      <c r="M1145" s="251"/>
    </row>
    <row r="1146" ht="16.8" spans="1:13">
      <c r="A1146" s="248" t="s">
        <v>4175</v>
      </c>
      <c r="B1146" s="45" t="s">
        <v>4174</v>
      </c>
      <c r="C1146" s="249" t="e">
        <f>VLOOKUP(D1146,#REF!,2,0)</f>
        <v>#REF!</v>
      </c>
      <c r="D1146" s="29" t="s">
        <v>3941</v>
      </c>
      <c r="E1146" s="18" t="e">
        <f>VLOOKUP(C1146,数据集标准分类!E:F,2,0)</f>
        <v>#REF!</v>
      </c>
      <c r="F1146" s="29" t="e">
        <f>VLOOKUP(D1146,数据集标准分类!G:H,2,0)</f>
        <v>#N/A</v>
      </c>
      <c r="G1146" s="64" t="s">
        <v>4095</v>
      </c>
      <c r="H1146" s="29" t="s">
        <v>4096</v>
      </c>
      <c r="I1146" s="29" t="s">
        <v>4097</v>
      </c>
      <c r="J1146" s="29" t="s">
        <v>4098</v>
      </c>
      <c r="K1146" s="29" t="s">
        <v>4099</v>
      </c>
      <c r="L1146" s="250">
        <v>41</v>
      </c>
      <c r="M1146" s="251"/>
    </row>
    <row r="1147" ht="16.8" spans="1:13">
      <c r="A1147" s="248" t="s">
        <v>4175</v>
      </c>
      <c r="B1147" s="45" t="s">
        <v>4174</v>
      </c>
      <c r="C1147" s="249" t="e">
        <f>VLOOKUP(D1147,#REF!,2,0)</f>
        <v>#REF!</v>
      </c>
      <c r="D1147" s="29" t="s">
        <v>3941</v>
      </c>
      <c r="E1147" s="18" t="e">
        <f>VLOOKUP(C1147,数据集标准分类!E:F,2,0)</f>
        <v>#REF!</v>
      </c>
      <c r="F1147" s="29" t="e">
        <f>VLOOKUP(D1147,数据集标准分类!G:H,2,0)</f>
        <v>#N/A</v>
      </c>
      <c r="G1147" s="29" t="s">
        <v>4100</v>
      </c>
      <c r="H1147" s="29" t="s">
        <v>4101</v>
      </c>
      <c r="I1147" s="29" t="s">
        <v>4102</v>
      </c>
      <c r="J1147" s="29" t="s">
        <v>4103</v>
      </c>
      <c r="K1147" s="29" t="s">
        <v>4104</v>
      </c>
      <c r="L1147" s="250">
        <v>42</v>
      </c>
      <c r="M1147" s="251"/>
    </row>
    <row r="1148" customHeight="1" spans="1:13">
      <c r="A1148" s="248" t="s">
        <v>4175</v>
      </c>
      <c r="B1148" s="45" t="s">
        <v>4174</v>
      </c>
      <c r="C1148" s="249" t="e">
        <f>VLOOKUP(D1148,#REF!,2,0)</f>
        <v>#REF!</v>
      </c>
      <c r="D1148" s="29" t="s">
        <v>3941</v>
      </c>
      <c r="E1148" s="18" t="e">
        <f>VLOOKUP(C1148,数据集标准分类!E:F,2,0)</f>
        <v>#REF!</v>
      </c>
      <c r="F1148" s="29" t="e">
        <f>VLOOKUP(D1148,数据集标准分类!G:H,2,0)</f>
        <v>#N/A</v>
      </c>
      <c r="G1148" s="29" t="s">
        <v>1959</v>
      </c>
      <c r="H1148" s="29" t="s">
        <v>1960</v>
      </c>
      <c r="I1148" s="29" t="s">
        <v>1961</v>
      </c>
      <c r="J1148" s="29" t="s">
        <v>1962</v>
      </c>
      <c r="K1148" s="29" t="s">
        <v>3884</v>
      </c>
      <c r="L1148" s="250">
        <v>43</v>
      </c>
      <c r="M1148" s="251"/>
    </row>
    <row r="1149" ht="16.8" spans="1:13">
      <c r="A1149" s="248" t="s">
        <v>4175</v>
      </c>
      <c r="B1149" s="45" t="s">
        <v>4174</v>
      </c>
      <c r="C1149" s="249" t="e">
        <f>VLOOKUP(D1149,#REF!,2,0)</f>
        <v>#REF!</v>
      </c>
      <c r="D1149" s="29" t="s">
        <v>3941</v>
      </c>
      <c r="E1149" s="18" t="e">
        <f>VLOOKUP(C1149,数据集标准分类!E:F,2,0)</f>
        <v>#REF!</v>
      </c>
      <c r="F1149" s="29" t="e">
        <f>VLOOKUP(D1149,数据集标准分类!G:H,2,0)</f>
        <v>#N/A</v>
      </c>
      <c r="G1149" s="29" t="s">
        <v>4105</v>
      </c>
      <c r="H1149" s="29" t="s">
        <v>4106</v>
      </c>
      <c r="I1149" s="29" t="s">
        <v>4107</v>
      </c>
      <c r="J1149" s="29" t="s">
        <v>4108</v>
      </c>
      <c r="K1149" s="29" t="s">
        <v>1827</v>
      </c>
      <c r="L1149" s="250">
        <v>44</v>
      </c>
      <c r="M1149" s="251"/>
    </row>
    <row r="1150" ht="31" spans="1:13">
      <c r="A1150" s="248" t="s">
        <v>4175</v>
      </c>
      <c r="B1150" s="45" t="s">
        <v>4174</v>
      </c>
      <c r="C1150" s="249" t="e">
        <f>VLOOKUP(D1150,#REF!,2,0)</f>
        <v>#REF!</v>
      </c>
      <c r="D1150" s="29" t="s">
        <v>3941</v>
      </c>
      <c r="E1150" s="18" t="e">
        <f>VLOOKUP(C1150,数据集标准分类!E:F,2,0)</f>
        <v>#REF!</v>
      </c>
      <c r="F1150" s="29" t="e">
        <f>VLOOKUP(D1150,数据集标准分类!G:H,2,0)</f>
        <v>#N/A</v>
      </c>
      <c r="G1150" s="29" t="s">
        <v>4109</v>
      </c>
      <c r="H1150" s="29" t="s">
        <v>4110</v>
      </c>
      <c r="I1150" s="29" t="s">
        <v>4111</v>
      </c>
      <c r="J1150" s="29" t="s">
        <v>4112</v>
      </c>
      <c r="K1150" s="29" t="s">
        <v>4113</v>
      </c>
      <c r="L1150" s="250">
        <v>45</v>
      </c>
      <c r="M1150" s="251"/>
    </row>
    <row r="1151" ht="16.8" spans="1:13">
      <c r="A1151" s="248" t="s">
        <v>4175</v>
      </c>
      <c r="B1151" s="45" t="s">
        <v>4174</v>
      </c>
      <c r="C1151" s="249" t="e">
        <f>VLOOKUP(D1151,#REF!,2,0)</f>
        <v>#REF!</v>
      </c>
      <c r="D1151" s="29" t="s">
        <v>3941</v>
      </c>
      <c r="E1151" s="18" t="e">
        <f>VLOOKUP(C1151,数据集标准分类!E:F,2,0)</f>
        <v>#REF!</v>
      </c>
      <c r="F1151" s="29" t="e">
        <f>VLOOKUP(D1151,数据集标准分类!G:H,2,0)</f>
        <v>#N/A</v>
      </c>
      <c r="G1151" s="29" t="s">
        <v>4114</v>
      </c>
      <c r="H1151" s="29" t="s">
        <v>4115</v>
      </c>
      <c r="I1151" s="29" t="s">
        <v>4116</v>
      </c>
      <c r="J1151" s="29" t="s">
        <v>4117</v>
      </c>
      <c r="K1151" s="29" t="s">
        <v>4118</v>
      </c>
      <c r="L1151" s="250">
        <v>46</v>
      </c>
      <c r="M1151" s="251"/>
    </row>
    <row r="1152" ht="31" spans="1:13">
      <c r="A1152" s="248" t="s">
        <v>4175</v>
      </c>
      <c r="B1152" s="45" t="s">
        <v>4174</v>
      </c>
      <c r="C1152" s="249" t="e">
        <f>VLOOKUP(D1152,#REF!,2,0)</f>
        <v>#REF!</v>
      </c>
      <c r="D1152" s="29" t="s">
        <v>3941</v>
      </c>
      <c r="E1152" s="18" t="e">
        <f>VLOOKUP(C1152,数据集标准分类!E:F,2,0)</f>
        <v>#REF!</v>
      </c>
      <c r="F1152" s="29" t="e">
        <f>VLOOKUP(D1152,数据集标准分类!G:H,2,0)</f>
        <v>#N/A</v>
      </c>
      <c r="G1152" s="29" t="s">
        <v>4119</v>
      </c>
      <c r="H1152" s="29" t="s">
        <v>4120</v>
      </c>
      <c r="I1152" s="29" t="s">
        <v>4121</v>
      </c>
      <c r="J1152" s="29" t="s">
        <v>4122</v>
      </c>
      <c r="K1152" s="29" t="s">
        <v>4123</v>
      </c>
      <c r="L1152" s="250">
        <v>47</v>
      </c>
      <c r="M1152" s="251"/>
    </row>
    <row r="1153" ht="31" spans="1:13">
      <c r="A1153" s="248" t="s">
        <v>4175</v>
      </c>
      <c r="B1153" s="45" t="s">
        <v>4174</v>
      </c>
      <c r="C1153" s="249" t="e">
        <f>VLOOKUP(D1153,#REF!,2,0)</f>
        <v>#REF!</v>
      </c>
      <c r="D1153" s="29" t="s">
        <v>3941</v>
      </c>
      <c r="E1153" s="18" t="e">
        <f>VLOOKUP(C1153,数据集标准分类!E:F,2,0)</f>
        <v>#REF!</v>
      </c>
      <c r="F1153" s="29" t="e">
        <f>VLOOKUP(D1153,数据集标准分类!G:H,2,0)</f>
        <v>#N/A</v>
      </c>
      <c r="G1153" s="29" t="s">
        <v>1854</v>
      </c>
      <c r="H1153" s="29" t="s">
        <v>1855</v>
      </c>
      <c r="I1153" s="29" t="s">
        <v>1856</v>
      </c>
      <c r="J1153" s="29" t="s">
        <v>1857</v>
      </c>
      <c r="K1153" s="29" t="s">
        <v>1858</v>
      </c>
      <c r="L1153" s="250">
        <v>48</v>
      </c>
      <c r="M1153" s="251"/>
    </row>
    <row r="1154" ht="31" spans="1:13">
      <c r="A1154" s="248" t="s">
        <v>4175</v>
      </c>
      <c r="B1154" s="45" t="s">
        <v>4174</v>
      </c>
      <c r="C1154" s="249" t="e">
        <f>VLOOKUP(D1154,#REF!,2,0)</f>
        <v>#REF!</v>
      </c>
      <c r="D1154" s="29" t="s">
        <v>3941</v>
      </c>
      <c r="E1154" s="18" t="e">
        <f>VLOOKUP(C1154,数据集标准分类!E:F,2,0)</f>
        <v>#REF!</v>
      </c>
      <c r="F1154" s="29" t="e">
        <f>VLOOKUP(D1154,数据集标准分类!G:H,2,0)</f>
        <v>#N/A</v>
      </c>
      <c r="G1154" s="29" t="s">
        <v>1931</v>
      </c>
      <c r="H1154" s="29" t="s">
        <v>1932</v>
      </c>
      <c r="I1154" s="29" t="s">
        <v>1933</v>
      </c>
      <c r="J1154" s="29" t="s">
        <v>1934</v>
      </c>
      <c r="K1154" s="29" t="s">
        <v>1935</v>
      </c>
      <c r="L1154" s="250">
        <v>49</v>
      </c>
      <c r="M1154" s="251"/>
    </row>
    <row r="1155" ht="31" spans="1:13">
      <c r="A1155" s="248" t="s">
        <v>4175</v>
      </c>
      <c r="B1155" s="45" t="s">
        <v>4174</v>
      </c>
      <c r="C1155" s="249" t="e">
        <f>VLOOKUP(D1155,#REF!,2,0)</f>
        <v>#REF!</v>
      </c>
      <c r="D1155" s="29" t="s">
        <v>3941</v>
      </c>
      <c r="E1155" s="18" t="e">
        <f>VLOOKUP(C1155,数据集标准分类!E:F,2,0)</f>
        <v>#REF!</v>
      </c>
      <c r="F1155" s="29" t="e">
        <f>VLOOKUP(D1155,数据集标准分类!G:H,2,0)</f>
        <v>#N/A</v>
      </c>
      <c r="G1155" s="65" t="s">
        <v>1936</v>
      </c>
      <c r="H1155" s="29" t="s">
        <v>1937</v>
      </c>
      <c r="I1155" s="29" t="s">
        <v>1938</v>
      </c>
      <c r="J1155" s="29" t="s">
        <v>1939</v>
      </c>
      <c r="K1155" s="29" t="s">
        <v>1940</v>
      </c>
      <c r="L1155" s="250">
        <v>50</v>
      </c>
      <c r="M1155" s="251"/>
    </row>
    <row r="1156" ht="31" spans="1:13">
      <c r="A1156" s="248" t="s">
        <v>4175</v>
      </c>
      <c r="B1156" s="45" t="s">
        <v>4174</v>
      </c>
      <c r="C1156" s="249" t="e">
        <f>VLOOKUP(D1156,#REF!,2,0)</f>
        <v>#REF!</v>
      </c>
      <c r="D1156" s="29" t="s">
        <v>3941</v>
      </c>
      <c r="E1156" s="18" t="e">
        <f>VLOOKUP(C1156,数据集标准分类!E:F,2,0)</f>
        <v>#REF!</v>
      </c>
      <c r="F1156" s="29" t="e">
        <f>VLOOKUP(D1156,数据集标准分类!G:H,2,0)</f>
        <v>#N/A</v>
      </c>
      <c r="G1156" s="29" t="s">
        <v>1941</v>
      </c>
      <c r="H1156" s="29" t="s">
        <v>1942</v>
      </c>
      <c r="I1156" s="29" t="s">
        <v>1943</v>
      </c>
      <c r="J1156" s="29" t="s">
        <v>1944</v>
      </c>
      <c r="K1156" s="29" t="s">
        <v>1945</v>
      </c>
      <c r="L1156" s="250">
        <v>51</v>
      </c>
      <c r="M1156" s="251"/>
    </row>
    <row r="1157" ht="31" spans="1:13">
      <c r="A1157" s="248" t="s">
        <v>4175</v>
      </c>
      <c r="B1157" s="45" t="s">
        <v>4174</v>
      </c>
      <c r="C1157" s="249" t="e">
        <f>VLOOKUP(D1157,#REF!,2,0)</f>
        <v>#REF!</v>
      </c>
      <c r="D1157" s="29" t="s">
        <v>3941</v>
      </c>
      <c r="E1157" s="18" t="e">
        <f>VLOOKUP(C1157,数据集标准分类!E:F,2,0)</f>
        <v>#REF!</v>
      </c>
      <c r="F1157" s="29" t="e">
        <f>VLOOKUP(D1157,数据集标准分类!G:H,2,0)</f>
        <v>#N/A</v>
      </c>
      <c r="G1157" s="29" t="s">
        <v>699</v>
      </c>
      <c r="H1157" s="29" t="s">
        <v>700</v>
      </c>
      <c r="I1157" s="29" t="s">
        <v>700</v>
      </c>
      <c r="J1157" s="29" t="s">
        <v>701</v>
      </c>
      <c r="K1157" s="29" t="s">
        <v>1946</v>
      </c>
      <c r="L1157" s="250">
        <v>52</v>
      </c>
      <c r="M1157" s="251"/>
    </row>
    <row r="1158" ht="31" spans="1:13">
      <c r="A1158" s="248" t="s">
        <v>4175</v>
      </c>
      <c r="B1158" s="45" t="s">
        <v>4174</v>
      </c>
      <c r="C1158" s="249" t="e">
        <f>VLOOKUP(D1158,#REF!,2,0)</f>
        <v>#REF!</v>
      </c>
      <c r="D1158" s="29" t="s">
        <v>3941</v>
      </c>
      <c r="E1158" s="18" t="e">
        <f>VLOOKUP(C1158,数据集标准分类!E:F,2,0)</f>
        <v>#REF!</v>
      </c>
      <c r="F1158" s="29" t="e">
        <f>VLOOKUP(D1158,数据集标准分类!G:H,2,0)</f>
        <v>#N/A</v>
      </c>
      <c r="G1158" s="29" t="s">
        <v>703</v>
      </c>
      <c r="H1158" s="29" t="s">
        <v>704</v>
      </c>
      <c r="I1158" s="29" t="s">
        <v>704</v>
      </c>
      <c r="J1158" s="29" t="s">
        <v>705</v>
      </c>
      <c r="K1158" s="29" t="s">
        <v>1947</v>
      </c>
      <c r="L1158" s="250">
        <v>53</v>
      </c>
      <c r="M1158" s="251"/>
    </row>
    <row r="1159" ht="31" spans="1:13">
      <c r="A1159" s="248" t="s">
        <v>4175</v>
      </c>
      <c r="B1159" s="45" t="s">
        <v>4174</v>
      </c>
      <c r="C1159" s="249" t="e">
        <f>VLOOKUP(D1159,#REF!,2,0)</f>
        <v>#REF!</v>
      </c>
      <c r="D1159" s="29" t="s">
        <v>3941</v>
      </c>
      <c r="E1159" s="18" t="e">
        <f>VLOOKUP(C1159,数据集标准分类!E:F,2,0)</f>
        <v>#REF!</v>
      </c>
      <c r="F1159" s="29" t="e">
        <f>VLOOKUP(D1159,数据集标准分类!G:H,2,0)</f>
        <v>#N/A</v>
      </c>
      <c r="G1159" s="29" t="s">
        <v>689</v>
      </c>
      <c r="H1159" s="29" t="s">
        <v>690</v>
      </c>
      <c r="I1159" s="29" t="s">
        <v>691</v>
      </c>
      <c r="J1159" s="29" t="s">
        <v>692</v>
      </c>
      <c r="K1159" s="29" t="s">
        <v>1948</v>
      </c>
      <c r="L1159" s="250">
        <v>54</v>
      </c>
      <c r="M1159" s="251"/>
    </row>
    <row r="1160" ht="31" spans="1:13">
      <c r="A1160" s="248" t="s">
        <v>4175</v>
      </c>
      <c r="B1160" s="45" t="s">
        <v>4174</v>
      </c>
      <c r="C1160" s="249" t="e">
        <f>VLOOKUP(D1160,#REF!,2,0)</f>
        <v>#REF!</v>
      </c>
      <c r="D1160" s="29" t="s">
        <v>3941</v>
      </c>
      <c r="E1160" s="18" t="e">
        <f>VLOOKUP(C1160,数据集标准分类!E:F,2,0)</f>
        <v>#REF!</v>
      </c>
      <c r="F1160" s="29" t="e">
        <f>VLOOKUP(D1160,数据集标准分类!G:H,2,0)</f>
        <v>#N/A</v>
      </c>
      <c r="G1160" s="29" t="s">
        <v>1949</v>
      </c>
      <c r="H1160" s="29" t="s">
        <v>1950</v>
      </c>
      <c r="I1160" s="29" t="s">
        <v>1951</v>
      </c>
      <c r="J1160" s="29" t="s">
        <v>1952</v>
      </c>
      <c r="K1160" s="29" t="s">
        <v>1953</v>
      </c>
      <c r="L1160" s="250">
        <v>55</v>
      </c>
      <c r="M1160" s="251"/>
    </row>
    <row r="1161" ht="31" spans="1:13">
      <c r="A1161" s="248" t="s">
        <v>4175</v>
      </c>
      <c r="B1161" s="45" t="s">
        <v>4174</v>
      </c>
      <c r="C1161" s="249" t="e">
        <f>VLOOKUP(D1161,#REF!,2,0)</f>
        <v>#REF!</v>
      </c>
      <c r="D1161" s="29" t="s">
        <v>3941</v>
      </c>
      <c r="E1161" s="18" t="e">
        <f>VLOOKUP(C1161,数据集标准分类!E:F,2,0)</f>
        <v>#REF!</v>
      </c>
      <c r="F1161" s="29" t="e">
        <f>VLOOKUP(D1161,数据集标准分类!G:H,2,0)</f>
        <v>#N/A</v>
      </c>
      <c r="G1161" s="29" t="s">
        <v>1954</v>
      </c>
      <c r="H1161" s="29" t="s">
        <v>1955</v>
      </c>
      <c r="I1161" s="29" t="s">
        <v>1956</v>
      </c>
      <c r="J1161" s="29" t="s">
        <v>1957</v>
      </c>
      <c r="K1161" s="29" t="s">
        <v>1958</v>
      </c>
      <c r="L1161" s="250">
        <v>56</v>
      </c>
      <c r="M1161" s="251"/>
    </row>
    <row r="1162" ht="31" spans="1:13">
      <c r="A1162" s="248" t="s">
        <v>4175</v>
      </c>
      <c r="B1162" s="45" t="s">
        <v>4174</v>
      </c>
      <c r="C1162" s="249" t="e">
        <f>VLOOKUP(D1162,#REF!,2,0)</f>
        <v>#REF!</v>
      </c>
      <c r="D1162" s="29" t="s">
        <v>3941</v>
      </c>
      <c r="E1162" s="18" t="e">
        <f>VLOOKUP(C1162,数据集标准分类!E:F,2,0)</f>
        <v>#REF!</v>
      </c>
      <c r="F1162" s="29" t="e">
        <f>VLOOKUP(D1162,数据集标准分类!G:H,2,0)</f>
        <v>#N/A</v>
      </c>
      <c r="G1162" s="29" t="s">
        <v>4124</v>
      </c>
      <c r="H1162" s="29" t="s">
        <v>4125</v>
      </c>
      <c r="I1162" s="29" t="s">
        <v>4126</v>
      </c>
      <c r="J1162" s="29" t="s">
        <v>4127</v>
      </c>
      <c r="K1162" s="29" t="s">
        <v>1963</v>
      </c>
      <c r="L1162" s="250">
        <v>57</v>
      </c>
      <c r="M1162" s="251"/>
    </row>
    <row r="1163" ht="46" spans="1:13">
      <c r="A1163" s="248" t="s">
        <v>4175</v>
      </c>
      <c r="B1163" s="45" t="s">
        <v>4174</v>
      </c>
      <c r="C1163" s="249" t="e">
        <f>VLOOKUP(D1163,#REF!,2,0)</f>
        <v>#REF!</v>
      </c>
      <c r="D1163" s="29" t="s">
        <v>3941</v>
      </c>
      <c r="E1163" s="18" t="e">
        <f>VLOOKUP(C1163,数据集标准分类!E:F,2,0)</f>
        <v>#REF!</v>
      </c>
      <c r="F1163" s="29" t="e">
        <f>VLOOKUP(D1163,数据集标准分类!G:H,2,0)</f>
        <v>#N/A</v>
      </c>
      <c r="G1163" s="29" t="s">
        <v>1964</v>
      </c>
      <c r="H1163" s="29" t="s">
        <v>1965</v>
      </c>
      <c r="I1163" s="29" t="s">
        <v>1966</v>
      </c>
      <c r="J1163" s="29" t="s">
        <v>1967</v>
      </c>
      <c r="K1163" s="29" t="s">
        <v>1968</v>
      </c>
      <c r="L1163" s="250">
        <v>58</v>
      </c>
      <c r="M1163" s="251"/>
    </row>
    <row r="1164" ht="31" spans="1:13">
      <c r="A1164" s="248" t="s">
        <v>4175</v>
      </c>
      <c r="B1164" s="45" t="s">
        <v>4174</v>
      </c>
      <c r="C1164" s="249" t="e">
        <f>VLOOKUP(D1164,#REF!,2,0)</f>
        <v>#REF!</v>
      </c>
      <c r="D1164" s="29" t="s">
        <v>3941</v>
      </c>
      <c r="E1164" s="18" t="e">
        <f>VLOOKUP(C1164,数据集标准分类!E:F,2,0)</f>
        <v>#REF!</v>
      </c>
      <c r="F1164" s="29" t="e">
        <f>VLOOKUP(D1164,数据集标准分类!G:H,2,0)</f>
        <v>#N/A</v>
      </c>
      <c r="G1164" s="29" t="s">
        <v>4128</v>
      </c>
      <c r="H1164" s="29" t="s">
        <v>4129</v>
      </c>
      <c r="I1164" s="29" t="s">
        <v>4130</v>
      </c>
      <c r="J1164" s="29" t="s">
        <v>4131</v>
      </c>
      <c r="K1164" s="29" t="s">
        <v>4132</v>
      </c>
      <c r="L1164" s="250">
        <v>59</v>
      </c>
      <c r="M1164" s="251"/>
    </row>
    <row r="1165" ht="61" spans="1:13">
      <c r="A1165" s="248" t="s">
        <v>4175</v>
      </c>
      <c r="B1165" s="45" t="s">
        <v>4174</v>
      </c>
      <c r="C1165" s="249" t="e">
        <f>VLOOKUP(D1165,#REF!,2,0)</f>
        <v>#REF!</v>
      </c>
      <c r="D1165" s="29" t="s">
        <v>3941</v>
      </c>
      <c r="E1165" s="18" t="e">
        <f>VLOOKUP(C1165,数据集标准分类!E:F,2,0)</f>
        <v>#REF!</v>
      </c>
      <c r="F1165" s="29" t="e">
        <f>VLOOKUP(D1165,数据集标准分类!G:H,2,0)</f>
        <v>#N/A</v>
      </c>
      <c r="G1165" s="29" t="s">
        <v>330</v>
      </c>
      <c r="H1165" s="29" t="s">
        <v>331</v>
      </c>
      <c r="I1165" s="29" t="s">
        <v>332</v>
      </c>
      <c r="J1165" s="29" t="s">
        <v>333</v>
      </c>
      <c r="K1165" s="29" t="s">
        <v>334</v>
      </c>
      <c r="L1165" s="250">
        <v>60</v>
      </c>
      <c r="M1165" s="251"/>
    </row>
    <row r="1166" ht="46" spans="1:13">
      <c r="A1166" s="248" t="s">
        <v>4175</v>
      </c>
      <c r="B1166" s="45" t="s">
        <v>4174</v>
      </c>
      <c r="C1166" s="249" t="e">
        <f>VLOOKUP(D1166,#REF!,2,0)</f>
        <v>#REF!</v>
      </c>
      <c r="D1166" s="29" t="s">
        <v>3941</v>
      </c>
      <c r="E1166" s="18" t="e">
        <f>VLOOKUP(C1166,数据集标准分类!E:F,2,0)</f>
        <v>#REF!</v>
      </c>
      <c r="F1166" s="29" t="e">
        <f>VLOOKUP(D1166,数据集标准分类!G:H,2,0)</f>
        <v>#N/A</v>
      </c>
      <c r="G1166" s="29" t="s">
        <v>1969</v>
      </c>
      <c r="H1166" s="29" t="s">
        <v>1970</v>
      </c>
      <c r="I1166" s="29" t="s">
        <v>1971</v>
      </c>
      <c r="J1166" s="29" t="s">
        <v>1972</v>
      </c>
      <c r="K1166" s="29" t="s">
        <v>1973</v>
      </c>
      <c r="L1166" s="250">
        <v>61</v>
      </c>
      <c r="M1166" s="251"/>
    </row>
    <row r="1167" ht="24" customHeight="1" spans="1:13">
      <c r="A1167" s="248" t="s">
        <v>4175</v>
      </c>
      <c r="B1167" s="45" t="s">
        <v>4174</v>
      </c>
      <c r="C1167" s="249" t="e">
        <f>VLOOKUP(D1167,#REF!,2,0)</f>
        <v>#REF!</v>
      </c>
      <c r="D1167" s="29" t="s">
        <v>3941</v>
      </c>
      <c r="E1167" s="18" t="e">
        <f>VLOOKUP(C1167,数据集标准分类!E:F,2,0)</f>
        <v>#REF!</v>
      </c>
      <c r="F1167" s="29" t="e">
        <f>VLOOKUP(D1167,数据集标准分类!G:H,2,0)</f>
        <v>#N/A</v>
      </c>
      <c r="G1167" s="29" t="s">
        <v>1974</v>
      </c>
      <c r="H1167" s="29" t="s">
        <v>1975</v>
      </c>
      <c r="I1167" s="29" t="s">
        <v>1976</v>
      </c>
      <c r="J1167" s="29" t="s">
        <v>1977</v>
      </c>
      <c r="K1167" s="29" t="s">
        <v>1978</v>
      </c>
      <c r="L1167" s="250">
        <v>62</v>
      </c>
      <c r="M1167" s="251"/>
    </row>
    <row r="1168" ht="16.8" spans="1:13">
      <c r="A1168" s="248" t="s">
        <v>4175</v>
      </c>
      <c r="B1168" s="45" t="s">
        <v>4174</v>
      </c>
      <c r="C1168" s="249" t="e">
        <f>VLOOKUP(D1168,#REF!,2,0)</f>
        <v>#REF!</v>
      </c>
      <c r="D1168" s="29" t="s">
        <v>3941</v>
      </c>
      <c r="E1168" s="18" t="e">
        <f>VLOOKUP(C1168,数据集标准分类!E:F,2,0)</f>
        <v>#REF!</v>
      </c>
      <c r="F1168" s="29" t="e">
        <f>VLOOKUP(D1168,数据集标准分类!G:H,2,0)</f>
        <v>#N/A</v>
      </c>
      <c r="G1168" s="29" t="s">
        <v>1979</v>
      </c>
      <c r="H1168" s="29" t="s">
        <v>1980</v>
      </c>
      <c r="I1168" s="29" t="s">
        <v>1981</v>
      </c>
      <c r="J1168" s="29" t="s">
        <v>1982</v>
      </c>
      <c r="K1168" s="29" t="s">
        <v>1983</v>
      </c>
      <c r="L1168" s="250">
        <v>63</v>
      </c>
      <c r="M1168" s="251"/>
    </row>
    <row r="1169" ht="31" spans="1:13">
      <c r="A1169" s="248" t="s">
        <v>4175</v>
      </c>
      <c r="B1169" s="45" t="s">
        <v>4174</v>
      </c>
      <c r="C1169" s="249" t="e">
        <f>VLOOKUP(D1169,#REF!,2,0)</f>
        <v>#REF!</v>
      </c>
      <c r="D1169" s="29" t="s">
        <v>3941</v>
      </c>
      <c r="E1169" s="18" t="e">
        <f>VLOOKUP(C1169,数据集标准分类!E:F,2,0)</f>
        <v>#REF!</v>
      </c>
      <c r="F1169" s="29" t="e">
        <f>VLOOKUP(D1169,数据集标准分类!G:H,2,0)</f>
        <v>#N/A</v>
      </c>
      <c r="G1169" s="29" t="s">
        <v>1984</v>
      </c>
      <c r="H1169" s="29" t="s">
        <v>1985</v>
      </c>
      <c r="I1169" s="29" t="s">
        <v>1986</v>
      </c>
      <c r="J1169" s="29" t="s">
        <v>1987</v>
      </c>
      <c r="K1169" s="29" t="s">
        <v>1988</v>
      </c>
      <c r="L1169" s="250">
        <v>64</v>
      </c>
      <c r="M1169" s="251"/>
    </row>
    <row r="1170" ht="61" spans="1:13">
      <c r="A1170" s="248" t="s">
        <v>4175</v>
      </c>
      <c r="B1170" s="45" t="s">
        <v>4174</v>
      </c>
      <c r="C1170" s="249" t="e">
        <f>VLOOKUP(D1170,#REF!,2,0)</f>
        <v>#REF!</v>
      </c>
      <c r="D1170" s="29" t="s">
        <v>3941</v>
      </c>
      <c r="E1170" s="18" t="e">
        <f>VLOOKUP(C1170,数据集标准分类!E:F,2,0)</f>
        <v>#REF!</v>
      </c>
      <c r="F1170" s="29" t="e">
        <f>VLOOKUP(D1170,数据集标准分类!G:H,2,0)</f>
        <v>#N/A</v>
      </c>
      <c r="G1170" s="29" t="s">
        <v>1989</v>
      </c>
      <c r="H1170" s="29" t="s">
        <v>1990</v>
      </c>
      <c r="I1170" s="29" t="s">
        <v>1991</v>
      </c>
      <c r="J1170" s="29" t="s">
        <v>1992</v>
      </c>
      <c r="K1170" s="29" t="s">
        <v>1993</v>
      </c>
      <c r="L1170" s="250">
        <v>65</v>
      </c>
      <c r="M1170" s="251"/>
    </row>
    <row r="1171" ht="16.8" spans="1:13">
      <c r="A1171" s="248" t="s">
        <v>4175</v>
      </c>
      <c r="B1171" s="45" t="s">
        <v>4174</v>
      </c>
      <c r="C1171" s="249" t="e">
        <f>VLOOKUP(D1171,#REF!,2,0)</f>
        <v>#REF!</v>
      </c>
      <c r="D1171" s="29" t="s">
        <v>3941</v>
      </c>
      <c r="E1171" s="18" t="e">
        <f>VLOOKUP(C1171,数据集标准分类!E:F,2,0)</f>
        <v>#REF!</v>
      </c>
      <c r="F1171" s="29" t="e">
        <f>VLOOKUP(D1171,数据集标准分类!G:H,2,0)</f>
        <v>#N/A</v>
      </c>
      <c r="G1171" s="29" t="s">
        <v>1994</v>
      </c>
      <c r="H1171" s="29" t="s">
        <v>1995</v>
      </c>
      <c r="I1171" s="29" t="s">
        <v>1996</v>
      </c>
      <c r="J1171" s="29" t="s">
        <v>1997</v>
      </c>
      <c r="K1171" s="29" t="s">
        <v>1998</v>
      </c>
      <c r="L1171" s="250">
        <v>66</v>
      </c>
      <c r="M1171" s="251"/>
    </row>
    <row r="1172" ht="31" spans="1:13">
      <c r="A1172" s="248" t="s">
        <v>4175</v>
      </c>
      <c r="B1172" s="45" t="s">
        <v>4174</v>
      </c>
      <c r="C1172" s="249" t="e">
        <f>VLOOKUP(D1172,#REF!,2,0)</f>
        <v>#REF!</v>
      </c>
      <c r="D1172" s="29" t="s">
        <v>3941</v>
      </c>
      <c r="E1172" s="18" t="e">
        <f>VLOOKUP(C1172,数据集标准分类!E:F,2,0)</f>
        <v>#REF!</v>
      </c>
      <c r="F1172" s="29" t="e">
        <f>VLOOKUP(D1172,数据集标准分类!G:H,2,0)</f>
        <v>#N/A</v>
      </c>
      <c r="G1172" s="29" t="s">
        <v>1999</v>
      </c>
      <c r="H1172" s="29" t="s">
        <v>2000</v>
      </c>
      <c r="I1172" s="29" t="s">
        <v>2001</v>
      </c>
      <c r="J1172" s="29" t="s">
        <v>2002</v>
      </c>
      <c r="K1172" s="29" t="s">
        <v>2003</v>
      </c>
      <c r="L1172" s="250">
        <v>67</v>
      </c>
      <c r="M1172" s="251"/>
    </row>
    <row r="1173" ht="24" customHeight="1" spans="1:13">
      <c r="A1173" s="248" t="s">
        <v>4175</v>
      </c>
      <c r="B1173" s="45" t="s">
        <v>4174</v>
      </c>
      <c r="C1173" s="249" t="e">
        <f>VLOOKUP(D1173,#REF!,2,0)</f>
        <v>#REF!</v>
      </c>
      <c r="D1173" s="29" t="s">
        <v>4133</v>
      </c>
      <c r="E1173" s="18" t="e">
        <f>VLOOKUP(C1173,数据集标准分类!E:F,2,0)</f>
        <v>#REF!</v>
      </c>
      <c r="F1173" s="29" t="e">
        <f>VLOOKUP(D1173,数据集标准分类!G:H,2,0)</f>
        <v>#N/A</v>
      </c>
      <c r="G1173" s="29" t="s">
        <v>172</v>
      </c>
      <c r="H1173" s="29" t="s">
        <v>173</v>
      </c>
      <c r="I1173" s="29" t="s">
        <v>174</v>
      </c>
      <c r="J1173" s="29" t="s">
        <v>175</v>
      </c>
      <c r="K1173" s="29" t="s">
        <v>1245</v>
      </c>
      <c r="L1173" s="250">
        <v>1</v>
      </c>
      <c r="M1173" s="251"/>
    </row>
    <row r="1174" ht="31" spans="1:13">
      <c r="A1174" s="248" t="s">
        <v>4175</v>
      </c>
      <c r="B1174" s="45" t="s">
        <v>4174</v>
      </c>
      <c r="C1174" s="249" t="e">
        <f>VLOOKUP(D1174,#REF!,2,0)</f>
        <v>#REF!</v>
      </c>
      <c r="D1174" s="29" t="s">
        <v>4133</v>
      </c>
      <c r="E1174" s="18" t="e">
        <f>VLOOKUP(C1174,数据集标准分类!E:F,2,0)</f>
        <v>#REF!</v>
      </c>
      <c r="F1174" s="29" t="e">
        <f>VLOOKUP(D1174,数据集标准分类!G:H,2,0)</f>
        <v>#N/A</v>
      </c>
      <c r="G1174" s="29" t="s">
        <v>1394</v>
      </c>
      <c r="H1174" s="29" t="s">
        <v>1395</v>
      </c>
      <c r="I1174" s="29" t="s">
        <v>1396</v>
      </c>
      <c r="J1174" s="29" t="s">
        <v>1397</v>
      </c>
      <c r="K1174" s="29" t="s">
        <v>1106</v>
      </c>
      <c r="L1174" s="250">
        <v>2</v>
      </c>
      <c r="M1174" s="251"/>
    </row>
    <row r="1175" ht="31" spans="1:13">
      <c r="A1175" s="248" t="s">
        <v>4175</v>
      </c>
      <c r="B1175" s="45" t="s">
        <v>4174</v>
      </c>
      <c r="C1175" s="249" t="e">
        <f>VLOOKUP(D1175,#REF!,2,0)</f>
        <v>#REF!</v>
      </c>
      <c r="D1175" s="29" t="s">
        <v>4133</v>
      </c>
      <c r="E1175" s="18" t="e">
        <f>VLOOKUP(C1175,数据集标准分类!E:F,2,0)</f>
        <v>#REF!</v>
      </c>
      <c r="F1175" s="29" t="e">
        <f>VLOOKUP(D1175,数据集标准分类!G:H,2,0)</f>
        <v>#N/A</v>
      </c>
      <c r="G1175" s="29" t="s">
        <v>4134</v>
      </c>
      <c r="H1175" s="29" t="s">
        <v>4135</v>
      </c>
      <c r="I1175" s="29" t="s">
        <v>4136</v>
      </c>
      <c r="J1175" s="29" t="s">
        <v>4137</v>
      </c>
      <c r="K1175" s="29" t="s">
        <v>4138</v>
      </c>
      <c r="L1175" s="250">
        <v>3</v>
      </c>
      <c r="M1175" s="251"/>
    </row>
    <row r="1176" ht="16.8" spans="1:13">
      <c r="A1176" s="248" t="s">
        <v>4175</v>
      </c>
      <c r="B1176" s="45" t="s">
        <v>4174</v>
      </c>
      <c r="C1176" s="249" t="e">
        <f>VLOOKUP(D1176,#REF!,2,0)</f>
        <v>#REF!</v>
      </c>
      <c r="D1176" s="29" t="s">
        <v>4133</v>
      </c>
      <c r="E1176" s="18" t="e">
        <f>VLOOKUP(C1176,数据集标准分类!E:F,2,0)</f>
        <v>#REF!</v>
      </c>
      <c r="F1176" s="29" t="e">
        <f>VLOOKUP(D1176,数据集标准分类!G:H,2,0)</f>
        <v>#N/A</v>
      </c>
      <c r="G1176" s="29" t="s">
        <v>1647</v>
      </c>
      <c r="H1176" s="29" t="s">
        <v>1648</v>
      </c>
      <c r="I1176" s="29" t="s">
        <v>1649</v>
      </c>
      <c r="J1176" s="29" t="s">
        <v>1650</v>
      </c>
      <c r="K1176" s="29" t="s">
        <v>4139</v>
      </c>
      <c r="L1176" s="250">
        <v>4</v>
      </c>
      <c r="M1176" s="251"/>
    </row>
    <row r="1177" ht="16.8" spans="1:13">
      <c r="A1177" s="248" t="s">
        <v>4175</v>
      </c>
      <c r="B1177" s="45" t="s">
        <v>4174</v>
      </c>
      <c r="C1177" s="249" t="e">
        <f>VLOOKUP(D1177,#REF!,2,0)</f>
        <v>#REF!</v>
      </c>
      <c r="D1177" s="29" t="s">
        <v>4133</v>
      </c>
      <c r="E1177" s="18" t="e">
        <f>VLOOKUP(C1177,数据集标准分类!E:F,2,0)</f>
        <v>#REF!</v>
      </c>
      <c r="F1177" s="29" t="e">
        <f>VLOOKUP(D1177,数据集标准分类!G:H,2,0)</f>
        <v>#N/A</v>
      </c>
      <c r="G1177" s="29" t="s">
        <v>4140</v>
      </c>
      <c r="H1177" s="29" t="s">
        <v>4141</v>
      </c>
      <c r="I1177" s="29" t="s">
        <v>4142</v>
      </c>
      <c r="J1177" s="29" t="s">
        <v>4143</v>
      </c>
      <c r="K1177" s="29" t="s">
        <v>4144</v>
      </c>
      <c r="L1177" s="250">
        <v>5</v>
      </c>
      <c r="M1177" s="251"/>
    </row>
    <row r="1178" ht="16.8" spans="1:13">
      <c r="A1178" s="248" t="s">
        <v>4175</v>
      </c>
      <c r="B1178" s="45" t="s">
        <v>4174</v>
      </c>
      <c r="C1178" s="249" t="e">
        <f>VLOOKUP(D1178,#REF!,2,0)</f>
        <v>#REF!</v>
      </c>
      <c r="D1178" s="29" t="s">
        <v>4133</v>
      </c>
      <c r="E1178" s="18" t="e">
        <f>VLOOKUP(C1178,数据集标准分类!E:F,2,0)</f>
        <v>#REF!</v>
      </c>
      <c r="F1178" s="29" t="e">
        <f>VLOOKUP(D1178,数据集标准分类!G:H,2,0)</f>
        <v>#N/A</v>
      </c>
      <c r="G1178" s="29" t="s">
        <v>4145</v>
      </c>
      <c r="H1178" s="29" t="s">
        <v>4146</v>
      </c>
      <c r="I1178" s="29" t="s">
        <v>4147</v>
      </c>
      <c r="J1178" s="29" t="s">
        <v>4148</v>
      </c>
      <c r="K1178" s="29" t="s">
        <v>4149</v>
      </c>
      <c r="L1178" s="250">
        <v>6</v>
      </c>
      <c r="M1178" s="251"/>
    </row>
    <row r="1179" ht="24" customHeight="1" spans="1:13">
      <c r="A1179" s="248" t="s">
        <v>4175</v>
      </c>
      <c r="B1179" s="45" t="s">
        <v>4174</v>
      </c>
      <c r="C1179" s="249" t="e">
        <f>VLOOKUP(D1179,#REF!,2,0)</f>
        <v>#REF!</v>
      </c>
      <c r="D1179" s="29" t="s">
        <v>4133</v>
      </c>
      <c r="E1179" s="18" t="e">
        <f>VLOOKUP(C1179,数据集标准分类!E:F,2,0)</f>
        <v>#REF!</v>
      </c>
      <c r="F1179" s="29" t="e">
        <f>VLOOKUP(D1179,数据集标准分类!G:H,2,0)</f>
        <v>#N/A</v>
      </c>
      <c r="G1179" s="29" t="s">
        <v>4150</v>
      </c>
      <c r="H1179" s="29" t="s">
        <v>4151</v>
      </c>
      <c r="I1179" s="29" t="s">
        <v>4152</v>
      </c>
      <c r="J1179" s="29" t="s">
        <v>4153</v>
      </c>
      <c r="K1179" s="29" t="s">
        <v>4154</v>
      </c>
      <c r="L1179" s="250">
        <v>7</v>
      </c>
      <c r="M1179" s="251"/>
    </row>
    <row r="1180" ht="31" spans="1:13">
      <c r="A1180" s="248" t="s">
        <v>4175</v>
      </c>
      <c r="B1180" s="45" t="s">
        <v>4174</v>
      </c>
      <c r="C1180" s="249" t="e">
        <f>VLOOKUP(D1180,#REF!,2,0)</f>
        <v>#REF!</v>
      </c>
      <c r="D1180" s="29" t="s">
        <v>2716</v>
      </c>
      <c r="E1180" s="18" t="e">
        <f>VLOOKUP(C1180,数据集标准分类!E:F,2,0)</f>
        <v>#REF!</v>
      </c>
      <c r="F1180" s="29" t="e">
        <f>VLOOKUP(D1180,数据集标准分类!G:H,2,0)</f>
        <v>#N/A</v>
      </c>
      <c r="G1180" s="29" t="s">
        <v>503</v>
      </c>
      <c r="H1180" s="29" t="s">
        <v>504</v>
      </c>
      <c r="I1180" s="29" t="s">
        <v>505</v>
      </c>
      <c r="J1180" s="29" t="s">
        <v>506</v>
      </c>
      <c r="K1180" s="29" t="s">
        <v>1779</v>
      </c>
      <c r="L1180" s="250">
        <v>1</v>
      </c>
      <c r="M1180" s="251"/>
    </row>
    <row r="1181" ht="31" spans="1:13">
      <c r="A1181" s="248" t="s">
        <v>4175</v>
      </c>
      <c r="B1181" s="45" t="s">
        <v>4174</v>
      </c>
      <c r="C1181" s="249" t="e">
        <f>VLOOKUP(D1181,#REF!,2,0)</f>
        <v>#REF!</v>
      </c>
      <c r="D1181" s="29" t="s">
        <v>2716</v>
      </c>
      <c r="E1181" s="18" t="e">
        <f>VLOOKUP(C1181,数据集标准分类!E:F,2,0)</f>
        <v>#REF!</v>
      </c>
      <c r="F1181" s="29" t="e">
        <f>VLOOKUP(D1181,数据集标准分类!G:H,2,0)</f>
        <v>#N/A</v>
      </c>
      <c r="G1181" s="29" t="s">
        <v>508</v>
      </c>
      <c r="H1181" s="29" t="s">
        <v>509</v>
      </c>
      <c r="I1181" s="29" t="s">
        <v>510</v>
      </c>
      <c r="J1181" s="29" t="s">
        <v>511</v>
      </c>
      <c r="K1181" s="29" t="s">
        <v>116</v>
      </c>
      <c r="L1181" s="250">
        <v>2</v>
      </c>
      <c r="M1181" s="251"/>
    </row>
    <row r="1182" ht="46" spans="1:13">
      <c r="A1182" s="248" t="s">
        <v>4175</v>
      </c>
      <c r="B1182" s="45" t="s">
        <v>4174</v>
      </c>
      <c r="C1182" s="249" t="e">
        <f>VLOOKUP(D1182,#REF!,2,0)</f>
        <v>#REF!</v>
      </c>
      <c r="D1182" s="29" t="s">
        <v>2716</v>
      </c>
      <c r="E1182" s="18" t="e">
        <f>VLOOKUP(C1182,数据集标准分类!E:F,2,0)</f>
        <v>#REF!</v>
      </c>
      <c r="F1182" s="29" t="e">
        <f>VLOOKUP(D1182,数据集标准分类!G:H,2,0)</f>
        <v>#N/A</v>
      </c>
      <c r="G1182" s="29" t="s">
        <v>147</v>
      </c>
      <c r="H1182" s="29" t="s">
        <v>148</v>
      </c>
      <c r="I1182" s="29" t="s">
        <v>149</v>
      </c>
      <c r="J1182" s="29" t="s">
        <v>150</v>
      </c>
      <c r="K1182" s="29" t="s">
        <v>151</v>
      </c>
      <c r="L1182" s="250">
        <v>3</v>
      </c>
      <c r="M1182" s="251"/>
    </row>
    <row r="1183" ht="31" spans="1:13">
      <c r="A1183" s="248" t="s">
        <v>4175</v>
      </c>
      <c r="B1183" s="45" t="s">
        <v>4174</v>
      </c>
      <c r="C1183" s="249" t="e">
        <f>VLOOKUP(D1183,#REF!,2,0)</f>
        <v>#REF!</v>
      </c>
      <c r="D1183" s="29" t="s">
        <v>2716</v>
      </c>
      <c r="E1183" s="18" t="e">
        <f>VLOOKUP(C1183,数据集标准分类!E:F,2,0)</f>
        <v>#REF!</v>
      </c>
      <c r="F1183" s="29" t="e">
        <f>VLOOKUP(D1183,数据集标准分类!G:H,2,0)</f>
        <v>#N/A</v>
      </c>
      <c r="G1183" s="29" t="s">
        <v>2652</v>
      </c>
      <c r="H1183" s="29" t="s">
        <v>2653</v>
      </c>
      <c r="I1183" s="29" t="s">
        <v>2654</v>
      </c>
      <c r="J1183" s="29" t="s">
        <v>2655</v>
      </c>
      <c r="K1183" s="29" t="s">
        <v>2656</v>
      </c>
      <c r="L1183" s="250">
        <v>4</v>
      </c>
      <c r="M1183" s="251"/>
    </row>
    <row r="1184" ht="46" spans="1:13">
      <c r="A1184" s="248" t="s">
        <v>4175</v>
      </c>
      <c r="B1184" s="45" t="s">
        <v>4174</v>
      </c>
      <c r="C1184" s="249" t="e">
        <f>VLOOKUP(D1184,#REF!,2,0)</f>
        <v>#REF!</v>
      </c>
      <c r="D1184" s="29" t="s">
        <v>2716</v>
      </c>
      <c r="E1184" s="18" t="e">
        <f>VLOOKUP(C1184,数据集标准分类!E:F,2,0)</f>
        <v>#REF!</v>
      </c>
      <c r="F1184" s="29" t="e">
        <f>VLOOKUP(D1184,数据集标准分类!G:H,2,0)</f>
        <v>#N/A</v>
      </c>
      <c r="G1184" s="29" t="s">
        <v>2717</v>
      </c>
      <c r="H1184" s="29" t="s">
        <v>2718</v>
      </c>
      <c r="I1184" s="29" t="s">
        <v>2719</v>
      </c>
      <c r="J1184" s="29" t="s">
        <v>2720</v>
      </c>
      <c r="K1184" s="29" t="s">
        <v>2721</v>
      </c>
      <c r="L1184" s="250">
        <v>5</v>
      </c>
      <c r="M1184" s="251"/>
    </row>
    <row r="1185" ht="24" customHeight="1" spans="1:13">
      <c r="A1185" s="248" t="s">
        <v>4175</v>
      </c>
      <c r="B1185" s="45" t="s">
        <v>4174</v>
      </c>
      <c r="C1185" s="249" t="e">
        <f>VLOOKUP(D1185,#REF!,2,0)</f>
        <v>#REF!</v>
      </c>
      <c r="D1185" s="29" t="s">
        <v>2716</v>
      </c>
      <c r="E1185" s="18" t="e">
        <f>VLOOKUP(C1185,数据集标准分类!E:F,2,0)</f>
        <v>#REF!</v>
      </c>
      <c r="F1185" s="29" t="e">
        <f>VLOOKUP(D1185,数据集标准分类!G:H,2,0)</f>
        <v>#N/A</v>
      </c>
      <c r="G1185" s="29" t="s">
        <v>663</v>
      </c>
      <c r="H1185" s="29" t="s">
        <v>664</v>
      </c>
      <c r="I1185" s="29" t="s">
        <v>665</v>
      </c>
      <c r="J1185" s="29" t="s">
        <v>666</v>
      </c>
      <c r="K1185" s="29" t="s">
        <v>667</v>
      </c>
      <c r="L1185" s="250">
        <v>6</v>
      </c>
      <c r="M1185" s="251"/>
    </row>
    <row r="1186" customHeight="1" spans="1:13">
      <c r="A1186" s="248" t="s">
        <v>4175</v>
      </c>
      <c r="B1186" s="45" t="s">
        <v>4174</v>
      </c>
      <c r="C1186" s="249" t="e">
        <f>VLOOKUP(D1186,#REF!,2,0)</f>
        <v>#REF!</v>
      </c>
      <c r="D1186" s="29" t="s">
        <v>2716</v>
      </c>
      <c r="E1186" s="18" t="e">
        <f>VLOOKUP(C1186,数据集标准分类!E:F,2,0)</f>
        <v>#REF!</v>
      </c>
      <c r="F1186" s="29" t="e">
        <f>VLOOKUP(D1186,数据集标准分类!G:H,2,0)</f>
        <v>#N/A</v>
      </c>
      <c r="G1186" s="29" t="s">
        <v>668</v>
      </c>
      <c r="H1186" s="29" t="s">
        <v>669</v>
      </c>
      <c r="I1186" s="29" t="s">
        <v>670</v>
      </c>
      <c r="J1186" s="29" t="s">
        <v>671</v>
      </c>
      <c r="K1186" s="29" t="s">
        <v>672</v>
      </c>
      <c r="L1186" s="250">
        <v>7</v>
      </c>
      <c r="M1186" s="251"/>
    </row>
    <row r="1187" ht="31" spans="1:13">
      <c r="A1187" s="248" t="s">
        <v>4175</v>
      </c>
      <c r="B1187" s="45" t="s">
        <v>4174</v>
      </c>
      <c r="C1187" s="249" t="e">
        <f>VLOOKUP(D1187,#REF!,2,0)</f>
        <v>#REF!</v>
      </c>
      <c r="D1187" s="29" t="s">
        <v>2716</v>
      </c>
      <c r="E1187" s="18" t="e">
        <f>VLOOKUP(C1187,数据集标准分类!E:F,2,0)</f>
        <v>#REF!</v>
      </c>
      <c r="F1187" s="29" t="e">
        <f>VLOOKUP(D1187,数据集标准分类!G:H,2,0)</f>
        <v>#N/A</v>
      </c>
      <c r="G1187" s="29" t="s">
        <v>918</v>
      </c>
      <c r="H1187" s="29" t="s">
        <v>919</v>
      </c>
      <c r="I1187" s="29" t="s">
        <v>920</v>
      </c>
      <c r="J1187" s="29" t="s">
        <v>921</v>
      </c>
      <c r="K1187" s="29" t="s">
        <v>922</v>
      </c>
      <c r="L1187" s="250">
        <v>8</v>
      </c>
      <c r="M1187" s="251"/>
    </row>
    <row r="1188" ht="61" spans="1:13">
      <c r="A1188" s="248" t="s">
        <v>4175</v>
      </c>
      <c r="B1188" s="45" t="s">
        <v>4174</v>
      </c>
      <c r="C1188" s="249" t="e">
        <f>VLOOKUP(D1188,#REF!,2,0)</f>
        <v>#REF!</v>
      </c>
      <c r="D1188" s="29" t="s">
        <v>2716</v>
      </c>
      <c r="E1188" s="18" t="e">
        <f>VLOOKUP(C1188,数据集标准分类!E:F,2,0)</f>
        <v>#REF!</v>
      </c>
      <c r="F1188" s="29" t="e">
        <f>VLOOKUP(D1188,数据集标准分类!G:H,2,0)</f>
        <v>#N/A</v>
      </c>
      <c r="G1188" s="29" t="s">
        <v>2662</v>
      </c>
      <c r="H1188" s="29" t="s">
        <v>2663</v>
      </c>
      <c r="I1188" s="29" t="s">
        <v>2664</v>
      </c>
      <c r="J1188" s="29" t="s">
        <v>2665</v>
      </c>
      <c r="K1188" s="29" t="s">
        <v>2666</v>
      </c>
      <c r="L1188" s="250">
        <v>9</v>
      </c>
      <c r="M1188" s="251"/>
    </row>
    <row r="1189" ht="46" spans="1:13">
      <c r="A1189" s="248" t="s">
        <v>4175</v>
      </c>
      <c r="B1189" s="45" t="s">
        <v>4174</v>
      </c>
      <c r="C1189" s="249" t="e">
        <f>VLOOKUP(D1189,#REF!,2,0)</f>
        <v>#REF!</v>
      </c>
      <c r="D1189" s="29" t="s">
        <v>2716</v>
      </c>
      <c r="E1189" s="18" t="e">
        <f>VLOOKUP(C1189,数据集标准分类!E:F,2,0)</f>
        <v>#REF!</v>
      </c>
      <c r="F1189" s="29" t="e">
        <f>VLOOKUP(D1189,数据集标准分类!G:H,2,0)</f>
        <v>#N/A</v>
      </c>
      <c r="G1189" s="29" t="s">
        <v>784</v>
      </c>
      <c r="H1189" s="29" t="s">
        <v>785</v>
      </c>
      <c r="I1189" s="29" t="s">
        <v>786</v>
      </c>
      <c r="J1189" s="29" t="s">
        <v>787</v>
      </c>
      <c r="K1189" s="29" t="s">
        <v>788</v>
      </c>
      <c r="L1189" s="250">
        <v>10</v>
      </c>
      <c r="M1189" s="251"/>
    </row>
    <row r="1190" ht="31" spans="1:13">
      <c r="A1190" s="248" t="s">
        <v>4175</v>
      </c>
      <c r="B1190" s="45" t="s">
        <v>4174</v>
      </c>
      <c r="C1190" s="249" t="e">
        <f>VLOOKUP(D1190,#REF!,2,0)</f>
        <v>#REF!</v>
      </c>
      <c r="D1190" s="29" t="s">
        <v>2716</v>
      </c>
      <c r="E1190" s="18" t="e">
        <f>VLOOKUP(C1190,数据集标准分类!E:F,2,0)</f>
        <v>#REF!</v>
      </c>
      <c r="F1190" s="29" t="e">
        <f>VLOOKUP(D1190,数据集标准分类!G:H,2,0)</f>
        <v>#N/A</v>
      </c>
      <c r="G1190" s="29" t="s">
        <v>2667</v>
      </c>
      <c r="H1190" s="29" t="s">
        <v>2668</v>
      </c>
      <c r="I1190" s="29" t="s">
        <v>2669</v>
      </c>
      <c r="J1190" s="29" t="s">
        <v>2670</v>
      </c>
      <c r="K1190" s="29" t="s">
        <v>2671</v>
      </c>
      <c r="L1190" s="250">
        <v>11</v>
      </c>
      <c r="M1190" s="251"/>
    </row>
    <row r="1191" ht="31" spans="1:13">
      <c r="A1191" s="248" t="s">
        <v>4175</v>
      </c>
      <c r="B1191" s="45" t="s">
        <v>4174</v>
      </c>
      <c r="C1191" s="249" t="e">
        <f>VLOOKUP(D1191,#REF!,2,0)</f>
        <v>#REF!</v>
      </c>
      <c r="D1191" s="29" t="s">
        <v>2716</v>
      </c>
      <c r="E1191" s="18" t="e">
        <f>VLOOKUP(C1191,数据集标准分类!E:F,2,0)</f>
        <v>#REF!</v>
      </c>
      <c r="F1191" s="29" t="e">
        <f>VLOOKUP(D1191,数据集标准分类!G:H,2,0)</f>
        <v>#N/A</v>
      </c>
      <c r="G1191" s="29" t="s">
        <v>779</v>
      </c>
      <c r="H1191" s="29" t="s">
        <v>780</v>
      </c>
      <c r="I1191" s="29" t="s">
        <v>781</v>
      </c>
      <c r="J1191" s="29" t="s">
        <v>782</v>
      </c>
      <c r="K1191" s="29" t="s">
        <v>2672</v>
      </c>
      <c r="L1191" s="250">
        <v>12</v>
      </c>
      <c r="M1191" s="251"/>
    </row>
    <row r="1192" ht="46" spans="1:13">
      <c r="A1192" s="248" t="s">
        <v>4175</v>
      </c>
      <c r="B1192" s="45" t="s">
        <v>4174</v>
      </c>
      <c r="C1192" s="249" t="e">
        <f>VLOOKUP(D1192,#REF!,2,0)</f>
        <v>#REF!</v>
      </c>
      <c r="D1192" s="29" t="s">
        <v>2716</v>
      </c>
      <c r="E1192" s="18" t="e">
        <f>VLOOKUP(C1192,数据集标准分类!E:F,2,0)</f>
        <v>#REF!</v>
      </c>
      <c r="F1192" s="29" t="e">
        <f>VLOOKUP(D1192,数据集标准分类!G:H,2,0)</f>
        <v>#N/A</v>
      </c>
      <c r="G1192" s="29" t="s">
        <v>798</v>
      </c>
      <c r="H1192" s="29" t="s">
        <v>799</v>
      </c>
      <c r="I1192" s="29" t="s">
        <v>800</v>
      </c>
      <c r="J1192" s="29" t="s">
        <v>801</v>
      </c>
      <c r="K1192" s="29" t="s">
        <v>2673</v>
      </c>
      <c r="L1192" s="250">
        <v>13</v>
      </c>
      <c r="M1192" s="251"/>
    </row>
    <row r="1193" ht="46" spans="1:13">
      <c r="A1193" s="248" t="s">
        <v>4175</v>
      </c>
      <c r="B1193" s="45" t="s">
        <v>4174</v>
      </c>
      <c r="C1193" s="249" t="e">
        <f>VLOOKUP(D1193,#REF!,2,0)</f>
        <v>#REF!</v>
      </c>
      <c r="D1193" s="29" t="s">
        <v>2716</v>
      </c>
      <c r="E1193" s="18" t="e">
        <f>VLOOKUP(C1193,数据集标准分类!E:F,2,0)</f>
        <v>#REF!</v>
      </c>
      <c r="F1193" s="29" t="e">
        <f>VLOOKUP(D1193,数据集标准分类!G:H,2,0)</f>
        <v>#N/A</v>
      </c>
      <c r="G1193" s="29" t="s">
        <v>793</v>
      </c>
      <c r="H1193" s="29" t="s">
        <v>794</v>
      </c>
      <c r="I1193" s="29" t="s">
        <v>795</v>
      </c>
      <c r="J1193" s="29" t="s">
        <v>796</v>
      </c>
      <c r="K1193" s="29" t="s">
        <v>2674</v>
      </c>
      <c r="L1193" s="250">
        <v>14</v>
      </c>
      <c r="M1193" s="251"/>
    </row>
    <row r="1194" customHeight="1" spans="1:13">
      <c r="A1194" s="248" t="s">
        <v>4175</v>
      </c>
      <c r="B1194" s="45" t="s">
        <v>4174</v>
      </c>
      <c r="C1194" s="249" t="e">
        <f>VLOOKUP(D1194,#REF!,2,0)</f>
        <v>#REF!</v>
      </c>
      <c r="D1194" s="29" t="s">
        <v>2716</v>
      </c>
      <c r="E1194" s="18" t="e">
        <f>VLOOKUP(C1194,数据集标准分类!E:F,2,0)</f>
        <v>#REF!</v>
      </c>
      <c r="F1194" s="29" t="e">
        <f>VLOOKUP(D1194,数据集标准分类!G:H,2,0)</f>
        <v>#N/A</v>
      </c>
      <c r="G1194" s="29" t="s">
        <v>808</v>
      </c>
      <c r="H1194" s="29" t="s">
        <v>809</v>
      </c>
      <c r="I1194" s="29" t="s">
        <v>810</v>
      </c>
      <c r="J1194" s="29" t="s">
        <v>811</v>
      </c>
      <c r="K1194" s="29" t="s">
        <v>2675</v>
      </c>
      <c r="L1194" s="250">
        <v>15</v>
      </c>
      <c r="M1194" s="251"/>
    </row>
    <row r="1195" ht="46" spans="1:13">
      <c r="A1195" s="248" t="s">
        <v>4175</v>
      </c>
      <c r="B1195" s="45" t="s">
        <v>4174</v>
      </c>
      <c r="C1195" s="249" t="e">
        <f>VLOOKUP(D1195,#REF!,2,0)</f>
        <v>#REF!</v>
      </c>
      <c r="D1195" s="29" t="s">
        <v>2716</v>
      </c>
      <c r="E1195" s="18" t="e">
        <f>VLOOKUP(C1195,数据集标准分类!E:F,2,0)</f>
        <v>#REF!</v>
      </c>
      <c r="F1195" s="29" t="e">
        <f>VLOOKUP(D1195,数据集标准分类!G:H,2,0)</f>
        <v>#N/A</v>
      </c>
      <c r="G1195" s="29" t="s">
        <v>803</v>
      </c>
      <c r="H1195" s="29" t="s">
        <v>804</v>
      </c>
      <c r="I1195" s="29" t="s">
        <v>805</v>
      </c>
      <c r="J1195" s="29" t="s">
        <v>806</v>
      </c>
      <c r="K1195" s="29" t="s">
        <v>2676</v>
      </c>
      <c r="L1195" s="250">
        <v>16</v>
      </c>
      <c r="M1195" s="251"/>
    </row>
    <row r="1196" ht="46" spans="1:13">
      <c r="A1196" s="248" t="s">
        <v>4175</v>
      </c>
      <c r="B1196" s="45" t="s">
        <v>4174</v>
      </c>
      <c r="C1196" s="249" t="e">
        <f>VLOOKUP(D1196,#REF!,2,0)</f>
        <v>#REF!</v>
      </c>
      <c r="D1196" s="29" t="s">
        <v>2716</v>
      </c>
      <c r="E1196" s="18" t="e">
        <f>VLOOKUP(C1196,数据集标准分类!E:F,2,0)</f>
        <v>#REF!</v>
      </c>
      <c r="F1196" s="29" t="e">
        <f>VLOOKUP(D1196,数据集标准分类!G:H,2,0)</f>
        <v>#N/A</v>
      </c>
      <c r="G1196" s="29" t="s">
        <v>818</v>
      </c>
      <c r="H1196" s="29" t="s">
        <v>819</v>
      </c>
      <c r="I1196" s="29" t="s">
        <v>820</v>
      </c>
      <c r="J1196" s="29" t="s">
        <v>821</v>
      </c>
      <c r="K1196" s="29" t="s">
        <v>2677</v>
      </c>
      <c r="L1196" s="250">
        <v>17</v>
      </c>
      <c r="M1196" s="251"/>
    </row>
    <row r="1197" ht="46" spans="1:13">
      <c r="A1197" s="248" t="s">
        <v>4175</v>
      </c>
      <c r="B1197" s="45" t="s">
        <v>4174</v>
      </c>
      <c r="C1197" s="249" t="e">
        <f>VLOOKUP(D1197,#REF!,2,0)</f>
        <v>#REF!</v>
      </c>
      <c r="D1197" s="29" t="s">
        <v>2716</v>
      </c>
      <c r="E1197" s="18" t="e">
        <f>VLOOKUP(C1197,数据集标准分类!E:F,2,0)</f>
        <v>#REF!</v>
      </c>
      <c r="F1197" s="29" t="e">
        <f>VLOOKUP(D1197,数据集标准分类!G:H,2,0)</f>
        <v>#N/A</v>
      </c>
      <c r="G1197" s="29" t="s">
        <v>813</v>
      </c>
      <c r="H1197" s="29" t="s">
        <v>814</v>
      </c>
      <c r="I1197" s="29" t="s">
        <v>815</v>
      </c>
      <c r="J1197" s="29" t="s">
        <v>816</v>
      </c>
      <c r="K1197" s="29" t="s">
        <v>2678</v>
      </c>
      <c r="L1197" s="250">
        <v>18</v>
      </c>
      <c r="M1197" s="251"/>
    </row>
    <row r="1198" ht="31" spans="1:13">
      <c r="A1198" s="248" t="s">
        <v>4175</v>
      </c>
      <c r="B1198" s="45" t="s">
        <v>4174</v>
      </c>
      <c r="C1198" s="249" t="e">
        <f>VLOOKUP(D1198,#REF!,2,0)</f>
        <v>#REF!</v>
      </c>
      <c r="D1198" s="29" t="s">
        <v>2716</v>
      </c>
      <c r="E1198" s="18" t="e">
        <f>VLOOKUP(C1198,数据集标准分类!E:F,2,0)</f>
        <v>#REF!</v>
      </c>
      <c r="F1198" s="29" t="e">
        <f>VLOOKUP(D1198,数据集标准分类!G:H,2,0)</f>
        <v>#N/A</v>
      </c>
      <c r="G1198" s="29" t="s">
        <v>2679</v>
      </c>
      <c r="H1198" s="29" t="s">
        <v>2680</v>
      </c>
      <c r="I1198" s="29" t="s">
        <v>2681</v>
      </c>
      <c r="J1198" s="29" t="s">
        <v>2682</v>
      </c>
      <c r="K1198" s="29" t="s">
        <v>2683</v>
      </c>
      <c r="L1198" s="250">
        <v>19</v>
      </c>
      <c r="M1198" s="251"/>
    </row>
    <row r="1199" ht="31" spans="1:13">
      <c r="A1199" s="248" t="s">
        <v>4175</v>
      </c>
      <c r="B1199" s="45" t="s">
        <v>4174</v>
      </c>
      <c r="C1199" s="249" t="e">
        <f>VLOOKUP(D1199,#REF!,2,0)</f>
        <v>#REF!</v>
      </c>
      <c r="D1199" s="29" t="s">
        <v>2716</v>
      </c>
      <c r="E1199" s="18" t="e">
        <f>VLOOKUP(C1199,数据集标准分类!E:F,2,0)</f>
        <v>#REF!</v>
      </c>
      <c r="F1199" s="29" t="e">
        <f>VLOOKUP(D1199,数据集标准分类!G:H,2,0)</f>
        <v>#N/A</v>
      </c>
      <c r="G1199" s="29" t="s">
        <v>789</v>
      </c>
      <c r="H1199" s="29" t="s">
        <v>790</v>
      </c>
      <c r="I1199" s="29" t="s">
        <v>790</v>
      </c>
      <c r="J1199" s="29" t="s">
        <v>791</v>
      </c>
      <c r="K1199" s="29" t="s">
        <v>792</v>
      </c>
      <c r="L1199" s="250">
        <v>20</v>
      </c>
      <c r="M1199" s="251"/>
    </row>
    <row r="1200" ht="31" spans="1:13">
      <c r="A1200" s="248" t="s">
        <v>4175</v>
      </c>
      <c r="B1200" s="45" t="s">
        <v>4174</v>
      </c>
      <c r="C1200" s="249" t="e">
        <f>VLOOKUP(D1200,#REF!,2,0)</f>
        <v>#REF!</v>
      </c>
      <c r="D1200" s="29" t="s">
        <v>2716</v>
      </c>
      <c r="E1200" s="18" t="e">
        <f>VLOOKUP(C1200,数据集标准分类!E:F,2,0)</f>
        <v>#REF!</v>
      </c>
      <c r="F1200" s="29" t="e">
        <f>VLOOKUP(D1200,数据集标准分类!G:H,2,0)</f>
        <v>#N/A</v>
      </c>
      <c r="G1200" s="29" t="s">
        <v>2685</v>
      </c>
      <c r="H1200" s="29" t="s">
        <v>2686</v>
      </c>
      <c r="I1200" s="29" t="s">
        <v>2687</v>
      </c>
      <c r="J1200" s="29" t="s">
        <v>2688</v>
      </c>
      <c r="K1200" s="29" t="s">
        <v>2689</v>
      </c>
      <c r="L1200" s="250">
        <v>21</v>
      </c>
      <c r="M1200" s="251"/>
    </row>
    <row r="1201" customHeight="1" spans="1:13">
      <c r="A1201" s="248" t="s">
        <v>4175</v>
      </c>
      <c r="B1201" s="45" t="s">
        <v>4174</v>
      </c>
      <c r="C1201" s="249" t="e">
        <f>VLOOKUP(D1201,#REF!,2,0)</f>
        <v>#REF!</v>
      </c>
      <c r="D1201" s="29" t="s">
        <v>2716</v>
      </c>
      <c r="E1201" s="18" t="e">
        <f>VLOOKUP(C1201,数据集标准分类!E:F,2,0)</f>
        <v>#REF!</v>
      </c>
      <c r="F1201" s="29" t="e">
        <f>VLOOKUP(D1201,数据集标准分类!G:H,2,0)</f>
        <v>#N/A</v>
      </c>
      <c r="G1201" s="29" t="s">
        <v>2690</v>
      </c>
      <c r="H1201" s="29" t="s">
        <v>2691</v>
      </c>
      <c r="I1201" s="29" t="s">
        <v>2692</v>
      </c>
      <c r="J1201" s="29" t="s">
        <v>2693</v>
      </c>
      <c r="K1201" s="29" t="s">
        <v>2694</v>
      </c>
      <c r="L1201" s="250">
        <v>22</v>
      </c>
      <c r="M1201" s="251"/>
    </row>
    <row r="1202" ht="31" spans="1:13">
      <c r="A1202" s="248" t="s">
        <v>4175</v>
      </c>
      <c r="B1202" s="45" t="s">
        <v>4174</v>
      </c>
      <c r="C1202" s="249" t="e">
        <f>VLOOKUP(D1202,#REF!,2,0)</f>
        <v>#REF!</v>
      </c>
      <c r="D1202" s="29" t="s">
        <v>2716</v>
      </c>
      <c r="E1202" s="18" t="e">
        <f>VLOOKUP(C1202,数据集标准分类!E:F,2,0)</f>
        <v>#REF!</v>
      </c>
      <c r="F1202" s="29" t="e">
        <f>VLOOKUP(D1202,数据集标准分类!G:H,2,0)</f>
        <v>#N/A</v>
      </c>
      <c r="G1202" s="29" t="s">
        <v>1921</v>
      </c>
      <c r="H1202" s="29" t="s">
        <v>1922</v>
      </c>
      <c r="I1202" s="29" t="s">
        <v>1923</v>
      </c>
      <c r="J1202" s="29" t="s">
        <v>1924</v>
      </c>
      <c r="K1202" s="29" t="s">
        <v>2695</v>
      </c>
      <c r="L1202" s="250">
        <v>23</v>
      </c>
      <c r="M1202" s="251"/>
    </row>
    <row r="1203" ht="16.8" spans="1:13">
      <c r="A1203" s="248" t="s">
        <v>4175</v>
      </c>
      <c r="B1203" s="45" t="s">
        <v>4174</v>
      </c>
      <c r="C1203" s="249" t="e">
        <f>VLOOKUP(D1203,#REF!,2,0)</f>
        <v>#REF!</v>
      </c>
      <c r="D1203" s="29" t="s">
        <v>2716</v>
      </c>
      <c r="E1203" s="18" t="e">
        <f>VLOOKUP(C1203,数据集标准分类!E:F,2,0)</f>
        <v>#REF!</v>
      </c>
      <c r="F1203" s="29" t="e">
        <f>VLOOKUP(D1203,数据集标准分类!G:H,2,0)</f>
        <v>#N/A</v>
      </c>
      <c r="G1203" s="29" t="s">
        <v>2696</v>
      </c>
      <c r="H1203" s="29" t="s">
        <v>2697</v>
      </c>
      <c r="I1203" s="29" t="s">
        <v>2698</v>
      </c>
      <c r="J1203" s="29" t="s">
        <v>2699</v>
      </c>
      <c r="K1203" s="29" t="s">
        <v>2700</v>
      </c>
      <c r="L1203" s="250">
        <v>24</v>
      </c>
      <c r="M1203" s="251"/>
    </row>
    <row r="1204" ht="31" spans="1:13">
      <c r="A1204" s="248" t="s">
        <v>4175</v>
      </c>
      <c r="B1204" s="45" t="s">
        <v>4174</v>
      </c>
      <c r="C1204" s="249" t="e">
        <f>VLOOKUP(D1204,#REF!,2,0)</f>
        <v>#REF!</v>
      </c>
      <c r="D1204" s="29" t="s">
        <v>2716</v>
      </c>
      <c r="E1204" s="18" t="e">
        <f>VLOOKUP(C1204,数据集标准分类!E:F,2,0)</f>
        <v>#REF!</v>
      </c>
      <c r="F1204" s="29" t="e">
        <f>VLOOKUP(D1204,数据集标准分类!G:H,2,0)</f>
        <v>#N/A</v>
      </c>
      <c r="G1204" s="29" t="s">
        <v>2701</v>
      </c>
      <c r="H1204" s="29" t="s">
        <v>2702</v>
      </c>
      <c r="I1204" s="29" t="s">
        <v>2703</v>
      </c>
      <c r="J1204" s="29" t="s">
        <v>2704</v>
      </c>
      <c r="K1204" s="29" t="s">
        <v>2705</v>
      </c>
      <c r="L1204" s="250">
        <v>24</v>
      </c>
      <c r="M1204" s="251"/>
    </row>
    <row r="1205" ht="16.8" spans="1:13">
      <c r="A1205" s="248" t="s">
        <v>4175</v>
      </c>
      <c r="B1205" s="45" t="s">
        <v>4174</v>
      </c>
      <c r="C1205" s="249" t="e">
        <f>VLOOKUP(D1205,#REF!,2,0)</f>
        <v>#REF!</v>
      </c>
      <c r="D1205" s="29" t="s">
        <v>2716</v>
      </c>
      <c r="E1205" s="18" t="e">
        <f>VLOOKUP(C1205,数据集标准分类!E:F,2,0)</f>
        <v>#REF!</v>
      </c>
      <c r="F1205" s="29" t="e">
        <f>VLOOKUP(D1205,数据集标准分类!G:H,2,0)</f>
        <v>#N/A</v>
      </c>
      <c r="G1205" s="29" t="s">
        <v>2706</v>
      </c>
      <c r="H1205" s="29" t="s">
        <v>2707</v>
      </c>
      <c r="I1205" s="29" t="s">
        <v>2708</v>
      </c>
      <c r="J1205" s="29" t="s">
        <v>2709</v>
      </c>
      <c r="K1205" s="29" t="s">
        <v>2710</v>
      </c>
      <c r="L1205" s="250">
        <v>25</v>
      </c>
      <c r="M1205" s="251"/>
    </row>
    <row r="1206" ht="31" spans="1:13">
      <c r="A1206" s="248" t="s">
        <v>4175</v>
      </c>
      <c r="B1206" s="45" t="s">
        <v>4174</v>
      </c>
      <c r="C1206" s="249" t="e">
        <f>VLOOKUP(D1206,#REF!,2,0)</f>
        <v>#REF!</v>
      </c>
      <c r="D1206" s="29" t="s">
        <v>2716</v>
      </c>
      <c r="E1206" s="18" t="e">
        <f>VLOOKUP(C1206,数据集标准分类!E:F,2,0)</f>
        <v>#REF!</v>
      </c>
      <c r="F1206" s="29" t="e">
        <f>VLOOKUP(D1206,数据集标准分类!G:H,2,0)</f>
        <v>#N/A</v>
      </c>
      <c r="G1206" s="29" t="s">
        <v>2711</v>
      </c>
      <c r="H1206" s="29" t="s">
        <v>2712</v>
      </c>
      <c r="I1206" s="29" t="s">
        <v>2713</v>
      </c>
      <c r="J1206" s="29" t="s">
        <v>2714</v>
      </c>
      <c r="K1206" s="29" t="s">
        <v>2715</v>
      </c>
      <c r="L1206" s="250">
        <v>26</v>
      </c>
      <c r="M1206" s="251"/>
    </row>
    <row r="1207" ht="46" spans="1:13">
      <c r="A1207" s="248" t="s">
        <v>4175</v>
      </c>
      <c r="B1207" s="45" t="s">
        <v>4174</v>
      </c>
      <c r="C1207" s="249" t="e">
        <f>VLOOKUP(D1207,#REF!,2,0)</f>
        <v>#REF!</v>
      </c>
      <c r="D1207" s="29" t="s">
        <v>2716</v>
      </c>
      <c r="E1207" s="18" t="e">
        <f>VLOOKUP(C1207,数据集标准分类!E:F,2,0)</f>
        <v>#REF!</v>
      </c>
      <c r="F1207" s="29" t="e">
        <f>VLOOKUP(D1207,数据集标准分类!G:H,2,0)</f>
        <v>#N/A</v>
      </c>
      <c r="G1207" s="29" t="s">
        <v>2722</v>
      </c>
      <c r="H1207" s="29" t="s">
        <v>2723</v>
      </c>
      <c r="I1207" s="29" t="s">
        <v>2724</v>
      </c>
      <c r="J1207" s="29" t="s">
        <v>2725</v>
      </c>
      <c r="K1207" s="29" t="s">
        <v>2726</v>
      </c>
      <c r="L1207" s="250">
        <v>27</v>
      </c>
      <c r="M1207" s="251"/>
    </row>
    <row r="1208" ht="31" spans="1:13">
      <c r="A1208" s="248" t="s">
        <v>4175</v>
      </c>
      <c r="B1208" s="45" t="s">
        <v>4174</v>
      </c>
      <c r="C1208" s="249" t="e">
        <f>VLOOKUP(D1208,#REF!,2,0)</f>
        <v>#REF!</v>
      </c>
      <c r="D1208" s="29" t="s">
        <v>2716</v>
      </c>
      <c r="E1208" s="18" t="e">
        <f>VLOOKUP(C1208,数据集标准分类!E:F,2,0)</f>
        <v>#REF!</v>
      </c>
      <c r="F1208" s="29" t="e">
        <f>VLOOKUP(D1208,数据集标准分类!G:H,2,0)</f>
        <v>#N/A</v>
      </c>
      <c r="G1208" s="29" t="s">
        <v>1277</v>
      </c>
      <c r="H1208" s="29" t="s">
        <v>1278</v>
      </c>
      <c r="I1208" s="29" t="s">
        <v>1279</v>
      </c>
      <c r="J1208" s="29" t="s">
        <v>1280</v>
      </c>
      <c r="K1208" s="29" t="s">
        <v>1281</v>
      </c>
      <c r="L1208" s="250">
        <v>28</v>
      </c>
      <c r="M1208" s="251"/>
    </row>
    <row r="1209" ht="31" spans="1:13">
      <c r="A1209" s="248" t="s">
        <v>4175</v>
      </c>
      <c r="B1209" s="45" t="s">
        <v>4174</v>
      </c>
      <c r="C1209" s="249" t="e">
        <f>VLOOKUP(D1209,#REF!,2,0)</f>
        <v>#REF!</v>
      </c>
      <c r="D1209" s="29" t="s">
        <v>2716</v>
      </c>
      <c r="E1209" s="18" t="e">
        <f>VLOOKUP(C1209,数据集标准分类!E:F,2,0)</f>
        <v>#REF!</v>
      </c>
      <c r="F1209" s="29" t="e">
        <f>VLOOKUP(D1209,数据集标准分类!G:H,2,0)</f>
        <v>#N/A</v>
      </c>
      <c r="G1209" s="49" t="s">
        <v>1282</v>
      </c>
      <c r="H1209" s="29" t="s">
        <v>1283</v>
      </c>
      <c r="I1209" s="29" t="s">
        <v>1284</v>
      </c>
      <c r="J1209" s="29" t="s">
        <v>1285</v>
      </c>
      <c r="K1209" s="29" t="s">
        <v>1286</v>
      </c>
      <c r="L1209" s="250">
        <v>29</v>
      </c>
      <c r="M1209" s="251"/>
    </row>
    <row r="1210" ht="16.8" spans="1:13">
      <c r="A1210" s="248" t="s">
        <v>4175</v>
      </c>
      <c r="B1210" s="45" t="s">
        <v>4174</v>
      </c>
      <c r="C1210" s="249" t="e">
        <f>VLOOKUP(D1210,#REF!,2,0)</f>
        <v>#REF!</v>
      </c>
      <c r="D1210" s="29" t="s">
        <v>2716</v>
      </c>
      <c r="E1210" s="18" t="e">
        <f>VLOOKUP(C1210,数据集标准分类!E:F,2,0)</f>
        <v>#REF!</v>
      </c>
      <c r="F1210" s="29" t="e">
        <f>VLOOKUP(D1210,数据集标准分类!G:H,2,0)</f>
        <v>#N/A</v>
      </c>
      <c r="G1210" s="29" t="s">
        <v>2727</v>
      </c>
      <c r="H1210" s="29" t="s">
        <v>2728</v>
      </c>
      <c r="I1210" s="29" t="s">
        <v>2729</v>
      </c>
      <c r="J1210" s="29" t="s">
        <v>2730</v>
      </c>
      <c r="K1210" s="29" t="s">
        <v>2731</v>
      </c>
      <c r="L1210" s="250">
        <v>30</v>
      </c>
      <c r="M1210" s="251"/>
    </row>
    <row r="1211" ht="16.8" spans="1:13">
      <c r="A1211" s="248" t="s">
        <v>4175</v>
      </c>
      <c r="B1211" s="45" t="s">
        <v>4174</v>
      </c>
      <c r="C1211" s="249" t="e">
        <f>VLOOKUP(D1211,#REF!,2,0)</f>
        <v>#REF!</v>
      </c>
      <c r="D1211" s="29" t="s">
        <v>2716</v>
      </c>
      <c r="E1211" s="18" t="e">
        <f>VLOOKUP(C1211,数据集标准分类!E:F,2,0)</f>
        <v>#REF!</v>
      </c>
      <c r="F1211" s="29" t="e">
        <f>VLOOKUP(D1211,数据集标准分类!G:H,2,0)</f>
        <v>#N/A</v>
      </c>
      <c r="G1211" s="29" t="s">
        <v>396</v>
      </c>
      <c r="H1211" s="29" t="s">
        <v>397</v>
      </c>
      <c r="I1211" s="29" t="s">
        <v>398</v>
      </c>
      <c r="J1211" s="29" t="s">
        <v>399</v>
      </c>
      <c r="K1211" s="29" t="s">
        <v>1260</v>
      </c>
      <c r="L1211" s="250">
        <v>31</v>
      </c>
      <c r="M1211" s="251"/>
    </row>
    <row r="1212" ht="46" spans="1:13">
      <c r="A1212" s="248" t="s">
        <v>4175</v>
      </c>
      <c r="B1212" s="45" t="s">
        <v>4174</v>
      </c>
      <c r="C1212" s="249" t="e">
        <f>VLOOKUP(D1212,#REF!,2,0)</f>
        <v>#REF!</v>
      </c>
      <c r="D1212" s="29" t="s">
        <v>2716</v>
      </c>
      <c r="E1212" s="18" t="e">
        <f>VLOOKUP(C1212,数据集标准分类!E:F,2,0)</f>
        <v>#REF!</v>
      </c>
      <c r="F1212" s="29" t="e">
        <f>VLOOKUP(D1212,数据集标准分类!G:H,2,0)</f>
        <v>#N/A</v>
      </c>
      <c r="G1212" s="29" t="s">
        <v>192</v>
      </c>
      <c r="H1212" s="29" t="s">
        <v>193</v>
      </c>
      <c r="I1212" s="29" t="s">
        <v>194</v>
      </c>
      <c r="J1212" s="29" t="s">
        <v>195</v>
      </c>
      <c r="K1212" s="29" t="s">
        <v>385</v>
      </c>
      <c r="L1212" s="250">
        <v>32</v>
      </c>
      <c r="M1212" s="251"/>
    </row>
    <row r="1213" ht="31" spans="1:13">
      <c r="A1213" s="248" t="s">
        <v>4175</v>
      </c>
      <c r="B1213" s="45" t="s">
        <v>4174</v>
      </c>
      <c r="C1213" s="249" t="e">
        <f>VLOOKUP(D1213,#REF!,2,0)</f>
        <v>#REF!</v>
      </c>
      <c r="D1213" s="29" t="s">
        <v>2716</v>
      </c>
      <c r="E1213" s="18" t="e">
        <f>VLOOKUP(C1213,数据集标准分类!E:F,2,0)</f>
        <v>#REF!</v>
      </c>
      <c r="F1213" s="29" t="e">
        <f>VLOOKUP(D1213,数据集标准分类!G:H,2,0)</f>
        <v>#N/A</v>
      </c>
      <c r="G1213" s="29" t="s">
        <v>1261</v>
      </c>
      <c r="H1213" s="29" t="s">
        <v>1262</v>
      </c>
      <c r="I1213" s="29" t="s">
        <v>1263</v>
      </c>
      <c r="J1213" s="29" t="s">
        <v>1264</v>
      </c>
      <c r="K1213" s="29" t="s">
        <v>1265</v>
      </c>
      <c r="L1213" s="250">
        <v>33</v>
      </c>
      <c r="M1213" s="251"/>
    </row>
    <row r="1214" ht="31" spans="1:13">
      <c r="A1214" s="248" t="s">
        <v>4175</v>
      </c>
      <c r="B1214" s="45" t="s">
        <v>4174</v>
      </c>
      <c r="C1214" s="249" t="e">
        <f>VLOOKUP(D1214,#REF!,2,0)</f>
        <v>#REF!</v>
      </c>
      <c r="D1214" s="29" t="s">
        <v>2716</v>
      </c>
      <c r="E1214" s="18" t="e">
        <f>VLOOKUP(C1214,数据集标准分类!E:F,2,0)</f>
        <v>#REF!</v>
      </c>
      <c r="F1214" s="29" t="e">
        <f>VLOOKUP(D1214,数据集标准分类!G:H,2,0)</f>
        <v>#N/A</v>
      </c>
      <c r="G1214" s="29" t="s">
        <v>1266</v>
      </c>
      <c r="H1214" s="29" t="s">
        <v>1267</v>
      </c>
      <c r="I1214" s="29" t="s">
        <v>1268</v>
      </c>
      <c r="J1214" s="29" t="s">
        <v>1269</v>
      </c>
      <c r="K1214" s="29" t="s">
        <v>1270</v>
      </c>
      <c r="L1214" s="250">
        <v>34</v>
      </c>
      <c r="M1214" s="251"/>
    </row>
    <row r="1215" ht="16.8" spans="1:13">
      <c r="A1215" s="248" t="s">
        <v>4175</v>
      </c>
      <c r="B1215" s="45" t="s">
        <v>4174</v>
      </c>
      <c r="C1215" s="249" t="e">
        <f>VLOOKUP(D1215,#REF!,2,0)</f>
        <v>#REF!</v>
      </c>
      <c r="D1215" s="29" t="s">
        <v>2716</v>
      </c>
      <c r="E1215" s="18" t="e">
        <f>VLOOKUP(C1215,数据集标准分类!E:F,2,0)</f>
        <v>#REF!</v>
      </c>
      <c r="F1215" s="29" t="e">
        <f>VLOOKUP(D1215,数据集标准分类!G:H,2,0)</f>
        <v>#N/A</v>
      </c>
      <c r="G1215" s="29" t="s">
        <v>216</v>
      </c>
      <c r="H1215" s="29" t="s">
        <v>217</v>
      </c>
      <c r="I1215" s="29" t="s">
        <v>218</v>
      </c>
      <c r="J1215" s="29" t="s">
        <v>219</v>
      </c>
      <c r="K1215" s="29" t="s">
        <v>1271</v>
      </c>
      <c r="L1215" s="250">
        <v>35</v>
      </c>
      <c r="M1215" s="251"/>
    </row>
    <row r="1216" ht="24" customHeight="1" spans="1:13">
      <c r="A1216" s="248" t="s">
        <v>4175</v>
      </c>
      <c r="B1216" s="45" t="s">
        <v>4174</v>
      </c>
      <c r="C1216" s="249" t="e">
        <f>VLOOKUP(D1216,#REF!,2,0)</f>
        <v>#REF!</v>
      </c>
      <c r="D1216" s="29" t="s">
        <v>2716</v>
      </c>
      <c r="E1216" s="18" t="e">
        <f>VLOOKUP(C1216,数据集标准分类!E:F,2,0)</f>
        <v>#REF!</v>
      </c>
      <c r="F1216" s="29" t="e">
        <f>VLOOKUP(D1216,数据集标准分类!G:H,2,0)</f>
        <v>#N/A</v>
      </c>
      <c r="G1216" s="29" t="s">
        <v>1272</v>
      </c>
      <c r="H1216" s="29" t="s">
        <v>1273</v>
      </c>
      <c r="I1216" s="29" t="s">
        <v>1274</v>
      </c>
      <c r="J1216" s="29" t="s">
        <v>1275</v>
      </c>
      <c r="K1216" s="29" t="s">
        <v>2732</v>
      </c>
      <c r="L1216" s="250">
        <v>36</v>
      </c>
      <c r="M1216" s="251"/>
    </row>
    <row r="1217" ht="31" spans="1:13">
      <c r="A1217" s="248" t="s">
        <v>4175</v>
      </c>
      <c r="B1217" s="45" t="s">
        <v>4174</v>
      </c>
      <c r="C1217" s="249" t="e">
        <f>VLOOKUP(D1217,#REF!,2,0)</f>
        <v>#REF!</v>
      </c>
      <c r="D1217" s="29" t="s">
        <v>2716</v>
      </c>
      <c r="E1217" s="18" t="e">
        <f>VLOOKUP(C1217,数据集标准分类!E:F,2,0)</f>
        <v>#REF!</v>
      </c>
      <c r="F1217" s="29" t="e">
        <f>VLOOKUP(D1217,数据集标准分类!G:H,2,0)</f>
        <v>#N/A</v>
      </c>
      <c r="G1217" s="29" t="s">
        <v>1394</v>
      </c>
      <c r="H1217" s="29" t="s">
        <v>1395</v>
      </c>
      <c r="I1217" s="29" t="s">
        <v>1396</v>
      </c>
      <c r="J1217" s="29" t="s">
        <v>1397</v>
      </c>
      <c r="K1217" s="29" t="s">
        <v>1106</v>
      </c>
      <c r="L1217" s="250">
        <v>37</v>
      </c>
      <c r="M1217" s="251"/>
    </row>
    <row r="1218" ht="31" spans="1:13">
      <c r="A1218" s="248" t="s">
        <v>4175</v>
      </c>
      <c r="B1218" s="45" t="s">
        <v>4174</v>
      </c>
      <c r="C1218" s="249" t="e">
        <f>VLOOKUP(D1218,#REF!,2,0)</f>
        <v>#REF!</v>
      </c>
      <c r="D1218" s="29" t="s">
        <v>2716</v>
      </c>
      <c r="E1218" s="18" t="e">
        <f>VLOOKUP(C1218,数据集标准分类!E:F,2,0)</f>
        <v>#REF!</v>
      </c>
      <c r="F1218" s="29" t="e">
        <f>VLOOKUP(D1218,数据集标准分类!G:H,2,0)</f>
        <v>#N/A</v>
      </c>
      <c r="G1218" s="29" t="s">
        <v>1192</v>
      </c>
      <c r="H1218" s="29" t="s">
        <v>1193</v>
      </c>
      <c r="I1218" s="29" t="s">
        <v>1194</v>
      </c>
      <c r="J1218" s="29" t="s">
        <v>1195</v>
      </c>
      <c r="K1218" s="29" t="s">
        <v>1196</v>
      </c>
      <c r="L1218" s="250">
        <v>38</v>
      </c>
      <c r="M1218" s="251"/>
    </row>
    <row r="1219" ht="61" spans="1:13">
      <c r="A1219" s="248" t="s">
        <v>4175</v>
      </c>
      <c r="B1219" s="45" t="s">
        <v>4174</v>
      </c>
      <c r="C1219" s="249" t="e">
        <f>VLOOKUP(D1219,#REF!,2,0)</f>
        <v>#REF!</v>
      </c>
      <c r="D1219" s="29" t="s">
        <v>2716</v>
      </c>
      <c r="E1219" s="18" t="e">
        <f>VLOOKUP(C1219,数据集标准分类!E:F,2,0)</f>
        <v>#REF!</v>
      </c>
      <c r="F1219" s="29" t="e">
        <f>VLOOKUP(D1219,数据集标准分类!G:H,2,0)</f>
        <v>#N/A</v>
      </c>
      <c r="G1219" s="29" t="s">
        <v>2106</v>
      </c>
      <c r="H1219" s="29" t="s">
        <v>2107</v>
      </c>
      <c r="I1219" s="29" t="s">
        <v>2108</v>
      </c>
      <c r="J1219" s="29" t="s">
        <v>2109</v>
      </c>
      <c r="K1219" s="29" t="s">
        <v>2733</v>
      </c>
      <c r="L1219" s="250">
        <v>39</v>
      </c>
      <c r="M1219" s="251"/>
    </row>
    <row r="1220" ht="31" spans="1:13">
      <c r="A1220" s="248" t="s">
        <v>4277</v>
      </c>
      <c r="B1220" s="45" t="s">
        <v>4276</v>
      </c>
      <c r="C1220" s="249" t="e">
        <f>VLOOKUP(D1220,#REF!,2,0)</f>
        <v>#REF!</v>
      </c>
      <c r="D1220" s="29" t="s">
        <v>2770</v>
      </c>
      <c r="E1220" s="18" t="e">
        <f>VLOOKUP(C1220,数据集标准分类!E:F,2,0)</f>
        <v>#REF!</v>
      </c>
      <c r="F1220" s="29" t="e">
        <f>VLOOKUP(D1220,数据集标准分类!G:H,2,0)</f>
        <v>#N/A</v>
      </c>
      <c r="G1220" s="29" t="s">
        <v>2772</v>
      </c>
      <c r="H1220" s="29" t="s">
        <v>2773</v>
      </c>
      <c r="I1220" s="29" t="s">
        <v>2774</v>
      </c>
      <c r="J1220" s="29" t="s">
        <v>2775</v>
      </c>
      <c r="K1220" s="29" t="s">
        <v>2776</v>
      </c>
      <c r="L1220" s="250">
        <v>1</v>
      </c>
      <c r="M1220" s="251"/>
    </row>
    <row r="1221" ht="31" spans="1:13">
      <c r="A1221" s="248" t="s">
        <v>4277</v>
      </c>
      <c r="B1221" s="45" t="s">
        <v>4276</v>
      </c>
      <c r="C1221" s="249" t="e">
        <f>VLOOKUP(D1221,#REF!,2,0)</f>
        <v>#REF!</v>
      </c>
      <c r="D1221" s="29" t="s">
        <v>2770</v>
      </c>
      <c r="E1221" s="18" t="e">
        <f>VLOOKUP(C1221,数据集标准分类!E:F,2,0)</f>
        <v>#REF!</v>
      </c>
      <c r="F1221" s="29" t="e">
        <f>VLOOKUP(D1221,数据集标准分类!G:H,2,0)</f>
        <v>#N/A</v>
      </c>
      <c r="G1221" s="29" t="s">
        <v>2685</v>
      </c>
      <c r="H1221" s="29" t="s">
        <v>2686</v>
      </c>
      <c r="I1221" s="29" t="s">
        <v>2687</v>
      </c>
      <c r="J1221" s="29" t="s">
        <v>2688</v>
      </c>
      <c r="K1221" s="29" t="s">
        <v>2689</v>
      </c>
      <c r="L1221" s="250">
        <v>2</v>
      </c>
      <c r="M1221" s="251"/>
    </row>
    <row r="1222" ht="24" customHeight="1" spans="1:13">
      <c r="A1222" s="248" t="s">
        <v>4277</v>
      </c>
      <c r="B1222" s="45" t="s">
        <v>4276</v>
      </c>
      <c r="C1222" s="249" t="e">
        <f>VLOOKUP(D1222,#REF!,2,0)</f>
        <v>#REF!</v>
      </c>
      <c r="D1222" s="29" t="s">
        <v>2770</v>
      </c>
      <c r="E1222" s="18" t="e">
        <f>VLOOKUP(C1222,数据集标准分类!E:F,2,0)</f>
        <v>#REF!</v>
      </c>
      <c r="F1222" s="29" t="e">
        <f>VLOOKUP(D1222,数据集标准分类!G:H,2,0)</f>
        <v>#N/A</v>
      </c>
      <c r="G1222" s="29" t="s">
        <v>2690</v>
      </c>
      <c r="H1222" s="29" t="s">
        <v>2691</v>
      </c>
      <c r="I1222" s="29" t="s">
        <v>2692</v>
      </c>
      <c r="J1222" s="29" t="s">
        <v>2693</v>
      </c>
      <c r="K1222" s="29" t="s">
        <v>2694</v>
      </c>
      <c r="L1222" s="250">
        <v>3</v>
      </c>
      <c r="M1222" s="251"/>
    </row>
    <row r="1223" ht="31" spans="1:13">
      <c r="A1223" s="248" t="s">
        <v>4277</v>
      </c>
      <c r="B1223" s="45" t="s">
        <v>4276</v>
      </c>
      <c r="C1223" s="249" t="e">
        <f>VLOOKUP(D1223,#REF!,2,0)</f>
        <v>#REF!</v>
      </c>
      <c r="D1223" s="29" t="s">
        <v>2770</v>
      </c>
      <c r="E1223" s="18" t="e">
        <f>VLOOKUP(C1223,数据集标准分类!E:F,2,0)</f>
        <v>#REF!</v>
      </c>
      <c r="F1223" s="29" t="e">
        <f>VLOOKUP(D1223,数据集标准分类!G:H,2,0)</f>
        <v>#N/A</v>
      </c>
      <c r="G1223" s="29" t="s">
        <v>2711</v>
      </c>
      <c r="H1223" s="29" t="s">
        <v>2712</v>
      </c>
      <c r="I1223" s="29" t="s">
        <v>2713</v>
      </c>
      <c r="J1223" s="29" t="s">
        <v>2714</v>
      </c>
      <c r="K1223" s="29" t="s">
        <v>2777</v>
      </c>
      <c r="L1223" s="250">
        <v>4</v>
      </c>
      <c r="M1223" s="251"/>
    </row>
    <row r="1224" ht="31" spans="1:13">
      <c r="A1224" s="248" t="s">
        <v>4277</v>
      </c>
      <c r="B1224" s="45" t="s">
        <v>4276</v>
      </c>
      <c r="C1224" s="249" t="e">
        <f>VLOOKUP(D1224,#REF!,2,0)</f>
        <v>#REF!</v>
      </c>
      <c r="D1224" s="29" t="s">
        <v>2770</v>
      </c>
      <c r="E1224" s="18" t="e">
        <f>VLOOKUP(C1224,数据集标准分类!E:F,2,0)</f>
        <v>#REF!</v>
      </c>
      <c r="F1224" s="29" t="e">
        <f>VLOOKUP(D1224,数据集标准分类!G:H,2,0)</f>
        <v>#N/A</v>
      </c>
      <c r="G1224" s="29" t="s">
        <v>1597</v>
      </c>
      <c r="H1224" s="29" t="s">
        <v>1598</v>
      </c>
      <c r="I1224" s="29" t="s">
        <v>1599</v>
      </c>
      <c r="J1224" s="29" t="s">
        <v>1600</v>
      </c>
      <c r="K1224" s="29" t="s">
        <v>2778</v>
      </c>
      <c r="L1224" s="250">
        <v>5</v>
      </c>
      <c r="M1224" s="251"/>
    </row>
    <row r="1225" ht="31" spans="1:13">
      <c r="A1225" s="248" t="s">
        <v>4277</v>
      </c>
      <c r="B1225" s="45" t="s">
        <v>4276</v>
      </c>
      <c r="C1225" s="249" t="e">
        <f>VLOOKUP(D1225,#REF!,2,0)</f>
        <v>#REF!</v>
      </c>
      <c r="D1225" s="29" t="s">
        <v>2770</v>
      </c>
      <c r="E1225" s="18" t="e">
        <f>VLOOKUP(C1225,数据集标准分类!E:F,2,0)</f>
        <v>#REF!</v>
      </c>
      <c r="F1225" s="29" t="e">
        <f>VLOOKUP(D1225,数据集标准分类!G:H,2,0)</f>
        <v>#N/A</v>
      </c>
      <c r="G1225" s="29" t="s">
        <v>1921</v>
      </c>
      <c r="H1225" s="29" t="s">
        <v>1922</v>
      </c>
      <c r="I1225" s="29" t="s">
        <v>1923</v>
      </c>
      <c r="J1225" s="29" t="s">
        <v>1924</v>
      </c>
      <c r="K1225" s="29" t="s">
        <v>2695</v>
      </c>
      <c r="L1225" s="250">
        <v>6</v>
      </c>
      <c r="M1225" s="251"/>
    </row>
    <row r="1226" ht="31" spans="1:13">
      <c r="A1226" s="248" t="s">
        <v>4277</v>
      </c>
      <c r="B1226" s="45" t="s">
        <v>4276</v>
      </c>
      <c r="C1226" s="249" t="e">
        <f>VLOOKUP(D1226,#REF!,2,0)</f>
        <v>#REF!</v>
      </c>
      <c r="D1226" s="29" t="s">
        <v>2770</v>
      </c>
      <c r="E1226" s="18" t="e">
        <f>VLOOKUP(C1226,数据集标准分类!E:F,2,0)</f>
        <v>#REF!</v>
      </c>
      <c r="F1226" s="29" t="e">
        <f>VLOOKUP(D1226,数据集标准分类!G:H,2,0)</f>
        <v>#N/A</v>
      </c>
      <c r="G1226" s="29" t="s">
        <v>2701</v>
      </c>
      <c r="H1226" s="29" t="s">
        <v>2702</v>
      </c>
      <c r="I1226" s="29" t="s">
        <v>2703</v>
      </c>
      <c r="J1226" s="29" t="s">
        <v>2704</v>
      </c>
      <c r="K1226" s="29" t="s">
        <v>2705</v>
      </c>
      <c r="L1226" s="250">
        <v>7</v>
      </c>
      <c r="M1226" s="251"/>
    </row>
    <row r="1227" ht="16.8" spans="1:13">
      <c r="A1227" s="248" t="s">
        <v>4277</v>
      </c>
      <c r="B1227" s="45" t="s">
        <v>4276</v>
      </c>
      <c r="C1227" s="249" t="e">
        <f>VLOOKUP(D1227,#REF!,2,0)</f>
        <v>#REF!</v>
      </c>
      <c r="D1227" s="29" t="s">
        <v>2770</v>
      </c>
      <c r="E1227" s="18" t="e">
        <f>VLOOKUP(C1227,数据集标准分类!E:F,2,0)</f>
        <v>#REF!</v>
      </c>
      <c r="F1227" s="29" t="e">
        <f>VLOOKUP(D1227,数据集标准分类!G:H,2,0)</f>
        <v>#N/A</v>
      </c>
      <c r="G1227" s="29" t="s">
        <v>2696</v>
      </c>
      <c r="H1227" s="29" t="s">
        <v>2697</v>
      </c>
      <c r="I1227" s="29" t="s">
        <v>2698</v>
      </c>
      <c r="J1227" s="29" t="s">
        <v>2699</v>
      </c>
      <c r="K1227" s="29" t="s">
        <v>2700</v>
      </c>
      <c r="L1227" s="250">
        <v>8</v>
      </c>
      <c r="M1227" s="251"/>
    </row>
    <row r="1228" ht="31" spans="1:13">
      <c r="A1228" s="248" t="s">
        <v>4277</v>
      </c>
      <c r="B1228" s="45" t="s">
        <v>4276</v>
      </c>
      <c r="C1228" s="249" t="e">
        <f>VLOOKUP(D1228,#REF!,2,0)</f>
        <v>#REF!</v>
      </c>
      <c r="D1228" s="29" t="s">
        <v>2770</v>
      </c>
      <c r="E1228" s="18" t="e">
        <f>VLOOKUP(C1228,数据集标准分类!E:F,2,0)</f>
        <v>#REF!</v>
      </c>
      <c r="F1228" s="29" t="e">
        <f>VLOOKUP(D1228,数据集标准分类!G:H,2,0)</f>
        <v>#N/A</v>
      </c>
      <c r="G1228" s="29" t="s">
        <v>2779</v>
      </c>
      <c r="H1228" s="29" t="s">
        <v>2780</v>
      </c>
      <c r="I1228" s="29" t="s">
        <v>2781</v>
      </c>
      <c r="J1228" s="29" t="s">
        <v>2782</v>
      </c>
      <c r="K1228" s="29" t="s">
        <v>2783</v>
      </c>
      <c r="L1228" s="250">
        <v>9</v>
      </c>
      <c r="M1228" s="251"/>
    </row>
    <row r="1229" ht="31" spans="1:13">
      <c r="A1229" s="248" t="s">
        <v>4277</v>
      </c>
      <c r="B1229" s="45" t="s">
        <v>4276</v>
      </c>
      <c r="C1229" s="249" t="e">
        <f>VLOOKUP(D1229,#REF!,2,0)</f>
        <v>#REF!</v>
      </c>
      <c r="D1229" s="29" t="s">
        <v>2770</v>
      </c>
      <c r="E1229" s="18" t="e">
        <f>VLOOKUP(C1229,数据集标准分类!E:F,2,0)</f>
        <v>#REF!</v>
      </c>
      <c r="F1229" s="29" t="e">
        <f>VLOOKUP(D1229,数据集标准分类!G:H,2,0)</f>
        <v>#N/A</v>
      </c>
      <c r="G1229" s="29" t="s">
        <v>2711</v>
      </c>
      <c r="H1229" s="29" t="s">
        <v>2712</v>
      </c>
      <c r="I1229" s="29" t="s">
        <v>2713</v>
      </c>
      <c r="J1229" s="29" t="s">
        <v>2714</v>
      </c>
      <c r="K1229" s="29" t="s">
        <v>2715</v>
      </c>
      <c r="L1229" s="250">
        <v>10</v>
      </c>
      <c r="M1229" s="251"/>
    </row>
    <row r="1230" ht="16.8" spans="1:13">
      <c r="A1230" s="248" t="s">
        <v>4277</v>
      </c>
      <c r="B1230" s="45" t="s">
        <v>4276</v>
      </c>
      <c r="C1230" s="249" t="e">
        <f>VLOOKUP(D1230,#REF!,2,0)</f>
        <v>#REF!</v>
      </c>
      <c r="D1230" s="29" t="s">
        <v>2770</v>
      </c>
      <c r="E1230" s="18" t="e">
        <f>VLOOKUP(C1230,数据集标准分类!E:F,2,0)</f>
        <v>#REF!</v>
      </c>
      <c r="F1230" s="29" t="e">
        <f>VLOOKUP(D1230,数据集标准分类!G:H,2,0)</f>
        <v>#N/A</v>
      </c>
      <c r="G1230" s="29" t="s">
        <v>2706</v>
      </c>
      <c r="H1230" s="29" t="s">
        <v>2707</v>
      </c>
      <c r="I1230" s="29" t="s">
        <v>2708</v>
      </c>
      <c r="J1230" s="29" t="s">
        <v>2709</v>
      </c>
      <c r="K1230" s="29" t="s">
        <v>2710</v>
      </c>
      <c r="L1230" s="250">
        <v>10</v>
      </c>
      <c r="M1230" s="251"/>
    </row>
    <row r="1231" ht="31" spans="1:13">
      <c r="A1231" s="248" t="s">
        <v>4277</v>
      </c>
      <c r="B1231" s="45" t="s">
        <v>4276</v>
      </c>
      <c r="C1231" s="249" t="e">
        <f>VLOOKUP(D1231,#REF!,2,0)</f>
        <v>#REF!</v>
      </c>
      <c r="D1231" s="29" t="s">
        <v>2770</v>
      </c>
      <c r="E1231" s="18" t="e">
        <f>VLOOKUP(C1231,数据集标准分类!E:F,2,0)</f>
        <v>#REF!</v>
      </c>
      <c r="F1231" s="29" t="e">
        <f>VLOOKUP(D1231,数据集标准分类!G:H,2,0)</f>
        <v>#N/A</v>
      </c>
      <c r="G1231" s="29" t="s">
        <v>2784</v>
      </c>
      <c r="H1231" s="29" t="s">
        <v>2785</v>
      </c>
      <c r="I1231" s="29" t="s">
        <v>2786</v>
      </c>
      <c r="J1231" s="29" t="s">
        <v>2787</v>
      </c>
      <c r="K1231" s="29" t="s">
        <v>2788</v>
      </c>
      <c r="L1231" s="250">
        <v>11</v>
      </c>
      <c r="M1231" s="251"/>
    </row>
    <row r="1232" ht="31" spans="1:13">
      <c r="A1232" s="248" t="s">
        <v>4277</v>
      </c>
      <c r="B1232" s="45" t="s">
        <v>4276</v>
      </c>
      <c r="C1232" s="249" t="e">
        <f>VLOOKUP(D1232,#REF!,2,0)</f>
        <v>#REF!</v>
      </c>
      <c r="D1232" s="29" t="s">
        <v>2770</v>
      </c>
      <c r="E1232" s="18" t="e">
        <f>VLOOKUP(C1232,数据集标准分类!E:F,2,0)</f>
        <v>#REF!</v>
      </c>
      <c r="F1232" s="29" t="e">
        <f>VLOOKUP(D1232,数据集标准分类!G:H,2,0)</f>
        <v>#N/A</v>
      </c>
      <c r="G1232" s="65" t="s">
        <v>2789</v>
      </c>
      <c r="H1232" s="29" t="s">
        <v>2790</v>
      </c>
      <c r="I1232" s="29" t="s">
        <v>2791</v>
      </c>
      <c r="J1232" s="29" t="s">
        <v>2792</v>
      </c>
      <c r="K1232" s="29" t="s">
        <v>2793</v>
      </c>
      <c r="L1232" s="250">
        <v>12</v>
      </c>
      <c r="M1232" s="251"/>
    </row>
    <row r="1233" ht="31" spans="1:13">
      <c r="A1233" s="248" t="s">
        <v>4277</v>
      </c>
      <c r="B1233" s="45" t="s">
        <v>4276</v>
      </c>
      <c r="C1233" s="249" t="e">
        <f>VLOOKUP(D1233,#REF!,2,0)</f>
        <v>#REF!</v>
      </c>
      <c r="D1233" s="29" t="s">
        <v>2770</v>
      </c>
      <c r="E1233" s="18" t="e">
        <f>VLOOKUP(C1233,数据集标准分类!E:F,2,0)</f>
        <v>#REF!</v>
      </c>
      <c r="F1233" s="29" t="e">
        <f>VLOOKUP(D1233,数据集标准分类!G:H,2,0)</f>
        <v>#N/A</v>
      </c>
      <c r="G1233" s="29" t="s">
        <v>2794</v>
      </c>
      <c r="H1233" s="29" t="s">
        <v>2795</v>
      </c>
      <c r="I1233" s="29" t="s">
        <v>2796</v>
      </c>
      <c r="J1233" s="29" t="s">
        <v>2797</v>
      </c>
      <c r="K1233" s="29" t="s">
        <v>2798</v>
      </c>
      <c r="L1233" s="250">
        <v>13</v>
      </c>
      <c r="M1233" s="251"/>
    </row>
    <row r="1234" ht="16.8" spans="1:13">
      <c r="A1234" s="248" t="s">
        <v>4277</v>
      </c>
      <c r="B1234" s="45" t="s">
        <v>4276</v>
      </c>
      <c r="C1234" s="249" t="e">
        <f>VLOOKUP(D1234,#REF!,2,0)</f>
        <v>#REF!</v>
      </c>
      <c r="D1234" s="29" t="s">
        <v>2770</v>
      </c>
      <c r="E1234" s="18" t="e">
        <f>VLOOKUP(C1234,数据集标准分类!E:F,2,0)</f>
        <v>#REF!</v>
      </c>
      <c r="F1234" s="29" t="e">
        <f>VLOOKUP(D1234,数据集标准分类!G:H,2,0)</f>
        <v>#N/A</v>
      </c>
      <c r="G1234" s="29" t="s">
        <v>2799</v>
      </c>
      <c r="H1234" s="29" t="s">
        <v>2800</v>
      </c>
      <c r="I1234" s="29" t="s">
        <v>2801</v>
      </c>
      <c r="J1234" s="29" t="s">
        <v>2802</v>
      </c>
      <c r="K1234" s="29"/>
      <c r="L1234" s="250">
        <v>14</v>
      </c>
      <c r="M1234" s="251"/>
    </row>
    <row r="1235" customHeight="1" spans="1:13">
      <c r="A1235" s="248" t="s">
        <v>4277</v>
      </c>
      <c r="B1235" s="45" t="s">
        <v>4276</v>
      </c>
      <c r="C1235" s="249" t="e">
        <f>VLOOKUP(D1235,#REF!,2,0)</f>
        <v>#REF!</v>
      </c>
      <c r="D1235" s="29" t="s">
        <v>2770</v>
      </c>
      <c r="E1235" s="18" t="e">
        <f>VLOOKUP(C1235,数据集标准分类!E:F,2,0)</f>
        <v>#REF!</v>
      </c>
      <c r="F1235" s="29" t="e">
        <f>VLOOKUP(D1235,数据集标准分类!G:H,2,0)</f>
        <v>#N/A</v>
      </c>
      <c r="G1235" s="29" t="s">
        <v>1702</v>
      </c>
      <c r="H1235" s="29" t="s">
        <v>1703</v>
      </c>
      <c r="I1235" s="29" t="s">
        <v>1703</v>
      </c>
      <c r="J1235" s="29" t="s">
        <v>2803</v>
      </c>
      <c r="K1235" s="29"/>
      <c r="L1235" s="250">
        <v>15</v>
      </c>
      <c r="M1235" s="251"/>
    </row>
    <row r="1236" ht="16.8" spans="1:13">
      <c r="A1236" s="248" t="s">
        <v>4277</v>
      </c>
      <c r="B1236" s="45" t="s">
        <v>4276</v>
      </c>
      <c r="C1236" s="249" t="e">
        <f>VLOOKUP(D1236,#REF!,2,0)</f>
        <v>#REF!</v>
      </c>
      <c r="D1236" s="29" t="s">
        <v>2770</v>
      </c>
      <c r="E1236" s="18" t="e">
        <f>VLOOKUP(C1236,数据集标准分类!E:F,2,0)</f>
        <v>#REF!</v>
      </c>
      <c r="F1236" s="29" t="e">
        <f>VLOOKUP(D1236,数据集标准分类!G:H,2,0)</f>
        <v>#N/A</v>
      </c>
      <c r="G1236" s="29" t="s">
        <v>2804</v>
      </c>
      <c r="H1236" s="29" t="s">
        <v>2805</v>
      </c>
      <c r="I1236" s="29" t="s">
        <v>2806</v>
      </c>
      <c r="J1236" s="29" t="s">
        <v>2807</v>
      </c>
      <c r="K1236" s="29"/>
      <c r="L1236" s="250">
        <v>16</v>
      </c>
      <c r="M1236" s="251"/>
    </row>
    <row r="1237" ht="16.8" spans="1:13">
      <c r="A1237" s="248" t="s">
        <v>4277</v>
      </c>
      <c r="B1237" s="45" t="s">
        <v>4276</v>
      </c>
      <c r="C1237" s="249" t="e">
        <f>VLOOKUP(D1237,#REF!,2,0)</f>
        <v>#REF!</v>
      </c>
      <c r="D1237" s="29" t="s">
        <v>2770</v>
      </c>
      <c r="E1237" s="18" t="e">
        <f>VLOOKUP(C1237,数据集标准分类!E:F,2,0)</f>
        <v>#REF!</v>
      </c>
      <c r="F1237" s="29" t="e">
        <f>VLOOKUP(D1237,数据集标准分类!G:H,2,0)</f>
        <v>#N/A</v>
      </c>
      <c r="G1237" s="29" t="s">
        <v>2808</v>
      </c>
      <c r="H1237" s="29" t="s">
        <v>2809</v>
      </c>
      <c r="I1237" s="29" t="s">
        <v>2810</v>
      </c>
      <c r="J1237" s="29" t="s">
        <v>2811</v>
      </c>
      <c r="K1237" s="29"/>
      <c r="L1237" s="250">
        <v>17</v>
      </c>
      <c r="M1237" s="251"/>
    </row>
    <row r="1238" ht="16.8" spans="1:13">
      <c r="A1238" s="248" t="s">
        <v>4277</v>
      </c>
      <c r="B1238" s="45" t="s">
        <v>4276</v>
      </c>
      <c r="C1238" s="249" t="e">
        <f>VLOOKUP(D1238,#REF!,2,0)</f>
        <v>#REF!</v>
      </c>
      <c r="D1238" s="29" t="s">
        <v>2770</v>
      </c>
      <c r="E1238" s="18" t="e">
        <f>VLOOKUP(C1238,数据集标准分类!E:F,2,0)</f>
        <v>#REF!</v>
      </c>
      <c r="F1238" s="29" t="e">
        <f>VLOOKUP(D1238,数据集标准分类!G:H,2,0)</f>
        <v>#N/A</v>
      </c>
      <c r="G1238" s="29" t="s">
        <v>2812</v>
      </c>
      <c r="H1238" s="29" t="s">
        <v>2813</v>
      </c>
      <c r="I1238" s="29" t="s">
        <v>2814</v>
      </c>
      <c r="J1238" s="29" t="s">
        <v>2815</v>
      </c>
      <c r="K1238" s="29"/>
      <c r="L1238" s="250">
        <v>19</v>
      </c>
      <c r="M1238" s="251"/>
    </row>
    <row r="1239" ht="16.8" spans="1:13">
      <c r="A1239" s="248" t="s">
        <v>4277</v>
      </c>
      <c r="B1239" s="45" t="s">
        <v>4276</v>
      </c>
      <c r="C1239" s="249" t="e">
        <f>VLOOKUP(D1239,#REF!,2,0)</f>
        <v>#REF!</v>
      </c>
      <c r="D1239" s="29" t="s">
        <v>2770</v>
      </c>
      <c r="E1239" s="18" t="e">
        <f>VLOOKUP(C1239,数据集标准分类!E:F,2,0)</f>
        <v>#REF!</v>
      </c>
      <c r="F1239" s="29" t="e">
        <f>VLOOKUP(D1239,数据集标准分类!G:H,2,0)</f>
        <v>#N/A</v>
      </c>
      <c r="G1239" s="29" t="s">
        <v>2816</v>
      </c>
      <c r="H1239" s="29" t="s">
        <v>2817</v>
      </c>
      <c r="I1239" s="29" t="s">
        <v>2818</v>
      </c>
      <c r="J1239" s="29" t="s">
        <v>2819</v>
      </c>
      <c r="K1239" s="29"/>
      <c r="L1239" s="250">
        <v>20</v>
      </c>
      <c r="M1239" s="251"/>
    </row>
    <row r="1240" ht="31" spans="1:13">
      <c r="A1240" s="248" t="s">
        <v>4277</v>
      </c>
      <c r="B1240" s="45" t="s">
        <v>4276</v>
      </c>
      <c r="C1240" s="249" t="e">
        <f>VLOOKUP(D1240,#REF!,2,0)</f>
        <v>#REF!</v>
      </c>
      <c r="D1240" s="29" t="s">
        <v>5550</v>
      </c>
      <c r="E1240" s="18" t="e">
        <f>VLOOKUP(C1240,数据集标准分类!E:F,2,0)</f>
        <v>#REF!</v>
      </c>
      <c r="F1240" s="29" t="e">
        <f>VLOOKUP(D1240,数据集标准分类!G:H,2,0)</f>
        <v>#N/A</v>
      </c>
      <c r="G1240" s="29" t="s">
        <v>1011</v>
      </c>
      <c r="H1240" s="29" t="s">
        <v>1012</v>
      </c>
      <c r="I1240" s="29" t="s">
        <v>1013</v>
      </c>
      <c r="J1240" s="29" t="s">
        <v>1014</v>
      </c>
      <c r="K1240" s="29" t="s">
        <v>2834</v>
      </c>
      <c r="L1240" s="250">
        <v>1</v>
      </c>
      <c r="M1240" s="251"/>
    </row>
    <row r="1241" ht="31" spans="1:13">
      <c r="A1241" s="248" t="s">
        <v>4277</v>
      </c>
      <c r="B1241" s="45" t="s">
        <v>4276</v>
      </c>
      <c r="C1241" s="249" t="e">
        <f>VLOOKUP(D1241,#REF!,2,0)</f>
        <v>#REF!</v>
      </c>
      <c r="D1241" s="29" t="s">
        <v>5550</v>
      </c>
      <c r="E1241" s="18" t="e">
        <f>VLOOKUP(C1241,数据集标准分类!E:F,2,0)</f>
        <v>#REF!</v>
      </c>
      <c r="F1241" s="29" t="e">
        <f>VLOOKUP(D1241,数据集标准分类!G:H,2,0)</f>
        <v>#N/A</v>
      </c>
      <c r="G1241" s="29" t="s">
        <v>2242</v>
      </c>
      <c r="H1241" s="29" t="s">
        <v>2243</v>
      </c>
      <c r="I1241" s="29" t="s">
        <v>2244</v>
      </c>
      <c r="J1241" s="29" t="s">
        <v>2836</v>
      </c>
      <c r="K1241" s="29" t="s">
        <v>2837</v>
      </c>
      <c r="L1241" s="250">
        <v>2</v>
      </c>
      <c r="M1241" s="251"/>
    </row>
    <row r="1242" ht="31" spans="1:13">
      <c r="A1242" s="248" t="s">
        <v>4277</v>
      </c>
      <c r="B1242" s="45" t="s">
        <v>4276</v>
      </c>
      <c r="C1242" s="249" t="e">
        <f>VLOOKUP(D1242,#REF!,2,0)</f>
        <v>#REF!</v>
      </c>
      <c r="D1242" s="29" t="s">
        <v>5550</v>
      </c>
      <c r="E1242" s="18" t="e">
        <f>VLOOKUP(C1242,数据集标准分类!E:F,2,0)</f>
        <v>#REF!</v>
      </c>
      <c r="F1242" s="29" t="e">
        <f>VLOOKUP(D1242,数据集标准分类!G:H,2,0)</f>
        <v>#N/A</v>
      </c>
      <c r="G1242" s="29" t="s">
        <v>172</v>
      </c>
      <c r="H1242" s="29" t="s">
        <v>173</v>
      </c>
      <c r="I1242" s="29" t="s">
        <v>174</v>
      </c>
      <c r="J1242" s="29" t="s">
        <v>175</v>
      </c>
      <c r="K1242" s="29" t="s">
        <v>1245</v>
      </c>
      <c r="L1242" s="250">
        <v>3</v>
      </c>
      <c r="M1242" s="251"/>
    </row>
    <row r="1243" ht="16.8" spans="1:13">
      <c r="A1243" s="248" t="s">
        <v>4277</v>
      </c>
      <c r="B1243" s="45" t="s">
        <v>4276</v>
      </c>
      <c r="C1243" s="249" t="e">
        <f>VLOOKUP(D1243,#REF!,2,0)</f>
        <v>#REF!</v>
      </c>
      <c r="D1243" s="29" t="s">
        <v>5550</v>
      </c>
      <c r="E1243" s="18" t="e">
        <f>VLOOKUP(C1243,数据集标准分类!E:F,2,0)</f>
        <v>#REF!</v>
      </c>
      <c r="F1243" s="29" t="e">
        <f>VLOOKUP(D1243,数据集标准分类!G:H,2,0)</f>
        <v>#N/A</v>
      </c>
      <c r="G1243" s="29" t="s">
        <v>197</v>
      </c>
      <c r="H1243" s="29" t="s">
        <v>198</v>
      </c>
      <c r="I1243" s="29" t="s">
        <v>2074</v>
      </c>
      <c r="J1243" s="29" t="s">
        <v>199</v>
      </c>
      <c r="K1243" s="29" t="s">
        <v>2019</v>
      </c>
      <c r="L1243" s="250">
        <v>4</v>
      </c>
      <c r="M1243" s="251"/>
    </row>
    <row r="1244" ht="16.8" spans="1:13">
      <c r="A1244" s="248" t="s">
        <v>4277</v>
      </c>
      <c r="B1244" s="45" t="s">
        <v>4276</v>
      </c>
      <c r="C1244" s="249" t="e">
        <f>VLOOKUP(D1244,#REF!,2,0)</f>
        <v>#REF!</v>
      </c>
      <c r="D1244" s="29" t="s">
        <v>5550</v>
      </c>
      <c r="E1244" s="18" t="e">
        <f>VLOOKUP(C1244,数据集标准分类!E:F,2,0)</f>
        <v>#REF!</v>
      </c>
      <c r="F1244" s="29" t="e">
        <f>VLOOKUP(D1244,数据集标准分类!G:H,2,0)</f>
        <v>#N/A</v>
      </c>
      <c r="G1244" s="29" t="s">
        <v>2828</v>
      </c>
      <c r="H1244" s="29" t="s">
        <v>2829</v>
      </c>
      <c r="I1244" s="29" t="s">
        <v>2830</v>
      </c>
      <c r="J1244" s="29" t="s">
        <v>2831</v>
      </c>
      <c r="K1244" s="29" t="s">
        <v>2832</v>
      </c>
      <c r="L1244" s="250">
        <v>5</v>
      </c>
      <c r="M1244" s="251"/>
    </row>
    <row r="1245" ht="31" spans="1:13">
      <c r="A1245" s="248" t="s">
        <v>4277</v>
      </c>
      <c r="B1245" s="45" t="s">
        <v>4276</v>
      </c>
      <c r="C1245" s="249" t="e">
        <f>VLOOKUP(D1245,#REF!,2,0)</f>
        <v>#REF!</v>
      </c>
      <c r="D1245" s="29" t="s">
        <v>5550</v>
      </c>
      <c r="E1245" s="18" t="e">
        <f>VLOOKUP(C1245,数据集标准分类!E:F,2,0)</f>
        <v>#REF!</v>
      </c>
      <c r="F1245" s="29" t="e">
        <f>VLOOKUP(D1245,数据集标准分类!G:H,2,0)</f>
        <v>#N/A</v>
      </c>
      <c r="G1245" s="29" t="s">
        <v>2633</v>
      </c>
      <c r="H1245" s="29" t="s">
        <v>2634</v>
      </c>
      <c r="I1245" s="29" t="s">
        <v>2635</v>
      </c>
      <c r="J1245" s="29" t="s">
        <v>2636</v>
      </c>
      <c r="K1245" s="29" t="s">
        <v>2637</v>
      </c>
      <c r="L1245" s="250">
        <v>6</v>
      </c>
      <c r="M1245" s="251"/>
    </row>
    <row r="1246" ht="16.8" spans="1:13">
      <c r="A1246" s="248" t="s">
        <v>4277</v>
      </c>
      <c r="B1246" s="45" t="s">
        <v>4276</v>
      </c>
      <c r="C1246" s="249" t="e">
        <f>VLOOKUP(D1246,#REF!,2,0)</f>
        <v>#REF!</v>
      </c>
      <c r="D1246" s="29" t="s">
        <v>5550</v>
      </c>
      <c r="E1246" s="18" t="e">
        <f>VLOOKUP(C1246,数据集标准分类!E:F,2,0)</f>
        <v>#REF!</v>
      </c>
      <c r="F1246" s="29" t="e">
        <f>VLOOKUP(D1246,数据集标准分类!G:H,2,0)</f>
        <v>#N/A</v>
      </c>
      <c r="G1246" s="29" t="s">
        <v>2086</v>
      </c>
      <c r="H1246" s="29" t="s">
        <v>2087</v>
      </c>
      <c r="I1246" s="29" t="s">
        <v>2088</v>
      </c>
      <c r="J1246" s="29" t="s">
        <v>2089</v>
      </c>
      <c r="K1246" s="29" t="s">
        <v>2090</v>
      </c>
      <c r="L1246" s="250">
        <v>7</v>
      </c>
      <c r="M1246" s="251"/>
    </row>
    <row r="1247" ht="16.8" spans="1:13">
      <c r="A1247" s="248" t="s">
        <v>4277</v>
      </c>
      <c r="B1247" s="45" t="s">
        <v>4276</v>
      </c>
      <c r="C1247" s="249" t="e">
        <f>VLOOKUP(D1247,#REF!,2,0)</f>
        <v>#REF!</v>
      </c>
      <c r="D1247" s="29" t="s">
        <v>5550</v>
      </c>
      <c r="E1247" s="18" t="e">
        <f>VLOOKUP(C1247,数据集标准分类!E:F,2,0)</f>
        <v>#REF!</v>
      </c>
      <c r="F1247" s="29" t="e">
        <f>VLOOKUP(D1247,数据集标准分类!G:H,2,0)</f>
        <v>#N/A</v>
      </c>
      <c r="G1247" s="29" t="s">
        <v>2081</v>
      </c>
      <c r="H1247" s="29" t="s">
        <v>2082</v>
      </c>
      <c r="I1247" s="29" t="s">
        <v>2083</v>
      </c>
      <c r="J1247" s="29" t="s">
        <v>2084</v>
      </c>
      <c r="K1247" s="29" t="s">
        <v>2085</v>
      </c>
      <c r="L1247" s="250">
        <v>8</v>
      </c>
      <c r="M1247" s="251"/>
    </row>
    <row r="1248" ht="31" spans="1:13">
      <c r="A1248" s="248" t="s">
        <v>4277</v>
      </c>
      <c r="B1248" s="45" t="s">
        <v>4276</v>
      </c>
      <c r="C1248" s="249" t="e">
        <f>VLOOKUP(D1248,#REF!,2,0)</f>
        <v>#REF!</v>
      </c>
      <c r="D1248" s="29" t="s">
        <v>5550</v>
      </c>
      <c r="E1248" s="18" t="e">
        <f>VLOOKUP(C1248,数据集标准分类!E:F,2,0)</f>
        <v>#REF!</v>
      </c>
      <c r="F1248" s="29" t="e">
        <f>VLOOKUP(D1248,数据集标准分类!G:H,2,0)</f>
        <v>#N/A</v>
      </c>
      <c r="G1248" s="29" t="s">
        <v>2076</v>
      </c>
      <c r="H1248" s="29" t="s">
        <v>2077</v>
      </c>
      <c r="I1248" s="29" t="s">
        <v>2078</v>
      </c>
      <c r="J1248" s="29" t="s">
        <v>2079</v>
      </c>
      <c r="K1248" s="29" t="s">
        <v>2080</v>
      </c>
      <c r="L1248" s="250">
        <v>9</v>
      </c>
      <c r="M1248" s="251"/>
    </row>
    <row r="1249" ht="31" spans="1:13">
      <c r="A1249" s="248" t="s">
        <v>4277</v>
      </c>
      <c r="B1249" s="45" t="s">
        <v>4276</v>
      </c>
      <c r="C1249" s="249" t="e">
        <f>VLOOKUP(D1249,#REF!,2,0)</f>
        <v>#REF!</v>
      </c>
      <c r="D1249" s="29" t="s">
        <v>5550</v>
      </c>
      <c r="E1249" s="18" t="e">
        <f>VLOOKUP(C1249,数据集标准分类!E:F,2,0)</f>
        <v>#REF!</v>
      </c>
      <c r="F1249" s="29" t="e">
        <f>VLOOKUP(D1249,数据集标准分类!G:H,2,0)</f>
        <v>#N/A</v>
      </c>
      <c r="G1249" s="29" t="s">
        <v>2096</v>
      </c>
      <c r="H1249" s="29" t="s">
        <v>2097</v>
      </c>
      <c r="I1249" s="29" t="s">
        <v>2098</v>
      </c>
      <c r="J1249" s="29" t="s">
        <v>2099</v>
      </c>
      <c r="K1249" s="29" t="s">
        <v>2100</v>
      </c>
      <c r="L1249" s="250">
        <v>10</v>
      </c>
      <c r="M1249" s="251"/>
    </row>
    <row r="1250" ht="31" spans="1:13">
      <c r="A1250" s="248" t="s">
        <v>4277</v>
      </c>
      <c r="B1250" s="45" t="s">
        <v>4276</v>
      </c>
      <c r="C1250" s="249" t="e">
        <f>VLOOKUP(D1250,#REF!,2,0)</f>
        <v>#REF!</v>
      </c>
      <c r="D1250" s="29" t="s">
        <v>5550</v>
      </c>
      <c r="E1250" s="18" t="e">
        <f>VLOOKUP(C1250,数据集标准分类!E:F,2,0)</f>
        <v>#REF!</v>
      </c>
      <c r="F1250" s="29" t="e">
        <f>VLOOKUP(D1250,数据集标准分类!G:H,2,0)</f>
        <v>#N/A</v>
      </c>
      <c r="G1250" s="29" t="s">
        <v>2091</v>
      </c>
      <c r="H1250" s="29" t="s">
        <v>2092</v>
      </c>
      <c r="I1250" s="29" t="s">
        <v>2093</v>
      </c>
      <c r="J1250" s="29" t="s">
        <v>2094</v>
      </c>
      <c r="K1250" s="29" t="s">
        <v>2095</v>
      </c>
      <c r="L1250" s="250">
        <v>11</v>
      </c>
      <c r="M1250" s="251"/>
    </row>
    <row r="1251" ht="61" spans="1:13">
      <c r="A1251" s="248" t="s">
        <v>4277</v>
      </c>
      <c r="B1251" s="45" t="s">
        <v>4276</v>
      </c>
      <c r="C1251" s="249" t="e">
        <f>VLOOKUP(D1251,#REF!,2,0)</f>
        <v>#REF!</v>
      </c>
      <c r="D1251" s="29" t="s">
        <v>5550</v>
      </c>
      <c r="E1251" s="18" t="e">
        <f>VLOOKUP(C1251,数据集标准分类!E:F,2,0)</f>
        <v>#REF!</v>
      </c>
      <c r="F1251" s="29" t="e">
        <f>VLOOKUP(D1251,数据集标准分类!G:H,2,0)</f>
        <v>#N/A</v>
      </c>
      <c r="G1251" s="29" t="s">
        <v>2839</v>
      </c>
      <c r="H1251" s="29" t="s">
        <v>2840</v>
      </c>
      <c r="I1251" s="29" t="s">
        <v>2841</v>
      </c>
      <c r="J1251" s="29" t="s">
        <v>2842</v>
      </c>
      <c r="K1251" s="29" t="s">
        <v>2843</v>
      </c>
      <c r="L1251" s="250">
        <v>12</v>
      </c>
      <c r="M1251" s="251"/>
    </row>
    <row r="1252" ht="31" spans="1:13">
      <c r="A1252" s="248" t="s">
        <v>4277</v>
      </c>
      <c r="B1252" s="45" t="s">
        <v>4276</v>
      </c>
      <c r="C1252" s="249" t="e">
        <f>VLOOKUP(D1252,#REF!,2,0)</f>
        <v>#REF!</v>
      </c>
      <c r="D1252" s="29" t="s">
        <v>5550</v>
      </c>
      <c r="E1252" s="18" t="e">
        <f>VLOOKUP(C1252,数据集标准分类!E:F,2,0)</f>
        <v>#REF!</v>
      </c>
      <c r="F1252" s="29" t="e">
        <f>VLOOKUP(D1252,数据集标准分类!G:H,2,0)</f>
        <v>#N/A</v>
      </c>
      <c r="G1252" s="29" t="s">
        <v>1921</v>
      </c>
      <c r="H1252" s="29" t="s">
        <v>1922</v>
      </c>
      <c r="I1252" s="29" t="s">
        <v>1923</v>
      </c>
      <c r="J1252" s="29" t="s">
        <v>1924</v>
      </c>
      <c r="K1252" s="29" t="s">
        <v>2844</v>
      </c>
      <c r="L1252" s="250">
        <v>13</v>
      </c>
      <c r="M1252" s="251"/>
    </row>
    <row r="1253" ht="31" spans="1:13">
      <c r="A1253" s="248" t="s">
        <v>4277</v>
      </c>
      <c r="B1253" s="45" t="s">
        <v>4276</v>
      </c>
      <c r="C1253" s="249" t="e">
        <f>VLOOKUP(D1253,#REF!,2,0)</f>
        <v>#REF!</v>
      </c>
      <c r="D1253" s="29" t="s">
        <v>5551</v>
      </c>
      <c r="E1253" s="18" t="e">
        <f>VLOOKUP(C1253,数据集标准分类!E:F,2,0)</f>
        <v>#REF!</v>
      </c>
      <c r="F1253" s="29" t="e">
        <f>VLOOKUP(D1253,数据集标准分类!G:H,2,0)</f>
        <v>#N/A</v>
      </c>
      <c r="G1253" s="29" t="s">
        <v>2847</v>
      </c>
      <c r="H1253" s="29" t="s">
        <v>2848</v>
      </c>
      <c r="I1253" s="29" t="s">
        <v>2849</v>
      </c>
      <c r="J1253" s="29" t="s">
        <v>2850</v>
      </c>
      <c r="K1253" s="29" t="s">
        <v>2851</v>
      </c>
      <c r="L1253" s="250">
        <v>1</v>
      </c>
      <c r="M1253" s="251"/>
    </row>
    <row r="1254" ht="36" customHeight="1" spans="1:13">
      <c r="A1254" s="248" t="s">
        <v>4277</v>
      </c>
      <c r="B1254" s="45" t="s">
        <v>4276</v>
      </c>
      <c r="C1254" s="249" t="e">
        <f>VLOOKUP(D1254,#REF!,2,0)</f>
        <v>#REF!</v>
      </c>
      <c r="D1254" s="29" t="s">
        <v>5551</v>
      </c>
      <c r="E1254" s="18" t="e">
        <f>VLOOKUP(C1254,数据集标准分类!E:F,2,0)</f>
        <v>#REF!</v>
      </c>
      <c r="F1254" s="29" t="e">
        <f>VLOOKUP(D1254,数据集标准分类!G:H,2,0)</f>
        <v>#N/A</v>
      </c>
      <c r="G1254" s="29" t="s">
        <v>1011</v>
      </c>
      <c r="H1254" s="29" t="s">
        <v>1012</v>
      </c>
      <c r="I1254" s="29" t="s">
        <v>1013</v>
      </c>
      <c r="J1254" s="29" t="s">
        <v>1014</v>
      </c>
      <c r="K1254" s="29" t="s">
        <v>2834</v>
      </c>
      <c r="L1254" s="250">
        <v>2</v>
      </c>
      <c r="M1254" s="251"/>
    </row>
    <row r="1255" ht="31" spans="1:13">
      <c r="A1255" s="248" t="s">
        <v>4277</v>
      </c>
      <c r="B1255" s="45" t="s">
        <v>4276</v>
      </c>
      <c r="C1255" s="249" t="e">
        <f>VLOOKUP(D1255,#REF!,2,0)</f>
        <v>#REF!</v>
      </c>
      <c r="D1255" s="29" t="s">
        <v>5551</v>
      </c>
      <c r="E1255" s="18" t="e">
        <f>VLOOKUP(C1255,数据集标准分类!E:F,2,0)</f>
        <v>#REF!</v>
      </c>
      <c r="F1255" s="29" t="e">
        <f>VLOOKUP(D1255,数据集标准分类!G:H,2,0)</f>
        <v>#N/A</v>
      </c>
      <c r="G1255" s="29" t="s">
        <v>2852</v>
      </c>
      <c r="H1255" s="29" t="s">
        <v>2853</v>
      </c>
      <c r="I1255" s="29" t="s">
        <v>2854</v>
      </c>
      <c r="J1255" s="29" t="s">
        <v>2855</v>
      </c>
      <c r="K1255" s="29" t="s">
        <v>2837</v>
      </c>
      <c r="L1255" s="250">
        <v>3</v>
      </c>
      <c r="M1255" s="251"/>
    </row>
    <row r="1256" ht="31" spans="1:13">
      <c r="A1256" s="248" t="s">
        <v>4277</v>
      </c>
      <c r="B1256" s="45" t="s">
        <v>4276</v>
      </c>
      <c r="C1256" s="249" t="e">
        <f>VLOOKUP(D1256,#REF!,2,0)</f>
        <v>#REF!</v>
      </c>
      <c r="D1256" s="29" t="s">
        <v>5551</v>
      </c>
      <c r="E1256" s="18" t="e">
        <f>VLOOKUP(C1256,数据集标准分类!E:F,2,0)</f>
        <v>#REF!</v>
      </c>
      <c r="F1256" s="29" t="e">
        <f>VLOOKUP(D1256,数据集标准分类!G:H,2,0)</f>
        <v>#N/A</v>
      </c>
      <c r="G1256" s="29" t="s">
        <v>172</v>
      </c>
      <c r="H1256" s="29" t="s">
        <v>173</v>
      </c>
      <c r="I1256" s="29" t="s">
        <v>174</v>
      </c>
      <c r="J1256" s="29" t="s">
        <v>175</v>
      </c>
      <c r="K1256" s="29" t="s">
        <v>176</v>
      </c>
      <c r="L1256" s="250">
        <v>4</v>
      </c>
      <c r="M1256" s="251"/>
    </row>
    <row r="1257" ht="31" spans="1:13">
      <c r="A1257" s="248" t="s">
        <v>4277</v>
      </c>
      <c r="B1257" s="45" t="s">
        <v>4276</v>
      </c>
      <c r="C1257" s="249" t="e">
        <f>VLOOKUP(D1257,#REF!,2,0)</f>
        <v>#REF!</v>
      </c>
      <c r="D1257" s="29" t="s">
        <v>5551</v>
      </c>
      <c r="E1257" s="18" t="e">
        <f>VLOOKUP(C1257,数据集标准分类!E:F,2,0)</f>
        <v>#REF!</v>
      </c>
      <c r="F1257" s="29" t="e">
        <f>VLOOKUP(D1257,数据集标准分类!G:H,2,0)</f>
        <v>#N/A</v>
      </c>
      <c r="G1257" s="29" t="s">
        <v>177</v>
      </c>
      <c r="H1257" s="29" t="s">
        <v>178</v>
      </c>
      <c r="I1257" s="29" t="s">
        <v>179</v>
      </c>
      <c r="J1257" s="29" t="s">
        <v>180</v>
      </c>
      <c r="K1257" s="29" t="s">
        <v>181</v>
      </c>
      <c r="L1257" s="250">
        <v>5</v>
      </c>
      <c r="M1257" s="251"/>
    </row>
    <row r="1258" ht="31" spans="1:13">
      <c r="A1258" s="248" t="s">
        <v>4277</v>
      </c>
      <c r="B1258" s="45" t="s">
        <v>4276</v>
      </c>
      <c r="C1258" s="249" t="e">
        <f>VLOOKUP(D1258,#REF!,2,0)</f>
        <v>#REF!</v>
      </c>
      <c r="D1258" s="29" t="s">
        <v>5551</v>
      </c>
      <c r="E1258" s="18" t="e">
        <f>VLOOKUP(C1258,数据集标准分类!E:F,2,0)</f>
        <v>#REF!</v>
      </c>
      <c r="F1258" s="29" t="e">
        <f>VLOOKUP(D1258,数据集标准分类!G:H,2,0)</f>
        <v>#N/A</v>
      </c>
      <c r="G1258" s="29" t="s">
        <v>182</v>
      </c>
      <c r="H1258" s="29" t="s">
        <v>183</v>
      </c>
      <c r="I1258" s="29" t="s">
        <v>184</v>
      </c>
      <c r="J1258" s="29" t="s">
        <v>185</v>
      </c>
      <c r="K1258" s="29" t="s">
        <v>186</v>
      </c>
      <c r="L1258" s="250">
        <v>6</v>
      </c>
      <c r="M1258" s="251"/>
    </row>
    <row r="1259" ht="16.8" spans="1:13">
      <c r="A1259" s="248" t="s">
        <v>4277</v>
      </c>
      <c r="B1259" s="45" t="s">
        <v>4276</v>
      </c>
      <c r="C1259" s="249" t="e">
        <f>VLOOKUP(D1259,#REF!,2,0)</f>
        <v>#REF!</v>
      </c>
      <c r="D1259" s="29" t="s">
        <v>5551</v>
      </c>
      <c r="E1259" s="18" t="e">
        <f>VLOOKUP(C1259,数据集标准分类!E:F,2,0)</f>
        <v>#REF!</v>
      </c>
      <c r="F1259" s="29" t="e">
        <f>VLOOKUP(D1259,数据集标准分类!G:H,2,0)</f>
        <v>#N/A</v>
      </c>
      <c r="G1259" s="29" t="s">
        <v>197</v>
      </c>
      <c r="H1259" s="29" t="s">
        <v>198</v>
      </c>
      <c r="I1259" s="29" t="s">
        <v>2074</v>
      </c>
      <c r="J1259" s="29" t="s">
        <v>199</v>
      </c>
      <c r="K1259" s="29" t="s">
        <v>2019</v>
      </c>
      <c r="L1259" s="250">
        <v>7</v>
      </c>
      <c r="M1259" s="251"/>
    </row>
    <row r="1260" ht="36" customHeight="1" spans="1:13">
      <c r="A1260" s="248" t="s">
        <v>4277</v>
      </c>
      <c r="B1260" s="45" t="s">
        <v>4276</v>
      </c>
      <c r="C1260" s="249" t="e">
        <f>VLOOKUP(D1260,#REF!,2,0)</f>
        <v>#REF!</v>
      </c>
      <c r="D1260" s="29" t="s">
        <v>5551</v>
      </c>
      <c r="E1260" s="18" t="e">
        <f>VLOOKUP(C1260,数据集标准分类!E:F,2,0)</f>
        <v>#REF!</v>
      </c>
      <c r="F1260" s="29" t="e">
        <f>VLOOKUP(D1260,数据集标准分类!G:H,2,0)</f>
        <v>#N/A</v>
      </c>
      <c r="G1260" s="29" t="s">
        <v>2828</v>
      </c>
      <c r="H1260" s="29" t="s">
        <v>2829</v>
      </c>
      <c r="I1260" s="29" t="s">
        <v>2830</v>
      </c>
      <c r="J1260" s="29" t="s">
        <v>2831</v>
      </c>
      <c r="K1260" s="29" t="s">
        <v>2832</v>
      </c>
      <c r="L1260" s="250">
        <v>8</v>
      </c>
      <c r="M1260" s="251"/>
    </row>
    <row r="1261" ht="31" spans="1:13">
      <c r="A1261" s="248" t="s">
        <v>4277</v>
      </c>
      <c r="B1261" s="45" t="s">
        <v>4276</v>
      </c>
      <c r="C1261" s="249" t="e">
        <f>VLOOKUP(D1261,#REF!,2,0)</f>
        <v>#REF!</v>
      </c>
      <c r="D1261" s="29" t="s">
        <v>5551</v>
      </c>
      <c r="E1261" s="18" t="e">
        <f>VLOOKUP(C1261,数据集标准分类!E:F,2,0)</f>
        <v>#REF!</v>
      </c>
      <c r="F1261" s="29" t="e">
        <f>VLOOKUP(D1261,数据集标准分类!G:H,2,0)</f>
        <v>#N/A</v>
      </c>
      <c r="G1261" s="29" t="s">
        <v>2633</v>
      </c>
      <c r="H1261" s="29" t="s">
        <v>2634</v>
      </c>
      <c r="I1261" s="29" t="s">
        <v>2635</v>
      </c>
      <c r="J1261" s="29" t="s">
        <v>2636</v>
      </c>
      <c r="K1261" s="29" t="s">
        <v>2637</v>
      </c>
      <c r="L1261" s="250">
        <v>9</v>
      </c>
      <c r="M1261" s="251"/>
    </row>
    <row r="1262" ht="16.8" spans="1:13">
      <c r="A1262" s="248" t="s">
        <v>4277</v>
      </c>
      <c r="B1262" s="45" t="s">
        <v>4276</v>
      </c>
      <c r="C1262" s="249" t="e">
        <f>VLOOKUP(D1262,#REF!,2,0)</f>
        <v>#REF!</v>
      </c>
      <c r="D1262" s="29" t="s">
        <v>5551</v>
      </c>
      <c r="E1262" s="18" t="e">
        <f>VLOOKUP(C1262,数据集标准分类!E:F,2,0)</f>
        <v>#REF!</v>
      </c>
      <c r="F1262" s="29" t="e">
        <f>VLOOKUP(D1262,数据集标准分类!G:H,2,0)</f>
        <v>#N/A</v>
      </c>
      <c r="G1262" s="29" t="s">
        <v>2086</v>
      </c>
      <c r="H1262" s="29" t="s">
        <v>2087</v>
      </c>
      <c r="I1262" s="29" t="s">
        <v>2088</v>
      </c>
      <c r="J1262" s="29" t="s">
        <v>2089</v>
      </c>
      <c r="K1262" s="29" t="s">
        <v>2090</v>
      </c>
      <c r="L1262" s="250">
        <v>10</v>
      </c>
      <c r="M1262" s="251"/>
    </row>
    <row r="1263" ht="16.8" spans="1:13">
      <c r="A1263" s="248" t="s">
        <v>4277</v>
      </c>
      <c r="B1263" s="45" t="s">
        <v>4276</v>
      </c>
      <c r="C1263" s="249" t="e">
        <f>VLOOKUP(D1263,#REF!,2,0)</f>
        <v>#REF!</v>
      </c>
      <c r="D1263" s="29" t="s">
        <v>5551</v>
      </c>
      <c r="E1263" s="18" t="e">
        <f>VLOOKUP(C1263,数据集标准分类!E:F,2,0)</f>
        <v>#REF!</v>
      </c>
      <c r="F1263" s="29" t="e">
        <f>VLOOKUP(D1263,数据集标准分类!G:H,2,0)</f>
        <v>#N/A</v>
      </c>
      <c r="G1263" s="29" t="s">
        <v>2081</v>
      </c>
      <c r="H1263" s="29" t="s">
        <v>2082</v>
      </c>
      <c r="I1263" s="29" t="s">
        <v>2083</v>
      </c>
      <c r="J1263" s="29" t="s">
        <v>2084</v>
      </c>
      <c r="K1263" s="29" t="s">
        <v>2085</v>
      </c>
      <c r="L1263" s="250">
        <v>11</v>
      </c>
      <c r="M1263" s="251"/>
    </row>
    <row r="1264" ht="31" spans="1:13">
      <c r="A1264" s="248" t="s">
        <v>4277</v>
      </c>
      <c r="B1264" s="45" t="s">
        <v>4276</v>
      </c>
      <c r="C1264" s="249" t="e">
        <f>VLOOKUP(D1264,#REF!,2,0)</f>
        <v>#REF!</v>
      </c>
      <c r="D1264" s="29" t="s">
        <v>5551</v>
      </c>
      <c r="E1264" s="18" t="e">
        <f>VLOOKUP(C1264,数据集标准分类!E:F,2,0)</f>
        <v>#REF!</v>
      </c>
      <c r="F1264" s="29" t="e">
        <f>VLOOKUP(D1264,数据集标准分类!G:H,2,0)</f>
        <v>#N/A</v>
      </c>
      <c r="G1264" s="29" t="s">
        <v>2076</v>
      </c>
      <c r="H1264" s="29" t="s">
        <v>2077</v>
      </c>
      <c r="I1264" s="29" t="s">
        <v>2078</v>
      </c>
      <c r="J1264" s="29" t="s">
        <v>2079</v>
      </c>
      <c r="K1264" s="29" t="s">
        <v>2080</v>
      </c>
      <c r="L1264" s="250">
        <v>12</v>
      </c>
      <c r="M1264" s="251"/>
    </row>
    <row r="1265" ht="31" spans="1:13">
      <c r="A1265" s="248" t="s">
        <v>4277</v>
      </c>
      <c r="B1265" s="45" t="s">
        <v>4276</v>
      </c>
      <c r="C1265" s="249" t="e">
        <f>VLOOKUP(D1265,#REF!,2,0)</f>
        <v>#REF!</v>
      </c>
      <c r="D1265" s="29" t="s">
        <v>5551</v>
      </c>
      <c r="E1265" s="18" t="e">
        <f>VLOOKUP(C1265,数据集标准分类!E:F,2,0)</f>
        <v>#REF!</v>
      </c>
      <c r="F1265" s="29" t="e">
        <f>VLOOKUP(D1265,数据集标准分类!G:H,2,0)</f>
        <v>#N/A</v>
      </c>
      <c r="G1265" s="29" t="s">
        <v>2096</v>
      </c>
      <c r="H1265" s="29" t="s">
        <v>2097</v>
      </c>
      <c r="I1265" s="29" t="s">
        <v>2098</v>
      </c>
      <c r="J1265" s="29" t="s">
        <v>2099</v>
      </c>
      <c r="K1265" s="29" t="s">
        <v>2100</v>
      </c>
      <c r="L1265" s="250">
        <v>13</v>
      </c>
      <c r="M1265" s="251"/>
    </row>
    <row r="1266" ht="31" spans="1:13">
      <c r="A1266" s="248" t="s">
        <v>4277</v>
      </c>
      <c r="B1266" s="45" t="s">
        <v>4276</v>
      </c>
      <c r="C1266" s="249" t="e">
        <f>VLOOKUP(D1266,#REF!,2,0)</f>
        <v>#REF!</v>
      </c>
      <c r="D1266" s="29" t="s">
        <v>5551</v>
      </c>
      <c r="E1266" s="18" t="e">
        <f>VLOOKUP(C1266,数据集标准分类!E:F,2,0)</f>
        <v>#REF!</v>
      </c>
      <c r="F1266" s="29" t="e">
        <f>VLOOKUP(D1266,数据集标准分类!G:H,2,0)</f>
        <v>#N/A</v>
      </c>
      <c r="G1266" s="29" t="s">
        <v>2091</v>
      </c>
      <c r="H1266" s="29" t="s">
        <v>2092</v>
      </c>
      <c r="I1266" s="29" t="s">
        <v>2093</v>
      </c>
      <c r="J1266" s="29" t="s">
        <v>2094</v>
      </c>
      <c r="K1266" s="29" t="s">
        <v>2095</v>
      </c>
      <c r="L1266" s="250">
        <v>14</v>
      </c>
      <c r="M1266" s="251"/>
    </row>
    <row r="1267" ht="16.8" spans="1:13">
      <c r="A1267" s="248" t="s">
        <v>4277</v>
      </c>
      <c r="B1267" s="45" t="s">
        <v>4276</v>
      </c>
      <c r="C1267" s="249" t="e">
        <f>VLOOKUP(D1267,#REF!,2,0)</f>
        <v>#REF!</v>
      </c>
      <c r="D1267" s="29" t="s">
        <v>5551</v>
      </c>
      <c r="E1267" s="18" t="e">
        <f>VLOOKUP(C1267,数据集标准分类!E:F,2,0)</f>
        <v>#REF!</v>
      </c>
      <c r="F1267" s="29" t="e">
        <f>VLOOKUP(D1267,数据集标准分类!G:H,2,0)</f>
        <v>#N/A</v>
      </c>
      <c r="G1267" s="29" t="s">
        <v>2856</v>
      </c>
      <c r="H1267" s="29" t="s">
        <v>2857</v>
      </c>
      <c r="I1267" s="29" t="s">
        <v>2858</v>
      </c>
      <c r="J1267" s="29" t="s">
        <v>2859</v>
      </c>
      <c r="K1267" s="29" t="s">
        <v>2860</v>
      </c>
      <c r="L1267" s="250">
        <v>15</v>
      </c>
      <c r="M1267" s="251"/>
    </row>
    <row r="1268" ht="31" spans="1:13">
      <c r="A1268" s="248" t="s">
        <v>4277</v>
      </c>
      <c r="B1268" s="45" t="s">
        <v>4276</v>
      </c>
      <c r="C1268" s="249" t="e">
        <f>VLOOKUP(D1268,#REF!,2,0)</f>
        <v>#REF!</v>
      </c>
      <c r="D1268" s="29" t="s">
        <v>5551</v>
      </c>
      <c r="E1268" s="18" t="e">
        <f>VLOOKUP(C1268,数据集标准分类!E:F,2,0)</f>
        <v>#REF!</v>
      </c>
      <c r="F1268" s="29" t="e">
        <f>VLOOKUP(D1268,数据集标准分类!G:H,2,0)</f>
        <v>#N/A</v>
      </c>
      <c r="G1268" s="29" t="s">
        <v>2861</v>
      </c>
      <c r="H1268" s="29" t="s">
        <v>2862</v>
      </c>
      <c r="I1268" s="29" t="s">
        <v>2863</v>
      </c>
      <c r="J1268" s="29" t="s">
        <v>2864</v>
      </c>
      <c r="K1268" s="29" t="s">
        <v>2865</v>
      </c>
      <c r="L1268" s="250">
        <v>16</v>
      </c>
      <c r="M1268" s="251"/>
    </row>
    <row r="1269" ht="16.8" spans="1:13">
      <c r="A1269" s="248" t="s">
        <v>4277</v>
      </c>
      <c r="B1269" s="45" t="s">
        <v>4276</v>
      </c>
      <c r="C1269" s="249" t="e">
        <f>VLOOKUP(D1269,#REF!,2,0)</f>
        <v>#REF!</v>
      </c>
      <c r="D1269" s="29" t="s">
        <v>5551</v>
      </c>
      <c r="E1269" s="18" t="e">
        <f>VLOOKUP(C1269,数据集标准分类!E:F,2,0)</f>
        <v>#REF!</v>
      </c>
      <c r="F1269" s="29" t="e">
        <f>VLOOKUP(D1269,数据集标准分类!G:H,2,0)</f>
        <v>#N/A</v>
      </c>
      <c r="G1269" s="29" t="s">
        <v>1109</v>
      </c>
      <c r="H1269" s="29" t="s">
        <v>1110</v>
      </c>
      <c r="I1269" s="29" t="s">
        <v>1111</v>
      </c>
      <c r="J1269" s="29" t="s">
        <v>1112</v>
      </c>
      <c r="K1269" s="29" t="s">
        <v>2866</v>
      </c>
      <c r="L1269" s="250">
        <v>17</v>
      </c>
      <c r="M1269" s="251"/>
    </row>
    <row r="1270" ht="16.8" spans="1:13">
      <c r="A1270" s="248" t="s">
        <v>4277</v>
      </c>
      <c r="B1270" s="45" t="s">
        <v>4276</v>
      </c>
      <c r="C1270" s="249" t="e">
        <f>VLOOKUP(D1270,#REF!,2,0)</f>
        <v>#REF!</v>
      </c>
      <c r="D1270" s="29" t="s">
        <v>5551</v>
      </c>
      <c r="E1270" s="18" t="e">
        <f>VLOOKUP(C1270,数据集标准分类!E:F,2,0)</f>
        <v>#REF!</v>
      </c>
      <c r="F1270" s="29" t="e">
        <f>VLOOKUP(D1270,数据集标准分类!G:H,2,0)</f>
        <v>#N/A</v>
      </c>
      <c r="G1270" s="29" t="s">
        <v>201</v>
      </c>
      <c r="H1270" s="29" t="s">
        <v>202</v>
      </c>
      <c r="I1270" s="29" t="s">
        <v>203</v>
      </c>
      <c r="J1270" s="29" t="s">
        <v>204</v>
      </c>
      <c r="K1270" s="29" t="s">
        <v>1114</v>
      </c>
      <c r="L1270" s="250">
        <v>18</v>
      </c>
      <c r="M1270" s="251"/>
    </row>
    <row r="1271" ht="24" customHeight="1" spans="1:13">
      <c r="A1271" s="248" t="s">
        <v>4277</v>
      </c>
      <c r="B1271" s="45" t="s">
        <v>4276</v>
      </c>
      <c r="C1271" s="249" t="e">
        <f>VLOOKUP(D1271,#REF!,2,0)</f>
        <v>#REF!</v>
      </c>
      <c r="D1271" s="29" t="s">
        <v>5551</v>
      </c>
      <c r="E1271" s="18" t="e">
        <f>VLOOKUP(C1271,数据集标准分类!E:F,2,0)</f>
        <v>#REF!</v>
      </c>
      <c r="F1271" s="29" t="e">
        <f>VLOOKUP(D1271,数据集标准分类!G:H,2,0)</f>
        <v>#N/A</v>
      </c>
      <c r="G1271" s="29" t="s">
        <v>789</v>
      </c>
      <c r="H1271" s="29" t="s">
        <v>790</v>
      </c>
      <c r="I1271" s="29" t="s">
        <v>790</v>
      </c>
      <c r="J1271" s="29" t="s">
        <v>791</v>
      </c>
      <c r="K1271" s="29" t="s">
        <v>792</v>
      </c>
      <c r="L1271" s="250">
        <v>19</v>
      </c>
      <c r="M1271" s="251"/>
    </row>
    <row r="1272" ht="31" spans="1:13">
      <c r="A1272" s="248" t="s">
        <v>4277</v>
      </c>
      <c r="B1272" s="45" t="s">
        <v>4276</v>
      </c>
      <c r="C1272" s="249" t="e">
        <f>VLOOKUP(D1272,#REF!,2,0)</f>
        <v>#REF!</v>
      </c>
      <c r="D1272" s="29" t="s">
        <v>5551</v>
      </c>
      <c r="E1272" s="18" t="e">
        <f>VLOOKUP(C1272,数据集标准分类!E:F,2,0)</f>
        <v>#REF!</v>
      </c>
      <c r="F1272" s="29" t="e">
        <f>VLOOKUP(D1272,数据集标准分类!G:H,2,0)</f>
        <v>#N/A</v>
      </c>
      <c r="G1272" s="29" t="s">
        <v>1921</v>
      </c>
      <c r="H1272" s="29" t="s">
        <v>1922</v>
      </c>
      <c r="I1272" s="29" t="s">
        <v>1923</v>
      </c>
      <c r="J1272" s="29" t="s">
        <v>1924</v>
      </c>
      <c r="K1272" s="29" t="s">
        <v>2844</v>
      </c>
      <c r="L1272" s="250">
        <v>20</v>
      </c>
      <c r="M1272" s="251"/>
    </row>
    <row r="1273" ht="46" spans="1:13">
      <c r="A1273" s="248" t="s">
        <v>4287</v>
      </c>
      <c r="B1273" s="45" t="s">
        <v>4286</v>
      </c>
      <c r="C1273" s="249" t="e">
        <f>VLOOKUP(D1273,#REF!,2,0)</f>
        <v>#REF!</v>
      </c>
      <c r="D1273" s="29" t="s">
        <v>2867</v>
      </c>
      <c r="E1273" s="18" t="e">
        <f>VLOOKUP(C1273,数据集标准分类!E:F,2,0)</f>
        <v>#REF!</v>
      </c>
      <c r="F1273" s="29" t="e">
        <f>VLOOKUP(D1273,数据集标准分类!G:H,2,0)</f>
        <v>#N/A</v>
      </c>
      <c r="G1273" s="29" t="s">
        <v>142</v>
      </c>
      <c r="H1273" s="29" t="s">
        <v>143</v>
      </c>
      <c r="I1273" s="29" t="s">
        <v>144</v>
      </c>
      <c r="J1273" s="29" t="s">
        <v>145</v>
      </c>
      <c r="K1273" s="29" t="s">
        <v>146</v>
      </c>
      <c r="L1273" s="250">
        <v>1</v>
      </c>
      <c r="M1273" s="251"/>
    </row>
    <row r="1274" ht="76" spans="1:13">
      <c r="A1274" s="248" t="s">
        <v>4287</v>
      </c>
      <c r="B1274" s="45" t="s">
        <v>4286</v>
      </c>
      <c r="C1274" s="249" t="e">
        <f>VLOOKUP(D1274,#REF!,2,0)</f>
        <v>#REF!</v>
      </c>
      <c r="D1274" s="29" t="s">
        <v>2867</v>
      </c>
      <c r="E1274" s="18" t="e">
        <f>VLOOKUP(C1274,数据集标准分类!E:F,2,0)</f>
        <v>#REF!</v>
      </c>
      <c r="F1274" s="29" t="e">
        <f>VLOOKUP(D1274,数据集标准分类!G:H,2,0)</f>
        <v>#N/A</v>
      </c>
      <c r="G1274" s="29" t="s">
        <v>2868</v>
      </c>
      <c r="H1274" s="29" t="s">
        <v>2869</v>
      </c>
      <c r="I1274" s="29" t="s">
        <v>2870</v>
      </c>
      <c r="J1274" s="29" t="s">
        <v>2871</v>
      </c>
      <c r="K1274" s="29" t="s">
        <v>2872</v>
      </c>
      <c r="L1274" s="250">
        <v>2</v>
      </c>
      <c r="M1274" s="251"/>
    </row>
    <row r="1275" ht="76" spans="1:13">
      <c r="A1275" s="248" t="s">
        <v>4287</v>
      </c>
      <c r="B1275" s="45" t="s">
        <v>4286</v>
      </c>
      <c r="C1275" s="249" t="e">
        <f>VLOOKUP(D1275,#REF!,2,0)</f>
        <v>#REF!</v>
      </c>
      <c r="D1275" s="29" t="s">
        <v>2867</v>
      </c>
      <c r="E1275" s="18" t="e">
        <f>VLOOKUP(C1275,数据集标准分类!E:F,2,0)</f>
        <v>#REF!</v>
      </c>
      <c r="F1275" s="29" t="e">
        <f>VLOOKUP(D1275,数据集标准分类!G:H,2,0)</f>
        <v>#N/A</v>
      </c>
      <c r="G1275" s="29" t="s">
        <v>2873</v>
      </c>
      <c r="H1275" s="29" t="s">
        <v>2874</v>
      </c>
      <c r="I1275" s="29" t="s">
        <v>2875</v>
      </c>
      <c r="J1275" s="29" t="s">
        <v>2876</v>
      </c>
      <c r="K1275" s="29" t="s">
        <v>2877</v>
      </c>
      <c r="L1275" s="250">
        <v>3</v>
      </c>
      <c r="M1275" s="251"/>
    </row>
    <row r="1276" ht="46" spans="1:13">
      <c r="A1276" s="248" t="s">
        <v>4287</v>
      </c>
      <c r="B1276" s="45" t="s">
        <v>4286</v>
      </c>
      <c r="C1276" s="249" t="e">
        <f>VLOOKUP(D1276,#REF!,2,0)</f>
        <v>#REF!</v>
      </c>
      <c r="D1276" s="29" t="s">
        <v>2867</v>
      </c>
      <c r="E1276" s="18" t="e">
        <f>VLOOKUP(C1276,数据集标准分类!E:F,2,0)</f>
        <v>#REF!</v>
      </c>
      <c r="F1276" s="29" t="e">
        <f>VLOOKUP(D1276,数据集标准分类!G:H,2,0)</f>
        <v>#N/A</v>
      </c>
      <c r="G1276" s="29" t="s">
        <v>2878</v>
      </c>
      <c r="H1276" s="29" t="s">
        <v>2879</v>
      </c>
      <c r="I1276" s="29" t="s">
        <v>2880</v>
      </c>
      <c r="J1276" s="29" t="s">
        <v>2881</v>
      </c>
      <c r="K1276" s="29" t="s">
        <v>2882</v>
      </c>
      <c r="L1276" s="250">
        <v>4</v>
      </c>
      <c r="M1276" s="251"/>
    </row>
    <row r="1277" ht="24" customHeight="1" spans="1:13">
      <c r="A1277" s="248" t="s">
        <v>4287</v>
      </c>
      <c r="B1277" s="45" t="s">
        <v>4286</v>
      </c>
      <c r="C1277" s="249" t="e">
        <f>VLOOKUP(D1277,#REF!,2,0)</f>
        <v>#REF!</v>
      </c>
      <c r="D1277" s="29" t="s">
        <v>2867</v>
      </c>
      <c r="E1277" s="18" t="e">
        <f>VLOOKUP(C1277,数据集标准分类!E:F,2,0)</f>
        <v>#REF!</v>
      </c>
      <c r="F1277" s="29" t="e">
        <f>VLOOKUP(D1277,数据集标准分类!G:H,2,0)</f>
        <v>#N/A</v>
      </c>
      <c r="G1277" s="29" t="s">
        <v>2883</v>
      </c>
      <c r="H1277" s="29" t="s">
        <v>2884</v>
      </c>
      <c r="I1277" s="29" t="s">
        <v>2885</v>
      </c>
      <c r="J1277" s="29" t="s">
        <v>2886</v>
      </c>
      <c r="K1277" s="29" t="s">
        <v>2887</v>
      </c>
      <c r="L1277" s="250">
        <v>5</v>
      </c>
      <c r="M1277" s="251"/>
    </row>
    <row r="1278" ht="31" spans="1:13">
      <c r="A1278" s="248" t="s">
        <v>4294</v>
      </c>
      <c r="B1278" s="45" t="s">
        <v>4293</v>
      </c>
      <c r="C1278" s="249" t="e">
        <f>VLOOKUP(D1278,#REF!,2,0)</f>
        <v>#REF!</v>
      </c>
      <c r="D1278" s="29" t="s">
        <v>2888</v>
      </c>
      <c r="E1278" s="18" t="e">
        <f>VLOOKUP(C1278,数据集标准分类!E:F,2,0)</f>
        <v>#REF!</v>
      </c>
      <c r="F1278" s="29" t="e">
        <f>VLOOKUP(D1278,数据集标准分类!G:H,2,0)</f>
        <v>#N/A</v>
      </c>
      <c r="G1278" s="29" t="s">
        <v>2889</v>
      </c>
      <c r="H1278" s="29" t="s">
        <v>2890</v>
      </c>
      <c r="I1278" s="29" t="s">
        <v>2891</v>
      </c>
      <c r="J1278" s="29" t="s">
        <v>2892</v>
      </c>
      <c r="K1278" s="29" t="s">
        <v>2893</v>
      </c>
      <c r="L1278" s="250">
        <v>8</v>
      </c>
      <c r="M1278" s="251"/>
    </row>
    <row r="1279" ht="31" spans="1:13">
      <c r="A1279" s="248" t="s">
        <v>4294</v>
      </c>
      <c r="B1279" s="45" t="s">
        <v>4293</v>
      </c>
      <c r="C1279" s="249" t="e">
        <f>VLOOKUP(D1279,#REF!,2,0)</f>
        <v>#REF!</v>
      </c>
      <c r="D1279" s="29" t="s">
        <v>2888</v>
      </c>
      <c r="E1279" s="18" t="e">
        <f>VLOOKUP(C1279,数据集标准分类!E:F,2,0)</f>
        <v>#REF!</v>
      </c>
      <c r="F1279" s="29" t="e">
        <f>VLOOKUP(D1279,数据集标准分类!G:H,2,0)</f>
        <v>#N/A</v>
      </c>
      <c r="G1279" s="65" t="s">
        <v>2242</v>
      </c>
      <c r="H1279" s="29" t="s">
        <v>2243</v>
      </c>
      <c r="I1279" s="29" t="s">
        <v>2244</v>
      </c>
      <c r="J1279" s="29" t="s">
        <v>2836</v>
      </c>
      <c r="K1279" s="29" t="s">
        <v>2894</v>
      </c>
      <c r="L1279" s="250">
        <v>9</v>
      </c>
      <c r="M1279" s="251"/>
    </row>
    <row r="1280" ht="16.8" spans="1:13">
      <c r="A1280" s="248" t="s">
        <v>4294</v>
      </c>
      <c r="B1280" s="45" t="s">
        <v>4293</v>
      </c>
      <c r="C1280" s="249" t="e">
        <f>VLOOKUP(D1280,#REF!,2,0)</f>
        <v>#REF!</v>
      </c>
      <c r="D1280" s="29" t="s">
        <v>2888</v>
      </c>
      <c r="E1280" s="18" t="e">
        <f>VLOOKUP(C1280,数据集标准分类!E:F,2,0)</f>
        <v>#REF!</v>
      </c>
      <c r="F1280" s="29" t="e">
        <f>VLOOKUP(D1280,数据集标准分类!G:H,2,0)</f>
        <v>#N/A</v>
      </c>
      <c r="G1280" s="29" t="s">
        <v>2895</v>
      </c>
      <c r="H1280" s="29" t="s">
        <v>2896</v>
      </c>
      <c r="I1280" s="29" t="s">
        <v>2897</v>
      </c>
      <c r="J1280" s="29" t="s">
        <v>2898</v>
      </c>
      <c r="K1280" s="29" t="s">
        <v>2899</v>
      </c>
      <c r="L1280" s="250">
        <v>10</v>
      </c>
      <c r="M1280" s="251"/>
    </row>
    <row r="1281" ht="31" spans="1:13">
      <c r="A1281" s="248" t="s">
        <v>4294</v>
      </c>
      <c r="B1281" s="45" t="s">
        <v>4293</v>
      </c>
      <c r="C1281" s="249" t="e">
        <f>VLOOKUP(D1281,#REF!,2,0)</f>
        <v>#REF!</v>
      </c>
      <c r="D1281" s="29" t="s">
        <v>2888</v>
      </c>
      <c r="E1281" s="18" t="e">
        <f>VLOOKUP(C1281,数据集标准分类!E:F,2,0)</f>
        <v>#REF!</v>
      </c>
      <c r="F1281" s="29" t="e">
        <f>VLOOKUP(D1281,数据集标准分类!G:H,2,0)</f>
        <v>#N/A</v>
      </c>
      <c r="G1281" s="29" t="s">
        <v>1097</v>
      </c>
      <c r="H1281" s="29" t="s">
        <v>1098</v>
      </c>
      <c r="I1281" s="29" t="s">
        <v>1099</v>
      </c>
      <c r="J1281" s="29" t="s">
        <v>1100</v>
      </c>
      <c r="K1281" s="29" t="s">
        <v>1225</v>
      </c>
      <c r="L1281" s="250">
        <v>11</v>
      </c>
      <c r="M1281" s="251"/>
    </row>
    <row r="1282" ht="31" spans="1:13">
      <c r="A1282" s="248" t="s">
        <v>4294</v>
      </c>
      <c r="B1282" s="45" t="s">
        <v>4293</v>
      </c>
      <c r="C1282" s="249" t="e">
        <f>VLOOKUP(D1282,#REF!,2,0)</f>
        <v>#REF!</v>
      </c>
      <c r="D1282" s="29" t="s">
        <v>2888</v>
      </c>
      <c r="E1282" s="18" t="e">
        <f>VLOOKUP(C1282,数据集标准分类!E:F,2,0)</f>
        <v>#REF!</v>
      </c>
      <c r="F1282" s="29" t="e">
        <f>VLOOKUP(D1282,数据集标准分类!G:H,2,0)</f>
        <v>#N/A</v>
      </c>
      <c r="G1282" s="29" t="s">
        <v>2246</v>
      </c>
      <c r="H1282" s="29" t="s">
        <v>2247</v>
      </c>
      <c r="I1282" s="29" t="s">
        <v>2248</v>
      </c>
      <c r="J1282" s="29" t="s">
        <v>2900</v>
      </c>
      <c r="K1282" s="29" t="s">
        <v>2901</v>
      </c>
      <c r="L1282" s="250">
        <v>12</v>
      </c>
      <c r="M1282" s="251"/>
    </row>
    <row r="1283" ht="31" spans="1:13">
      <c r="A1283" s="248" t="s">
        <v>4294</v>
      </c>
      <c r="B1283" s="45" t="s">
        <v>4293</v>
      </c>
      <c r="C1283" s="249" t="e">
        <f>VLOOKUP(D1283,#REF!,2,0)</f>
        <v>#REF!</v>
      </c>
      <c r="D1283" s="29" t="s">
        <v>2888</v>
      </c>
      <c r="E1283" s="18" t="e">
        <f>VLOOKUP(C1283,数据集标准分类!E:F,2,0)</f>
        <v>#REF!</v>
      </c>
      <c r="F1283" s="29" t="e">
        <f>VLOOKUP(D1283,数据集标准分类!G:H,2,0)</f>
        <v>#N/A</v>
      </c>
      <c r="G1283" s="29" t="s">
        <v>2902</v>
      </c>
      <c r="H1283" s="29" t="s">
        <v>2903</v>
      </c>
      <c r="I1283" s="29" t="s">
        <v>2904</v>
      </c>
      <c r="J1283" s="29" t="s">
        <v>2905</v>
      </c>
      <c r="K1283" s="29" t="s">
        <v>2906</v>
      </c>
      <c r="L1283" s="250">
        <v>13</v>
      </c>
      <c r="M1283" s="251"/>
    </row>
    <row r="1284" ht="31" spans="1:13">
      <c r="A1284" s="248" t="s">
        <v>4294</v>
      </c>
      <c r="B1284" s="45" t="s">
        <v>4293</v>
      </c>
      <c r="C1284" s="249" t="e">
        <f>VLOOKUP(D1284,#REF!,2,0)</f>
        <v>#REF!</v>
      </c>
      <c r="D1284" s="29" t="s">
        <v>2888</v>
      </c>
      <c r="E1284" s="18" t="e">
        <f>VLOOKUP(C1284,数据集标准分类!E:F,2,0)</f>
        <v>#REF!</v>
      </c>
      <c r="F1284" s="29" t="e">
        <f>VLOOKUP(D1284,数据集标准分类!G:H,2,0)</f>
        <v>#N/A</v>
      </c>
      <c r="G1284" s="29" t="s">
        <v>2907</v>
      </c>
      <c r="H1284" s="29" t="s">
        <v>2908</v>
      </c>
      <c r="I1284" s="29" t="s">
        <v>2909</v>
      </c>
      <c r="J1284" s="29" t="s">
        <v>2910</v>
      </c>
      <c r="K1284" s="29" t="s">
        <v>2911</v>
      </c>
      <c r="L1284" s="250">
        <v>14</v>
      </c>
      <c r="M1284" s="251"/>
    </row>
    <row r="1285" ht="46" spans="1:13">
      <c r="A1285" s="248" t="s">
        <v>4294</v>
      </c>
      <c r="B1285" s="45" t="s">
        <v>4293</v>
      </c>
      <c r="C1285" s="249" t="e">
        <f>VLOOKUP(D1285,#REF!,2,0)</f>
        <v>#REF!</v>
      </c>
      <c r="D1285" s="29" t="s">
        <v>2888</v>
      </c>
      <c r="E1285" s="18" t="e">
        <f>VLOOKUP(C1285,数据集标准分类!E:F,2,0)</f>
        <v>#REF!</v>
      </c>
      <c r="F1285" s="29" t="e">
        <f>VLOOKUP(D1285,数据集标准分类!G:H,2,0)</f>
        <v>#N/A</v>
      </c>
      <c r="G1285" s="29" t="s">
        <v>2912</v>
      </c>
      <c r="H1285" s="29" t="s">
        <v>2913</v>
      </c>
      <c r="I1285" s="29" t="s">
        <v>2914</v>
      </c>
      <c r="J1285" s="29" t="s">
        <v>2915</v>
      </c>
      <c r="K1285" s="29" t="s">
        <v>2916</v>
      </c>
      <c r="L1285" s="250">
        <v>15</v>
      </c>
      <c r="M1285" s="251"/>
    </row>
    <row r="1286" ht="16.8" spans="1:13">
      <c r="A1286" s="248" t="s">
        <v>4294</v>
      </c>
      <c r="B1286" s="45" t="s">
        <v>4293</v>
      </c>
      <c r="C1286" s="249" t="e">
        <f>VLOOKUP(D1286,#REF!,2,0)</f>
        <v>#REF!</v>
      </c>
      <c r="D1286" s="29" t="s">
        <v>2888</v>
      </c>
      <c r="E1286" s="18" t="e">
        <f>VLOOKUP(C1286,数据集标准分类!E:F,2,0)</f>
        <v>#REF!</v>
      </c>
      <c r="F1286" s="29" t="e">
        <f>VLOOKUP(D1286,数据集标准分类!G:H,2,0)</f>
        <v>#N/A</v>
      </c>
      <c r="G1286" s="29" t="s">
        <v>2917</v>
      </c>
      <c r="H1286" s="29" t="s">
        <v>2918</v>
      </c>
      <c r="I1286" s="29" t="s">
        <v>2919</v>
      </c>
      <c r="J1286" s="29" t="s">
        <v>2920</v>
      </c>
      <c r="K1286" s="29" t="s">
        <v>2921</v>
      </c>
      <c r="L1286" s="250">
        <v>16</v>
      </c>
      <c r="M1286" s="251"/>
    </row>
    <row r="1287" ht="31" spans="1:13">
      <c r="A1287" s="248" t="s">
        <v>4294</v>
      </c>
      <c r="B1287" s="45" t="s">
        <v>4293</v>
      </c>
      <c r="C1287" s="249" t="e">
        <f>VLOOKUP(D1287,#REF!,2,0)</f>
        <v>#REF!</v>
      </c>
      <c r="D1287" s="29" t="s">
        <v>2888</v>
      </c>
      <c r="E1287" s="18" t="e">
        <f>VLOOKUP(C1287,数据集标准分类!E:F,2,0)</f>
        <v>#REF!</v>
      </c>
      <c r="F1287" s="29" t="e">
        <f>VLOOKUP(D1287,数据集标准分类!G:H,2,0)</f>
        <v>#N/A</v>
      </c>
      <c r="G1287" s="29" t="s">
        <v>2922</v>
      </c>
      <c r="H1287" s="29" t="s">
        <v>2923</v>
      </c>
      <c r="I1287" s="29" t="s">
        <v>2924</v>
      </c>
      <c r="J1287" s="29" t="s">
        <v>2925</v>
      </c>
      <c r="K1287" s="29" t="s">
        <v>573</v>
      </c>
      <c r="L1287" s="250">
        <v>17</v>
      </c>
      <c r="M1287" s="251"/>
    </row>
    <row r="1288" ht="31" spans="1:13">
      <c r="A1288" s="248" t="s">
        <v>4294</v>
      </c>
      <c r="B1288" s="45" t="s">
        <v>4293</v>
      </c>
      <c r="C1288" s="249" t="e">
        <f>VLOOKUP(D1288,#REF!,2,0)</f>
        <v>#REF!</v>
      </c>
      <c r="D1288" s="29" t="s">
        <v>2888</v>
      </c>
      <c r="E1288" s="18" t="e">
        <f>VLOOKUP(C1288,数据集标准分类!E:F,2,0)</f>
        <v>#REF!</v>
      </c>
      <c r="F1288" s="29" t="e">
        <f>VLOOKUP(D1288,数据集标准分类!G:H,2,0)</f>
        <v>#N/A</v>
      </c>
      <c r="G1288" s="29" t="s">
        <v>574</v>
      </c>
      <c r="H1288" s="29" t="s">
        <v>575</v>
      </c>
      <c r="I1288" s="29" t="s">
        <v>576</v>
      </c>
      <c r="J1288" s="29" t="s">
        <v>577</v>
      </c>
      <c r="K1288" s="29" t="s">
        <v>578</v>
      </c>
      <c r="L1288" s="250">
        <v>18</v>
      </c>
      <c r="M1288" s="251"/>
    </row>
    <row r="1289" ht="46" spans="1:13">
      <c r="A1289" s="248" t="s">
        <v>4294</v>
      </c>
      <c r="B1289" s="45" t="s">
        <v>4293</v>
      </c>
      <c r="C1289" s="249" t="e">
        <f>VLOOKUP(D1289,#REF!,2,0)</f>
        <v>#REF!</v>
      </c>
      <c r="D1289" s="29" t="s">
        <v>2888</v>
      </c>
      <c r="E1289" s="18" t="e">
        <f>VLOOKUP(C1289,数据集标准分类!E:F,2,0)</f>
        <v>#REF!</v>
      </c>
      <c r="F1289" s="29" t="e">
        <f>VLOOKUP(D1289,数据集标准分类!G:H,2,0)</f>
        <v>#N/A</v>
      </c>
      <c r="G1289" s="29" t="s">
        <v>152</v>
      </c>
      <c r="H1289" s="29" t="s">
        <v>153</v>
      </c>
      <c r="I1289" s="29" t="s">
        <v>154</v>
      </c>
      <c r="J1289" s="29" t="s">
        <v>155</v>
      </c>
      <c r="K1289" s="29" t="s">
        <v>156</v>
      </c>
      <c r="L1289" s="250">
        <v>5</v>
      </c>
      <c r="M1289" s="251"/>
    </row>
    <row r="1290" ht="46" spans="1:13">
      <c r="A1290" s="248" t="s">
        <v>4294</v>
      </c>
      <c r="B1290" s="45" t="s">
        <v>4293</v>
      </c>
      <c r="C1290" s="249" t="e">
        <f>VLOOKUP(D1290,#REF!,2,0)</f>
        <v>#REF!</v>
      </c>
      <c r="D1290" s="29" t="s">
        <v>2888</v>
      </c>
      <c r="E1290" s="18" t="e">
        <f>VLOOKUP(C1290,数据集标准分类!E:F,2,0)</f>
        <v>#REF!</v>
      </c>
      <c r="F1290" s="29" t="e">
        <f>VLOOKUP(D1290,数据集标准分类!G:H,2,0)</f>
        <v>#N/A</v>
      </c>
      <c r="G1290" s="29" t="s">
        <v>157</v>
      </c>
      <c r="H1290" s="29" t="s">
        <v>158</v>
      </c>
      <c r="I1290" s="29" t="s">
        <v>159</v>
      </c>
      <c r="J1290" s="29" t="s">
        <v>160</v>
      </c>
      <c r="K1290" s="29" t="s">
        <v>161</v>
      </c>
      <c r="L1290" s="250">
        <v>6</v>
      </c>
      <c r="M1290" s="251"/>
    </row>
    <row r="1291" ht="36" customHeight="1" spans="1:13">
      <c r="A1291" s="248" t="s">
        <v>4294</v>
      </c>
      <c r="B1291" s="45" t="s">
        <v>4293</v>
      </c>
      <c r="C1291" s="249" t="e">
        <f>VLOOKUP(D1291,#REF!,2,0)</f>
        <v>#REF!</v>
      </c>
      <c r="D1291" s="29" t="s">
        <v>2926</v>
      </c>
      <c r="E1291" s="18" t="e">
        <f>VLOOKUP(C1291,数据集标准分类!E:F,2,0)</f>
        <v>#REF!</v>
      </c>
      <c r="F1291" s="29" t="e">
        <f>VLOOKUP(D1291,数据集标准分类!G:H,2,0)</f>
        <v>#N/A</v>
      </c>
      <c r="G1291" s="29" t="s">
        <v>2927</v>
      </c>
      <c r="H1291" s="29" t="s">
        <v>2928</v>
      </c>
      <c r="I1291" s="29" t="s">
        <v>2929</v>
      </c>
      <c r="J1291" s="29" t="s">
        <v>2930</v>
      </c>
      <c r="K1291" s="29"/>
      <c r="L1291" s="250">
        <v>1</v>
      </c>
      <c r="M1291" s="251"/>
    </row>
    <row r="1292" ht="16.8" spans="1:13">
      <c r="A1292" s="248" t="s">
        <v>4294</v>
      </c>
      <c r="B1292" s="45" t="s">
        <v>4293</v>
      </c>
      <c r="C1292" s="249" t="e">
        <f>VLOOKUP(D1292,#REF!,2,0)</f>
        <v>#REF!</v>
      </c>
      <c r="D1292" s="29" t="s">
        <v>2926</v>
      </c>
      <c r="E1292" s="18" t="e">
        <f>VLOOKUP(C1292,数据集标准分类!E:F,2,0)</f>
        <v>#REF!</v>
      </c>
      <c r="F1292" s="29" t="e">
        <f>VLOOKUP(D1292,数据集标准分类!G:H,2,0)</f>
        <v>#N/A</v>
      </c>
      <c r="G1292" s="29" t="s">
        <v>2931</v>
      </c>
      <c r="H1292" s="45" t="s">
        <v>2932</v>
      </c>
      <c r="I1292" s="45" t="s">
        <v>2933</v>
      </c>
      <c r="J1292" s="45" t="s">
        <v>2934</v>
      </c>
      <c r="K1292" s="45"/>
      <c r="L1292" s="250">
        <v>2</v>
      </c>
      <c r="M1292" s="251"/>
    </row>
    <row r="1293" ht="16.8" spans="1:13">
      <c r="A1293" s="248" t="s">
        <v>4294</v>
      </c>
      <c r="B1293" s="45" t="s">
        <v>4293</v>
      </c>
      <c r="C1293" s="249" t="e">
        <f>VLOOKUP(D1293,#REF!,2,0)</f>
        <v>#REF!</v>
      </c>
      <c r="D1293" s="29" t="s">
        <v>2926</v>
      </c>
      <c r="E1293" s="18" t="e">
        <f>VLOOKUP(C1293,数据集标准分类!E:F,2,0)</f>
        <v>#REF!</v>
      </c>
      <c r="F1293" s="29" t="e">
        <f>VLOOKUP(D1293,数据集标准分类!G:H,2,0)</f>
        <v>#N/A</v>
      </c>
      <c r="G1293" s="29" t="s">
        <v>2935</v>
      </c>
      <c r="H1293" s="45" t="s">
        <v>2936</v>
      </c>
      <c r="I1293" s="45" t="s">
        <v>2937</v>
      </c>
      <c r="J1293" s="45" t="s">
        <v>2938</v>
      </c>
      <c r="K1293" s="45"/>
      <c r="L1293" s="250">
        <v>3</v>
      </c>
      <c r="M1293" s="251"/>
    </row>
    <row r="1294" ht="16.8" spans="1:13">
      <c r="A1294" s="248" t="s">
        <v>4294</v>
      </c>
      <c r="B1294" s="45" t="s">
        <v>4293</v>
      </c>
      <c r="C1294" s="249" t="e">
        <f>VLOOKUP(D1294,#REF!,2,0)</f>
        <v>#REF!</v>
      </c>
      <c r="D1294" s="29" t="s">
        <v>2926</v>
      </c>
      <c r="E1294" s="18" t="e">
        <f>VLOOKUP(C1294,数据集标准分类!E:F,2,0)</f>
        <v>#REF!</v>
      </c>
      <c r="F1294" s="29" t="e">
        <f>VLOOKUP(D1294,数据集标准分类!G:H,2,0)</f>
        <v>#N/A</v>
      </c>
      <c r="G1294" s="29" t="s">
        <v>2939</v>
      </c>
      <c r="H1294" s="45" t="s">
        <v>2940</v>
      </c>
      <c r="I1294" s="45" t="s">
        <v>2941</v>
      </c>
      <c r="J1294" s="45" t="s">
        <v>2942</v>
      </c>
      <c r="K1294" s="45"/>
      <c r="L1294" s="250">
        <v>4</v>
      </c>
      <c r="M1294" s="251"/>
    </row>
    <row r="1295" ht="16.8" spans="1:13">
      <c r="A1295" s="248" t="s">
        <v>4294</v>
      </c>
      <c r="B1295" s="45" t="s">
        <v>4293</v>
      </c>
      <c r="C1295" s="249" t="e">
        <f>VLOOKUP(D1295,#REF!,2,0)</f>
        <v>#REF!</v>
      </c>
      <c r="D1295" s="29" t="s">
        <v>2926</v>
      </c>
      <c r="E1295" s="18" t="e">
        <f>VLOOKUP(C1295,数据集标准分类!E:F,2,0)</f>
        <v>#REF!</v>
      </c>
      <c r="F1295" s="29" t="e">
        <f>VLOOKUP(D1295,数据集标准分类!G:H,2,0)</f>
        <v>#N/A</v>
      </c>
      <c r="G1295" s="29" t="s">
        <v>2943</v>
      </c>
      <c r="H1295" s="45" t="s">
        <v>2944</v>
      </c>
      <c r="I1295" s="45" t="s">
        <v>2945</v>
      </c>
      <c r="J1295" s="45" t="s">
        <v>2946</v>
      </c>
      <c r="K1295" s="45"/>
      <c r="L1295" s="250">
        <v>5</v>
      </c>
      <c r="M1295" s="251"/>
    </row>
    <row r="1296" ht="16.8" spans="1:13">
      <c r="A1296" s="248" t="s">
        <v>4294</v>
      </c>
      <c r="B1296" s="45" t="s">
        <v>4293</v>
      </c>
      <c r="C1296" s="249" t="e">
        <f>VLOOKUP(D1296,#REF!,2,0)</f>
        <v>#REF!</v>
      </c>
      <c r="D1296" s="29" t="s">
        <v>2926</v>
      </c>
      <c r="E1296" s="18" t="e">
        <f>VLOOKUP(C1296,数据集标准分类!E:F,2,0)</f>
        <v>#REF!</v>
      </c>
      <c r="F1296" s="29" t="e">
        <f>VLOOKUP(D1296,数据集标准分类!G:H,2,0)</f>
        <v>#N/A</v>
      </c>
      <c r="G1296" s="29" t="s">
        <v>2947</v>
      </c>
      <c r="H1296" s="45" t="s">
        <v>2948</v>
      </c>
      <c r="I1296" s="45" t="s">
        <v>2949</v>
      </c>
      <c r="J1296" s="45" t="s">
        <v>2950</v>
      </c>
      <c r="K1296" s="45"/>
      <c r="L1296" s="250">
        <v>6</v>
      </c>
      <c r="M1296" s="251"/>
    </row>
    <row r="1297" ht="36" customHeight="1" spans="1:13">
      <c r="A1297" s="248" t="s">
        <v>4294</v>
      </c>
      <c r="B1297" s="45" t="s">
        <v>4293</v>
      </c>
      <c r="C1297" s="249" t="e">
        <f>VLOOKUP(D1297,#REF!,2,0)</f>
        <v>#REF!</v>
      </c>
      <c r="D1297" s="29" t="s">
        <v>2926</v>
      </c>
      <c r="E1297" s="18" t="e">
        <f>VLOOKUP(C1297,数据集标准分类!E:F,2,0)</f>
        <v>#REF!</v>
      </c>
      <c r="F1297" s="29" t="e">
        <f>VLOOKUP(D1297,数据集标准分类!G:H,2,0)</f>
        <v>#N/A</v>
      </c>
      <c r="G1297" s="29" t="s">
        <v>2951</v>
      </c>
      <c r="H1297" s="45" t="s">
        <v>2952</v>
      </c>
      <c r="I1297" s="45" t="s">
        <v>2953</v>
      </c>
      <c r="J1297" s="45" t="s">
        <v>2954</v>
      </c>
      <c r="K1297" s="45"/>
      <c r="L1297" s="250">
        <v>7</v>
      </c>
      <c r="M1297" s="251"/>
    </row>
    <row r="1298" ht="16.8" spans="1:13">
      <c r="A1298" s="248" t="s">
        <v>4294</v>
      </c>
      <c r="B1298" s="45" t="s">
        <v>4293</v>
      </c>
      <c r="C1298" s="249" t="e">
        <f>VLOOKUP(D1298,#REF!,2,0)</f>
        <v>#REF!</v>
      </c>
      <c r="D1298" s="29" t="s">
        <v>2926</v>
      </c>
      <c r="E1298" s="18" t="e">
        <f>VLOOKUP(C1298,数据集标准分类!E:F,2,0)</f>
        <v>#REF!</v>
      </c>
      <c r="F1298" s="29" t="e">
        <f>VLOOKUP(D1298,数据集标准分类!G:H,2,0)</f>
        <v>#N/A</v>
      </c>
      <c r="G1298" s="29" t="s">
        <v>2955</v>
      </c>
      <c r="H1298" s="45" t="s">
        <v>2956</v>
      </c>
      <c r="I1298" s="45" t="s">
        <v>2957</v>
      </c>
      <c r="J1298" s="45" t="s">
        <v>2958</v>
      </c>
      <c r="K1298" s="45"/>
      <c r="L1298" s="250">
        <v>8</v>
      </c>
      <c r="M1298" s="251"/>
    </row>
    <row r="1299" ht="16.8" spans="1:13">
      <c r="A1299" s="248" t="s">
        <v>4294</v>
      </c>
      <c r="B1299" s="45" t="s">
        <v>4293</v>
      </c>
      <c r="C1299" s="249" t="e">
        <f>VLOOKUP(D1299,#REF!,2,0)</f>
        <v>#REF!</v>
      </c>
      <c r="D1299" s="29" t="s">
        <v>2926</v>
      </c>
      <c r="E1299" s="18" t="e">
        <f>VLOOKUP(C1299,数据集标准分类!E:F,2,0)</f>
        <v>#REF!</v>
      </c>
      <c r="F1299" s="29" t="e">
        <f>VLOOKUP(D1299,数据集标准分类!G:H,2,0)</f>
        <v>#N/A</v>
      </c>
      <c r="G1299" s="29" t="s">
        <v>2959</v>
      </c>
      <c r="H1299" s="45" t="s">
        <v>2960</v>
      </c>
      <c r="I1299" s="45" t="s">
        <v>2961</v>
      </c>
      <c r="J1299" s="45" t="s">
        <v>2962</v>
      </c>
      <c r="K1299" s="45"/>
      <c r="L1299" s="250">
        <v>9</v>
      </c>
      <c r="M1299" s="251"/>
    </row>
    <row r="1300" ht="16.8" spans="1:13">
      <c r="A1300" s="248" t="s">
        <v>4294</v>
      </c>
      <c r="B1300" s="45" t="s">
        <v>4293</v>
      </c>
      <c r="C1300" s="249" t="e">
        <f>VLOOKUP(D1300,#REF!,2,0)</f>
        <v>#REF!</v>
      </c>
      <c r="D1300" s="29" t="s">
        <v>2926</v>
      </c>
      <c r="E1300" s="18" t="e">
        <f>VLOOKUP(C1300,数据集标准分类!E:F,2,0)</f>
        <v>#REF!</v>
      </c>
      <c r="F1300" s="29" t="e">
        <f>VLOOKUP(D1300,数据集标准分类!G:H,2,0)</f>
        <v>#N/A</v>
      </c>
      <c r="G1300" s="29" t="s">
        <v>2963</v>
      </c>
      <c r="H1300" s="45" t="s">
        <v>2964</v>
      </c>
      <c r="I1300" s="45" t="s">
        <v>2965</v>
      </c>
      <c r="J1300" s="45" t="s">
        <v>2966</v>
      </c>
      <c r="K1300" s="45"/>
      <c r="L1300" s="250">
        <v>10</v>
      </c>
      <c r="M1300" s="251"/>
    </row>
    <row r="1301" ht="16.8" spans="1:13">
      <c r="A1301" s="248" t="s">
        <v>4294</v>
      </c>
      <c r="B1301" s="45" t="s">
        <v>4293</v>
      </c>
      <c r="C1301" s="249" t="e">
        <f>VLOOKUP(D1301,#REF!,2,0)</f>
        <v>#REF!</v>
      </c>
      <c r="D1301" s="29" t="s">
        <v>2926</v>
      </c>
      <c r="E1301" s="18" t="e">
        <f>VLOOKUP(C1301,数据集标准分类!E:F,2,0)</f>
        <v>#REF!</v>
      </c>
      <c r="F1301" s="29" t="e">
        <f>VLOOKUP(D1301,数据集标准分类!G:H,2,0)</f>
        <v>#N/A</v>
      </c>
      <c r="G1301" s="29" t="s">
        <v>2967</v>
      </c>
      <c r="H1301" s="45" t="s">
        <v>2968</v>
      </c>
      <c r="I1301" s="45" t="s">
        <v>2969</v>
      </c>
      <c r="J1301" s="45" t="s">
        <v>2970</v>
      </c>
      <c r="K1301" s="45"/>
      <c r="L1301" s="250">
        <v>11</v>
      </c>
      <c r="M1301" s="251"/>
    </row>
    <row r="1302" ht="16.8" spans="1:13">
      <c r="A1302" s="248" t="s">
        <v>4294</v>
      </c>
      <c r="B1302" s="45" t="s">
        <v>4293</v>
      </c>
      <c r="C1302" s="249" t="e">
        <f>VLOOKUP(D1302,#REF!,2,0)</f>
        <v>#REF!</v>
      </c>
      <c r="D1302" s="29" t="s">
        <v>2926</v>
      </c>
      <c r="E1302" s="18" t="e">
        <f>VLOOKUP(C1302,数据集标准分类!E:F,2,0)</f>
        <v>#REF!</v>
      </c>
      <c r="F1302" s="29" t="e">
        <f>VLOOKUP(D1302,数据集标准分类!G:H,2,0)</f>
        <v>#N/A</v>
      </c>
      <c r="G1302" s="29" t="s">
        <v>2971</v>
      </c>
      <c r="H1302" s="45" t="s">
        <v>2972</v>
      </c>
      <c r="I1302" s="45" t="s">
        <v>2973</v>
      </c>
      <c r="J1302" s="45" t="s">
        <v>2974</v>
      </c>
      <c r="K1302" s="45"/>
      <c r="L1302" s="250">
        <v>12</v>
      </c>
      <c r="M1302" s="251"/>
    </row>
    <row r="1303" ht="16.8" spans="1:13">
      <c r="A1303" s="248" t="s">
        <v>4294</v>
      </c>
      <c r="B1303" s="45" t="s">
        <v>4293</v>
      </c>
      <c r="C1303" s="249" t="e">
        <f>VLOOKUP(D1303,#REF!,2,0)</f>
        <v>#REF!</v>
      </c>
      <c r="D1303" s="29" t="s">
        <v>2926</v>
      </c>
      <c r="E1303" s="18" t="e">
        <f>VLOOKUP(C1303,数据集标准分类!E:F,2,0)</f>
        <v>#REF!</v>
      </c>
      <c r="F1303" s="29" t="e">
        <f>VLOOKUP(D1303,数据集标准分类!G:H,2,0)</f>
        <v>#N/A</v>
      </c>
      <c r="G1303" s="29" t="s">
        <v>2975</v>
      </c>
      <c r="H1303" s="45" t="s">
        <v>2976</v>
      </c>
      <c r="I1303" s="45" t="s">
        <v>2977</v>
      </c>
      <c r="J1303" s="45" t="s">
        <v>2978</v>
      </c>
      <c r="K1303" s="45"/>
      <c r="L1303" s="250">
        <v>13</v>
      </c>
      <c r="M1303" s="251"/>
    </row>
    <row r="1304" ht="16.8" spans="1:13">
      <c r="A1304" s="248" t="s">
        <v>4294</v>
      </c>
      <c r="B1304" s="45" t="s">
        <v>4293</v>
      </c>
      <c r="C1304" s="249" t="e">
        <f>VLOOKUP(D1304,#REF!,2,0)</f>
        <v>#REF!</v>
      </c>
      <c r="D1304" s="29" t="s">
        <v>2926</v>
      </c>
      <c r="E1304" s="18" t="e">
        <f>VLOOKUP(C1304,数据集标准分类!E:F,2,0)</f>
        <v>#REF!</v>
      </c>
      <c r="F1304" s="29" t="e">
        <f>VLOOKUP(D1304,数据集标准分类!G:H,2,0)</f>
        <v>#N/A</v>
      </c>
      <c r="G1304" s="29" t="s">
        <v>2979</v>
      </c>
      <c r="H1304" s="45" t="s">
        <v>2980</v>
      </c>
      <c r="I1304" s="45" t="s">
        <v>2981</v>
      </c>
      <c r="J1304" s="45" t="s">
        <v>2982</v>
      </c>
      <c r="K1304" s="45"/>
      <c r="L1304" s="250">
        <v>14</v>
      </c>
      <c r="M1304" s="251"/>
    </row>
    <row r="1305" ht="16.8" spans="1:13">
      <c r="A1305" s="248" t="s">
        <v>4294</v>
      </c>
      <c r="B1305" s="45" t="s">
        <v>4293</v>
      </c>
      <c r="C1305" s="249" t="e">
        <f>VLOOKUP(D1305,#REF!,2,0)</f>
        <v>#REF!</v>
      </c>
      <c r="D1305" s="29" t="s">
        <v>2926</v>
      </c>
      <c r="E1305" s="18" t="e">
        <f>VLOOKUP(C1305,数据集标准分类!E:F,2,0)</f>
        <v>#REF!</v>
      </c>
      <c r="F1305" s="29" t="e">
        <f>VLOOKUP(D1305,数据集标准分类!G:H,2,0)</f>
        <v>#N/A</v>
      </c>
      <c r="G1305" s="29" t="s">
        <v>2983</v>
      </c>
      <c r="H1305" s="45" t="s">
        <v>2984</v>
      </c>
      <c r="I1305" s="45" t="s">
        <v>2985</v>
      </c>
      <c r="J1305" s="45" t="s">
        <v>2986</v>
      </c>
      <c r="K1305" s="45"/>
      <c r="L1305" s="250">
        <v>15</v>
      </c>
      <c r="M1305" s="251"/>
    </row>
    <row r="1306" ht="16.8" spans="1:13">
      <c r="A1306" s="248" t="s">
        <v>4294</v>
      </c>
      <c r="B1306" s="45" t="s">
        <v>4293</v>
      </c>
      <c r="C1306" s="249" t="e">
        <f>VLOOKUP(D1306,#REF!,2,0)</f>
        <v>#REF!</v>
      </c>
      <c r="D1306" s="29" t="s">
        <v>2926</v>
      </c>
      <c r="E1306" s="18" t="e">
        <f>VLOOKUP(C1306,数据集标准分类!E:F,2,0)</f>
        <v>#REF!</v>
      </c>
      <c r="F1306" s="29" t="e">
        <f>VLOOKUP(D1306,数据集标准分类!G:H,2,0)</f>
        <v>#N/A</v>
      </c>
      <c r="G1306" s="29" t="s">
        <v>2987</v>
      </c>
      <c r="H1306" s="45" t="s">
        <v>2988</v>
      </c>
      <c r="I1306" s="45" t="s">
        <v>2989</v>
      </c>
      <c r="J1306" s="45" t="s">
        <v>2990</v>
      </c>
      <c r="K1306" s="45"/>
      <c r="L1306" s="250">
        <v>16</v>
      </c>
      <c r="M1306" s="251"/>
    </row>
    <row r="1307" ht="16.8" spans="1:13">
      <c r="A1307" s="248" t="s">
        <v>4294</v>
      </c>
      <c r="B1307" s="45" t="s">
        <v>4293</v>
      </c>
      <c r="C1307" s="249" t="e">
        <f>VLOOKUP(D1307,#REF!,2,0)</f>
        <v>#REF!</v>
      </c>
      <c r="D1307" s="29" t="s">
        <v>2926</v>
      </c>
      <c r="E1307" s="18" t="e">
        <f>VLOOKUP(C1307,数据集标准分类!E:F,2,0)</f>
        <v>#REF!</v>
      </c>
      <c r="F1307" s="29" t="e">
        <f>VLOOKUP(D1307,数据集标准分类!G:H,2,0)</f>
        <v>#N/A</v>
      </c>
      <c r="G1307" s="29" t="s">
        <v>2991</v>
      </c>
      <c r="H1307" s="45" t="s">
        <v>2992</v>
      </c>
      <c r="I1307" s="45" t="s">
        <v>2993</v>
      </c>
      <c r="J1307" s="45" t="s">
        <v>2994</v>
      </c>
      <c r="K1307" s="45"/>
      <c r="L1307" s="250">
        <v>17</v>
      </c>
      <c r="M1307" s="251"/>
    </row>
    <row r="1308" ht="16.8" spans="1:13">
      <c r="A1308" s="248" t="s">
        <v>4294</v>
      </c>
      <c r="B1308" s="45" t="s">
        <v>4293</v>
      </c>
      <c r="C1308" s="249" t="e">
        <f>VLOOKUP(D1308,#REF!,2,0)</f>
        <v>#REF!</v>
      </c>
      <c r="D1308" s="29" t="s">
        <v>2926</v>
      </c>
      <c r="E1308" s="18" t="e">
        <f>VLOOKUP(C1308,数据集标准分类!E:F,2,0)</f>
        <v>#REF!</v>
      </c>
      <c r="F1308" s="29" t="e">
        <f>VLOOKUP(D1308,数据集标准分类!G:H,2,0)</f>
        <v>#N/A</v>
      </c>
      <c r="G1308" s="29" t="s">
        <v>2995</v>
      </c>
      <c r="H1308" s="45" t="s">
        <v>2996</v>
      </c>
      <c r="I1308" s="45" t="s">
        <v>2997</v>
      </c>
      <c r="J1308" s="45" t="s">
        <v>2998</v>
      </c>
      <c r="K1308" s="45"/>
      <c r="L1308" s="250">
        <v>18</v>
      </c>
      <c r="M1308" s="251"/>
    </row>
    <row r="1309" customHeight="1" spans="1:13">
      <c r="A1309" s="248" t="s">
        <v>4294</v>
      </c>
      <c r="B1309" s="45" t="s">
        <v>4293</v>
      </c>
      <c r="C1309" s="249" t="e">
        <f>VLOOKUP(D1309,#REF!,2,0)</f>
        <v>#REF!</v>
      </c>
      <c r="D1309" s="29" t="s">
        <v>2926</v>
      </c>
      <c r="E1309" s="18" t="e">
        <f>VLOOKUP(C1309,数据集标准分类!E:F,2,0)</f>
        <v>#REF!</v>
      </c>
      <c r="F1309" s="29" t="e">
        <f>VLOOKUP(D1309,数据集标准分类!G:H,2,0)</f>
        <v>#N/A</v>
      </c>
      <c r="G1309" s="29" t="s">
        <v>2999</v>
      </c>
      <c r="H1309" s="45" t="s">
        <v>3000</v>
      </c>
      <c r="I1309" s="45" t="s">
        <v>3001</v>
      </c>
      <c r="J1309" s="45" t="s">
        <v>3002</v>
      </c>
      <c r="K1309" s="45"/>
      <c r="L1309" s="250">
        <v>19</v>
      </c>
      <c r="M1309" s="251"/>
    </row>
    <row r="1310" ht="16.8" spans="1:13">
      <c r="A1310" s="248" t="s">
        <v>4294</v>
      </c>
      <c r="B1310" s="45" t="s">
        <v>4293</v>
      </c>
      <c r="C1310" s="249" t="e">
        <f>VLOOKUP(D1310,#REF!,2,0)</f>
        <v>#REF!</v>
      </c>
      <c r="D1310" s="29" t="s">
        <v>2926</v>
      </c>
      <c r="E1310" s="18" t="e">
        <f>VLOOKUP(C1310,数据集标准分类!E:F,2,0)</f>
        <v>#REF!</v>
      </c>
      <c r="F1310" s="29" t="e">
        <f>VLOOKUP(D1310,数据集标准分类!G:H,2,0)</f>
        <v>#N/A</v>
      </c>
      <c r="G1310" s="29" t="s">
        <v>3003</v>
      </c>
      <c r="H1310" s="45" t="s">
        <v>3004</v>
      </c>
      <c r="I1310" s="45" t="s">
        <v>3005</v>
      </c>
      <c r="J1310" s="45" t="s">
        <v>3006</v>
      </c>
      <c r="K1310" s="45"/>
      <c r="L1310" s="250">
        <v>20</v>
      </c>
      <c r="M1310" s="251"/>
    </row>
    <row r="1311" ht="16.8" spans="1:13">
      <c r="A1311" s="248" t="s">
        <v>4294</v>
      </c>
      <c r="B1311" s="45" t="s">
        <v>4293</v>
      </c>
      <c r="C1311" s="249" t="e">
        <f>VLOOKUP(D1311,#REF!,2,0)</f>
        <v>#REF!</v>
      </c>
      <c r="D1311" s="29" t="s">
        <v>2926</v>
      </c>
      <c r="E1311" s="18" t="e">
        <f>VLOOKUP(C1311,数据集标准分类!E:F,2,0)</f>
        <v>#REF!</v>
      </c>
      <c r="F1311" s="29" t="e">
        <f>VLOOKUP(D1311,数据集标准分类!G:H,2,0)</f>
        <v>#N/A</v>
      </c>
      <c r="G1311" s="29" t="s">
        <v>3007</v>
      </c>
      <c r="H1311" s="45" t="s">
        <v>3008</v>
      </c>
      <c r="I1311" s="45" t="s">
        <v>3009</v>
      </c>
      <c r="J1311" s="45" t="s">
        <v>3010</v>
      </c>
      <c r="K1311" s="45"/>
      <c r="L1311" s="250">
        <v>21</v>
      </c>
      <c r="M1311" s="251"/>
    </row>
    <row r="1312" ht="16.8" spans="1:13">
      <c r="A1312" s="248" t="s">
        <v>4294</v>
      </c>
      <c r="B1312" s="45" t="s">
        <v>4293</v>
      </c>
      <c r="C1312" s="249" t="e">
        <f>VLOOKUP(D1312,#REF!,2,0)</f>
        <v>#REF!</v>
      </c>
      <c r="D1312" s="29" t="s">
        <v>2926</v>
      </c>
      <c r="E1312" s="18" t="e">
        <f>VLOOKUP(C1312,数据集标准分类!E:F,2,0)</f>
        <v>#REF!</v>
      </c>
      <c r="F1312" s="29" t="e">
        <f>VLOOKUP(D1312,数据集标准分类!G:H,2,0)</f>
        <v>#N/A</v>
      </c>
      <c r="G1312" s="29" t="s">
        <v>3011</v>
      </c>
      <c r="H1312" s="45" t="s">
        <v>3012</v>
      </c>
      <c r="I1312" s="45" t="s">
        <v>3013</v>
      </c>
      <c r="J1312" s="45" t="s">
        <v>3014</v>
      </c>
      <c r="K1312" s="45"/>
      <c r="L1312" s="250">
        <v>22</v>
      </c>
      <c r="M1312" s="251"/>
    </row>
    <row r="1313" ht="16.8" spans="1:13">
      <c r="A1313" s="248" t="s">
        <v>4294</v>
      </c>
      <c r="B1313" s="45" t="s">
        <v>4293</v>
      </c>
      <c r="C1313" s="249" t="e">
        <f>VLOOKUP(D1313,#REF!,2,0)</f>
        <v>#REF!</v>
      </c>
      <c r="D1313" s="29" t="s">
        <v>2926</v>
      </c>
      <c r="E1313" s="18" t="e">
        <f>VLOOKUP(C1313,数据集标准分类!E:F,2,0)</f>
        <v>#REF!</v>
      </c>
      <c r="F1313" s="29" t="e">
        <f>VLOOKUP(D1313,数据集标准分类!G:H,2,0)</f>
        <v>#N/A</v>
      </c>
      <c r="G1313" s="65" t="s">
        <v>3015</v>
      </c>
      <c r="H1313" s="45" t="s">
        <v>3016</v>
      </c>
      <c r="I1313" s="45" t="s">
        <v>3017</v>
      </c>
      <c r="J1313" s="45" t="s">
        <v>3018</v>
      </c>
      <c r="K1313" s="45"/>
      <c r="L1313" s="250">
        <v>23</v>
      </c>
      <c r="M1313" s="251"/>
    </row>
    <row r="1314" ht="16.8" spans="1:13">
      <c r="A1314" s="248" t="s">
        <v>4294</v>
      </c>
      <c r="B1314" s="45" t="s">
        <v>4293</v>
      </c>
      <c r="C1314" s="249" t="e">
        <f>VLOOKUP(D1314,#REF!,2,0)</f>
        <v>#REF!</v>
      </c>
      <c r="D1314" s="29" t="s">
        <v>2926</v>
      </c>
      <c r="E1314" s="18" t="e">
        <f>VLOOKUP(C1314,数据集标准分类!E:F,2,0)</f>
        <v>#REF!</v>
      </c>
      <c r="F1314" s="29" t="e">
        <f>VLOOKUP(D1314,数据集标准分类!G:H,2,0)</f>
        <v>#N/A</v>
      </c>
      <c r="G1314" s="29" t="s">
        <v>3019</v>
      </c>
      <c r="H1314" s="45" t="s">
        <v>3020</v>
      </c>
      <c r="I1314" s="45" t="s">
        <v>3021</v>
      </c>
      <c r="J1314" s="45" t="s">
        <v>3022</v>
      </c>
      <c r="K1314" s="45"/>
      <c r="L1314" s="250">
        <v>24</v>
      </c>
      <c r="M1314" s="251"/>
    </row>
    <row r="1315" ht="46" spans="1:13">
      <c r="A1315" s="248" t="s">
        <v>4294</v>
      </c>
      <c r="B1315" s="45" t="s">
        <v>4293</v>
      </c>
      <c r="C1315" s="249" t="e">
        <f>VLOOKUP(D1315,#REF!,2,0)</f>
        <v>#REF!</v>
      </c>
      <c r="D1315" s="29" t="s">
        <v>2926</v>
      </c>
      <c r="E1315" s="18" t="e">
        <f>VLOOKUP(C1315,数据集标准分类!E:F,2,0)</f>
        <v>#REF!</v>
      </c>
      <c r="F1315" s="29" t="e">
        <f>VLOOKUP(D1315,数据集标准分类!G:H,2,0)</f>
        <v>#N/A</v>
      </c>
      <c r="G1315" s="29" t="s">
        <v>3023</v>
      </c>
      <c r="H1315" s="65" t="s">
        <v>3024</v>
      </c>
      <c r="I1315" s="65" t="s">
        <v>3025</v>
      </c>
      <c r="J1315" s="65" t="s">
        <v>3026</v>
      </c>
      <c r="K1315" s="65" t="s">
        <v>3027</v>
      </c>
      <c r="L1315" s="250">
        <v>25</v>
      </c>
      <c r="M1315" s="251"/>
    </row>
    <row r="1316" ht="16.8" spans="1:13">
      <c r="A1316" s="248" t="s">
        <v>4294</v>
      </c>
      <c r="B1316" s="45" t="s">
        <v>4293</v>
      </c>
      <c r="C1316" s="249" t="e">
        <f>VLOOKUP(D1316,#REF!,2,0)</f>
        <v>#REF!</v>
      </c>
      <c r="D1316" s="29" t="s">
        <v>2926</v>
      </c>
      <c r="E1316" s="18" t="e">
        <f>VLOOKUP(C1316,数据集标准分类!E:F,2,0)</f>
        <v>#REF!</v>
      </c>
      <c r="F1316" s="29" t="e">
        <f>VLOOKUP(D1316,数据集标准分类!G:H,2,0)</f>
        <v>#N/A</v>
      </c>
      <c r="G1316" s="29" t="s">
        <v>3028</v>
      </c>
      <c r="H1316" s="45" t="s">
        <v>3029</v>
      </c>
      <c r="I1316" s="45" t="s">
        <v>3030</v>
      </c>
      <c r="J1316" s="45" t="s">
        <v>3031</v>
      </c>
      <c r="K1316" s="45"/>
      <c r="L1316" s="250">
        <v>26</v>
      </c>
      <c r="M1316" s="251"/>
    </row>
    <row r="1317" ht="16.8" spans="1:13">
      <c r="A1317" s="248" t="s">
        <v>4294</v>
      </c>
      <c r="B1317" s="45" t="s">
        <v>4293</v>
      </c>
      <c r="C1317" s="249" t="e">
        <f>VLOOKUP(D1317,#REF!,2,0)</f>
        <v>#REF!</v>
      </c>
      <c r="D1317" s="29" t="s">
        <v>2926</v>
      </c>
      <c r="E1317" s="18" t="e">
        <f>VLOOKUP(C1317,数据集标准分类!E:F,2,0)</f>
        <v>#REF!</v>
      </c>
      <c r="F1317" s="29" t="e">
        <f>VLOOKUP(D1317,数据集标准分类!G:H,2,0)</f>
        <v>#N/A</v>
      </c>
      <c r="G1317" s="29" t="s">
        <v>3032</v>
      </c>
      <c r="H1317" s="45" t="s">
        <v>3033</v>
      </c>
      <c r="I1317" s="45" t="s">
        <v>3034</v>
      </c>
      <c r="J1317" s="45" t="s">
        <v>3035</v>
      </c>
      <c r="K1317" s="45"/>
      <c r="L1317" s="250">
        <v>27</v>
      </c>
      <c r="M1317" s="251"/>
    </row>
    <row r="1318" ht="16.8" spans="1:13">
      <c r="A1318" s="248" t="s">
        <v>4294</v>
      </c>
      <c r="B1318" s="45" t="s">
        <v>4293</v>
      </c>
      <c r="C1318" s="249" t="e">
        <f>VLOOKUP(D1318,#REF!,2,0)</f>
        <v>#REF!</v>
      </c>
      <c r="D1318" s="29" t="s">
        <v>2926</v>
      </c>
      <c r="E1318" s="18" t="e">
        <f>VLOOKUP(C1318,数据集标准分类!E:F,2,0)</f>
        <v>#REF!</v>
      </c>
      <c r="F1318" s="29" t="e">
        <f>VLOOKUP(D1318,数据集标准分类!G:H,2,0)</f>
        <v>#N/A</v>
      </c>
      <c r="G1318" s="29" t="s">
        <v>3036</v>
      </c>
      <c r="H1318" s="45" t="s">
        <v>3037</v>
      </c>
      <c r="I1318" s="45" t="s">
        <v>3038</v>
      </c>
      <c r="J1318" s="45" t="s">
        <v>3039</v>
      </c>
      <c r="K1318" s="45"/>
      <c r="L1318" s="250">
        <v>28</v>
      </c>
      <c r="M1318" s="251"/>
    </row>
    <row r="1319" ht="16.8" spans="1:13">
      <c r="A1319" s="248" t="s">
        <v>4294</v>
      </c>
      <c r="B1319" s="45" t="s">
        <v>4293</v>
      </c>
      <c r="C1319" s="249" t="e">
        <f>VLOOKUP(D1319,#REF!,2,0)</f>
        <v>#REF!</v>
      </c>
      <c r="D1319" s="29" t="s">
        <v>2926</v>
      </c>
      <c r="E1319" s="18" t="e">
        <f>VLOOKUP(C1319,数据集标准分类!E:F,2,0)</f>
        <v>#REF!</v>
      </c>
      <c r="F1319" s="29" t="e">
        <f>VLOOKUP(D1319,数据集标准分类!G:H,2,0)</f>
        <v>#N/A</v>
      </c>
      <c r="G1319" s="29" t="s">
        <v>1666</v>
      </c>
      <c r="H1319" s="45" t="s">
        <v>1667</v>
      </c>
      <c r="I1319" s="45" t="s">
        <v>1668</v>
      </c>
      <c r="J1319" s="45" t="s">
        <v>3040</v>
      </c>
      <c r="K1319" s="45"/>
      <c r="L1319" s="250">
        <v>29</v>
      </c>
      <c r="M1319" s="251"/>
    </row>
    <row r="1320" ht="16.8" spans="1:13">
      <c r="A1320" s="248" t="s">
        <v>4294</v>
      </c>
      <c r="B1320" s="45" t="s">
        <v>4293</v>
      </c>
      <c r="C1320" s="249" t="e">
        <f>VLOOKUP(D1320,#REF!,2,0)</f>
        <v>#REF!</v>
      </c>
      <c r="D1320" s="29" t="s">
        <v>2926</v>
      </c>
      <c r="E1320" s="18" t="e">
        <f>VLOOKUP(C1320,数据集标准分类!E:F,2,0)</f>
        <v>#REF!</v>
      </c>
      <c r="F1320" s="29" t="e">
        <f>VLOOKUP(D1320,数据集标准分类!G:H,2,0)</f>
        <v>#N/A</v>
      </c>
      <c r="G1320" s="29" t="s">
        <v>3041</v>
      </c>
      <c r="H1320" s="45" t="s">
        <v>3042</v>
      </c>
      <c r="I1320" s="45" t="s">
        <v>3043</v>
      </c>
      <c r="J1320" s="45" t="s">
        <v>3044</v>
      </c>
      <c r="K1320" s="45"/>
      <c r="L1320" s="250">
        <v>30</v>
      </c>
      <c r="M1320" s="251"/>
    </row>
    <row r="1321" ht="16.8" spans="1:13">
      <c r="A1321" s="248" t="s">
        <v>4294</v>
      </c>
      <c r="B1321" s="45" t="s">
        <v>4293</v>
      </c>
      <c r="C1321" s="249" t="e">
        <f>VLOOKUP(D1321,#REF!,2,0)</f>
        <v>#REF!</v>
      </c>
      <c r="D1321" s="29" t="s">
        <v>2926</v>
      </c>
      <c r="E1321" s="18" t="e">
        <f>VLOOKUP(C1321,数据集标准分类!E:F,2,0)</f>
        <v>#REF!</v>
      </c>
      <c r="F1321" s="29" t="e">
        <f>VLOOKUP(D1321,数据集标准分类!G:H,2,0)</f>
        <v>#N/A</v>
      </c>
      <c r="G1321" s="29" t="s">
        <v>3045</v>
      </c>
      <c r="H1321" s="45" t="s">
        <v>3046</v>
      </c>
      <c r="I1321" s="45" t="s">
        <v>3047</v>
      </c>
      <c r="J1321" s="45" t="s">
        <v>3048</v>
      </c>
      <c r="K1321" s="45"/>
      <c r="L1321" s="250">
        <v>31</v>
      </c>
      <c r="M1321" s="251"/>
    </row>
    <row r="1322" ht="16.8" spans="1:13">
      <c r="A1322" s="248" t="s">
        <v>4294</v>
      </c>
      <c r="B1322" s="45" t="s">
        <v>4293</v>
      </c>
      <c r="C1322" s="249" t="e">
        <f>VLOOKUP(D1322,#REF!,2,0)</f>
        <v>#REF!</v>
      </c>
      <c r="D1322" s="29" t="s">
        <v>2926</v>
      </c>
      <c r="E1322" s="18" t="e">
        <f>VLOOKUP(C1322,数据集标准分类!E:F,2,0)</f>
        <v>#REF!</v>
      </c>
      <c r="F1322" s="29" t="e">
        <f>VLOOKUP(D1322,数据集标准分类!G:H,2,0)</f>
        <v>#N/A</v>
      </c>
      <c r="G1322" s="29" t="s">
        <v>3049</v>
      </c>
      <c r="H1322" s="45" t="s">
        <v>3050</v>
      </c>
      <c r="I1322" s="45" t="s">
        <v>3051</v>
      </c>
      <c r="J1322" s="45" t="s">
        <v>3052</v>
      </c>
      <c r="K1322" s="45"/>
      <c r="L1322" s="250">
        <v>32</v>
      </c>
      <c r="M1322" s="251"/>
    </row>
    <row r="1323" ht="16.8" spans="1:13">
      <c r="A1323" s="248" t="s">
        <v>4294</v>
      </c>
      <c r="B1323" s="45" t="s">
        <v>4293</v>
      </c>
      <c r="C1323" s="249" t="e">
        <f>VLOOKUP(D1323,#REF!,2,0)</f>
        <v>#REF!</v>
      </c>
      <c r="D1323" s="29" t="s">
        <v>2926</v>
      </c>
      <c r="E1323" s="18" t="e">
        <f>VLOOKUP(C1323,数据集标准分类!E:F,2,0)</f>
        <v>#REF!</v>
      </c>
      <c r="F1323" s="29" t="e">
        <f>VLOOKUP(D1323,数据集标准分类!G:H,2,0)</f>
        <v>#N/A</v>
      </c>
      <c r="G1323" s="29" t="s">
        <v>3053</v>
      </c>
      <c r="H1323" s="45" t="s">
        <v>3054</v>
      </c>
      <c r="I1323" s="45" t="s">
        <v>3055</v>
      </c>
      <c r="J1323" s="45" t="s">
        <v>3056</v>
      </c>
      <c r="K1323" s="45"/>
      <c r="L1323" s="250">
        <v>33</v>
      </c>
      <c r="M1323" s="251"/>
    </row>
    <row r="1324" ht="24" customHeight="1" spans="1:13">
      <c r="A1324" s="248" t="s">
        <v>4294</v>
      </c>
      <c r="B1324" s="45" t="s">
        <v>4293</v>
      </c>
      <c r="C1324" s="249" t="e">
        <f>VLOOKUP(D1324,#REF!,2,0)</f>
        <v>#REF!</v>
      </c>
      <c r="D1324" s="29" t="s">
        <v>2926</v>
      </c>
      <c r="E1324" s="18" t="e">
        <f>VLOOKUP(C1324,数据集标准分类!E:F,2,0)</f>
        <v>#REF!</v>
      </c>
      <c r="F1324" s="29" t="e">
        <f>VLOOKUP(D1324,数据集标准分类!G:H,2,0)</f>
        <v>#N/A</v>
      </c>
      <c r="G1324" s="29" t="s">
        <v>3057</v>
      </c>
      <c r="H1324" s="45" t="s">
        <v>3058</v>
      </c>
      <c r="I1324" s="45" t="s">
        <v>3059</v>
      </c>
      <c r="J1324" s="45" t="s">
        <v>3060</v>
      </c>
      <c r="K1324" s="45"/>
      <c r="L1324" s="250">
        <v>34</v>
      </c>
      <c r="M1324" s="251"/>
    </row>
    <row r="1325" ht="16.8" spans="1:13">
      <c r="A1325" s="248" t="s">
        <v>4294</v>
      </c>
      <c r="B1325" s="45" t="s">
        <v>4293</v>
      </c>
      <c r="C1325" s="249" t="e">
        <f>VLOOKUP(D1325,#REF!,2,0)</f>
        <v>#REF!</v>
      </c>
      <c r="D1325" s="29" t="s">
        <v>2926</v>
      </c>
      <c r="E1325" s="18" t="e">
        <f>VLOOKUP(C1325,数据集标准分类!E:F,2,0)</f>
        <v>#REF!</v>
      </c>
      <c r="F1325" s="29" t="e">
        <f>VLOOKUP(D1325,数据集标准分类!G:H,2,0)</f>
        <v>#N/A</v>
      </c>
      <c r="G1325" s="29" t="s">
        <v>3061</v>
      </c>
      <c r="H1325" s="45" t="s">
        <v>3062</v>
      </c>
      <c r="I1325" s="45" t="s">
        <v>3063</v>
      </c>
      <c r="J1325" s="45" t="s">
        <v>3064</v>
      </c>
      <c r="K1325" s="45"/>
      <c r="L1325" s="250">
        <v>35</v>
      </c>
      <c r="M1325" s="251"/>
    </row>
    <row r="1326" ht="31" spans="1:13">
      <c r="A1326" s="248" t="s">
        <v>3066</v>
      </c>
      <c r="B1326" s="183" t="s">
        <v>4317</v>
      </c>
      <c r="C1326" s="249" t="e">
        <f>VLOOKUP(D1326,#REF!,2,0)</f>
        <v>#REF!</v>
      </c>
      <c r="D1326" s="109" t="s">
        <v>3065</v>
      </c>
      <c r="E1326" s="18" t="e">
        <f>VLOOKUP(C1326,数据集标准分类!E:F,2,0)</f>
        <v>#REF!</v>
      </c>
      <c r="F1326" s="29" t="e">
        <f>VLOOKUP(D1326,数据集标准分类!G:H,2,0)</f>
        <v>#N/A</v>
      </c>
      <c r="G1326" s="29" t="s">
        <v>711</v>
      </c>
      <c r="H1326" s="29" t="s">
        <v>712</v>
      </c>
      <c r="I1326" s="29" t="s">
        <v>712</v>
      </c>
      <c r="J1326" s="29" t="s">
        <v>713</v>
      </c>
      <c r="K1326" s="29" t="s">
        <v>714</v>
      </c>
      <c r="L1326" s="250">
        <v>1</v>
      </c>
      <c r="M1326" s="251"/>
    </row>
    <row r="1327" ht="31" spans="1:13">
      <c r="A1327" s="248" t="s">
        <v>3066</v>
      </c>
      <c r="B1327" s="183" t="s">
        <v>4317</v>
      </c>
      <c r="C1327" s="249" t="e">
        <f>VLOOKUP(D1327,#REF!,2,0)</f>
        <v>#REF!</v>
      </c>
      <c r="D1327" s="109" t="s">
        <v>3065</v>
      </c>
      <c r="E1327" s="18" t="e">
        <f>VLOOKUP(C1327,数据集标准分类!E:F,2,0)</f>
        <v>#REF!</v>
      </c>
      <c r="F1327" s="29" t="e">
        <f>VLOOKUP(D1327,数据集标准分类!G:H,2,0)</f>
        <v>#N/A</v>
      </c>
      <c r="G1327" s="29" t="s">
        <v>689</v>
      </c>
      <c r="H1327" s="29" t="s">
        <v>690</v>
      </c>
      <c r="I1327" s="29" t="s">
        <v>691</v>
      </c>
      <c r="J1327" s="29" t="s">
        <v>692</v>
      </c>
      <c r="K1327" s="29" t="s">
        <v>693</v>
      </c>
      <c r="L1327" s="250">
        <v>2</v>
      </c>
      <c r="M1327" s="251"/>
    </row>
    <row r="1328" ht="31" spans="1:13">
      <c r="A1328" s="248" t="s">
        <v>3066</v>
      </c>
      <c r="B1328" s="183" t="s">
        <v>4317</v>
      </c>
      <c r="C1328" s="249" t="e">
        <f>VLOOKUP(D1328,#REF!,2,0)</f>
        <v>#REF!</v>
      </c>
      <c r="D1328" s="109" t="s">
        <v>3065</v>
      </c>
      <c r="E1328" s="18" t="e">
        <f>VLOOKUP(C1328,数据集标准分类!E:F,2,0)</f>
        <v>#REF!</v>
      </c>
      <c r="F1328" s="29" t="e">
        <f>VLOOKUP(D1328,数据集标准分类!G:H,2,0)</f>
        <v>#N/A</v>
      </c>
      <c r="G1328" s="29" t="s">
        <v>1949</v>
      </c>
      <c r="H1328" s="29" t="s">
        <v>1950</v>
      </c>
      <c r="I1328" s="29" t="s">
        <v>1951</v>
      </c>
      <c r="J1328" s="29" t="s">
        <v>1952</v>
      </c>
      <c r="K1328" s="29" t="s">
        <v>3067</v>
      </c>
      <c r="L1328" s="250">
        <v>3</v>
      </c>
      <c r="M1328" s="251"/>
    </row>
    <row r="1329" ht="31" spans="1:13">
      <c r="A1329" s="248" t="s">
        <v>3066</v>
      </c>
      <c r="B1329" s="183" t="s">
        <v>4317</v>
      </c>
      <c r="C1329" s="249" t="e">
        <f>VLOOKUP(D1329,#REF!,2,0)</f>
        <v>#REF!</v>
      </c>
      <c r="D1329" s="109" t="s">
        <v>3065</v>
      </c>
      <c r="E1329" s="18" t="e">
        <f>VLOOKUP(C1329,数据集标准分类!E:F,2,0)</f>
        <v>#REF!</v>
      </c>
      <c r="F1329" s="29" t="e">
        <f>VLOOKUP(D1329,数据集标准分类!G:H,2,0)</f>
        <v>#N/A</v>
      </c>
      <c r="G1329" s="29" t="s">
        <v>694</v>
      </c>
      <c r="H1329" s="29" t="s">
        <v>695</v>
      </c>
      <c r="I1329" s="29" t="s">
        <v>696</v>
      </c>
      <c r="J1329" s="29" t="s">
        <v>697</v>
      </c>
      <c r="K1329" s="29" t="s">
        <v>2057</v>
      </c>
      <c r="L1329" s="250">
        <v>4</v>
      </c>
      <c r="M1329" s="251"/>
    </row>
    <row r="1330" ht="24" customHeight="1" spans="1:13">
      <c r="A1330" s="248" t="s">
        <v>3066</v>
      </c>
      <c r="B1330" s="183" t="s">
        <v>4317</v>
      </c>
      <c r="C1330" s="249" t="e">
        <f>VLOOKUP(D1330,#REF!,2,0)</f>
        <v>#REF!</v>
      </c>
      <c r="D1330" s="109" t="s">
        <v>3065</v>
      </c>
      <c r="E1330" s="18" t="e">
        <f>VLOOKUP(C1330,数据集标准分类!E:F,2,0)</f>
        <v>#REF!</v>
      </c>
      <c r="F1330" s="29" t="e">
        <f>VLOOKUP(D1330,数据集标准分类!G:H,2,0)</f>
        <v>#N/A</v>
      </c>
      <c r="G1330" s="29" t="s">
        <v>684</v>
      </c>
      <c r="H1330" s="29" t="s">
        <v>685</v>
      </c>
      <c r="I1330" s="29" t="s">
        <v>686</v>
      </c>
      <c r="J1330" s="29" t="s">
        <v>687</v>
      </c>
      <c r="K1330" s="29" t="s">
        <v>688</v>
      </c>
      <c r="L1330" s="250">
        <v>5</v>
      </c>
      <c r="M1330" s="251"/>
    </row>
    <row r="1331" ht="16.8" spans="1:13">
      <c r="A1331" s="248" t="s">
        <v>3066</v>
      </c>
      <c r="B1331" s="183" t="s">
        <v>4317</v>
      </c>
      <c r="C1331" s="249" t="e">
        <f>VLOOKUP(D1331,#REF!,2,0)</f>
        <v>#REF!</v>
      </c>
      <c r="D1331" s="109" t="s">
        <v>3065</v>
      </c>
      <c r="E1331" s="18" t="e">
        <f>VLOOKUP(C1331,数据集标准分类!E:F,2,0)</f>
        <v>#REF!</v>
      </c>
      <c r="F1331" s="29" t="e">
        <f>VLOOKUP(D1331,数据集标准分类!G:H,2,0)</f>
        <v>#N/A</v>
      </c>
      <c r="G1331" s="146" t="s">
        <v>3068</v>
      </c>
      <c r="H1331" s="29" t="s">
        <v>3069</v>
      </c>
      <c r="I1331" s="29" t="s">
        <v>3069</v>
      </c>
      <c r="J1331" s="29" t="s">
        <v>3070</v>
      </c>
      <c r="K1331" s="151"/>
      <c r="L1331" s="177">
        <v>6</v>
      </c>
      <c r="M1331" s="251"/>
    </row>
    <row r="1332" ht="16.8" spans="1:13">
      <c r="A1332" s="248" t="s">
        <v>3066</v>
      </c>
      <c r="B1332" s="183" t="s">
        <v>4317</v>
      </c>
      <c r="C1332" s="249" t="e">
        <f>VLOOKUP(D1332,#REF!,2,0)</f>
        <v>#REF!</v>
      </c>
      <c r="D1332" s="109" t="s">
        <v>3065</v>
      </c>
      <c r="E1332" s="18" t="e">
        <f>VLOOKUP(C1332,数据集标准分类!E:F,2,0)</f>
        <v>#REF!</v>
      </c>
      <c r="F1332" s="29" t="e">
        <f>VLOOKUP(D1332,数据集标准分类!G:H,2,0)</f>
        <v>#N/A</v>
      </c>
      <c r="G1332" s="146" t="s">
        <v>3071</v>
      </c>
      <c r="H1332" s="29" t="s">
        <v>3072</v>
      </c>
      <c r="I1332" s="29" t="s">
        <v>3072</v>
      </c>
      <c r="J1332" s="29" t="s">
        <v>3073</v>
      </c>
      <c r="K1332" s="151"/>
      <c r="L1332" s="177">
        <v>7</v>
      </c>
      <c r="M1332" s="251"/>
    </row>
    <row r="1333" ht="16.8" spans="1:13">
      <c r="A1333" s="248" t="s">
        <v>3066</v>
      </c>
      <c r="B1333" s="183" t="s">
        <v>4317</v>
      </c>
      <c r="C1333" s="249" t="e">
        <f>VLOOKUP(D1333,#REF!,2,0)</f>
        <v>#REF!</v>
      </c>
      <c r="D1333" s="109" t="s">
        <v>3065</v>
      </c>
      <c r="E1333" s="18" t="e">
        <f>VLOOKUP(C1333,数据集标准分类!E:F,2,0)</f>
        <v>#REF!</v>
      </c>
      <c r="F1333" s="29" t="e">
        <f>VLOOKUP(D1333,数据集标准分类!G:H,2,0)</f>
        <v>#N/A</v>
      </c>
      <c r="G1333" s="146" t="s">
        <v>3074</v>
      </c>
      <c r="H1333" s="29" t="s">
        <v>3075</v>
      </c>
      <c r="I1333" s="29" t="s">
        <v>3076</v>
      </c>
      <c r="J1333" s="29" t="s">
        <v>3077</v>
      </c>
      <c r="K1333" s="151"/>
      <c r="L1333" s="177">
        <v>8</v>
      </c>
      <c r="M1333" s="251"/>
    </row>
    <row r="1334" customHeight="1" spans="1:13">
      <c r="A1334" s="248" t="s">
        <v>3066</v>
      </c>
      <c r="B1334" s="183" t="s">
        <v>4317</v>
      </c>
      <c r="C1334" s="249" t="e">
        <f>VLOOKUP(D1334,#REF!,2,0)</f>
        <v>#REF!</v>
      </c>
      <c r="D1334" s="109" t="s">
        <v>3065</v>
      </c>
      <c r="E1334" s="18" t="e">
        <f>VLOOKUP(C1334,数据集标准分类!E:F,2,0)</f>
        <v>#REF!</v>
      </c>
      <c r="F1334" s="29" t="e">
        <f>VLOOKUP(D1334,数据集标准分类!G:H,2,0)</f>
        <v>#N/A</v>
      </c>
      <c r="G1334" s="146" t="s">
        <v>707</v>
      </c>
      <c r="H1334" s="29" t="s">
        <v>708</v>
      </c>
      <c r="I1334" s="29" t="s">
        <v>708</v>
      </c>
      <c r="J1334" s="29" t="s">
        <v>3078</v>
      </c>
      <c r="K1334" s="151"/>
      <c r="L1334" s="177">
        <v>9</v>
      </c>
      <c r="M1334" s="251"/>
    </row>
    <row r="1335" ht="16.8" spans="1:13">
      <c r="A1335" s="248" t="s">
        <v>3066</v>
      </c>
      <c r="B1335" s="183" t="s">
        <v>4317</v>
      </c>
      <c r="C1335" s="249" t="e">
        <f>VLOOKUP(D1335,#REF!,2,0)</f>
        <v>#REF!</v>
      </c>
      <c r="D1335" s="109" t="s">
        <v>3065</v>
      </c>
      <c r="E1335" s="18" t="e">
        <f>VLOOKUP(C1335,数据集标准分类!E:F,2,0)</f>
        <v>#REF!</v>
      </c>
      <c r="F1335" s="29" t="e">
        <f>VLOOKUP(D1335,数据集标准分类!G:H,2,0)</f>
        <v>#N/A</v>
      </c>
      <c r="G1335" s="146" t="s">
        <v>3079</v>
      </c>
      <c r="H1335" s="29" t="s">
        <v>3080</v>
      </c>
      <c r="I1335" s="29" t="s">
        <v>3081</v>
      </c>
      <c r="J1335" s="29" t="s">
        <v>3082</v>
      </c>
      <c r="K1335" s="151"/>
      <c r="L1335" s="177">
        <v>10</v>
      </c>
      <c r="M1335" s="251"/>
    </row>
    <row r="1336" ht="16.8" spans="1:13">
      <c r="A1336" s="248" t="s">
        <v>3066</v>
      </c>
      <c r="B1336" s="183" t="s">
        <v>4317</v>
      </c>
      <c r="C1336" s="249" t="e">
        <f>VLOOKUP(D1336,#REF!,2,0)</f>
        <v>#REF!</v>
      </c>
      <c r="D1336" s="109" t="s">
        <v>3065</v>
      </c>
      <c r="E1336" s="18" t="e">
        <f>VLOOKUP(C1336,数据集标准分类!E:F,2,0)</f>
        <v>#REF!</v>
      </c>
      <c r="F1336" s="29" t="e">
        <f>VLOOKUP(D1336,数据集标准分类!G:H,2,0)</f>
        <v>#N/A</v>
      </c>
      <c r="G1336" s="146" t="s">
        <v>3083</v>
      </c>
      <c r="H1336" s="29" t="s">
        <v>3084</v>
      </c>
      <c r="I1336" s="29" t="s">
        <v>3085</v>
      </c>
      <c r="J1336" s="29" t="s">
        <v>3086</v>
      </c>
      <c r="K1336" s="151"/>
      <c r="L1336" s="177">
        <v>11</v>
      </c>
      <c r="M1336" s="251"/>
    </row>
    <row r="1337" ht="16.8" spans="1:13">
      <c r="A1337" s="248" t="s">
        <v>3066</v>
      </c>
      <c r="B1337" s="183" t="s">
        <v>4317</v>
      </c>
      <c r="C1337" s="249" t="e">
        <f>VLOOKUP(D1337,#REF!,2,0)</f>
        <v>#REF!</v>
      </c>
      <c r="D1337" s="109" t="s">
        <v>3065</v>
      </c>
      <c r="E1337" s="18" t="e">
        <f>VLOOKUP(C1337,数据集标准分类!E:F,2,0)</f>
        <v>#REF!</v>
      </c>
      <c r="F1337" s="29" t="e">
        <f>VLOOKUP(D1337,数据集标准分类!G:H,2,0)</f>
        <v>#N/A</v>
      </c>
      <c r="G1337" s="109" t="s">
        <v>3087</v>
      </c>
      <c r="H1337" s="29" t="s">
        <v>3088</v>
      </c>
      <c r="I1337" s="29" t="s">
        <v>3089</v>
      </c>
      <c r="J1337" s="29" t="s">
        <v>3090</v>
      </c>
      <c r="K1337" s="151"/>
      <c r="L1337" s="177">
        <v>12</v>
      </c>
      <c r="M1337" s="251"/>
    </row>
    <row r="1338" ht="16.8" spans="1:13">
      <c r="A1338" s="248" t="s">
        <v>3066</v>
      </c>
      <c r="B1338" s="183" t="s">
        <v>4317</v>
      </c>
      <c r="C1338" s="249" t="e">
        <f>VLOOKUP(D1338,#REF!,2,0)</f>
        <v>#REF!</v>
      </c>
      <c r="D1338" s="109" t="s">
        <v>3065</v>
      </c>
      <c r="E1338" s="18" t="e">
        <f>VLOOKUP(C1338,数据集标准分类!E:F,2,0)</f>
        <v>#REF!</v>
      </c>
      <c r="F1338" s="29" t="e">
        <f>VLOOKUP(D1338,数据集标准分类!G:H,2,0)</f>
        <v>#N/A</v>
      </c>
      <c r="G1338" s="146" t="s">
        <v>3091</v>
      </c>
      <c r="H1338" s="29" t="s">
        <v>3092</v>
      </c>
      <c r="I1338" s="29" t="s">
        <v>3093</v>
      </c>
      <c r="J1338" s="29" t="s">
        <v>3094</v>
      </c>
      <c r="K1338" s="151"/>
      <c r="L1338" s="177">
        <v>13</v>
      </c>
      <c r="M1338" s="251"/>
    </row>
    <row r="1339" ht="16.8" spans="1:13">
      <c r="A1339" s="248" t="s">
        <v>3066</v>
      </c>
      <c r="B1339" s="183" t="s">
        <v>4317</v>
      </c>
      <c r="C1339" s="249" t="e">
        <f>VLOOKUP(D1339,#REF!,2,0)</f>
        <v>#REF!</v>
      </c>
      <c r="D1339" s="109" t="s">
        <v>3103</v>
      </c>
      <c r="E1339" s="18" t="e">
        <f>VLOOKUP(C1339,数据集标准分类!E:F,2,0)</f>
        <v>#REF!</v>
      </c>
      <c r="F1339" s="29" t="e">
        <f>VLOOKUP(D1339,数据集标准分类!G:H,2,0)</f>
        <v>#N/A</v>
      </c>
      <c r="G1339" s="109" t="s">
        <v>2895</v>
      </c>
      <c r="H1339" s="109" t="s">
        <v>2896</v>
      </c>
      <c r="I1339" s="109" t="s">
        <v>2897</v>
      </c>
      <c r="J1339" s="109" t="s">
        <v>2898</v>
      </c>
      <c r="K1339" s="151"/>
      <c r="L1339" s="177">
        <v>1</v>
      </c>
      <c r="M1339" s="251"/>
    </row>
    <row r="1340" ht="16.8" spans="1:13">
      <c r="A1340" s="248" t="s">
        <v>3066</v>
      </c>
      <c r="B1340" s="183" t="s">
        <v>4317</v>
      </c>
      <c r="C1340" s="249" t="e">
        <f>VLOOKUP(D1340,#REF!,2,0)</f>
        <v>#REF!</v>
      </c>
      <c r="D1340" s="109" t="s">
        <v>3103</v>
      </c>
      <c r="E1340" s="18" t="e">
        <f>VLOOKUP(C1340,数据集标准分类!E:F,2,0)</f>
        <v>#REF!</v>
      </c>
      <c r="F1340" s="29" t="e">
        <f>VLOOKUP(D1340,数据集标准分类!G:H,2,0)</f>
        <v>#N/A</v>
      </c>
      <c r="G1340" s="109" t="s">
        <v>3104</v>
      </c>
      <c r="H1340" s="109" t="s">
        <v>3105</v>
      </c>
      <c r="I1340" s="109" t="s">
        <v>3106</v>
      </c>
      <c r="J1340" s="146" t="s">
        <v>3107</v>
      </c>
      <c r="K1340" s="151"/>
      <c r="L1340" s="177">
        <v>2</v>
      </c>
      <c r="M1340" s="251"/>
    </row>
    <row r="1341" ht="16.8" spans="1:13">
      <c r="A1341" s="248" t="s">
        <v>3066</v>
      </c>
      <c r="B1341" s="183" t="s">
        <v>4317</v>
      </c>
      <c r="C1341" s="249" t="e">
        <f>VLOOKUP(D1341,#REF!,2,0)</f>
        <v>#REF!</v>
      </c>
      <c r="D1341" s="109" t="s">
        <v>3103</v>
      </c>
      <c r="E1341" s="18" t="e">
        <f>VLOOKUP(C1341,数据集标准分类!E:F,2,0)</f>
        <v>#REF!</v>
      </c>
      <c r="F1341" s="29" t="e">
        <f>VLOOKUP(D1341,数据集标准分类!G:H,2,0)</f>
        <v>#N/A</v>
      </c>
      <c r="G1341" s="109" t="s">
        <v>1307</v>
      </c>
      <c r="H1341" s="109" t="s">
        <v>1308</v>
      </c>
      <c r="I1341" s="109" t="s">
        <v>1308</v>
      </c>
      <c r="J1341" s="146" t="s">
        <v>1309</v>
      </c>
      <c r="K1341" s="151"/>
      <c r="L1341" s="177">
        <v>3</v>
      </c>
      <c r="M1341" s="251"/>
    </row>
    <row r="1342" ht="16.8" spans="1:13">
      <c r="A1342" s="248" t="s">
        <v>3066</v>
      </c>
      <c r="B1342" s="183" t="s">
        <v>4317</v>
      </c>
      <c r="C1342" s="249" t="e">
        <f>VLOOKUP(D1342,#REF!,2,0)</f>
        <v>#REF!</v>
      </c>
      <c r="D1342" s="109" t="s">
        <v>3103</v>
      </c>
      <c r="E1342" s="18" t="e">
        <f>VLOOKUP(C1342,数据集标准分类!E:F,2,0)</f>
        <v>#REF!</v>
      </c>
      <c r="F1342" s="29" t="e">
        <f>VLOOKUP(D1342,数据集标准分类!G:H,2,0)</f>
        <v>#N/A</v>
      </c>
      <c r="G1342" s="109" t="s">
        <v>1774</v>
      </c>
      <c r="H1342" s="109" t="s">
        <v>1775</v>
      </c>
      <c r="I1342" s="109" t="s">
        <v>1776</v>
      </c>
      <c r="J1342" s="146" t="s">
        <v>1777</v>
      </c>
      <c r="K1342" s="151"/>
      <c r="L1342" s="177">
        <v>4</v>
      </c>
      <c r="M1342" s="251"/>
    </row>
    <row r="1343" ht="16.8" spans="1:13">
      <c r="A1343" s="248" t="s">
        <v>3066</v>
      </c>
      <c r="B1343" s="183" t="s">
        <v>4317</v>
      </c>
      <c r="C1343" s="249" t="e">
        <f>VLOOKUP(D1343,#REF!,2,0)</f>
        <v>#REF!</v>
      </c>
      <c r="D1343" s="109" t="s">
        <v>3103</v>
      </c>
      <c r="E1343" s="18" t="e">
        <f>VLOOKUP(C1343,数据集标准分类!E:F,2,0)</f>
        <v>#REF!</v>
      </c>
      <c r="F1343" s="29" t="e">
        <f>VLOOKUP(D1343,数据集标准分类!G:H,2,0)</f>
        <v>#N/A</v>
      </c>
      <c r="G1343" s="146" t="s">
        <v>3108</v>
      </c>
      <c r="H1343" s="146" t="s">
        <v>3109</v>
      </c>
      <c r="I1343" s="146" t="s">
        <v>3110</v>
      </c>
      <c r="J1343" s="146" t="s">
        <v>3111</v>
      </c>
      <c r="K1343" s="151"/>
      <c r="L1343" s="177">
        <v>5</v>
      </c>
      <c r="M1343" s="251"/>
    </row>
    <row r="1344" ht="16.8" spans="1:13">
      <c r="A1344" s="248" t="s">
        <v>3066</v>
      </c>
      <c r="B1344" s="183" t="s">
        <v>4317</v>
      </c>
      <c r="C1344" s="249" t="e">
        <f>VLOOKUP(D1344,#REF!,2,0)</f>
        <v>#REF!</v>
      </c>
      <c r="D1344" s="29" t="s">
        <v>3112</v>
      </c>
      <c r="E1344" s="18" t="e">
        <f>VLOOKUP(C1344,数据集标准分类!E:F,2,0)</f>
        <v>#REF!</v>
      </c>
      <c r="F1344" s="29" t="e">
        <f>VLOOKUP(D1344,数据集标准分类!G:H,2,0)</f>
        <v>#N/A</v>
      </c>
      <c r="G1344" s="29" t="s">
        <v>3114</v>
      </c>
      <c r="H1344" s="29" t="s">
        <v>3115</v>
      </c>
      <c r="I1344" s="29" t="s">
        <v>3116</v>
      </c>
      <c r="J1344" s="29" t="s">
        <v>3117</v>
      </c>
      <c r="K1344" s="151"/>
      <c r="L1344" s="243">
        <v>6</v>
      </c>
      <c r="M1344" s="251"/>
    </row>
    <row r="1345" ht="16.8" spans="1:13">
      <c r="A1345" s="248" t="s">
        <v>3066</v>
      </c>
      <c r="B1345" s="183" t="s">
        <v>4317</v>
      </c>
      <c r="C1345" s="249" t="e">
        <f>VLOOKUP(D1345,#REF!,2,0)</f>
        <v>#REF!</v>
      </c>
      <c r="D1345" s="29" t="s">
        <v>3112</v>
      </c>
      <c r="E1345" s="18" t="e">
        <f>VLOOKUP(C1345,数据集标准分类!E:F,2,0)</f>
        <v>#REF!</v>
      </c>
      <c r="F1345" s="29" t="e">
        <f>VLOOKUP(D1345,数据集标准分类!G:H,2,0)</f>
        <v>#N/A</v>
      </c>
      <c r="G1345" s="29" t="s">
        <v>1774</v>
      </c>
      <c r="H1345" s="29" t="s">
        <v>1775</v>
      </c>
      <c r="I1345" s="29" t="s">
        <v>1776</v>
      </c>
      <c r="J1345" s="29" t="s">
        <v>1777</v>
      </c>
      <c r="K1345" s="151"/>
      <c r="L1345" s="243">
        <v>7</v>
      </c>
      <c r="M1345" s="251"/>
    </row>
    <row r="1346" ht="16.8" spans="1:13">
      <c r="A1346" s="248" t="s">
        <v>3066</v>
      </c>
      <c r="B1346" s="183" t="s">
        <v>4317</v>
      </c>
      <c r="C1346" s="249" t="e">
        <f>VLOOKUP(D1346,#REF!,2,0)</f>
        <v>#REF!</v>
      </c>
      <c r="D1346" s="29" t="s">
        <v>3112</v>
      </c>
      <c r="E1346" s="18" t="e">
        <f>VLOOKUP(C1346,数据集标准分类!E:F,2,0)</f>
        <v>#REF!</v>
      </c>
      <c r="F1346" s="29" t="e">
        <f>VLOOKUP(D1346,数据集标准分类!G:H,2,0)</f>
        <v>#N/A</v>
      </c>
      <c r="G1346" s="29" t="s">
        <v>3118</v>
      </c>
      <c r="H1346" s="29" t="s">
        <v>3119</v>
      </c>
      <c r="I1346" s="29" t="s">
        <v>3120</v>
      </c>
      <c r="J1346" s="29" t="s">
        <v>3121</v>
      </c>
      <c r="K1346" s="146" t="s">
        <v>3122</v>
      </c>
      <c r="L1346" s="243">
        <v>9</v>
      </c>
      <c r="M1346" s="251"/>
    </row>
    <row r="1347" ht="16.8" spans="1:13">
      <c r="A1347" s="248" t="s">
        <v>3066</v>
      </c>
      <c r="B1347" s="183" t="s">
        <v>4317</v>
      </c>
      <c r="C1347" s="249" t="e">
        <f>VLOOKUP(D1347,#REF!,2,0)</f>
        <v>#REF!</v>
      </c>
      <c r="D1347" s="29" t="s">
        <v>3112</v>
      </c>
      <c r="E1347" s="18" t="e">
        <f>VLOOKUP(C1347,数据集标准分类!E:F,2,0)</f>
        <v>#REF!</v>
      </c>
      <c r="F1347" s="29" t="e">
        <f>VLOOKUP(D1347,数据集标准分类!G:H,2,0)</f>
        <v>#N/A</v>
      </c>
      <c r="G1347" s="29" t="s">
        <v>3123</v>
      </c>
      <c r="H1347" s="29" t="s">
        <v>3124</v>
      </c>
      <c r="I1347" s="29" t="s">
        <v>3124</v>
      </c>
      <c r="J1347" s="29" t="s">
        <v>3125</v>
      </c>
      <c r="K1347" s="151"/>
      <c r="L1347" s="243">
        <v>10</v>
      </c>
      <c r="M1347" s="251"/>
    </row>
    <row r="1348" ht="16.8" spans="1:13">
      <c r="A1348" s="248" t="s">
        <v>3066</v>
      </c>
      <c r="B1348" s="183" t="s">
        <v>4317</v>
      </c>
      <c r="C1348" s="249" t="e">
        <f>VLOOKUP(D1348,#REF!,2,0)</f>
        <v>#REF!</v>
      </c>
      <c r="D1348" s="29" t="s">
        <v>3112</v>
      </c>
      <c r="E1348" s="18" t="e">
        <f>VLOOKUP(C1348,数据集标准分类!E:F,2,0)</f>
        <v>#REF!</v>
      </c>
      <c r="F1348" s="29" t="e">
        <f>VLOOKUP(D1348,数据集标准分类!G:H,2,0)</f>
        <v>#N/A</v>
      </c>
      <c r="G1348" s="29" t="s">
        <v>3126</v>
      </c>
      <c r="H1348" s="29" t="s">
        <v>3127</v>
      </c>
      <c r="I1348" s="29" t="s">
        <v>3128</v>
      </c>
      <c r="J1348" s="29" t="s">
        <v>3129</v>
      </c>
      <c r="K1348" s="151"/>
      <c r="L1348" s="243">
        <v>11</v>
      </c>
      <c r="M1348" s="251"/>
    </row>
    <row r="1349" ht="16.8" spans="1:13">
      <c r="A1349" s="248" t="s">
        <v>3066</v>
      </c>
      <c r="B1349" s="183" t="s">
        <v>4317</v>
      </c>
      <c r="C1349" s="249" t="e">
        <f>VLOOKUP(D1349,#REF!,2,0)</f>
        <v>#REF!</v>
      </c>
      <c r="D1349" s="29" t="s">
        <v>3112</v>
      </c>
      <c r="E1349" s="18" t="e">
        <f>VLOOKUP(C1349,数据集标准分类!E:F,2,0)</f>
        <v>#REF!</v>
      </c>
      <c r="F1349" s="29" t="e">
        <f>VLOOKUP(D1349,数据集标准分类!G:H,2,0)</f>
        <v>#N/A</v>
      </c>
      <c r="G1349" s="29" t="s">
        <v>3130</v>
      </c>
      <c r="H1349" s="29" t="s">
        <v>3131</v>
      </c>
      <c r="I1349" s="29" t="s">
        <v>3132</v>
      </c>
      <c r="J1349" s="29" t="s">
        <v>3133</v>
      </c>
      <c r="K1349" s="151"/>
      <c r="L1349" s="243">
        <v>12</v>
      </c>
      <c r="M1349" s="251"/>
    </row>
    <row r="1350" ht="16.8" spans="1:13">
      <c r="A1350" s="248" t="s">
        <v>3066</v>
      </c>
      <c r="B1350" s="183" t="s">
        <v>4317</v>
      </c>
      <c r="C1350" s="249" t="e">
        <f>VLOOKUP(D1350,#REF!,2,0)</f>
        <v>#REF!</v>
      </c>
      <c r="D1350" s="29" t="s">
        <v>3112</v>
      </c>
      <c r="E1350" s="18" t="e">
        <f>VLOOKUP(C1350,数据集标准分类!E:F,2,0)</f>
        <v>#REF!</v>
      </c>
      <c r="F1350" s="29" t="e">
        <f>VLOOKUP(D1350,数据集标准分类!G:H,2,0)</f>
        <v>#N/A</v>
      </c>
      <c r="G1350" s="29" t="s">
        <v>3134</v>
      </c>
      <c r="H1350" s="29" t="s">
        <v>3135</v>
      </c>
      <c r="I1350" s="29" t="s">
        <v>3136</v>
      </c>
      <c r="J1350" s="29" t="s">
        <v>3137</v>
      </c>
      <c r="K1350" s="151"/>
      <c r="L1350" s="243">
        <v>13</v>
      </c>
      <c r="M1350" s="251"/>
    </row>
    <row r="1351" ht="31" spans="1:13">
      <c r="A1351" s="248" t="s">
        <v>3066</v>
      </c>
      <c r="B1351" s="183" t="s">
        <v>4317</v>
      </c>
      <c r="C1351" s="249" t="e">
        <f>VLOOKUP(D1351,#REF!,2,0)</f>
        <v>#REF!</v>
      </c>
      <c r="D1351" s="29" t="s">
        <v>3112</v>
      </c>
      <c r="E1351" s="18" t="e">
        <f>VLOOKUP(C1351,数据集标准分类!E:F,2,0)</f>
        <v>#REF!</v>
      </c>
      <c r="F1351" s="29" t="e">
        <f>VLOOKUP(D1351,数据集标准分类!G:H,2,0)</f>
        <v>#N/A</v>
      </c>
      <c r="G1351" s="29" t="s">
        <v>3138</v>
      </c>
      <c r="H1351" s="29" t="s">
        <v>3139</v>
      </c>
      <c r="I1351" s="29" t="s">
        <v>3140</v>
      </c>
      <c r="J1351" s="29" t="s">
        <v>3141</v>
      </c>
      <c r="K1351" s="146" t="s">
        <v>3142</v>
      </c>
      <c r="L1351" s="243">
        <v>14</v>
      </c>
      <c r="M1351" s="251"/>
    </row>
    <row r="1352" ht="16.8" spans="1:13">
      <c r="A1352" s="248" t="s">
        <v>3066</v>
      </c>
      <c r="B1352" s="183" t="s">
        <v>4317</v>
      </c>
      <c r="C1352" s="249" t="e">
        <f>VLOOKUP(D1352,#REF!,2,0)</f>
        <v>#REF!</v>
      </c>
      <c r="D1352" s="146" t="s">
        <v>3143</v>
      </c>
      <c r="E1352" s="146" t="e">
        <f>VLOOKUP(C1352,数据集标准分类!E:F,2,0)</f>
        <v>#REF!</v>
      </c>
      <c r="F1352" s="29" t="e">
        <f>VLOOKUP(D1352,数据集标准分类!G:H,2,0)</f>
        <v>#N/A</v>
      </c>
      <c r="G1352" s="146" t="s">
        <v>3144</v>
      </c>
      <c r="H1352" s="146" t="s">
        <v>3145</v>
      </c>
      <c r="I1352" s="146" t="s">
        <v>3146</v>
      </c>
      <c r="J1352" s="146" t="s">
        <v>3147</v>
      </c>
      <c r="K1352" s="146"/>
      <c r="L1352" s="166" t="s">
        <v>3370</v>
      </c>
      <c r="M1352" s="251"/>
    </row>
    <row r="1353" ht="24" customHeight="1" spans="1:13">
      <c r="A1353" s="248" t="s">
        <v>3066</v>
      </c>
      <c r="B1353" s="183" t="s">
        <v>4317</v>
      </c>
      <c r="C1353" s="249" t="e">
        <f>VLOOKUP(D1353,#REF!,2,0)</f>
        <v>#REF!</v>
      </c>
      <c r="D1353" s="146" t="s">
        <v>3143</v>
      </c>
      <c r="E1353" s="146" t="e">
        <f>VLOOKUP(C1353,数据集标准分类!E:F,2,0)</f>
        <v>#REF!</v>
      </c>
      <c r="F1353" s="29" t="e">
        <f>VLOOKUP(D1353,数据集标准分类!G:H,2,0)</f>
        <v>#N/A</v>
      </c>
      <c r="G1353" s="146" t="s">
        <v>1694</v>
      </c>
      <c r="H1353" s="146" t="s">
        <v>1695</v>
      </c>
      <c r="I1353" s="146" t="s">
        <v>1696</v>
      </c>
      <c r="J1353" s="146" t="s">
        <v>3148</v>
      </c>
      <c r="K1353" s="146"/>
      <c r="L1353" s="166" t="s">
        <v>3371</v>
      </c>
      <c r="M1353" s="251"/>
    </row>
    <row r="1354" ht="16.8" spans="1:13">
      <c r="A1354" s="248" t="s">
        <v>3066</v>
      </c>
      <c r="B1354" s="183" t="s">
        <v>4317</v>
      </c>
      <c r="C1354" s="249" t="e">
        <f>VLOOKUP(D1354,#REF!,2,0)</f>
        <v>#REF!</v>
      </c>
      <c r="D1354" s="146" t="s">
        <v>3143</v>
      </c>
      <c r="E1354" s="146" t="e">
        <f>VLOOKUP(C1354,数据集标准分类!E:F,2,0)</f>
        <v>#REF!</v>
      </c>
      <c r="F1354" s="29" t="e">
        <f>VLOOKUP(D1354,数据集标准分类!G:H,2,0)</f>
        <v>#N/A</v>
      </c>
      <c r="G1354" s="146" t="s">
        <v>1698</v>
      </c>
      <c r="H1354" s="146" t="s">
        <v>1699</v>
      </c>
      <c r="I1354" s="146" t="s">
        <v>1700</v>
      </c>
      <c r="J1354" s="146" t="s">
        <v>3149</v>
      </c>
      <c r="K1354" s="151"/>
      <c r="L1354" s="184" t="s">
        <v>5555</v>
      </c>
      <c r="M1354" s="251"/>
    </row>
    <row r="1355" ht="16.8" spans="1:13">
      <c r="A1355" s="248" t="s">
        <v>3066</v>
      </c>
      <c r="B1355" s="183" t="s">
        <v>4317</v>
      </c>
      <c r="C1355" s="249" t="e">
        <f>VLOOKUP(D1355,#REF!,2,0)</f>
        <v>#REF!</v>
      </c>
      <c r="D1355" s="146" t="s">
        <v>3143</v>
      </c>
      <c r="E1355" s="146" t="e">
        <f>VLOOKUP(C1355,数据集标准分类!E:F,2,0)</f>
        <v>#REF!</v>
      </c>
      <c r="F1355" s="29" t="e">
        <f>VLOOKUP(D1355,数据集标准分类!G:H,2,0)</f>
        <v>#N/A</v>
      </c>
      <c r="G1355" s="146" t="s">
        <v>3150</v>
      </c>
      <c r="H1355" s="146" t="s">
        <v>3151</v>
      </c>
      <c r="I1355" s="146" t="s">
        <v>3152</v>
      </c>
      <c r="J1355" s="146" t="s">
        <v>3153</v>
      </c>
      <c r="K1355" s="151"/>
      <c r="L1355" s="184" t="s">
        <v>4488</v>
      </c>
      <c r="M1355" s="251"/>
    </row>
    <row r="1356" ht="16.8" spans="1:13">
      <c r="A1356" s="248" t="s">
        <v>3066</v>
      </c>
      <c r="B1356" s="183" t="s">
        <v>4317</v>
      </c>
      <c r="C1356" s="249" t="e">
        <f>VLOOKUP(D1356,#REF!,2,0)</f>
        <v>#REF!</v>
      </c>
      <c r="D1356" s="146" t="s">
        <v>3143</v>
      </c>
      <c r="E1356" s="146" t="e">
        <f>VLOOKUP(C1356,数据集标准分类!E:F,2,0)</f>
        <v>#REF!</v>
      </c>
      <c r="F1356" s="29" t="e">
        <f>VLOOKUP(D1356,数据集标准分类!G:H,2,0)</f>
        <v>#N/A</v>
      </c>
      <c r="G1356" s="146" t="s">
        <v>3154</v>
      </c>
      <c r="H1356" s="146" t="s">
        <v>3155</v>
      </c>
      <c r="I1356" s="146" t="s">
        <v>3156</v>
      </c>
      <c r="J1356" s="146" t="s">
        <v>3157</v>
      </c>
      <c r="K1356" s="151"/>
      <c r="L1356" s="184" t="s">
        <v>4492</v>
      </c>
      <c r="M1356" s="251"/>
    </row>
    <row r="1357" ht="16.8" spans="1:13">
      <c r="A1357" s="248" t="s">
        <v>3066</v>
      </c>
      <c r="B1357" s="183" t="s">
        <v>4317</v>
      </c>
      <c r="C1357" s="249" t="e">
        <f>VLOOKUP(D1357,#REF!,2,0)</f>
        <v>#REF!</v>
      </c>
      <c r="D1357" s="146" t="s">
        <v>3143</v>
      </c>
      <c r="E1357" s="146" t="e">
        <f>VLOOKUP(C1357,数据集标准分类!E:F,2,0)</f>
        <v>#REF!</v>
      </c>
      <c r="F1357" s="29" t="e">
        <f>VLOOKUP(D1357,数据集标准分类!G:H,2,0)</f>
        <v>#N/A</v>
      </c>
      <c r="G1357" s="146" t="s">
        <v>3158</v>
      </c>
      <c r="H1357" s="146" t="s">
        <v>3159</v>
      </c>
      <c r="I1357" s="146" t="s">
        <v>3160</v>
      </c>
      <c r="J1357" s="146" t="s">
        <v>3161</v>
      </c>
      <c r="K1357" s="151"/>
      <c r="L1357" s="184" t="s">
        <v>4495</v>
      </c>
      <c r="M1357" s="251"/>
    </row>
    <row r="1358" ht="16.8" spans="1:13">
      <c r="A1358" s="248" t="s">
        <v>3066</v>
      </c>
      <c r="B1358" s="183" t="s">
        <v>4317</v>
      </c>
      <c r="C1358" s="249" t="e">
        <f>VLOOKUP(D1358,#REF!,2,0)</f>
        <v>#REF!</v>
      </c>
      <c r="D1358" s="146" t="s">
        <v>3143</v>
      </c>
      <c r="E1358" s="146" t="e">
        <f>VLOOKUP(C1358,数据集标准分类!E:F,2,0)</f>
        <v>#REF!</v>
      </c>
      <c r="F1358" s="29" t="e">
        <f>VLOOKUP(D1358,数据集标准分类!G:H,2,0)</f>
        <v>#N/A</v>
      </c>
      <c r="G1358" s="146" t="s">
        <v>3162</v>
      </c>
      <c r="H1358" s="146" t="s">
        <v>3163</v>
      </c>
      <c r="I1358" s="146" t="s">
        <v>3163</v>
      </c>
      <c r="J1358" s="146" t="s">
        <v>3165</v>
      </c>
      <c r="K1358" s="151"/>
      <c r="L1358" s="184" t="s">
        <v>4499</v>
      </c>
      <c r="M1358" s="251"/>
    </row>
    <row r="1359" ht="24" customHeight="1" spans="1:13">
      <c r="A1359" s="248" t="s">
        <v>3066</v>
      </c>
      <c r="B1359" s="183" t="s">
        <v>4317</v>
      </c>
      <c r="C1359" s="249" t="e">
        <f>VLOOKUP(D1359,#REF!,2,0)</f>
        <v>#REF!</v>
      </c>
      <c r="D1359" s="146" t="s">
        <v>3143</v>
      </c>
      <c r="E1359" s="146" t="e">
        <f>VLOOKUP(C1359,数据集标准分类!E:F,2,0)</f>
        <v>#REF!</v>
      </c>
      <c r="F1359" s="29" t="e">
        <f>VLOOKUP(D1359,数据集标准分类!G:H,2,0)</f>
        <v>#N/A</v>
      </c>
      <c r="G1359" s="146" t="s">
        <v>3166</v>
      </c>
      <c r="H1359" s="146" t="s">
        <v>3167</v>
      </c>
      <c r="I1359" s="146" t="s">
        <v>3168</v>
      </c>
      <c r="J1359" s="146" t="s">
        <v>3169</v>
      </c>
      <c r="K1359" s="151"/>
      <c r="L1359" s="184" t="s">
        <v>4502</v>
      </c>
      <c r="M1359" s="251"/>
    </row>
    <row r="1360" ht="16.8" spans="1:13">
      <c r="A1360" s="248" t="s">
        <v>3066</v>
      </c>
      <c r="B1360" s="183" t="s">
        <v>4317</v>
      </c>
      <c r="C1360" s="249" t="e">
        <f>VLOOKUP(D1360,#REF!,2,0)</f>
        <v>#REF!</v>
      </c>
      <c r="D1360" s="109" t="s">
        <v>3170</v>
      </c>
      <c r="E1360" s="18" t="e">
        <f>VLOOKUP(C1360,数据集标准分类!E:F,2,0)</f>
        <v>#REF!</v>
      </c>
      <c r="F1360" s="29" t="e">
        <f>VLOOKUP(D1360,数据集标准分类!G:H,2,0)</f>
        <v>#N/A</v>
      </c>
      <c r="G1360" s="109" t="s">
        <v>2889</v>
      </c>
      <c r="H1360" s="109" t="s">
        <v>2890</v>
      </c>
      <c r="I1360" s="109" t="s">
        <v>2891</v>
      </c>
      <c r="J1360" s="146" t="s">
        <v>2892</v>
      </c>
      <c r="K1360" s="151"/>
      <c r="L1360" s="177">
        <v>1</v>
      </c>
      <c r="M1360" s="251"/>
    </row>
    <row r="1361" ht="16.8" spans="1:13">
      <c r="A1361" s="248" t="s">
        <v>3066</v>
      </c>
      <c r="B1361" s="183" t="s">
        <v>4317</v>
      </c>
      <c r="C1361" s="249" t="e">
        <f>VLOOKUP(D1361,#REF!,2,0)</f>
        <v>#REF!</v>
      </c>
      <c r="D1361" s="109" t="s">
        <v>3170</v>
      </c>
      <c r="E1361" s="18" t="e">
        <f>VLOOKUP(C1361,数据集标准分类!E:F,2,0)</f>
        <v>#REF!</v>
      </c>
      <c r="F1361" s="29" t="e">
        <f>VLOOKUP(D1361,数据集标准分类!G:H,2,0)</f>
        <v>#N/A</v>
      </c>
      <c r="G1361" s="109" t="s">
        <v>2895</v>
      </c>
      <c r="H1361" s="109" t="s">
        <v>2896</v>
      </c>
      <c r="I1361" s="109" t="s">
        <v>2897</v>
      </c>
      <c r="J1361" s="146" t="s">
        <v>2898</v>
      </c>
      <c r="K1361" s="151"/>
      <c r="L1361" s="177">
        <v>2</v>
      </c>
      <c r="M1361" s="251"/>
    </row>
    <row r="1362" ht="16.8" spans="1:13">
      <c r="A1362" s="248" t="s">
        <v>3066</v>
      </c>
      <c r="B1362" s="183" t="s">
        <v>4317</v>
      </c>
      <c r="C1362" s="249" t="e">
        <f>VLOOKUP(D1362,#REF!,2,0)</f>
        <v>#REF!</v>
      </c>
      <c r="D1362" s="109" t="s">
        <v>3170</v>
      </c>
      <c r="E1362" s="18" t="e">
        <f>VLOOKUP(C1362,数据集标准分类!E:F,2,0)</f>
        <v>#REF!</v>
      </c>
      <c r="F1362" s="29" t="e">
        <f>VLOOKUP(D1362,数据集标准分类!G:H,2,0)</f>
        <v>#N/A</v>
      </c>
      <c r="G1362" s="109" t="s">
        <v>3171</v>
      </c>
      <c r="H1362" s="109" t="s">
        <v>3172</v>
      </c>
      <c r="I1362" s="109" t="s">
        <v>3173</v>
      </c>
      <c r="J1362" s="146" t="s">
        <v>3174</v>
      </c>
      <c r="K1362" s="151"/>
      <c r="L1362" s="177">
        <v>3</v>
      </c>
      <c r="M1362" s="251"/>
    </row>
    <row r="1363" ht="24" customHeight="1" spans="1:13">
      <c r="A1363" s="248" t="s">
        <v>3066</v>
      </c>
      <c r="B1363" s="183" t="s">
        <v>4317</v>
      </c>
      <c r="C1363" s="249" t="e">
        <f>VLOOKUP(D1363,#REF!,2,0)</f>
        <v>#REF!</v>
      </c>
      <c r="D1363" s="109" t="s">
        <v>3170</v>
      </c>
      <c r="E1363" s="18" t="e">
        <f>VLOOKUP(C1363,数据集标准分类!E:F,2,0)</f>
        <v>#REF!</v>
      </c>
      <c r="F1363" s="29" t="e">
        <f>VLOOKUP(D1363,数据集标准分类!G:H,2,0)</f>
        <v>#N/A</v>
      </c>
      <c r="G1363" s="109" t="s">
        <v>5556</v>
      </c>
      <c r="H1363" s="109" t="s">
        <v>5557</v>
      </c>
      <c r="I1363" s="109" t="s">
        <v>5558</v>
      </c>
      <c r="J1363" s="146" t="s">
        <v>5559</v>
      </c>
      <c r="K1363" s="151"/>
      <c r="L1363" s="177">
        <v>4</v>
      </c>
      <c r="M1363" s="251"/>
    </row>
    <row r="1364" ht="16.8" spans="1:13">
      <c r="A1364" s="248" t="s">
        <v>3066</v>
      </c>
      <c r="B1364" s="183" t="s">
        <v>4317</v>
      </c>
      <c r="C1364" s="249" t="e">
        <f>VLOOKUP(D1364,#REF!,2,0)</f>
        <v>#REF!</v>
      </c>
      <c r="D1364" s="109" t="s">
        <v>3170</v>
      </c>
      <c r="E1364" s="18" t="e">
        <f>VLOOKUP(C1364,数据集标准分类!E:F,2,0)</f>
        <v>#REF!</v>
      </c>
      <c r="F1364" s="29" t="e">
        <f>VLOOKUP(D1364,数据集标准分类!G:H,2,0)</f>
        <v>#N/A</v>
      </c>
      <c r="G1364" s="109" t="s">
        <v>3175</v>
      </c>
      <c r="H1364" s="109" t="s">
        <v>3176</v>
      </c>
      <c r="I1364" s="109" t="s">
        <v>3177</v>
      </c>
      <c r="J1364" s="146" t="s">
        <v>3178</v>
      </c>
      <c r="K1364" s="151"/>
      <c r="L1364" s="177">
        <v>5</v>
      </c>
      <c r="M1364" s="251"/>
    </row>
    <row r="1365" ht="16.8" spans="1:13">
      <c r="A1365" s="248" t="s">
        <v>3066</v>
      </c>
      <c r="B1365" s="183" t="s">
        <v>4317</v>
      </c>
      <c r="C1365" s="249" t="e">
        <f>VLOOKUP(D1365,#REF!,2,0)</f>
        <v>#REF!</v>
      </c>
      <c r="D1365" s="109" t="s">
        <v>3170</v>
      </c>
      <c r="E1365" s="18" t="e">
        <f>VLOOKUP(C1365,数据集标准分类!E:F,2,0)</f>
        <v>#REF!</v>
      </c>
      <c r="F1365" s="29" t="e">
        <f>VLOOKUP(D1365,数据集标准分类!G:H,2,0)</f>
        <v>#N/A</v>
      </c>
      <c r="G1365" s="109" t="s">
        <v>3179</v>
      </c>
      <c r="H1365" s="109" t="s">
        <v>3180</v>
      </c>
      <c r="I1365" s="109" t="s">
        <v>3181</v>
      </c>
      <c r="J1365" s="109" t="s">
        <v>3182</v>
      </c>
      <c r="K1365" s="151"/>
      <c r="L1365" s="177">
        <v>6</v>
      </c>
      <c r="M1365" s="251"/>
    </row>
    <row r="1366" ht="16.8" spans="1:13">
      <c r="A1366" s="248" t="s">
        <v>3066</v>
      </c>
      <c r="B1366" s="183" t="s">
        <v>4317</v>
      </c>
      <c r="C1366" s="249" t="e">
        <f>VLOOKUP(D1366,#REF!,2,0)</f>
        <v>#REF!</v>
      </c>
      <c r="D1366" s="109" t="s">
        <v>3170</v>
      </c>
      <c r="E1366" s="18" t="e">
        <f>VLOOKUP(C1366,数据集标准分类!E:F,2,0)</f>
        <v>#REF!</v>
      </c>
      <c r="F1366" s="29" t="e">
        <f>VLOOKUP(D1366,数据集标准分类!G:H,2,0)</f>
        <v>#N/A</v>
      </c>
      <c r="G1366" s="109" t="s">
        <v>3183</v>
      </c>
      <c r="H1366" s="109" t="s">
        <v>3184</v>
      </c>
      <c r="I1366" s="109" t="s">
        <v>3185</v>
      </c>
      <c r="J1366" s="109" t="s">
        <v>3186</v>
      </c>
      <c r="K1366" s="151"/>
      <c r="L1366" s="177">
        <v>7</v>
      </c>
      <c r="M1366" s="251"/>
    </row>
    <row r="1367" ht="16.8" spans="1:13">
      <c r="A1367" s="248" t="s">
        <v>3066</v>
      </c>
      <c r="B1367" s="183" t="s">
        <v>4317</v>
      </c>
      <c r="C1367" s="249" t="e">
        <f>VLOOKUP(D1367,#REF!,2,0)</f>
        <v>#REF!</v>
      </c>
      <c r="D1367" s="109" t="s">
        <v>3170</v>
      </c>
      <c r="E1367" s="18" t="e">
        <f>VLOOKUP(C1367,数据集标准分类!E:F,2,0)</f>
        <v>#REF!</v>
      </c>
      <c r="F1367" s="29" t="e">
        <f>VLOOKUP(D1367,数据集标准分类!G:H,2,0)</f>
        <v>#N/A</v>
      </c>
      <c r="G1367" s="146" t="s">
        <v>3187</v>
      </c>
      <c r="H1367" s="146" t="s">
        <v>3188</v>
      </c>
      <c r="I1367" s="146" t="s">
        <v>3189</v>
      </c>
      <c r="J1367" s="109" t="s">
        <v>3190</v>
      </c>
      <c r="K1367" s="151"/>
      <c r="L1367" s="177">
        <v>8</v>
      </c>
      <c r="M1367" s="251"/>
    </row>
    <row r="1368" ht="17" spans="1:13">
      <c r="A1368" s="248" t="s">
        <v>3066</v>
      </c>
      <c r="B1368" s="183" t="s">
        <v>4317</v>
      </c>
      <c r="C1368" s="249" t="e">
        <f>VLOOKUP(D1368,#REF!,2,0)</f>
        <v>#REF!</v>
      </c>
      <c r="D1368" s="179" t="s">
        <v>3191</v>
      </c>
      <c r="E1368" s="18" t="e">
        <f>VLOOKUP(C1368,数据集标准分类!E:F,2,0)</f>
        <v>#REF!</v>
      </c>
      <c r="F1368" s="29" t="e">
        <f>VLOOKUP(D1368,数据集标准分类!G:H,2,0)</f>
        <v>#N/A</v>
      </c>
      <c r="G1368" s="146" t="s">
        <v>2895</v>
      </c>
      <c r="H1368" s="171" t="s">
        <v>2896</v>
      </c>
      <c r="I1368" s="171" t="s">
        <v>2897</v>
      </c>
      <c r="J1368" s="146" t="s">
        <v>2898</v>
      </c>
      <c r="K1368" s="151"/>
      <c r="L1368" s="166" t="s">
        <v>3351</v>
      </c>
      <c r="M1368" s="251"/>
    </row>
    <row r="1369" ht="24" customHeight="1" spans="1:13">
      <c r="A1369" s="248" t="s">
        <v>3066</v>
      </c>
      <c r="B1369" s="183" t="s">
        <v>4317</v>
      </c>
      <c r="C1369" s="249" t="e">
        <f>VLOOKUP(D1369,#REF!,2,0)</f>
        <v>#REF!</v>
      </c>
      <c r="D1369" s="179" t="s">
        <v>3191</v>
      </c>
      <c r="E1369" s="18" t="e">
        <f>VLOOKUP(C1369,数据集标准分类!E:F,2,0)</f>
        <v>#REF!</v>
      </c>
      <c r="F1369" s="29" t="e">
        <f>VLOOKUP(D1369,数据集标准分类!G:H,2,0)</f>
        <v>#N/A</v>
      </c>
      <c r="G1369" s="171" t="s">
        <v>3192</v>
      </c>
      <c r="H1369" s="171" t="s">
        <v>3193</v>
      </c>
      <c r="I1369" s="171" t="s">
        <v>3194</v>
      </c>
      <c r="J1369" s="146" t="s">
        <v>3195</v>
      </c>
      <c r="K1369" s="151"/>
      <c r="L1369" s="166" t="s">
        <v>3352</v>
      </c>
      <c r="M1369" s="251"/>
    </row>
    <row r="1370" ht="24" customHeight="1" spans="1:13">
      <c r="A1370" s="248" t="s">
        <v>3066</v>
      </c>
      <c r="B1370" s="183" t="s">
        <v>4317</v>
      </c>
      <c r="C1370" s="249" t="e">
        <f>VLOOKUP(D1370,#REF!,2,0)</f>
        <v>#REF!</v>
      </c>
      <c r="D1370" s="179" t="s">
        <v>3191</v>
      </c>
      <c r="E1370" s="18" t="e">
        <f>VLOOKUP(C1370,数据集标准分类!E:F,2,0)</f>
        <v>#REF!</v>
      </c>
      <c r="F1370" s="29" t="e">
        <f>VLOOKUP(D1370,数据集标准分类!G:H,2,0)</f>
        <v>#N/A</v>
      </c>
      <c r="G1370" s="146" t="s">
        <v>3196</v>
      </c>
      <c r="H1370" s="171" t="s">
        <v>3197</v>
      </c>
      <c r="I1370" s="171" t="s">
        <v>3198</v>
      </c>
      <c r="J1370" s="146" t="s">
        <v>2740</v>
      </c>
      <c r="K1370" s="151"/>
      <c r="L1370" s="166" t="s">
        <v>3353</v>
      </c>
      <c r="M1370" s="251"/>
    </row>
    <row r="1371" ht="17" spans="1:13">
      <c r="A1371" s="248" t="s">
        <v>3066</v>
      </c>
      <c r="B1371" s="183" t="s">
        <v>4317</v>
      </c>
      <c r="C1371" s="249" t="e">
        <f>VLOOKUP(D1371,#REF!,2,0)</f>
        <v>#REF!</v>
      </c>
      <c r="D1371" s="179" t="s">
        <v>3191</v>
      </c>
      <c r="E1371" s="18" t="e">
        <f>VLOOKUP(C1371,数据集标准分类!E:F,2,0)</f>
        <v>#REF!</v>
      </c>
      <c r="F1371" s="29" t="e">
        <f>VLOOKUP(D1371,数据集标准分类!G:H,2,0)</f>
        <v>#N/A</v>
      </c>
      <c r="G1371" s="171" t="s">
        <v>3199</v>
      </c>
      <c r="H1371" s="171" t="s">
        <v>3200</v>
      </c>
      <c r="I1371" s="171" t="s">
        <v>3201</v>
      </c>
      <c r="J1371" s="146" t="s">
        <v>3202</v>
      </c>
      <c r="K1371" s="151"/>
      <c r="L1371" s="166" t="s">
        <v>3365</v>
      </c>
      <c r="M1371" s="251"/>
    </row>
    <row r="1372" ht="17" spans="1:13">
      <c r="A1372" s="248" t="s">
        <v>3066</v>
      </c>
      <c r="B1372" s="183" t="s">
        <v>4317</v>
      </c>
      <c r="C1372" s="249" t="e">
        <f>VLOOKUP(D1372,#REF!,2,0)</f>
        <v>#REF!</v>
      </c>
      <c r="D1372" s="179" t="s">
        <v>3191</v>
      </c>
      <c r="E1372" s="18" t="e">
        <f>VLOOKUP(C1372,数据集标准分类!E:F,2,0)</f>
        <v>#REF!</v>
      </c>
      <c r="F1372" s="29" t="e">
        <f>VLOOKUP(D1372,数据集标准分类!G:H,2,0)</f>
        <v>#N/A</v>
      </c>
      <c r="G1372" s="146" t="s">
        <v>5556</v>
      </c>
      <c r="H1372" s="171" t="s">
        <v>5557</v>
      </c>
      <c r="I1372" s="171" t="s">
        <v>5558</v>
      </c>
      <c r="J1372" s="146" t="s">
        <v>5560</v>
      </c>
      <c r="K1372" s="151"/>
      <c r="L1372" s="166" t="s">
        <v>3370</v>
      </c>
      <c r="M1372" s="251"/>
    </row>
    <row r="1373" ht="17" spans="1:13">
      <c r="A1373" s="248" t="s">
        <v>3066</v>
      </c>
      <c r="B1373" s="183" t="s">
        <v>4317</v>
      </c>
      <c r="C1373" s="249" t="e">
        <f>VLOOKUP(D1373,#REF!,2,0)</f>
        <v>#REF!</v>
      </c>
      <c r="D1373" s="179" t="s">
        <v>3191</v>
      </c>
      <c r="E1373" s="18" t="e">
        <f>VLOOKUP(C1373,数据集标准分类!E:F,2,0)</f>
        <v>#REF!</v>
      </c>
      <c r="F1373" s="29" t="e">
        <f>VLOOKUP(D1373,数据集标准分类!G:H,2,0)</f>
        <v>#N/A</v>
      </c>
      <c r="G1373" s="146" t="s">
        <v>1774</v>
      </c>
      <c r="H1373" s="171" t="s">
        <v>1775</v>
      </c>
      <c r="I1373" s="171" t="s">
        <v>1776</v>
      </c>
      <c r="J1373" s="146" t="s">
        <v>1777</v>
      </c>
      <c r="K1373" s="151"/>
      <c r="L1373" s="166" t="s">
        <v>3371</v>
      </c>
      <c r="M1373" s="251"/>
    </row>
    <row r="1374" ht="16.8" spans="1:13">
      <c r="A1374" s="248" t="s">
        <v>3066</v>
      </c>
      <c r="B1374" s="183" t="s">
        <v>4317</v>
      </c>
      <c r="C1374" s="249" t="e">
        <f>VLOOKUP(D1374,#REF!,2,0)</f>
        <v>#REF!</v>
      </c>
      <c r="D1374" s="109" t="s">
        <v>3203</v>
      </c>
      <c r="E1374" s="18" t="e">
        <f>VLOOKUP(C1374,数据集标准分类!E:F,2,0)</f>
        <v>#REF!</v>
      </c>
      <c r="F1374" s="29" t="e">
        <f>VLOOKUP(D1374,数据集标准分类!G:H,2,0)</f>
        <v>#N/A</v>
      </c>
      <c r="G1374" s="146" t="s">
        <v>2242</v>
      </c>
      <c r="H1374" s="146" t="s">
        <v>2243</v>
      </c>
      <c r="I1374" s="146" t="s">
        <v>2243</v>
      </c>
      <c r="J1374" s="146" t="s">
        <v>2836</v>
      </c>
      <c r="K1374" s="151"/>
      <c r="L1374" s="177">
        <v>1</v>
      </c>
      <c r="M1374" s="251"/>
    </row>
    <row r="1375" ht="16.8" spans="1:13">
      <c r="A1375" s="248" t="s">
        <v>3066</v>
      </c>
      <c r="B1375" s="183" t="s">
        <v>4317</v>
      </c>
      <c r="C1375" s="249" t="e">
        <f>VLOOKUP(D1375,#REF!,2,0)</f>
        <v>#REF!</v>
      </c>
      <c r="D1375" s="109" t="s">
        <v>3203</v>
      </c>
      <c r="E1375" s="18" t="e">
        <f>VLOOKUP(C1375,数据集标准分类!E:F,2,0)</f>
        <v>#REF!</v>
      </c>
      <c r="F1375" s="29" t="e">
        <f>VLOOKUP(D1375,数据集标准分类!G:H,2,0)</f>
        <v>#N/A</v>
      </c>
      <c r="G1375" s="146" t="s">
        <v>3204</v>
      </c>
      <c r="H1375" s="146" t="s">
        <v>3205</v>
      </c>
      <c r="I1375" s="146" t="s">
        <v>3205</v>
      </c>
      <c r="J1375" s="146" t="s">
        <v>3206</v>
      </c>
      <c r="K1375" s="151"/>
      <c r="L1375" s="177">
        <v>2</v>
      </c>
      <c r="M1375" s="251"/>
    </row>
    <row r="1376" ht="24" customHeight="1" spans="1:13">
      <c r="A1376" s="248" t="s">
        <v>3066</v>
      </c>
      <c r="B1376" s="183" t="s">
        <v>4317</v>
      </c>
      <c r="C1376" s="249" t="e">
        <f>VLOOKUP(D1376,#REF!,2,0)</f>
        <v>#REF!</v>
      </c>
      <c r="D1376" s="109" t="s">
        <v>3203</v>
      </c>
      <c r="E1376" s="18" t="e">
        <f>VLOOKUP(C1376,数据集标准分类!E:F,2,0)</f>
        <v>#REF!</v>
      </c>
      <c r="F1376" s="29" t="e">
        <f>VLOOKUP(D1376,数据集标准分类!G:H,2,0)</f>
        <v>#N/A</v>
      </c>
      <c r="G1376" s="146" t="s">
        <v>3207</v>
      </c>
      <c r="H1376" s="146" t="s">
        <v>3208</v>
      </c>
      <c r="I1376" s="146" t="s">
        <v>3208</v>
      </c>
      <c r="J1376" s="146" t="s">
        <v>3210</v>
      </c>
      <c r="K1376" s="151"/>
      <c r="L1376" s="177">
        <v>3</v>
      </c>
      <c r="M1376" s="251"/>
    </row>
    <row r="1377" ht="16.8" spans="1:13">
      <c r="A1377" s="248" t="s">
        <v>3066</v>
      </c>
      <c r="B1377" s="183" t="s">
        <v>4317</v>
      </c>
      <c r="C1377" s="249" t="e">
        <f>VLOOKUP(D1377,#REF!,2,0)</f>
        <v>#REF!</v>
      </c>
      <c r="D1377" s="29" t="s">
        <v>3235</v>
      </c>
      <c r="E1377" s="18" t="e">
        <f>VLOOKUP(C1377,数据集标准分类!E:F,2,0)</f>
        <v>#REF!</v>
      </c>
      <c r="F1377" s="29" t="e">
        <f>VLOOKUP(D1377,数据集标准分类!G:H,2,0)</f>
        <v>#N/A</v>
      </c>
      <c r="G1377" s="146" t="s">
        <v>5561</v>
      </c>
      <c r="H1377" s="146" t="s">
        <v>5562</v>
      </c>
      <c r="I1377" s="146" t="s">
        <v>5563</v>
      </c>
      <c r="J1377" s="150" t="s">
        <v>5564</v>
      </c>
      <c r="K1377" s="151"/>
      <c r="L1377" s="250">
        <v>1</v>
      </c>
      <c r="M1377" s="251"/>
    </row>
    <row r="1378" ht="16.8" spans="1:13">
      <c r="A1378" s="248" t="s">
        <v>3066</v>
      </c>
      <c r="B1378" s="183" t="s">
        <v>4317</v>
      </c>
      <c r="C1378" s="249" t="e">
        <f>VLOOKUP(D1378,#REF!,2,0)</f>
        <v>#REF!</v>
      </c>
      <c r="D1378" s="29" t="s">
        <v>3235</v>
      </c>
      <c r="E1378" s="18" t="e">
        <f>VLOOKUP(C1378,数据集标准分类!E:F,2,0)</f>
        <v>#REF!</v>
      </c>
      <c r="F1378" s="29" t="e">
        <f>VLOOKUP(D1378,数据集标准分类!G:H,2,0)</f>
        <v>#N/A</v>
      </c>
      <c r="G1378" s="146" t="s">
        <v>3641</v>
      </c>
      <c r="H1378" s="146" t="s">
        <v>3642</v>
      </c>
      <c r="I1378" s="146" t="s">
        <v>3643</v>
      </c>
      <c r="J1378" s="150" t="s">
        <v>3644</v>
      </c>
      <c r="K1378" s="151"/>
      <c r="L1378" s="250">
        <v>2</v>
      </c>
      <c r="M1378" s="251"/>
    </row>
    <row r="1379" ht="16.8" spans="1:13">
      <c r="A1379" s="248" t="s">
        <v>3066</v>
      </c>
      <c r="B1379" s="183" t="s">
        <v>4317</v>
      </c>
      <c r="C1379" s="249" t="e">
        <f>VLOOKUP(D1379,#REF!,2,0)</f>
        <v>#REF!</v>
      </c>
      <c r="D1379" s="29" t="s">
        <v>3235</v>
      </c>
      <c r="E1379" s="18" t="e">
        <f>VLOOKUP(C1379,数据集标准分类!E:F,2,0)</f>
        <v>#REF!</v>
      </c>
      <c r="F1379" s="29" t="e">
        <f>VLOOKUP(D1379,数据集标准分类!G:H,2,0)</f>
        <v>#N/A</v>
      </c>
      <c r="G1379" s="146" t="s">
        <v>2889</v>
      </c>
      <c r="H1379" s="146" t="s">
        <v>2890</v>
      </c>
      <c r="I1379" s="146" t="s">
        <v>2891</v>
      </c>
      <c r="J1379" s="146" t="s">
        <v>2892</v>
      </c>
      <c r="K1379" s="151"/>
      <c r="L1379" s="157">
        <v>3</v>
      </c>
      <c r="M1379" s="251"/>
    </row>
    <row r="1380" ht="16.8" spans="1:13">
      <c r="A1380" s="248" t="s">
        <v>3066</v>
      </c>
      <c r="B1380" s="183" t="s">
        <v>4317</v>
      </c>
      <c r="C1380" s="249" t="e">
        <f>VLOOKUP(D1380,#REF!,2,0)</f>
        <v>#REF!</v>
      </c>
      <c r="D1380" s="29" t="s">
        <v>3235</v>
      </c>
      <c r="E1380" s="18" t="e">
        <f>VLOOKUP(C1380,数据集标准分类!E:F,2,0)</f>
        <v>#REF!</v>
      </c>
      <c r="F1380" s="29" t="e">
        <f>VLOOKUP(D1380,数据集标准分类!G:H,2,0)</f>
        <v>#N/A</v>
      </c>
      <c r="G1380" s="146" t="s">
        <v>2935</v>
      </c>
      <c r="H1380" s="146" t="s">
        <v>2936</v>
      </c>
      <c r="I1380" s="146" t="s">
        <v>2937</v>
      </c>
      <c r="J1380" s="146" t="s">
        <v>2938</v>
      </c>
      <c r="K1380" s="151"/>
      <c r="L1380" s="157">
        <v>4</v>
      </c>
      <c r="M1380" s="251"/>
    </row>
    <row r="1381" ht="16.8" spans="1:13">
      <c r="A1381" s="248" t="s">
        <v>3066</v>
      </c>
      <c r="B1381" s="183" t="s">
        <v>4317</v>
      </c>
      <c r="C1381" s="249" t="e">
        <f>VLOOKUP(D1381,#REF!,2,0)</f>
        <v>#REF!</v>
      </c>
      <c r="D1381" s="29" t="s">
        <v>3235</v>
      </c>
      <c r="E1381" s="18" t="e">
        <f>VLOOKUP(C1381,数据集标准分类!E:F,2,0)</f>
        <v>#REF!</v>
      </c>
      <c r="F1381" s="29" t="e">
        <f>VLOOKUP(D1381,数据集标准分类!G:H,2,0)</f>
        <v>#N/A</v>
      </c>
      <c r="G1381" s="146" t="s">
        <v>3236</v>
      </c>
      <c r="H1381" s="146" t="s">
        <v>3237</v>
      </c>
      <c r="I1381" s="146" t="s">
        <v>3238</v>
      </c>
      <c r="J1381" s="146" t="s">
        <v>3239</v>
      </c>
      <c r="K1381" s="151"/>
      <c r="L1381" s="157">
        <v>5</v>
      </c>
      <c r="M1381" s="251"/>
    </row>
    <row r="1382" ht="16.8" spans="1:13">
      <c r="A1382" s="248" t="s">
        <v>3066</v>
      </c>
      <c r="B1382" s="183" t="s">
        <v>4317</v>
      </c>
      <c r="C1382" s="249" t="e">
        <f>VLOOKUP(D1382,#REF!,2,0)</f>
        <v>#REF!</v>
      </c>
      <c r="D1382" s="29" t="s">
        <v>3235</v>
      </c>
      <c r="E1382" s="18" t="e">
        <f>VLOOKUP(C1382,数据集标准分类!E:F,2,0)</f>
        <v>#REF!</v>
      </c>
      <c r="F1382" s="29" t="e">
        <f>VLOOKUP(D1382,数据集标准分类!G:H,2,0)</f>
        <v>#N/A</v>
      </c>
      <c r="G1382" s="146" t="s">
        <v>3196</v>
      </c>
      <c r="H1382" s="146" t="s">
        <v>3197</v>
      </c>
      <c r="I1382" s="146" t="s">
        <v>3198</v>
      </c>
      <c r="J1382" s="146" t="s">
        <v>2740</v>
      </c>
      <c r="K1382" s="151"/>
      <c r="L1382" s="157">
        <v>6</v>
      </c>
      <c r="M1382" s="251"/>
    </row>
    <row r="1383" ht="16.8" spans="1:13">
      <c r="A1383" s="248" t="s">
        <v>3066</v>
      </c>
      <c r="B1383" s="183" t="s">
        <v>4317</v>
      </c>
      <c r="C1383" s="249" t="e">
        <f>VLOOKUP(D1383,#REF!,2,0)</f>
        <v>#REF!</v>
      </c>
      <c r="D1383" s="29" t="s">
        <v>3235</v>
      </c>
      <c r="E1383" s="18" t="e">
        <f>VLOOKUP(C1383,数据集标准分类!E:F,2,0)</f>
        <v>#REF!</v>
      </c>
      <c r="F1383" s="29" t="e">
        <f>VLOOKUP(D1383,数据集标准分类!G:H,2,0)</f>
        <v>#N/A</v>
      </c>
      <c r="G1383" s="146" t="s">
        <v>3240</v>
      </c>
      <c r="H1383" s="146" t="s">
        <v>3241</v>
      </c>
      <c r="I1383" s="146" t="s">
        <v>3242</v>
      </c>
      <c r="J1383" s="146" t="s">
        <v>3243</v>
      </c>
      <c r="K1383" s="151"/>
      <c r="L1383" s="250">
        <v>7</v>
      </c>
      <c r="M1383" s="251"/>
    </row>
    <row r="1384" ht="16.8" spans="1:13">
      <c r="A1384" s="248" t="s">
        <v>3066</v>
      </c>
      <c r="B1384" s="183" t="s">
        <v>4317</v>
      </c>
      <c r="C1384" s="249" t="e">
        <f>VLOOKUP(D1384,#REF!,2,0)</f>
        <v>#REF!</v>
      </c>
      <c r="D1384" s="29" t="s">
        <v>3235</v>
      </c>
      <c r="E1384" s="18" t="e">
        <f>VLOOKUP(C1384,数据集标准分类!E:F,2,0)</f>
        <v>#REF!</v>
      </c>
      <c r="F1384" s="29" t="e">
        <f>VLOOKUP(D1384,数据集标准分类!G:H,2,0)</f>
        <v>#N/A</v>
      </c>
      <c r="G1384" s="146" t="s">
        <v>3199</v>
      </c>
      <c r="H1384" s="146" t="s">
        <v>3200</v>
      </c>
      <c r="I1384" s="146" t="s">
        <v>3201</v>
      </c>
      <c r="J1384" s="146" t="s">
        <v>3202</v>
      </c>
      <c r="K1384" s="151"/>
      <c r="L1384" s="157">
        <v>8</v>
      </c>
      <c r="M1384" s="251"/>
    </row>
    <row r="1385" ht="16.8" spans="1:13">
      <c r="A1385" s="248" t="s">
        <v>3066</v>
      </c>
      <c r="B1385" s="183" t="s">
        <v>4317</v>
      </c>
      <c r="C1385" s="249" t="e">
        <f>VLOOKUP(D1385,#REF!,2,0)</f>
        <v>#REF!</v>
      </c>
      <c r="D1385" s="29" t="s">
        <v>3235</v>
      </c>
      <c r="E1385" s="18" t="e">
        <f>VLOOKUP(C1385,数据集标准分类!E:F,2,0)</f>
        <v>#REF!</v>
      </c>
      <c r="F1385" s="29" t="e">
        <f>VLOOKUP(D1385,数据集标准分类!G:H,2,0)</f>
        <v>#N/A</v>
      </c>
      <c r="G1385" s="146" t="s">
        <v>3244</v>
      </c>
      <c r="H1385" s="146" t="s">
        <v>3245</v>
      </c>
      <c r="I1385" s="146" t="s">
        <v>3246</v>
      </c>
      <c r="J1385" s="146" t="s">
        <v>3247</v>
      </c>
      <c r="K1385" s="151"/>
      <c r="L1385" s="157">
        <v>9</v>
      </c>
      <c r="M1385" s="251"/>
    </row>
    <row r="1386" ht="16.8" spans="1:13">
      <c r="A1386" s="248" t="s">
        <v>3066</v>
      </c>
      <c r="B1386" s="183" t="s">
        <v>4317</v>
      </c>
      <c r="C1386" s="249" t="e">
        <f>VLOOKUP(D1386,#REF!,2,0)</f>
        <v>#REF!</v>
      </c>
      <c r="D1386" s="29" t="s">
        <v>3235</v>
      </c>
      <c r="E1386" s="18" t="e">
        <f>VLOOKUP(C1386,数据集标准分类!E:F,2,0)</f>
        <v>#REF!</v>
      </c>
      <c r="F1386" s="29" t="e">
        <f>VLOOKUP(D1386,数据集标准分类!G:H,2,0)</f>
        <v>#N/A</v>
      </c>
      <c r="G1386" s="146" t="s">
        <v>1774</v>
      </c>
      <c r="H1386" s="146" t="s">
        <v>1775</v>
      </c>
      <c r="I1386" s="146" t="s">
        <v>1776</v>
      </c>
      <c r="J1386" s="146" t="s">
        <v>1777</v>
      </c>
      <c r="K1386" s="151"/>
      <c r="L1386" s="157">
        <v>10</v>
      </c>
      <c r="M1386" s="251"/>
    </row>
    <row r="1387" ht="16.8" spans="1:13">
      <c r="A1387" s="248" t="s">
        <v>3066</v>
      </c>
      <c r="B1387" s="183" t="s">
        <v>4317</v>
      </c>
      <c r="C1387" s="249" t="e">
        <f>VLOOKUP(D1387,#REF!,2,0)</f>
        <v>#REF!</v>
      </c>
      <c r="D1387" s="150" t="s">
        <v>3326</v>
      </c>
      <c r="E1387" s="18" t="e">
        <f>VLOOKUP(C1387,数据集标准分类!E:F,2,0)</f>
        <v>#REF!</v>
      </c>
      <c r="F1387" s="29" t="e">
        <f>VLOOKUP(D1387,数据集标准分类!G:H,2,0)</f>
        <v>#N/A</v>
      </c>
      <c r="G1387" s="146" t="s">
        <v>5565</v>
      </c>
      <c r="H1387" s="146" t="s">
        <v>5566</v>
      </c>
      <c r="I1387" s="146" t="s">
        <v>5567</v>
      </c>
      <c r="J1387" s="146" t="s">
        <v>5568</v>
      </c>
      <c r="K1387" s="151"/>
      <c r="L1387" s="243">
        <v>1</v>
      </c>
      <c r="M1387" s="251"/>
    </row>
    <row r="1388" ht="16.8" spans="1:13">
      <c r="A1388" s="248" t="s">
        <v>3066</v>
      </c>
      <c r="B1388" s="183" t="s">
        <v>4317</v>
      </c>
      <c r="C1388" s="249" t="e">
        <f>VLOOKUP(D1388,#REF!,2,0)</f>
        <v>#REF!</v>
      </c>
      <c r="D1388" s="150" t="s">
        <v>3326</v>
      </c>
      <c r="E1388" s="18" t="e">
        <f>VLOOKUP(C1388,数据集标准分类!E:F,2,0)</f>
        <v>#REF!</v>
      </c>
      <c r="F1388" s="29" t="e">
        <f>VLOOKUP(D1388,数据集标准分类!G:H,2,0)</f>
        <v>#N/A</v>
      </c>
      <c r="G1388" s="146" t="s">
        <v>5561</v>
      </c>
      <c r="H1388" s="171" t="s">
        <v>5562</v>
      </c>
      <c r="I1388" s="171" t="s">
        <v>5563</v>
      </c>
      <c r="J1388" s="146" t="s">
        <v>5564</v>
      </c>
      <c r="K1388" s="151"/>
      <c r="L1388" s="243">
        <v>2</v>
      </c>
      <c r="M1388" s="251"/>
    </row>
    <row r="1389" ht="16.8" spans="1:13">
      <c r="A1389" s="248" t="s">
        <v>3066</v>
      </c>
      <c r="B1389" s="183" t="s">
        <v>4317</v>
      </c>
      <c r="C1389" s="249" t="e">
        <f>VLOOKUP(D1389,#REF!,2,0)</f>
        <v>#REF!</v>
      </c>
      <c r="D1389" s="150" t="s">
        <v>3326</v>
      </c>
      <c r="E1389" s="18" t="e">
        <f>VLOOKUP(C1389,数据集标准分类!E:F,2,0)</f>
        <v>#REF!</v>
      </c>
      <c r="F1389" s="29" t="e">
        <f>VLOOKUP(D1389,数据集标准分类!G:H,2,0)</f>
        <v>#N/A</v>
      </c>
      <c r="G1389" s="146" t="s">
        <v>3641</v>
      </c>
      <c r="H1389" s="146" t="s">
        <v>3642</v>
      </c>
      <c r="I1389" s="146" t="s">
        <v>3643</v>
      </c>
      <c r="J1389" s="146" t="s">
        <v>3644</v>
      </c>
      <c r="K1389" s="151"/>
      <c r="L1389" s="243">
        <v>3</v>
      </c>
      <c r="M1389" s="251"/>
    </row>
    <row r="1390" ht="16.8" spans="1:13">
      <c r="A1390" s="248" t="s">
        <v>3066</v>
      </c>
      <c r="B1390" s="183" t="s">
        <v>4317</v>
      </c>
      <c r="C1390" s="249" t="e">
        <f>VLOOKUP(D1390,#REF!,2,0)</f>
        <v>#REF!</v>
      </c>
      <c r="D1390" s="150" t="s">
        <v>3326</v>
      </c>
      <c r="E1390" s="18" t="e">
        <f>VLOOKUP(C1390,数据集标准分类!E:F,2,0)</f>
        <v>#REF!</v>
      </c>
      <c r="F1390" s="29" t="e">
        <f>VLOOKUP(D1390,数据集标准分类!G:H,2,0)</f>
        <v>#N/A</v>
      </c>
      <c r="G1390" s="146" t="s">
        <v>2889</v>
      </c>
      <c r="H1390" s="146" t="s">
        <v>2890</v>
      </c>
      <c r="I1390" s="146" t="s">
        <v>2891</v>
      </c>
      <c r="J1390" s="146" t="s">
        <v>2892</v>
      </c>
      <c r="K1390" s="151"/>
      <c r="L1390" s="243">
        <v>4</v>
      </c>
      <c r="M1390" s="251"/>
    </row>
    <row r="1391" ht="16.8" spans="1:13">
      <c r="A1391" s="248" t="s">
        <v>3066</v>
      </c>
      <c r="B1391" s="183" t="s">
        <v>4317</v>
      </c>
      <c r="C1391" s="249" t="e">
        <f>VLOOKUP(D1391,#REF!,2,0)</f>
        <v>#REF!</v>
      </c>
      <c r="D1391" s="150" t="s">
        <v>3326</v>
      </c>
      <c r="E1391" s="18" t="e">
        <f>VLOOKUP(C1391,数据集标准分类!E:F,2,0)</f>
        <v>#REF!</v>
      </c>
      <c r="F1391" s="29" t="e">
        <f>VLOOKUP(D1391,数据集标准分类!G:H,2,0)</f>
        <v>#N/A</v>
      </c>
      <c r="G1391" s="146" t="s">
        <v>2935</v>
      </c>
      <c r="H1391" s="171" t="s">
        <v>2936</v>
      </c>
      <c r="I1391" s="171" t="s">
        <v>2937</v>
      </c>
      <c r="J1391" s="146" t="s">
        <v>5569</v>
      </c>
      <c r="K1391" s="151"/>
      <c r="L1391" s="243">
        <v>5</v>
      </c>
      <c r="M1391" s="251"/>
    </row>
    <row r="1392" ht="16.8" spans="1:13">
      <c r="A1392" s="248" t="s">
        <v>3066</v>
      </c>
      <c r="B1392" s="183" t="s">
        <v>4317</v>
      </c>
      <c r="C1392" s="249" t="e">
        <f>VLOOKUP(D1392,#REF!,2,0)</f>
        <v>#REF!</v>
      </c>
      <c r="D1392" s="150" t="s">
        <v>3326</v>
      </c>
      <c r="E1392" s="18" t="e">
        <f>VLOOKUP(C1392,数据集标准分类!E:F,2,0)</f>
        <v>#REF!</v>
      </c>
      <c r="F1392" s="29" t="e">
        <f>VLOOKUP(D1392,数据集标准分类!G:H,2,0)</f>
        <v>#N/A</v>
      </c>
      <c r="G1392" s="146" t="s">
        <v>3196</v>
      </c>
      <c r="H1392" s="171" t="s">
        <v>3197</v>
      </c>
      <c r="I1392" s="171" t="s">
        <v>3198</v>
      </c>
      <c r="J1392" s="146" t="s">
        <v>2740</v>
      </c>
      <c r="K1392" s="151"/>
      <c r="L1392" s="243">
        <v>6</v>
      </c>
      <c r="M1392" s="251"/>
    </row>
    <row r="1393" ht="16.8" spans="1:13">
      <c r="A1393" s="248" t="s">
        <v>3066</v>
      </c>
      <c r="B1393" s="183" t="s">
        <v>4317</v>
      </c>
      <c r="C1393" s="249" t="e">
        <f>VLOOKUP(D1393,#REF!,2,0)</f>
        <v>#REF!</v>
      </c>
      <c r="D1393" s="150" t="s">
        <v>3326</v>
      </c>
      <c r="E1393" s="18" t="e">
        <f>VLOOKUP(C1393,数据集标准分类!E:F,2,0)</f>
        <v>#REF!</v>
      </c>
      <c r="F1393" s="29" t="e">
        <f>VLOOKUP(D1393,数据集标准分类!G:H,2,0)</f>
        <v>#N/A</v>
      </c>
      <c r="G1393" s="146" t="s">
        <v>3199</v>
      </c>
      <c r="H1393" s="171" t="s">
        <v>3200</v>
      </c>
      <c r="I1393" s="171" t="s">
        <v>3201</v>
      </c>
      <c r="J1393" s="146" t="s">
        <v>3327</v>
      </c>
      <c r="K1393" s="151"/>
      <c r="L1393" s="243">
        <v>7</v>
      </c>
      <c r="M1393" s="251"/>
    </row>
    <row r="1394" ht="16.8" spans="1:13">
      <c r="A1394" s="248" t="s">
        <v>3066</v>
      </c>
      <c r="B1394" s="183" t="s">
        <v>4317</v>
      </c>
      <c r="C1394" s="249" t="e">
        <f>VLOOKUP(D1394,#REF!,2,0)</f>
        <v>#REF!</v>
      </c>
      <c r="D1394" s="150" t="s">
        <v>3326</v>
      </c>
      <c r="E1394" s="18" t="e">
        <f>VLOOKUP(C1394,数据集标准分类!E:F,2,0)</f>
        <v>#REF!</v>
      </c>
      <c r="F1394" s="29" t="e">
        <f>VLOOKUP(D1394,数据集标准分类!G:H,2,0)</f>
        <v>#N/A</v>
      </c>
      <c r="G1394" s="146" t="s">
        <v>3328</v>
      </c>
      <c r="H1394" s="171" t="s">
        <v>3329</v>
      </c>
      <c r="I1394" s="171" t="s">
        <v>3330</v>
      </c>
      <c r="J1394" s="146" t="s">
        <v>1499</v>
      </c>
      <c r="K1394" s="151"/>
      <c r="L1394" s="243">
        <v>8</v>
      </c>
      <c r="M1394" s="251"/>
    </row>
    <row r="1395" ht="16.8" spans="1:13">
      <c r="A1395" s="248" t="s">
        <v>3066</v>
      </c>
      <c r="B1395" s="183" t="s">
        <v>4317</v>
      </c>
      <c r="C1395" s="249" t="e">
        <f>VLOOKUP(D1395,#REF!,2,0)</f>
        <v>#REF!</v>
      </c>
      <c r="D1395" s="150" t="s">
        <v>3326</v>
      </c>
      <c r="E1395" s="18" t="e">
        <f>VLOOKUP(C1395,数据集标准分类!E:F,2,0)</f>
        <v>#REF!</v>
      </c>
      <c r="F1395" s="29" t="e">
        <f>VLOOKUP(D1395,数据集标准分类!G:H,2,0)</f>
        <v>#N/A</v>
      </c>
      <c r="G1395" s="146" t="s">
        <v>1774</v>
      </c>
      <c r="H1395" s="171" t="s">
        <v>1775</v>
      </c>
      <c r="I1395" s="171" t="s">
        <v>1776</v>
      </c>
      <c r="J1395" s="146" t="s">
        <v>1777</v>
      </c>
      <c r="K1395" s="151"/>
      <c r="L1395" s="243">
        <v>9</v>
      </c>
      <c r="M1395" s="251"/>
    </row>
    <row r="1396" customHeight="1" spans="1:13">
      <c r="A1396" s="248" t="s">
        <v>3066</v>
      </c>
      <c r="B1396" s="183" t="s">
        <v>4317</v>
      </c>
      <c r="C1396" s="249" t="e">
        <f>VLOOKUP(D1396,#REF!,2,0)</f>
        <v>#REF!</v>
      </c>
      <c r="D1396" s="150" t="s">
        <v>3326</v>
      </c>
      <c r="E1396" s="18" t="e">
        <f>VLOOKUP(C1396,数据集标准分类!E:F,2,0)</f>
        <v>#REF!</v>
      </c>
      <c r="F1396" s="29" t="e">
        <f>VLOOKUP(D1396,数据集标准分类!G:H,2,0)</f>
        <v>#N/A</v>
      </c>
      <c r="G1396" s="146" t="s">
        <v>5556</v>
      </c>
      <c r="H1396" s="171" t="s">
        <v>5557</v>
      </c>
      <c r="I1396" s="171" t="s">
        <v>5558</v>
      </c>
      <c r="J1396" s="146" t="s">
        <v>5570</v>
      </c>
      <c r="K1396" s="151"/>
      <c r="L1396" s="243">
        <v>10</v>
      </c>
      <c r="M1396" s="251"/>
    </row>
    <row r="1397" ht="16.8" spans="1:13">
      <c r="A1397" s="248" t="s">
        <v>3066</v>
      </c>
      <c r="B1397" s="183" t="s">
        <v>4317</v>
      </c>
      <c r="C1397" s="249" t="e">
        <f>VLOOKUP(D1397,#REF!,2,0)</f>
        <v>#REF!</v>
      </c>
      <c r="D1397" s="150" t="s">
        <v>3326</v>
      </c>
      <c r="E1397" s="18" t="e">
        <f>VLOOKUP(C1397,数据集标准分类!E:F,2,0)</f>
        <v>#REF!</v>
      </c>
      <c r="F1397" s="29" t="e">
        <f>VLOOKUP(D1397,数据集标准分类!G:H,2,0)</f>
        <v>#N/A</v>
      </c>
      <c r="G1397" s="146" t="s">
        <v>3192</v>
      </c>
      <c r="H1397" s="171" t="s">
        <v>3193</v>
      </c>
      <c r="I1397" s="171" t="s">
        <v>3194</v>
      </c>
      <c r="J1397" s="146" t="s">
        <v>3195</v>
      </c>
      <c r="K1397" s="151"/>
      <c r="L1397" s="243">
        <v>11</v>
      </c>
      <c r="M1397" s="251"/>
    </row>
    <row r="1398" ht="16.8" spans="1:13">
      <c r="A1398" s="248" t="s">
        <v>3066</v>
      </c>
      <c r="B1398" s="183" t="s">
        <v>4317</v>
      </c>
      <c r="C1398" s="249" t="e">
        <f>VLOOKUP(D1398,#REF!,2,0)</f>
        <v>#REF!</v>
      </c>
      <c r="D1398" s="65" t="s">
        <v>3331</v>
      </c>
      <c r="E1398" s="18" t="e">
        <f>VLOOKUP(C1398,数据集标准分类!E:F,2,0)</f>
        <v>#REF!</v>
      </c>
      <c r="F1398" s="29" t="e">
        <f>VLOOKUP(D1398,数据集标准分类!G:H,2,0)</f>
        <v>#N/A</v>
      </c>
      <c r="G1398" s="146" t="s">
        <v>5565</v>
      </c>
      <c r="H1398" s="146" t="s">
        <v>5566</v>
      </c>
      <c r="I1398" s="146" t="s">
        <v>5567</v>
      </c>
      <c r="J1398" s="146" t="s">
        <v>5568</v>
      </c>
      <c r="K1398" s="151"/>
      <c r="L1398" s="250">
        <v>1</v>
      </c>
      <c r="M1398" s="251"/>
    </row>
    <row r="1399" ht="16.8" spans="1:13">
      <c r="A1399" s="248" t="s">
        <v>3066</v>
      </c>
      <c r="B1399" s="183" t="s">
        <v>4317</v>
      </c>
      <c r="C1399" s="249" t="e">
        <f>VLOOKUP(D1399,#REF!,2,0)</f>
        <v>#REF!</v>
      </c>
      <c r="D1399" s="65" t="s">
        <v>3331</v>
      </c>
      <c r="E1399" s="18" t="e">
        <f>VLOOKUP(C1399,数据集标准分类!E:F,2,0)</f>
        <v>#REF!</v>
      </c>
      <c r="F1399" s="29" t="e">
        <f>VLOOKUP(D1399,数据集标准分类!G:H,2,0)</f>
        <v>#N/A</v>
      </c>
      <c r="G1399" s="146" t="s">
        <v>5561</v>
      </c>
      <c r="H1399" s="171" t="s">
        <v>5562</v>
      </c>
      <c r="I1399" s="171" t="s">
        <v>5563</v>
      </c>
      <c r="J1399" s="146" t="s">
        <v>5564</v>
      </c>
      <c r="K1399" s="151"/>
      <c r="L1399" s="184" t="s">
        <v>3352</v>
      </c>
      <c r="M1399" s="251"/>
    </row>
    <row r="1400" ht="16.8" spans="1:13">
      <c r="A1400" s="248" t="s">
        <v>3066</v>
      </c>
      <c r="B1400" s="183" t="s">
        <v>4317</v>
      </c>
      <c r="C1400" s="249" t="e">
        <f>VLOOKUP(D1400,#REF!,2,0)</f>
        <v>#REF!</v>
      </c>
      <c r="D1400" s="65" t="s">
        <v>3331</v>
      </c>
      <c r="E1400" s="18" t="e">
        <f>VLOOKUP(C1400,数据集标准分类!E:F,2,0)</f>
        <v>#REF!</v>
      </c>
      <c r="F1400" s="29" t="e">
        <f>VLOOKUP(D1400,数据集标准分类!G:H,2,0)</f>
        <v>#N/A</v>
      </c>
      <c r="G1400" s="146" t="s">
        <v>3641</v>
      </c>
      <c r="H1400" s="146" t="s">
        <v>3642</v>
      </c>
      <c r="I1400" s="146" t="s">
        <v>3643</v>
      </c>
      <c r="J1400" s="146" t="s">
        <v>3644</v>
      </c>
      <c r="K1400" s="151"/>
      <c r="L1400" s="184" t="s">
        <v>3353</v>
      </c>
      <c r="M1400" s="251"/>
    </row>
    <row r="1401" ht="16.8" spans="1:13">
      <c r="A1401" s="248" t="s">
        <v>3066</v>
      </c>
      <c r="B1401" s="183" t="s">
        <v>4317</v>
      </c>
      <c r="C1401" s="249" t="e">
        <f>VLOOKUP(D1401,#REF!,2,0)</f>
        <v>#REF!</v>
      </c>
      <c r="D1401" s="65" t="s">
        <v>3331</v>
      </c>
      <c r="E1401" s="18" t="e">
        <f>VLOOKUP(C1401,数据集标准分类!E:F,2,0)</f>
        <v>#REF!</v>
      </c>
      <c r="F1401" s="29" t="e">
        <f>VLOOKUP(D1401,数据集标准分类!G:H,2,0)</f>
        <v>#N/A</v>
      </c>
      <c r="G1401" s="146" t="s">
        <v>2889</v>
      </c>
      <c r="H1401" s="146" t="s">
        <v>2890</v>
      </c>
      <c r="I1401" s="146" t="s">
        <v>2891</v>
      </c>
      <c r="J1401" s="146" t="s">
        <v>2892</v>
      </c>
      <c r="K1401" s="151"/>
      <c r="L1401" s="184" t="s">
        <v>3365</v>
      </c>
      <c r="M1401" s="251"/>
    </row>
    <row r="1402" ht="16.8" spans="1:13">
      <c r="A1402" s="248" t="s">
        <v>3066</v>
      </c>
      <c r="B1402" s="183" t="s">
        <v>4317</v>
      </c>
      <c r="C1402" s="249" t="e">
        <f>VLOOKUP(D1402,#REF!,2,0)</f>
        <v>#REF!</v>
      </c>
      <c r="D1402" s="65" t="s">
        <v>3331</v>
      </c>
      <c r="E1402" s="18" t="e">
        <f>VLOOKUP(C1402,数据集标准分类!E:F,2,0)</f>
        <v>#REF!</v>
      </c>
      <c r="F1402" s="29" t="e">
        <f>VLOOKUP(D1402,数据集标准分类!G:H,2,0)</f>
        <v>#N/A</v>
      </c>
      <c r="G1402" s="146" t="s">
        <v>2935</v>
      </c>
      <c r="H1402" s="171" t="s">
        <v>2936</v>
      </c>
      <c r="I1402" s="171" t="s">
        <v>2937</v>
      </c>
      <c r="J1402" s="146" t="s">
        <v>5571</v>
      </c>
      <c r="K1402" s="151"/>
      <c r="L1402" s="184" t="s">
        <v>3370</v>
      </c>
      <c r="M1402" s="251"/>
    </row>
    <row r="1403" ht="16.8" spans="1:13">
      <c r="A1403" s="248" t="s">
        <v>3066</v>
      </c>
      <c r="B1403" s="183" t="s">
        <v>4317</v>
      </c>
      <c r="C1403" s="249" t="e">
        <f>VLOOKUP(D1403,#REF!,2,0)</f>
        <v>#REF!</v>
      </c>
      <c r="D1403" s="65" t="s">
        <v>3331</v>
      </c>
      <c r="E1403" s="18" t="e">
        <f>VLOOKUP(C1403,数据集标准分类!E:F,2,0)</f>
        <v>#REF!</v>
      </c>
      <c r="F1403" s="29" t="e">
        <f>VLOOKUP(D1403,数据集标准分类!G:H,2,0)</f>
        <v>#N/A</v>
      </c>
      <c r="G1403" s="146" t="s">
        <v>3196</v>
      </c>
      <c r="H1403" s="171" t="s">
        <v>3197</v>
      </c>
      <c r="I1403" s="171" t="s">
        <v>3198</v>
      </c>
      <c r="J1403" s="146" t="s">
        <v>2740</v>
      </c>
      <c r="K1403" s="151"/>
      <c r="L1403" s="184" t="s">
        <v>3371</v>
      </c>
      <c r="M1403" s="251"/>
    </row>
    <row r="1404" ht="16.8" spans="1:13">
      <c r="A1404" s="248" t="s">
        <v>3066</v>
      </c>
      <c r="B1404" s="183" t="s">
        <v>4317</v>
      </c>
      <c r="C1404" s="249" t="e">
        <f>VLOOKUP(D1404,#REF!,2,0)</f>
        <v>#REF!</v>
      </c>
      <c r="D1404" s="65" t="s">
        <v>3331</v>
      </c>
      <c r="E1404" s="18" t="e">
        <f>VLOOKUP(C1404,数据集标准分类!E:F,2,0)</f>
        <v>#REF!</v>
      </c>
      <c r="F1404" s="29" t="e">
        <f>VLOOKUP(D1404,数据集标准分类!G:H,2,0)</f>
        <v>#N/A</v>
      </c>
      <c r="G1404" s="146" t="s">
        <v>1774</v>
      </c>
      <c r="H1404" s="171" t="s">
        <v>1775</v>
      </c>
      <c r="I1404" s="171" t="s">
        <v>1776</v>
      </c>
      <c r="J1404" s="146" t="s">
        <v>1777</v>
      </c>
      <c r="K1404" s="151"/>
      <c r="L1404" s="184" t="s">
        <v>5555</v>
      </c>
      <c r="M1404" s="251"/>
    </row>
    <row r="1405" ht="16.8" spans="1:13">
      <c r="A1405" s="248" t="s">
        <v>3066</v>
      </c>
      <c r="B1405" s="183" t="s">
        <v>4317</v>
      </c>
      <c r="C1405" s="249" t="e">
        <f>VLOOKUP(D1405,#REF!,2,0)</f>
        <v>#REF!</v>
      </c>
      <c r="D1405" s="65" t="s">
        <v>3331</v>
      </c>
      <c r="E1405" s="18" t="e">
        <f>VLOOKUP(C1405,数据集标准分类!E:F,2,0)</f>
        <v>#REF!</v>
      </c>
      <c r="F1405" s="29" t="e">
        <f>VLOOKUP(D1405,数据集标准分类!G:H,2,0)</f>
        <v>#N/A</v>
      </c>
      <c r="G1405" s="146" t="s">
        <v>5556</v>
      </c>
      <c r="H1405" s="171" t="s">
        <v>5557</v>
      </c>
      <c r="I1405" s="171" t="s">
        <v>5558</v>
      </c>
      <c r="J1405" s="146" t="s">
        <v>5559</v>
      </c>
      <c r="K1405" s="151"/>
      <c r="L1405" s="184" t="s">
        <v>4488</v>
      </c>
      <c r="M1405" s="251"/>
    </row>
    <row r="1406" ht="16.8" spans="1:13">
      <c r="A1406" s="248" t="s">
        <v>3066</v>
      </c>
      <c r="B1406" s="183" t="s">
        <v>4317</v>
      </c>
      <c r="C1406" s="249" t="e">
        <f>VLOOKUP(D1406,#REF!,2,0)</f>
        <v>#REF!</v>
      </c>
      <c r="D1406" s="65" t="s">
        <v>3331</v>
      </c>
      <c r="E1406" s="18" t="e">
        <f>VLOOKUP(C1406,数据集标准分类!E:F,2,0)</f>
        <v>#REF!</v>
      </c>
      <c r="F1406" s="29" t="e">
        <f>VLOOKUP(D1406,数据集标准分类!G:H,2,0)</f>
        <v>#N/A</v>
      </c>
      <c r="G1406" s="146" t="s">
        <v>3192</v>
      </c>
      <c r="H1406" s="171" t="s">
        <v>3193</v>
      </c>
      <c r="I1406" s="171" t="s">
        <v>3194</v>
      </c>
      <c r="J1406" s="146" t="s">
        <v>3195</v>
      </c>
      <c r="K1406" s="151"/>
      <c r="L1406" s="184" t="s">
        <v>4492</v>
      </c>
      <c r="M1406" s="251"/>
    </row>
    <row r="1407" ht="16.8" spans="1:13">
      <c r="A1407" s="248" t="s">
        <v>3066</v>
      </c>
      <c r="B1407" s="183" t="s">
        <v>4317</v>
      </c>
      <c r="C1407" s="249" t="e">
        <f>VLOOKUP(D1407,#REF!,2,0)</f>
        <v>#REF!</v>
      </c>
      <c r="D1407" s="65" t="s">
        <v>3331</v>
      </c>
      <c r="E1407" s="18" t="e">
        <f>VLOOKUP(C1407,数据集标准分类!E:F,2,0)</f>
        <v>#REF!</v>
      </c>
      <c r="F1407" s="29" t="e">
        <f>VLOOKUP(D1407,数据集标准分类!G:H,2,0)</f>
        <v>#N/A</v>
      </c>
      <c r="G1407" s="171" t="s">
        <v>3332</v>
      </c>
      <c r="H1407" s="171" t="s">
        <v>3333</v>
      </c>
      <c r="I1407" s="171" t="s">
        <v>3334</v>
      </c>
      <c r="J1407" s="171" t="s">
        <v>3335</v>
      </c>
      <c r="K1407" s="151"/>
      <c r="L1407" s="184" t="s">
        <v>4495</v>
      </c>
      <c r="M1407" s="251"/>
    </row>
    <row r="1408" ht="16.8" spans="1:13">
      <c r="A1408" s="248" t="s">
        <v>3066</v>
      </c>
      <c r="B1408" s="183" t="s">
        <v>4317</v>
      </c>
      <c r="C1408" s="249" t="e">
        <f>VLOOKUP(D1408,#REF!,2,0)</f>
        <v>#REF!</v>
      </c>
      <c r="D1408" s="65" t="s">
        <v>3331</v>
      </c>
      <c r="E1408" s="18" t="e">
        <f>VLOOKUP(C1408,数据集标准分类!E:F,2,0)</f>
        <v>#REF!</v>
      </c>
      <c r="F1408" s="29" t="e">
        <f>VLOOKUP(D1408,数据集标准分类!G:H,2,0)</f>
        <v>#N/A</v>
      </c>
      <c r="G1408" s="171" t="s">
        <v>3336</v>
      </c>
      <c r="H1408" s="171" t="s">
        <v>3337</v>
      </c>
      <c r="I1408" s="171" t="s">
        <v>3338</v>
      </c>
      <c r="J1408" s="101" t="s">
        <v>3339</v>
      </c>
      <c r="K1408" s="151"/>
      <c r="L1408" s="184" t="s">
        <v>4499</v>
      </c>
      <c r="M1408" s="251"/>
    </row>
    <row r="1409" ht="17" spans="1:13">
      <c r="A1409" s="248" t="s">
        <v>3066</v>
      </c>
      <c r="B1409" s="183" t="s">
        <v>4317</v>
      </c>
      <c r="C1409" s="249" t="e">
        <f>VLOOKUP(D1409,#REF!,2,0)</f>
        <v>#REF!</v>
      </c>
      <c r="D1409" s="179" t="s">
        <v>3345</v>
      </c>
      <c r="E1409" s="18" t="e">
        <f>VLOOKUP(C1409,数据集标准分类!E:F,2,0)</f>
        <v>#REF!</v>
      </c>
      <c r="F1409" s="29" t="e">
        <f>VLOOKUP(D1409,数据集标准分类!G:H,2,0)</f>
        <v>#N/A</v>
      </c>
      <c r="G1409" s="146" t="s">
        <v>2895</v>
      </c>
      <c r="H1409" s="171" t="s">
        <v>2896</v>
      </c>
      <c r="I1409" s="171" t="s">
        <v>2897</v>
      </c>
      <c r="J1409" s="146" t="s">
        <v>2898</v>
      </c>
      <c r="K1409" s="151"/>
      <c r="L1409" s="184" t="s">
        <v>3351</v>
      </c>
      <c r="M1409" s="251"/>
    </row>
    <row r="1410" ht="17" spans="1:13">
      <c r="A1410" s="248" t="s">
        <v>3066</v>
      </c>
      <c r="B1410" s="183" t="s">
        <v>4317</v>
      </c>
      <c r="C1410" s="249" t="e">
        <f>VLOOKUP(D1410,#REF!,2,0)</f>
        <v>#REF!</v>
      </c>
      <c r="D1410" s="179" t="s">
        <v>3345</v>
      </c>
      <c r="E1410" s="18" t="e">
        <f>VLOOKUP(C1410,数据集标准分类!E:F,2,0)</f>
        <v>#REF!</v>
      </c>
      <c r="F1410" s="29" t="e">
        <f>VLOOKUP(D1410,数据集标准分类!G:H,2,0)</f>
        <v>#N/A</v>
      </c>
      <c r="G1410" s="146" t="s">
        <v>2889</v>
      </c>
      <c r="H1410" s="146" t="s">
        <v>2890</v>
      </c>
      <c r="I1410" s="146" t="s">
        <v>2891</v>
      </c>
      <c r="J1410" s="146" t="s">
        <v>2892</v>
      </c>
      <c r="K1410" s="151"/>
      <c r="L1410" s="184" t="s">
        <v>3352</v>
      </c>
      <c r="M1410" s="251"/>
    </row>
    <row r="1411" ht="17" spans="1:13">
      <c r="A1411" s="248" t="s">
        <v>3066</v>
      </c>
      <c r="B1411" s="183" t="s">
        <v>4317</v>
      </c>
      <c r="C1411" s="249" t="e">
        <f>VLOOKUP(D1411,#REF!,2,0)</f>
        <v>#REF!</v>
      </c>
      <c r="D1411" s="179" t="s">
        <v>3345</v>
      </c>
      <c r="E1411" s="18" t="e">
        <f>VLOOKUP(C1411,数据集标准分类!E:F,2,0)</f>
        <v>#REF!</v>
      </c>
      <c r="F1411" s="29" t="e">
        <f>VLOOKUP(D1411,数据集标准分类!G:H,2,0)</f>
        <v>#N/A</v>
      </c>
      <c r="G1411" s="146" t="s">
        <v>2935</v>
      </c>
      <c r="H1411" s="171" t="s">
        <v>2936</v>
      </c>
      <c r="I1411" s="171" t="s">
        <v>2937</v>
      </c>
      <c r="J1411" s="146" t="s">
        <v>5569</v>
      </c>
      <c r="K1411" s="151"/>
      <c r="L1411" s="184" t="s">
        <v>3353</v>
      </c>
      <c r="M1411" s="251"/>
    </row>
    <row r="1412" ht="17" spans="1:13">
      <c r="A1412" s="248" t="s">
        <v>3066</v>
      </c>
      <c r="B1412" s="183" t="s">
        <v>4317</v>
      </c>
      <c r="C1412" s="249" t="e">
        <f>VLOOKUP(D1412,#REF!,2,0)</f>
        <v>#REF!</v>
      </c>
      <c r="D1412" s="179" t="s">
        <v>3345</v>
      </c>
      <c r="E1412" s="18" t="e">
        <f>VLOOKUP(C1412,数据集标准分类!E:F,2,0)</f>
        <v>#REF!</v>
      </c>
      <c r="F1412" s="29" t="e">
        <f>VLOOKUP(D1412,数据集标准分类!G:H,2,0)</f>
        <v>#N/A</v>
      </c>
      <c r="G1412" s="146" t="s">
        <v>3196</v>
      </c>
      <c r="H1412" s="171" t="s">
        <v>3197</v>
      </c>
      <c r="I1412" s="171" t="s">
        <v>3198</v>
      </c>
      <c r="J1412" s="146" t="s">
        <v>2740</v>
      </c>
      <c r="K1412" s="151"/>
      <c r="L1412" s="184" t="s">
        <v>3365</v>
      </c>
      <c r="M1412" s="251"/>
    </row>
    <row r="1413" ht="17" spans="1:13">
      <c r="A1413" s="248" t="s">
        <v>3066</v>
      </c>
      <c r="B1413" s="183" t="s">
        <v>4317</v>
      </c>
      <c r="C1413" s="249" t="e">
        <f>VLOOKUP(D1413,#REF!,2,0)</f>
        <v>#REF!</v>
      </c>
      <c r="D1413" s="179" t="s">
        <v>3345</v>
      </c>
      <c r="E1413" s="18" t="e">
        <f>VLOOKUP(C1413,数据集标准分类!E:F,2,0)</f>
        <v>#REF!</v>
      </c>
      <c r="F1413" s="29" t="e">
        <f>VLOOKUP(D1413,数据集标准分类!G:H,2,0)</f>
        <v>#N/A</v>
      </c>
      <c r="G1413" s="171" t="s">
        <v>3199</v>
      </c>
      <c r="H1413" s="171" t="s">
        <v>3200</v>
      </c>
      <c r="I1413" s="171" t="s">
        <v>3201</v>
      </c>
      <c r="J1413" s="146" t="s">
        <v>3202</v>
      </c>
      <c r="K1413" s="151"/>
      <c r="L1413" s="184" t="s">
        <v>3370</v>
      </c>
      <c r="M1413" s="251"/>
    </row>
    <row r="1414" ht="36" customHeight="1" spans="1:13">
      <c r="A1414" s="248" t="s">
        <v>3066</v>
      </c>
      <c r="B1414" s="183" t="s">
        <v>4317</v>
      </c>
      <c r="C1414" s="249" t="e">
        <f>VLOOKUP(D1414,#REF!,2,0)</f>
        <v>#REF!</v>
      </c>
      <c r="D1414" s="179" t="s">
        <v>3345</v>
      </c>
      <c r="E1414" s="18" t="e">
        <f>VLOOKUP(C1414,数据集标准分类!E:F,2,0)</f>
        <v>#REF!</v>
      </c>
      <c r="F1414" s="29" t="e">
        <f>VLOOKUP(D1414,数据集标准分类!G:H,2,0)</f>
        <v>#N/A</v>
      </c>
      <c r="G1414" s="146" t="s">
        <v>3328</v>
      </c>
      <c r="H1414" s="171" t="s">
        <v>3329</v>
      </c>
      <c r="I1414" s="171" t="s">
        <v>3330</v>
      </c>
      <c r="J1414" s="146" t="s">
        <v>3346</v>
      </c>
      <c r="K1414" s="151"/>
      <c r="L1414" s="184" t="s">
        <v>3371</v>
      </c>
      <c r="M1414" s="251"/>
    </row>
    <row r="1415" ht="17" spans="1:13">
      <c r="A1415" s="248" t="s">
        <v>3066</v>
      </c>
      <c r="B1415" s="183" t="s">
        <v>4317</v>
      </c>
      <c r="C1415" s="249" t="e">
        <f>VLOOKUP(D1415,#REF!,2,0)</f>
        <v>#REF!</v>
      </c>
      <c r="D1415" s="179" t="s">
        <v>3345</v>
      </c>
      <c r="E1415" s="18" t="e">
        <f>VLOOKUP(C1415,数据集标准分类!E:F,2,0)</f>
        <v>#REF!</v>
      </c>
      <c r="F1415" s="29" t="e">
        <f>VLOOKUP(D1415,数据集标准分类!G:H,2,0)</f>
        <v>#N/A</v>
      </c>
      <c r="G1415" s="146" t="s">
        <v>1774</v>
      </c>
      <c r="H1415" s="171" t="s">
        <v>1775</v>
      </c>
      <c r="I1415" s="171" t="s">
        <v>1776</v>
      </c>
      <c r="J1415" s="146" t="s">
        <v>1777</v>
      </c>
      <c r="K1415" s="151"/>
      <c r="L1415" s="184" t="s">
        <v>5555</v>
      </c>
      <c r="M1415" s="251"/>
    </row>
    <row r="1416" ht="17" spans="1:13">
      <c r="A1416" s="248" t="s">
        <v>3066</v>
      </c>
      <c r="B1416" s="183" t="s">
        <v>4317</v>
      </c>
      <c r="C1416" s="249" t="e">
        <f>VLOOKUP(D1416,#REF!,2,0)</f>
        <v>#REF!</v>
      </c>
      <c r="D1416" s="179" t="s">
        <v>3345</v>
      </c>
      <c r="E1416" s="18" t="e">
        <f>VLOOKUP(C1416,数据集标准分类!E:F,2,0)</f>
        <v>#REF!</v>
      </c>
      <c r="F1416" s="29" t="e">
        <f>VLOOKUP(D1416,数据集标准分类!G:H,2,0)</f>
        <v>#N/A</v>
      </c>
      <c r="G1416" s="146" t="s">
        <v>5556</v>
      </c>
      <c r="H1416" s="171" t="s">
        <v>5557</v>
      </c>
      <c r="I1416" s="171" t="s">
        <v>5558</v>
      </c>
      <c r="J1416" s="146" t="s">
        <v>5559</v>
      </c>
      <c r="K1416" s="151"/>
      <c r="L1416" s="184" t="s">
        <v>4488</v>
      </c>
      <c r="M1416" s="251"/>
    </row>
    <row r="1417" ht="17" spans="1:13">
      <c r="A1417" s="248" t="s">
        <v>3066</v>
      </c>
      <c r="B1417" s="183" t="s">
        <v>4317</v>
      </c>
      <c r="C1417" s="249" t="e">
        <f>VLOOKUP(D1417,#REF!,2,0)</f>
        <v>#REF!</v>
      </c>
      <c r="D1417" s="179" t="s">
        <v>3345</v>
      </c>
      <c r="E1417" s="18" t="e">
        <f>VLOOKUP(C1417,数据集标准分类!E:F,2,0)</f>
        <v>#REF!</v>
      </c>
      <c r="F1417" s="29" t="e">
        <f>VLOOKUP(D1417,数据集标准分类!G:H,2,0)</f>
        <v>#N/A</v>
      </c>
      <c r="G1417" s="146" t="s">
        <v>3192</v>
      </c>
      <c r="H1417" s="171" t="s">
        <v>3193</v>
      </c>
      <c r="I1417" s="171" t="s">
        <v>3194</v>
      </c>
      <c r="J1417" s="146" t="s">
        <v>3195</v>
      </c>
      <c r="K1417" s="151"/>
      <c r="L1417" s="184" t="s">
        <v>4492</v>
      </c>
      <c r="M1417" s="251"/>
    </row>
    <row r="1418" ht="17" spans="1:13">
      <c r="A1418" s="248" t="s">
        <v>3066</v>
      </c>
      <c r="B1418" s="183" t="s">
        <v>4317</v>
      </c>
      <c r="C1418" s="249" t="e">
        <f>VLOOKUP(D1418,#REF!,2,0)</f>
        <v>#REF!</v>
      </c>
      <c r="D1418" s="179" t="s">
        <v>3347</v>
      </c>
      <c r="E1418" s="18" t="e">
        <f>VLOOKUP(C1418,数据集标准分类!E:F,2,0)</f>
        <v>#REF!</v>
      </c>
      <c r="F1418" s="29" t="e">
        <f>VLOOKUP(D1418,数据集标准分类!G:H,2,0)</f>
        <v>#N/A</v>
      </c>
      <c r="G1418" s="146" t="s">
        <v>2889</v>
      </c>
      <c r="H1418" s="146" t="s">
        <v>2890</v>
      </c>
      <c r="I1418" s="146" t="s">
        <v>2891</v>
      </c>
      <c r="J1418" s="146" t="s">
        <v>2892</v>
      </c>
      <c r="K1418" s="151"/>
      <c r="L1418" s="184" t="s">
        <v>3351</v>
      </c>
      <c r="M1418" s="251"/>
    </row>
    <row r="1419" ht="17" spans="1:13">
      <c r="A1419" s="248" t="s">
        <v>3066</v>
      </c>
      <c r="B1419" s="183" t="s">
        <v>4317</v>
      </c>
      <c r="C1419" s="249" t="e">
        <f>VLOOKUP(D1419,#REF!,2,0)</f>
        <v>#REF!</v>
      </c>
      <c r="D1419" s="179" t="s">
        <v>3347</v>
      </c>
      <c r="E1419" s="18" t="e">
        <f>VLOOKUP(C1419,数据集标准分类!E:F,2,0)</f>
        <v>#REF!</v>
      </c>
      <c r="F1419" s="29" t="e">
        <f>VLOOKUP(D1419,数据集标准分类!G:H,2,0)</f>
        <v>#N/A</v>
      </c>
      <c r="G1419" s="146" t="s">
        <v>5561</v>
      </c>
      <c r="H1419" s="171" t="s">
        <v>5562</v>
      </c>
      <c r="I1419" s="171" t="s">
        <v>5563</v>
      </c>
      <c r="J1419" s="146" t="s">
        <v>5564</v>
      </c>
      <c r="K1419" s="151"/>
      <c r="L1419" s="184" t="s">
        <v>3352</v>
      </c>
      <c r="M1419" s="251"/>
    </row>
    <row r="1420" ht="36" customHeight="1" spans="1:13">
      <c r="A1420" s="248" t="s">
        <v>3066</v>
      </c>
      <c r="B1420" s="183" t="s">
        <v>4317</v>
      </c>
      <c r="C1420" s="249" t="e">
        <f>VLOOKUP(D1420,#REF!,2,0)</f>
        <v>#REF!</v>
      </c>
      <c r="D1420" s="179" t="s">
        <v>3347</v>
      </c>
      <c r="E1420" s="18" t="e">
        <f>VLOOKUP(C1420,数据集标准分类!E:F,2,0)</f>
        <v>#REF!</v>
      </c>
      <c r="F1420" s="29" t="e">
        <f>VLOOKUP(D1420,数据集标准分类!G:H,2,0)</f>
        <v>#N/A</v>
      </c>
      <c r="G1420" s="146" t="s">
        <v>3641</v>
      </c>
      <c r="H1420" s="146" t="s">
        <v>3642</v>
      </c>
      <c r="I1420" s="146" t="s">
        <v>3643</v>
      </c>
      <c r="J1420" s="146" t="s">
        <v>3644</v>
      </c>
      <c r="K1420" s="151"/>
      <c r="L1420" s="184" t="s">
        <v>3353</v>
      </c>
      <c r="M1420" s="251"/>
    </row>
    <row r="1421" ht="17" spans="1:13">
      <c r="A1421" s="248" t="s">
        <v>3066</v>
      </c>
      <c r="B1421" s="183" t="s">
        <v>4317</v>
      </c>
      <c r="C1421" s="249" t="e">
        <f>VLOOKUP(D1421,#REF!,2,0)</f>
        <v>#REF!</v>
      </c>
      <c r="D1421" s="179" t="s">
        <v>3347</v>
      </c>
      <c r="E1421" s="18" t="e">
        <f>VLOOKUP(C1421,数据集标准分类!E:F,2,0)</f>
        <v>#REF!</v>
      </c>
      <c r="F1421" s="29" t="e">
        <f>VLOOKUP(D1421,数据集标准分类!G:H,2,0)</f>
        <v>#N/A</v>
      </c>
      <c r="G1421" s="146" t="s">
        <v>3332</v>
      </c>
      <c r="H1421" s="146" t="s">
        <v>3333</v>
      </c>
      <c r="I1421" s="146" t="s">
        <v>3334</v>
      </c>
      <c r="J1421" s="146" t="s">
        <v>3335</v>
      </c>
      <c r="K1421" s="151"/>
      <c r="L1421" s="184" t="s">
        <v>3365</v>
      </c>
      <c r="M1421" s="251"/>
    </row>
    <row r="1422" ht="17" spans="1:13">
      <c r="A1422" s="248" t="s">
        <v>3066</v>
      </c>
      <c r="B1422" s="183" t="s">
        <v>4317</v>
      </c>
      <c r="C1422" s="249" t="e">
        <f>VLOOKUP(D1422,#REF!,2,0)</f>
        <v>#REF!</v>
      </c>
      <c r="D1422" s="179" t="s">
        <v>3347</v>
      </c>
      <c r="E1422" s="18" t="e">
        <f>VLOOKUP(C1422,数据集标准分类!E:F,2,0)</f>
        <v>#REF!</v>
      </c>
      <c r="F1422" s="29" t="e">
        <f>VLOOKUP(D1422,数据集标准分类!G:H,2,0)</f>
        <v>#N/A</v>
      </c>
      <c r="G1422" s="146" t="s">
        <v>3192</v>
      </c>
      <c r="H1422" s="171" t="s">
        <v>3193</v>
      </c>
      <c r="I1422" s="171" t="s">
        <v>3194</v>
      </c>
      <c r="J1422" s="146" t="s">
        <v>3195</v>
      </c>
      <c r="K1422" s="151"/>
      <c r="L1422" s="184" t="s">
        <v>3370</v>
      </c>
      <c r="M1422" s="251"/>
    </row>
    <row r="1423" ht="17" spans="1:13">
      <c r="A1423" s="248" t="s">
        <v>3066</v>
      </c>
      <c r="B1423" s="183" t="s">
        <v>4317</v>
      </c>
      <c r="C1423" s="249" t="e">
        <f>VLOOKUP(D1423,#REF!,2,0)</f>
        <v>#REF!</v>
      </c>
      <c r="D1423" s="179" t="s">
        <v>3347</v>
      </c>
      <c r="E1423" s="18" t="e">
        <f>VLOOKUP(C1423,数据集标准分类!E:F,2,0)</f>
        <v>#REF!</v>
      </c>
      <c r="F1423" s="29" t="e">
        <f>VLOOKUP(D1423,数据集标准分类!G:H,2,0)</f>
        <v>#N/A</v>
      </c>
      <c r="G1423" s="146" t="s">
        <v>3196</v>
      </c>
      <c r="H1423" s="171" t="s">
        <v>3197</v>
      </c>
      <c r="I1423" s="171" t="s">
        <v>3198</v>
      </c>
      <c r="J1423" s="146" t="s">
        <v>3348</v>
      </c>
      <c r="K1423" s="151"/>
      <c r="L1423" s="184" t="s">
        <v>3371</v>
      </c>
      <c r="M1423" s="251"/>
    </row>
    <row r="1424" ht="17" spans="1:13">
      <c r="A1424" s="248" t="s">
        <v>3066</v>
      </c>
      <c r="B1424" s="183" t="s">
        <v>4317</v>
      </c>
      <c r="C1424" s="249" t="e">
        <f>VLOOKUP(D1424,#REF!,2,0)</f>
        <v>#REF!</v>
      </c>
      <c r="D1424" s="179" t="s">
        <v>3347</v>
      </c>
      <c r="E1424" s="18" t="e">
        <f>VLOOKUP(C1424,数据集标准分类!E:F,2,0)</f>
        <v>#REF!</v>
      </c>
      <c r="F1424" s="29" t="e">
        <f>VLOOKUP(D1424,数据集标准分类!G:H,2,0)</f>
        <v>#N/A</v>
      </c>
      <c r="G1424" s="146" t="s">
        <v>5556</v>
      </c>
      <c r="H1424" s="171" t="s">
        <v>5557</v>
      </c>
      <c r="I1424" s="171" t="s">
        <v>5558</v>
      </c>
      <c r="J1424" s="146" t="s">
        <v>5560</v>
      </c>
      <c r="K1424" s="151"/>
      <c r="L1424" s="184" t="s">
        <v>5555</v>
      </c>
      <c r="M1424" s="251"/>
    </row>
    <row r="1425" ht="17" spans="1:13">
      <c r="A1425" s="248" t="s">
        <v>3066</v>
      </c>
      <c r="B1425" s="183" t="s">
        <v>4317</v>
      </c>
      <c r="C1425" s="249" t="e">
        <f>VLOOKUP(D1425,#REF!,2,0)</f>
        <v>#REF!</v>
      </c>
      <c r="D1425" s="179" t="s">
        <v>3347</v>
      </c>
      <c r="E1425" s="18" t="e">
        <f>VLOOKUP(C1425,数据集标准分类!E:F,2,0)</f>
        <v>#REF!</v>
      </c>
      <c r="F1425" s="29" t="e">
        <f>VLOOKUP(D1425,数据集标准分类!G:H,2,0)</f>
        <v>#N/A</v>
      </c>
      <c r="G1425" s="146" t="s">
        <v>1774</v>
      </c>
      <c r="H1425" s="171" t="s">
        <v>1775</v>
      </c>
      <c r="I1425" s="171" t="s">
        <v>1776</v>
      </c>
      <c r="J1425" s="146" t="s">
        <v>1777</v>
      </c>
      <c r="K1425" s="151"/>
      <c r="L1425" s="184" t="s">
        <v>4488</v>
      </c>
      <c r="M1425" s="251"/>
    </row>
    <row r="1426" ht="17" spans="1:13">
      <c r="A1426" s="248" t="s">
        <v>3066</v>
      </c>
      <c r="B1426" s="183" t="s">
        <v>4317</v>
      </c>
      <c r="C1426" s="249" t="e">
        <f>VLOOKUP(D1426,#REF!,2,0)</f>
        <v>#REF!</v>
      </c>
      <c r="D1426" s="179" t="s">
        <v>3347</v>
      </c>
      <c r="E1426" s="18" t="e">
        <f>VLOOKUP(C1426,数据集标准分类!E:F,2,0)</f>
        <v>#REF!</v>
      </c>
      <c r="F1426" s="29" t="e">
        <f>VLOOKUP(D1426,数据集标准分类!G:H,2,0)</f>
        <v>#N/A</v>
      </c>
      <c r="G1426" s="146" t="s">
        <v>3328</v>
      </c>
      <c r="H1426" s="171" t="s">
        <v>3329</v>
      </c>
      <c r="I1426" s="171" t="s">
        <v>3330</v>
      </c>
      <c r="J1426" s="146" t="s">
        <v>3346</v>
      </c>
      <c r="K1426" s="151"/>
      <c r="L1426" s="184" t="s">
        <v>4492</v>
      </c>
      <c r="M1426" s="251"/>
    </row>
    <row r="1427" ht="17" spans="1:13">
      <c r="A1427" s="248" t="s">
        <v>3066</v>
      </c>
      <c r="B1427" s="183" t="s">
        <v>4317</v>
      </c>
      <c r="C1427" s="249" t="e">
        <f>VLOOKUP(D1427,#REF!,2,0)</f>
        <v>#REF!</v>
      </c>
      <c r="D1427" s="179" t="s">
        <v>3349</v>
      </c>
      <c r="E1427" s="18" t="e">
        <f>VLOOKUP(C1427,数据集标准分类!E:F,2,0)</f>
        <v>#REF!</v>
      </c>
      <c r="F1427" s="29" t="e">
        <f>VLOOKUP(D1427,数据集标准分类!G:H,2,0)</f>
        <v>#N/A</v>
      </c>
      <c r="G1427" s="146" t="s">
        <v>2895</v>
      </c>
      <c r="H1427" s="171" t="s">
        <v>2896</v>
      </c>
      <c r="I1427" s="171" t="s">
        <v>2897</v>
      </c>
      <c r="J1427" s="146" t="s">
        <v>2898</v>
      </c>
      <c r="K1427" s="151"/>
      <c r="L1427" s="184" t="s">
        <v>3351</v>
      </c>
      <c r="M1427" s="251"/>
    </row>
    <row r="1428" ht="17" spans="1:13">
      <c r="A1428" s="248" t="s">
        <v>3066</v>
      </c>
      <c r="B1428" s="183" t="s">
        <v>4317</v>
      </c>
      <c r="C1428" s="249" t="e">
        <f>VLOOKUP(D1428,#REF!,2,0)</f>
        <v>#REF!</v>
      </c>
      <c r="D1428" s="179" t="s">
        <v>3349</v>
      </c>
      <c r="E1428" s="18" t="e">
        <f>VLOOKUP(C1428,数据集标准分类!E:F,2,0)</f>
        <v>#REF!</v>
      </c>
      <c r="F1428" s="29" t="e">
        <f>VLOOKUP(D1428,数据集标准分类!G:H,2,0)</f>
        <v>#N/A</v>
      </c>
      <c r="G1428" s="146" t="s">
        <v>2889</v>
      </c>
      <c r="H1428" s="146" t="s">
        <v>2890</v>
      </c>
      <c r="I1428" s="146" t="s">
        <v>2891</v>
      </c>
      <c r="J1428" s="146" t="s">
        <v>2892</v>
      </c>
      <c r="K1428" s="151"/>
      <c r="L1428" s="184" t="s">
        <v>3352</v>
      </c>
      <c r="M1428" s="251"/>
    </row>
    <row r="1429" ht="17" spans="1:13">
      <c r="A1429" s="248" t="s">
        <v>3066</v>
      </c>
      <c r="B1429" s="183" t="s">
        <v>4317</v>
      </c>
      <c r="C1429" s="249" t="e">
        <f>VLOOKUP(D1429,#REF!,2,0)</f>
        <v>#REF!</v>
      </c>
      <c r="D1429" s="179" t="s">
        <v>3349</v>
      </c>
      <c r="E1429" s="18" t="e">
        <f>VLOOKUP(C1429,数据集标准分类!E:F,2,0)</f>
        <v>#REF!</v>
      </c>
      <c r="F1429" s="29" t="e">
        <f>VLOOKUP(D1429,数据集标准分类!G:H,2,0)</f>
        <v>#N/A</v>
      </c>
      <c r="G1429" s="146" t="s">
        <v>3196</v>
      </c>
      <c r="H1429" s="171" t="s">
        <v>3197</v>
      </c>
      <c r="I1429" s="171" t="s">
        <v>3198</v>
      </c>
      <c r="J1429" s="146" t="s">
        <v>2740</v>
      </c>
      <c r="K1429" s="151"/>
      <c r="L1429" s="184" t="s">
        <v>3353</v>
      </c>
      <c r="M1429" s="251"/>
    </row>
    <row r="1430" ht="17" spans="1:13">
      <c r="A1430" s="248" t="s">
        <v>3066</v>
      </c>
      <c r="B1430" s="183" t="s">
        <v>4317</v>
      </c>
      <c r="C1430" s="249" t="e">
        <f>VLOOKUP(D1430,#REF!,2,0)</f>
        <v>#REF!</v>
      </c>
      <c r="D1430" s="179" t="s">
        <v>3349</v>
      </c>
      <c r="E1430" s="18" t="e">
        <f>VLOOKUP(C1430,数据集标准分类!E:F,2,0)</f>
        <v>#REF!</v>
      </c>
      <c r="F1430" s="29" t="e">
        <f>VLOOKUP(D1430,数据集标准分类!G:H,2,0)</f>
        <v>#N/A</v>
      </c>
      <c r="G1430" s="171" t="s">
        <v>3199</v>
      </c>
      <c r="H1430" s="171" t="s">
        <v>3200</v>
      </c>
      <c r="I1430" s="171" t="s">
        <v>3201</v>
      </c>
      <c r="J1430" s="146" t="s">
        <v>3202</v>
      </c>
      <c r="K1430" s="151"/>
      <c r="L1430" s="184" t="s">
        <v>3365</v>
      </c>
      <c r="M1430" s="251"/>
    </row>
    <row r="1431" ht="17" spans="1:13">
      <c r="A1431" s="248" t="s">
        <v>3066</v>
      </c>
      <c r="B1431" s="183" t="s">
        <v>4317</v>
      </c>
      <c r="C1431" s="249" t="e">
        <f>VLOOKUP(D1431,#REF!,2,0)</f>
        <v>#REF!</v>
      </c>
      <c r="D1431" s="179" t="s">
        <v>3349</v>
      </c>
      <c r="E1431" s="18" t="e">
        <f>VLOOKUP(C1431,数据集标准分类!E:F,2,0)</f>
        <v>#REF!</v>
      </c>
      <c r="F1431" s="29" t="e">
        <f>VLOOKUP(D1431,数据集标准分类!G:H,2,0)</f>
        <v>#N/A</v>
      </c>
      <c r="G1431" s="146" t="s">
        <v>1774</v>
      </c>
      <c r="H1431" s="171" t="s">
        <v>1775</v>
      </c>
      <c r="I1431" s="171" t="s">
        <v>1776</v>
      </c>
      <c r="J1431" s="146" t="s">
        <v>1777</v>
      </c>
      <c r="K1431" s="151"/>
      <c r="L1431" s="184" t="s">
        <v>3370</v>
      </c>
      <c r="M1431" s="251"/>
    </row>
    <row r="1432" ht="17" spans="1:13">
      <c r="A1432" s="248" t="s">
        <v>3066</v>
      </c>
      <c r="B1432" s="183" t="s">
        <v>4317</v>
      </c>
      <c r="C1432" s="249" t="e">
        <f>VLOOKUP(D1432,#REF!,2,0)</f>
        <v>#REF!</v>
      </c>
      <c r="D1432" s="179" t="s">
        <v>3349</v>
      </c>
      <c r="E1432" s="18" t="e">
        <f>VLOOKUP(C1432,数据集标准分类!E:F,2,0)</f>
        <v>#REF!</v>
      </c>
      <c r="F1432" s="29" t="e">
        <f>VLOOKUP(D1432,数据集标准分类!G:H,2,0)</f>
        <v>#N/A</v>
      </c>
      <c r="G1432" s="146" t="s">
        <v>5556</v>
      </c>
      <c r="H1432" s="171" t="s">
        <v>5557</v>
      </c>
      <c r="I1432" s="171" t="s">
        <v>5558</v>
      </c>
      <c r="J1432" s="146" t="s">
        <v>5559</v>
      </c>
      <c r="K1432" s="151"/>
      <c r="L1432" s="184" t="s">
        <v>3371</v>
      </c>
      <c r="M1432" s="251"/>
    </row>
    <row r="1433" ht="17" spans="1:13">
      <c r="A1433" s="248" t="s">
        <v>3066</v>
      </c>
      <c r="B1433" s="183" t="s">
        <v>4317</v>
      </c>
      <c r="C1433" s="249" t="e">
        <f>VLOOKUP(D1433,#REF!,2,0)</f>
        <v>#REF!</v>
      </c>
      <c r="D1433" s="179" t="s">
        <v>3349</v>
      </c>
      <c r="E1433" s="18" t="e">
        <f>VLOOKUP(C1433,数据集标准分类!E:F,2,0)</f>
        <v>#REF!</v>
      </c>
      <c r="F1433" s="29" t="e">
        <f>VLOOKUP(D1433,数据集标准分类!G:H,2,0)</f>
        <v>#N/A</v>
      </c>
      <c r="G1433" s="146" t="s">
        <v>3192</v>
      </c>
      <c r="H1433" s="171" t="s">
        <v>3193</v>
      </c>
      <c r="I1433" s="171" t="s">
        <v>3194</v>
      </c>
      <c r="J1433" s="146" t="s">
        <v>3195</v>
      </c>
      <c r="K1433" s="151"/>
      <c r="L1433" s="184" t="s">
        <v>5555</v>
      </c>
      <c r="M1433" s="251"/>
    </row>
    <row r="1434" ht="17" spans="1:13">
      <c r="A1434" s="248" t="s">
        <v>3066</v>
      </c>
      <c r="B1434" s="183" t="s">
        <v>4317</v>
      </c>
      <c r="C1434" s="249" t="e">
        <f>VLOOKUP(D1434,#REF!,2,0)</f>
        <v>#REF!</v>
      </c>
      <c r="D1434" s="179" t="s">
        <v>3354</v>
      </c>
      <c r="E1434" s="18" t="e">
        <f>VLOOKUP(C1434,数据集标准分类!E:F,2,0)</f>
        <v>#REF!</v>
      </c>
      <c r="F1434" s="29" t="e">
        <f>VLOOKUP(D1434,数据集标准分类!G:H,2,0)</f>
        <v>#N/A</v>
      </c>
      <c r="G1434" s="146" t="s">
        <v>5565</v>
      </c>
      <c r="H1434" s="146" t="s">
        <v>5566</v>
      </c>
      <c r="I1434" s="146" t="s">
        <v>5567</v>
      </c>
      <c r="J1434" s="146" t="s">
        <v>5568</v>
      </c>
      <c r="K1434" s="151"/>
      <c r="L1434" s="184" t="s">
        <v>3351</v>
      </c>
      <c r="M1434" s="251"/>
    </row>
    <row r="1435" ht="17" spans="1:13">
      <c r="A1435" s="248" t="s">
        <v>3066</v>
      </c>
      <c r="B1435" s="183" t="s">
        <v>4317</v>
      </c>
      <c r="C1435" s="249" t="e">
        <f>VLOOKUP(D1435,#REF!,2,0)</f>
        <v>#REF!</v>
      </c>
      <c r="D1435" s="179" t="s">
        <v>3354</v>
      </c>
      <c r="E1435" s="18" t="e">
        <f>VLOOKUP(C1435,数据集标准分类!E:F,2,0)</f>
        <v>#REF!</v>
      </c>
      <c r="F1435" s="29" t="e">
        <f>VLOOKUP(D1435,数据集标准分类!G:H,2,0)</f>
        <v>#N/A</v>
      </c>
      <c r="G1435" s="146" t="s">
        <v>5561</v>
      </c>
      <c r="H1435" s="171" t="s">
        <v>5562</v>
      </c>
      <c r="I1435" s="171" t="s">
        <v>5563</v>
      </c>
      <c r="J1435" s="146" t="s">
        <v>5564</v>
      </c>
      <c r="K1435" s="151"/>
      <c r="L1435" s="184" t="s">
        <v>3352</v>
      </c>
      <c r="M1435" s="251"/>
    </row>
    <row r="1436" ht="17" spans="1:13">
      <c r="A1436" s="248" t="s">
        <v>3066</v>
      </c>
      <c r="B1436" s="183" t="s">
        <v>4317</v>
      </c>
      <c r="C1436" s="249" t="e">
        <f>VLOOKUP(D1436,#REF!,2,0)</f>
        <v>#REF!</v>
      </c>
      <c r="D1436" s="179" t="s">
        <v>3354</v>
      </c>
      <c r="E1436" s="18" t="e">
        <f>VLOOKUP(C1436,数据集标准分类!E:F,2,0)</f>
        <v>#REF!</v>
      </c>
      <c r="F1436" s="29" t="e">
        <f>VLOOKUP(D1436,数据集标准分类!G:H,2,0)</f>
        <v>#N/A</v>
      </c>
      <c r="G1436" s="146" t="s">
        <v>3641</v>
      </c>
      <c r="H1436" s="146" t="s">
        <v>3642</v>
      </c>
      <c r="I1436" s="146" t="s">
        <v>3643</v>
      </c>
      <c r="J1436" s="146" t="s">
        <v>3644</v>
      </c>
      <c r="K1436" s="151"/>
      <c r="L1436" s="184" t="s">
        <v>3353</v>
      </c>
      <c r="M1436" s="251"/>
    </row>
    <row r="1437" ht="17" spans="1:13">
      <c r="A1437" s="248" t="s">
        <v>3066</v>
      </c>
      <c r="B1437" s="183" t="s">
        <v>4317</v>
      </c>
      <c r="C1437" s="249" t="e">
        <f>VLOOKUP(D1437,#REF!,2,0)</f>
        <v>#REF!</v>
      </c>
      <c r="D1437" s="179" t="s">
        <v>3354</v>
      </c>
      <c r="E1437" s="18" t="e">
        <f>VLOOKUP(C1437,数据集标准分类!E:F,2,0)</f>
        <v>#REF!</v>
      </c>
      <c r="F1437" s="29" t="e">
        <f>VLOOKUP(D1437,数据集标准分类!G:H,2,0)</f>
        <v>#N/A</v>
      </c>
      <c r="G1437" s="146" t="s">
        <v>2889</v>
      </c>
      <c r="H1437" s="146" t="s">
        <v>2890</v>
      </c>
      <c r="I1437" s="146" t="s">
        <v>2891</v>
      </c>
      <c r="J1437" s="146" t="s">
        <v>2892</v>
      </c>
      <c r="K1437" s="151"/>
      <c r="L1437" s="184" t="s">
        <v>3365</v>
      </c>
      <c r="M1437" s="251"/>
    </row>
    <row r="1438" ht="17" spans="1:13">
      <c r="A1438" s="248" t="s">
        <v>3066</v>
      </c>
      <c r="B1438" s="183" t="s">
        <v>4317</v>
      </c>
      <c r="C1438" s="249" t="e">
        <f>VLOOKUP(D1438,#REF!,2,0)</f>
        <v>#REF!</v>
      </c>
      <c r="D1438" s="179" t="s">
        <v>3354</v>
      </c>
      <c r="E1438" s="18" t="e">
        <f>VLOOKUP(C1438,数据集标准分类!E:F,2,0)</f>
        <v>#REF!</v>
      </c>
      <c r="F1438" s="29" t="e">
        <f>VLOOKUP(D1438,数据集标准分类!G:H,2,0)</f>
        <v>#N/A</v>
      </c>
      <c r="G1438" s="146" t="s">
        <v>2935</v>
      </c>
      <c r="H1438" s="171" t="s">
        <v>2936</v>
      </c>
      <c r="I1438" s="171" t="s">
        <v>2937</v>
      </c>
      <c r="J1438" s="146" t="s">
        <v>5571</v>
      </c>
      <c r="K1438" s="151"/>
      <c r="L1438" s="184" t="s">
        <v>3370</v>
      </c>
      <c r="M1438" s="251"/>
    </row>
    <row r="1439" ht="17" spans="1:13">
      <c r="A1439" s="248" t="s">
        <v>3066</v>
      </c>
      <c r="B1439" s="183" t="s">
        <v>4317</v>
      </c>
      <c r="C1439" s="249" t="e">
        <f>VLOOKUP(D1439,#REF!,2,0)</f>
        <v>#REF!</v>
      </c>
      <c r="D1439" s="179" t="s">
        <v>3354</v>
      </c>
      <c r="E1439" s="18" t="e">
        <f>VLOOKUP(C1439,数据集标准分类!E:F,2,0)</f>
        <v>#REF!</v>
      </c>
      <c r="F1439" s="29" t="e">
        <f>VLOOKUP(D1439,数据集标准分类!G:H,2,0)</f>
        <v>#N/A</v>
      </c>
      <c r="G1439" s="146" t="s">
        <v>3236</v>
      </c>
      <c r="H1439" s="171" t="s">
        <v>3237</v>
      </c>
      <c r="I1439" s="171" t="s">
        <v>3238</v>
      </c>
      <c r="J1439" s="146" t="s">
        <v>3239</v>
      </c>
      <c r="K1439" s="151"/>
      <c r="L1439" s="184" t="s">
        <v>3371</v>
      </c>
      <c r="M1439" s="251"/>
    </row>
    <row r="1440" ht="17" spans="1:13">
      <c r="A1440" s="248" t="s">
        <v>3066</v>
      </c>
      <c r="B1440" s="183" t="s">
        <v>4317</v>
      </c>
      <c r="C1440" s="249" t="e">
        <f>VLOOKUP(D1440,#REF!,2,0)</f>
        <v>#REF!</v>
      </c>
      <c r="D1440" s="179" t="s">
        <v>3354</v>
      </c>
      <c r="E1440" s="18" t="e">
        <f>VLOOKUP(C1440,数据集标准分类!E:F,2,0)</f>
        <v>#REF!</v>
      </c>
      <c r="F1440" s="29" t="e">
        <f>VLOOKUP(D1440,数据集标准分类!G:H,2,0)</f>
        <v>#N/A</v>
      </c>
      <c r="G1440" s="146" t="s">
        <v>3196</v>
      </c>
      <c r="H1440" s="171" t="s">
        <v>3197</v>
      </c>
      <c r="I1440" s="171" t="s">
        <v>3198</v>
      </c>
      <c r="J1440" s="146" t="s">
        <v>2740</v>
      </c>
      <c r="K1440" s="151"/>
      <c r="L1440" s="184" t="s">
        <v>5555</v>
      </c>
      <c r="M1440" s="251"/>
    </row>
    <row r="1441" ht="17" spans="1:13">
      <c r="A1441" s="248" t="s">
        <v>3066</v>
      </c>
      <c r="B1441" s="183" t="s">
        <v>4317</v>
      </c>
      <c r="C1441" s="249" t="e">
        <f>VLOOKUP(D1441,#REF!,2,0)</f>
        <v>#REF!</v>
      </c>
      <c r="D1441" s="179" t="s">
        <v>3354</v>
      </c>
      <c r="E1441" s="18" t="e">
        <f>VLOOKUP(C1441,数据集标准分类!E:F,2,0)</f>
        <v>#REF!</v>
      </c>
      <c r="F1441" s="29" t="e">
        <f>VLOOKUP(D1441,数据集标准分类!G:H,2,0)</f>
        <v>#N/A</v>
      </c>
      <c r="G1441" s="146" t="s">
        <v>3199</v>
      </c>
      <c r="H1441" s="171" t="s">
        <v>3200</v>
      </c>
      <c r="I1441" s="171" t="s">
        <v>3201</v>
      </c>
      <c r="J1441" s="146" t="s">
        <v>3202</v>
      </c>
      <c r="K1441" s="151"/>
      <c r="L1441" s="184" t="s">
        <v>4488</v>
      </c>
      <c r="M1441" s="251"/>
    </row>
    <row r="1442" ht="17" spans="1:13">
      <c r="A1442" s="248" t="s">
        <v>3066</v>
      </c>
      <c r="B1442" s="183" t="s">
        <v>4317</v>
      </c>
      <c r="C1442" s="249" t="e">
        <f>VLOOKUP(D1442,#REF!,2,0)</f>
        <v>#REF!</v>
      </c>
      <c r="D1442" s="179" t="s">
        <v>3354</v>
      </c>
      <c r="E1442" s="18" t="e">
        <f>VLOOKUP(C1442,数据集标准分类!E:F,2,0)</f>
        <v>#REF!</v>
      </c>
      <c r="F1442" s="29" t="e">
        <f>VLOOKUP(D1442,数据集标准分类!G:H,2,0)</f>
        <v>#N/A</v>
      </c>
      <c r="G1442" s="146" t="s">
        <v>3244</v>
      </c>
      <c r="H1442" s="171" t="s">
        <v>3245</v>
      </c>
      <c r="I1442" s="171" t="s">
        <v>3246</v>
      </c>
      <c r="J1442" s="146" t="s">
        <v>3247</v>
      </c>
      <c r="K1442" s="151"/>
      <c r="L1442" s="184" t="s">
        <v>4492</v>
      </c>
      <c r="M1442" s="251"/>
    </row>
    <row r="1443" ht="17" spans="1:13">
      <c r="A1443" s="248" t="s">
        <v>3066</v>
      </c>
      <c r="B1443" s="183" t="s">
        <v>4317</v>
      </c>
      <c r="C1443" s="249" t="e">
        <f>VLOOKUP(D1443,#REF!,2,0)</f>
        <v>#REF!</v>
      </c>
      <c r="D1443" s="179" t="s">
        <v>3354</v>
      </c>
      <c r="E1443" s="18" t="e">
        <f>VLOOKUP(C1443,数据集标准分类!E:F,2,0)</f>
        <v>#REF!</v>
      </c>
      <c r="F1443" s="29" t="e">
        <f>VLOOKUP(D1443,数据集标准分类!G:H,2,0)</f>
        <v>#N/A</v>
      </c>
      <c r="G1443" s="146" t="s">
        <v>3192</v>
      </c>
      <c r="H1443" s="171" t="s">
        <v>3193</v>
      </c>
      <c r="I1443" s="171" t="s">
        <v>3194</v>
      </c>
      <c r="J1443" s="146" t="s">
        <v>3195</v>
      </c>
      <c r="K1443" s="151"/>
      <c r="L1443" s="184" t="s">
        <v>4495</v>
      </c>
      <c r="M1443" s="251"/>
    </row>
    <row r="1444" ht="17" spans="1:13">
      <c r="A1444" s="248" t="s">
        <v>3066</v>
      </c>
      <c r="B1444" s="183" t="s">
        <v>4317</v>
      </c>
      <c r="C1444" s="249" t="e">
        <f>VLOOKUP(D1444,#REF!,2,0)</f>
        <v>#REF!</v>
      </c>
      <c r="D1444" s="179" t="s">
        <v>3354</v>
      </c>
      <c r="E1444" s="18" t="e">
        <f>VLOOKUP(C1444,数据集标准分类!E:F,2,0)</f>
        <v>#REF!</v>
      </c>
      <c r="F1444" s="29" t="e">
        <f>VLOOKUP(D1444,数据集标准分类!G:H,2,0)</f>
        <v>#N/A</v>
      </c>
      <c r="G1444" s="146" t="s">
        <v>1774</v>
      </c>
      <c r="H1444" s="171" t="s">
        <v>1775</v>
      </c>
      <c r="I1444" s="171" t="s">
        <v>1776</v>
      </c>
      <c r="J1444" s="146" t="s">
        <v>1777</v>
      </c>
      <c r="K1444" s="151"/>
      <c r="L1444" s="243">
        <v>11</v>
      </c>
      <c r="M1444" s="251"/>
    </row>
    <row r="1445" ht="17" spans="1:13">
      <c r="A1445" s="248" t="s">
        <v>3066</v>
      </c>
      <c r="B1445" s="183" t="s">
        <v>4317</v>
      </c>
      <c r="C1445" s="249" t="e">
        <f>VLOOKUP(D1445,#REF!,2,0)</f>
        <v>#REF!</v>
      </c>
      <c r="D1445" s="179" t="s">
        <v>3354</v>
      </c>
      <c r="E1445" s="18" t="e">
        <f>VLOOKUP(C1445,数据集标准分类!E:F,2,0)</f>
        <v>#REF!</v>
      </c>
      <c r="F1445" s="29" t="e">
        <f>VLOOKUP(D1445,数据集标准分类!G:H,2,0)</f>
        <v>#N/A</v>
      </c>
      <c r="G1445" s="146" t="s">
        <v>5556</v>
      </c>
      <c r="H1445" s="171" t="s">
        <v>5557</v>
      </c>
      <c r="I1445" s="171" t="s">
        <v>5558</v>
      </c>
      <c r="J1445" s="146" t="s">
        <v>5559</v>
      </c>
      <c r="K1445" s="151"/>
      <c r="L1445" s="184" t="s">
        <v>4502</v>
      </c>
      <c r="M1445" s="251"/>
    </row>
    <row r="1446" ht="17" spans="1:13">
      <c r="A1446" s="248" t="s">
        <v>3066</v>
      </c>
      <c r="B1446" s="183" t="s">
        <v>4317</v>
      </c>
      <c r="C1446" s="249" t="e">
        <f>VLOOKUP(D1446,#REF!,2,0)</f>
        <v>#REF!</v>
      </c>
      <c r="D1446" s="179" t="s">
        <v>3354</v>
      </c>
      <c r="E1446" s="18" t="e">
        <f>VLOOKUP(C1446,数据集标准分类!E:F,2,0)</f>
        <v>#REF!</v>
      </c>
      <c r="F1446" s="29" t="e">
        <f>VLOOKUP(D1446,数据集标准分类!G:H,2,0)</f>
        <v>#N/A</v>
      </c>
      <c r="G1446" s="146" t="s">
        <v>3240</v>
      </c>
      <c r="H1446" s="146" t="s">
        <v>3241</v>
      </c>
      <c r="I1446" s="146" t="s">
        <v>3242</v>
      </c>
      <c r="J1446" s="146" t="s">
        <v>3243</v>
      </c>
      <c r="K1446" s="151"/>
      <c r="L1446" s="184" t="s">
        <v>4506</v>
      </c>
      <c r="M1446" s="251"/>
    </row>
    <row r="1447" ht="16.8" spans="1:13">
      <c r="A1447" s="248" t="s">
        <v>3066</v>
      </c>
      <c r="B1447" s="183" t="s">
        <v>4317</v>
      </c>
      <c r="C1447" s="249" t="e">
        <f>VLOOKUP(D1447,#REF!,2,0)</f>
        <v>#REF!</v>
      </c>
      <c r="D1447" s="266" t="s">
        <v>3372</v>
      </c>
      <c r="E1447" s="18" t="e">
        <f>VLOOKUP(C1447,数据集标准分类!E:F,2,0)</f>
        <v>#REF!</v>
      </c>
      <c r="F1447" s="29" t="e">
        <f>VLOOKUP(D1447,数据集标准分类!G:H,2,0)</f>
        <v>#N/A</v>
      </c>
      <c r="G1447" s="29" t="s">
        <v>3192</v>
      </c>
      <c r="H1447" s="29" t="s">
        <v>3193</v>
      </c>
      <c r="I1447" s="29" t="s">
        <v>3194</v>
      </c>
      <c r="J1447" s="29" t="s">
        <v>3195</v>
      </c>
      <c r="K1447" s="29"/>
      <c r="L1447" s="250">
        <v>1</v>
      </c>
      <c r="M1447" s="251"/>
    </row>
    <row r="1448" ht="16.8" spans="1:13">
      <c r="A1448" s="248" t="s">
        <v>3066</v>
      </c>
      <c r="B1448" s="183" t="s">
        <v>4317</v>
      </c>
      <c r="C1448" s="249" t="e">
        <f>VLOOKUP(D1448,#REF!,2,0)</f>
        <v>#REF!</v>
      </c>
      <c r="D1448" s="266" t="s">
        <v>3372</v>
      </c>
      <c r="E1448" s="18" t="e">
        <f>VLOOKUP(C1448,数据集标准分类!E:F,2,0)</f>
        <v>#REF!</v>
      </c>
      <c r="F1448" s="29" t="e">
        <f>VLOOKUP(D1448,数据集标准分类!G:H,2,0)</f>
        <v>#N/A</v>
      </c>
      <c r="G1448" s="29" t="s">
        <v>3361</v>
      </c>
      <c r="H1448" s="29" t="s">
        <v>3362</v>
      </c>
      <c r="I1448" s="29" t="s">
        <v>3363</v>
      </c>
      <c r="J1448" s="29" t="s">
        <v>3364</v>
      </c>
      <c r="K1448" s="29"/>
      <c r="L1448" s="250">
        <v>2</v>
      </c>
      <c r="M1448" s="251"/>
    </row>
    <row r="1449" ht="16.8" spans="1:13">
      <c r="A1449" s="248" t="s">
        <v>3066</v>
      </c>
      <c r="B1449" s="183" t="s">
        <v>4317</v>
      </c>
      <c r="C1449" s="249" t="e">
        <f>VLOOKUP(D1449,#REF!,2,0)</f>
        <v>#REF!</v>
      </c>
      <c r="D1449" s="266" t="s">
        <v>3372</v>
      </c>
      <c r="E1449" s="18" t="e">
        <f>VLOOKUP(C1449,数据集标准分类!E:F,2,0)</f>
        <v>#REF!</v>
      </c>
      <c r="F1449" s="29" t="e">
        <f>VLOOKUP(D1449,数据集标准分类!G:H,2,0)</f>
        <v>#N/A</v>
      </c>
      <c r="G1449" s="29" t="s">
        <v>1496</v>
      </c>
      <c r="H1449" s="29" t="s">
        <v>1497</v>
      </c>
      <c r="I1449" s="29" t="s">
        <v>1498</v>
      </c>
      <c r="J1449" s="29" t="s">
        <v>1499</v>
      </c>
      <c r="K1449" s="29"/>
      <c r="L1449" s="250">
        <v>3</v>
      </c>
      <c r="M1449" s="251"/>
    </row>
    <row r="1450" customHeight="1" spans="1:13">
      <c r="A1450" s="248" t="s">
        <v>3066</v>
      </c>
      <c r="B1450" s="183" t="s">
        <v>4317</v>
      </c>
      <c r="C1450" s="249" t="e">
        <f>VLOOKUP(D1450,#REF!,2,0)</f>
        <v>#REF!</v>
      </c>
      <c r="D1450" s="266" t="s">
        <v>3372</v>
      </c>
      <c r="E1450" s="18" t="e">
        <f>VLOOKUP(C1450,数据集标准分类!E:F,2,0)</f>
        <v>#REF!</v>
      </c>
      <c r="F1450" s="29" t="e">
        <f>VLOOKUP(D1450,数据集标准分类!G:H,2,0)</f>
        <v>#N/A</v>
      </c>
      <c r="G1450" s="29" t="s">
        <v>3199</v>
      </c>
      <c r="H1450" s="29" t="s">
        <v>3200</v>
      </c>
      <c r="I1450" s="29" t="s">
        <v>3201</v>
      </c>
      <c r="J1450" s="29" t="s">
        <v>3202</v>
      </c>
      <c r="K1450" s="29"/>
      <c r="L1450" s="250">
        <v>4</v>
      </c>
      <c r="M1450" s="251"/>
    </row>
    <row r="1451" ht="16.8" spans="1:13">
      <c r="A1451" s="248" t="s">
        <v>3066</v>
      </c>
      <c r="B1451" s="183" t="s">
        <v>4317</v>
      </c>
      <c r="C1451" s="249" t="e">
        <f>VLOOKUP(D1451,#REF!,2,0)</f>
        <v>#REF!</v>
      </c>
      <c r="D1451" s="266" t="s">
        <v>3372</v>
      </c>
      <c r="E1451" s="18" t="e">
        <f>VLOOKUP(C1451,数据集标准分类!E:F,2,0)</f>
        <v>#REF!</v>
      </c>
      <c r="F1451" s="29" t="e">
        <f>VLOOKUP(D1451,数据集标准分类!G:H,2,0)</f>
        <v>#N/A</v>
      </c>
      <c r="G1451" s="29" t="s">
        <v>3366</v>
      </c>
      <c r="H1451" s="29" t="s">
        <v>3367</v>
      </c>
      <c r="I1451" s="29" t="s">
        <v>3368</v>
      </c>
      <c r="J1451" s="29" t="s">
        <v>3369</v>
      </c>
      <c r="K1451" s="29"/>
      <c r="L1451" s="250">
        <v>5</v>
      </c>
      <c r="M1451" s="251"/>
    </row>
    <row r="1452" ht="16.8" spans="1:13">
      <c r="A1452" s="248" t="s">
        <v>3066</v>
      </c>
      <c r="B1452" s="183" t="s">
        <v>4317</v>
      </c>
      <c r="C1452" s="249" t="e">
        <f>VLOOKUP(D1452,#REF!,2,0)</f>
        <v>#REF!</v>
      </c>
      <c r="D1452" s="266" t="s">
        <v>3372</v>
      </c>
      <c r="E1452" s="18" t="e">
        <f>VLOOKUP(C1452,数据集标准分类!E:F,2,0)</f>
        <v>#REF!</v>
      </c>
      <c r="F1452" s="29" t="e">
        <f>VLOOKUP(D1452,数据集标准分类!G:H,2,0)</f>
        <v>#N/A</v>
      </c>
      <c r="G1452" s="29" t="s">
        <v>3336</v>
      </c>
      <c r="H1452" s="29" t="s">
        <v>3337</v>
      </c>
      <c r="I1452" s="29" t="s">
        <v>3338</v>
      </c>
      <c r="J1452" s="29" t="s">
        <v>3339</v>
      </c>
      <c r="K1452" s="29"/>
      <c r="L1452" s="250">
        <v>6</v>
      </c>
      <c r="M1452" s="251"/>
    </row>
    <row r="1453" ht="16.8" spans="1:13">
      <c r="A1453" s="248" t="s">
        <v>3066</v>
      </c>
      <c r="B1453" s="183" t="s">
        <v>4317</v>
      </c>
      <c r="C1453" s="249" t="e">
        <f>VLOOKUP(D1453,#REF!,2,0)</f>
        <v>#REF!</v>
      </c>
      <c r="D1453" s="266" t="s">
        <v>3373</v>
      </c>
      <c r="E1453" s="18" t="e">
        <f>VLOOKUP(C1453,数据集标准分类!E:F,2,0)</f>
        <v>#REF!</v>
      </c>
      <c r="F1453" s="29" t="e">
        <f>VLOOKUP(D1453,数据集标准分类!G:H,2,0)</f>
        <v>#N/A</v>
      </c>
      <c r="G1453" s="29" t="s">
        <v>3192</v>
      </c>
      <c r="H1453" s="29" t="s">
        <v>3193</v>
      </c>
      <c r="I1453" s="29" t="s">
        <v>3194</v>
      </c>
      <c r="J1453" s="29" t="s">
        <v>3195</v>
      </c>
      <c r="K1453" s="29"/>
      <c r="L1453" s="250">
        <v>1</v>
      </c>
      <c r="M1453" s="251"/>
    </row>
    <row r="1454" ht="16.8" spans="1:13">
      <c r="A1454" s="248" t="s">
        <v>3066</v>
      </c>
      <c r="B1454" s="183" t="s">
        <v>4317</v>
      </c>
      <c r="C1454" s="249" t="e">
        <f>VLOOKUP(D1454,#REF!,2,0)</f>
        <v>#REF!</v>
      </c>
      <c r="D1454" s="266" t="s">
        <v>3373</v>
      </c>
      <c r="E1454" s="18" t="e">
        <f>VLOOKUP(C1454,数据集标准分类!E:F,2,0)</f>
        <v>#REF!</v>
      </c>
      <c r="F1454" s="29" t="e">
        <f>VLOOKUP(D1454,数据集标准分类!G:H,2,0)</f>
        <v>#N/A</v>
      </c>
      <c r="G1454" s="29" t="s">
        <v>32</v>
      </c>
      <c r="H1454" s="29" t="s">
        <v>33</v>
      </c>
      <c r="I1454" s="29" t="s">
        <v>33</v>
      </c>
      <c r="J1454" s="29" t="s">
        <v>34</v>
      </c>
      <c r="K1454" s="29"/>
      <c r="L1454" s="250">
        <v>2</v>
      </c>
      <c r="M1454" s="251"/>
    </row>
    <row r="1455" ht="16.8" spans="1:13">
      <c r="A1455" s="248" t="s">
        <v>3066</v>
      </c>
      <c r="B1455" s="183" t="s">
        <v>4317</v>
      </c>
      <c r="C1455" s="249" t="e">
        <f>VLOOKUP(D1455,#REF!,2,0)</f>
        <v>#REF!</v>
      </c>
      <c r="D1455" s="266" t="s">
        <v>3373</v>
      </c>
      <c r="E1455" s="18" t="e">
        <f>VLOOKUP(C1455,数据集标准分类!E:F,2,0)</f>
        <v>#REF!</v>
      </c>
      <c r="F1455" s="29" t="e">
        <f>VLOOKUP(D1455,数据集标准分类!G:H,2,0)</f>
        <v>#N/A</v>
      </c>
      <c r="G1455" s="29" t="s">
        <v>3374</v>
      </c>
      <c r="H1455" s="29" t="s">
        <v>3375</v>
      </c>
      <c r="I1455" s="29" t="s">
        <v>3375</v>
      </c>
      <c r="J1455" s="29" t="s">
        <v>3377</v>
      </c>
      <c r="K1455" s="29"/>
      <c r="L1455" s="250">
        <v>3</v>
      </c>
      <c r="M1455" s="251"/>
    </row>
    <row r="1456" ht="16.8" spans="1:13">
      <c r="A1456" s="248" t="s">
        <v>3066</v>
      </c>
      <c r="B1456" s="183" t="s">
        <v>4317</v>
      </c>
      <c r="C1456" s="249" t="e">
        <f>VLOOKUP(D1456,#REF!,2,0)</f>
        <v>#REF!</v>
      </c>
      <c r="D1456" s="266" t="s">
        <v>3373</v>
      </c>
      <c r="E1456" s="18" t="e">
        <f>VLOOKUP(C1456,数据集标准分类!E:F,2,0)</f>
        <v>#REF!</v>
      </c>
      <c r="F1456" s="29" t="e">
        <f>VLOOKUP(D1456,数据集标准分类!G:H,2,0)</f>
        <v>#N/A</v>
      </c>
      <c r="G1456" s="29" t="s">
        <v>3378</v>
      </c>
      <c r="H1456" s="29" t="s">
        <v>3379</v>
      </c>
      <c r="I1456" s="29" t="s">
        <v>3379</v>
      </c>
      <c r="J1456" s="29" t="s">
        <v>3381</v>
      </c>
      <c r="K1456" s="29"/>
      <c r="L1456" s="250">
        <v>4</v>
      </c>
      <c r="M1456" s="251"/>
    </row>
    <row r="1457" ht="31" spans="1:13">
      <c r="A1457" s="248" t="s">
        <v>3066</v>
      </c>
      <c r="B1457" s="183" t="s">
        <v>4317</v>
      </c>
      <c r="C1457" s="249" t="e">
        <f>VLOOKUP(D1457,#REF!,2,0)</f>
        <v>#REF!</v>
      </c>
      <c r="D1457" s="266" t="s">
        <v>3373</v>
      </c>
      <c r="E1457" s="18" t="e">
        <f>VLOOKUP(C1457,数据集标准分类!E:F,2,0)</f>
        <v>#REF!</v>
      </c>
      <c r="F1457" s="29" t="e">
        <f>VLOOKUP(D1457,数据集标准分类!G:H,2,0)</f>
        <v>#N/A</v>
      </c>
      <c r="G1457" s="29" t="s">
        <v>3382</v>
      </c>
      <c r="H1457" s="29" t="s">
        <v>3383</v>
      </c>
      <c r="I1457" s="29" t="s">
        <v>3383</v>
      </c>
      <c r="J1457" s="29" t="s">
        <v>3385</v>
      </c>
      <c r="K1457" s="29"/>
      <c r="L1457" s="250">
        <v>5</v>
      </c>
      <c r="M1457" s="251"/>
    </row>
    <row r="1458" ht="16.8" spans="1:13">
      <c r="A1458" s="248" t="s">
        <v>3066</v>
      </c>
      <c r="B1458" s="183" t="s">
        <v>4317</v>
      </c>
      <c r="C1458" s="249" t="e">
        <f>VLOOKUP(D1458,#REF!,2,0)</f>
        <v>#REF!</v>
      </c>
      <c r="D1458" s="266" t="s">
        <v>3373</v>
      </c>
      <c r="E1458" s="18" t="e">
        <f>VLOOKUP(C1458,数据集标准分类!E:F,2,0)</f>
        <v>#REF!</v>
      </c>
      <c r="F1458" s="29" t="e">
        <f>VLOOKUP(D1458,数据集标准分类!G:H,2,0)</f>
        <v>#N/A</v>
      </c>
      <c r="G1458" s="29" t="s">
        <v>1496</v>
      </c>
      <c r="H1458" s="29" t="s">
        <v>1497</v>
      </c>
      <c r="I1458" s="29" t="s">
        <v>1497</v>
      </c>
      <c r="J1458" s="29" t="s">
        <v>1499</v>
      </c>
      <c r="K1458" s="29"/>
      <c r="L1458" s="250">
        <v>6</v>
      </c>
      <c r="M1458" s="45"/>
    </row>
    <row r="1459" ht="16.8" spans="1:13">
      <c r="A1459" s="248" t="s">
        <v>3066</v>
      </c>
      <c r="B1459" s="183" t="s">
        <v>4317</v>
      </c>
      <c r="C1459" s="249" t="e">
        <f>VLOOKUP(D1459,#REF!,2,0)</f>
        <v>#REF!</v>
      </c>
      <c r="D1459" s="266" t="s">
        <v>3386</v>
      </c>
      <c r="E1459" s="18" t="e">
        <f>VLOOKUP(C1459,数据集标准分类!E:F,2,0)</f>
        <v>#REF!</v>
      </c>
      <c r="F1459" s="29" t="e">
        <f>VLOOKUP(D1459,数据集标准分类!G:H,2,0)</f>
        <v>#N/A</v>
      </c>
      <c r="G1459" s="29" t="s">
        <v>3192</v>
      </c>
      <c r="H1459" s="29" t="s">
        <v>3193</v>
      </c>
      <c r="I1459" s="29" t="s">
        <v>3194</v>
      </c>
      <c r="J1459" s="29" t="s">
        <v>3195</v>
      </c>
      <c r="K1459" s="29"/>
      <c r="L1459" s="267">
        <v>1</v>
      </c>
      <c r="M1459" s="45"/>
    </row>
    <row r="1460" ht="16.8" spans="1:13">
      <c r="A1460" s="248" t="s">
        <v>3066</v>
      </c>
      <c r="B1460" s="183" t="s">
        <v>4317</v>
      </c>
      <c r="C1460" s="249" t="e">
        <f>VLOOKUP(D1460,#REF!,2,0)</f>
        <v>#REF!</v>
      </c>
      <c r="D1460" s="266" t="s">
        <v>3386</v>
      </c>
      <c r="E1460" s="18" t="e">
        <f>VLOOKUP(C1460,数据集标准分类!E:F,2,0)</f>
        <v>#REF!</v>
      </c>
      <c r="F1460" s="29" t="e">
        <f>VLOOKUP(D1460,数据集标准分类!G:H,2,0)</f>
        <v>#N/A</v>
      </c>
      <c r="G1460" s="29" t="s">
        <v>3361</v>
      </c>
      <c r="H1460" s="29" t="s">
        <v>3362</v>
      </c>
      <c r="I1460" s="29" t="s">
        <v>3363</v>
      </c>
      <c r="J1460" s="29" t="s">
        <v>3364</v>
      </c>
      <c r="K1460" s="29"/>
      <c r="L1460" s="267">
        <v>2</v>
      </c>
      <c r="M1460" s="45"/>
    </row>
    <row r="1461" ht="16.8" spans="1:13">
      <c r="A1461" s="248" t="s">
        <v>3066</v>
      </c>
      <c r="B1461" s="183" t="s">
        <v>4317</v>
      </c>
      <c r="C1461" s="249" t="e">
        <f>VLOOKUP(D1461,#REF!,2,0)</f>
        <v>#REF!</v>
      </c>
      <c r="D1461" s="266" t="s">
        <v>3386</v>
      </c>
      <c r="E1461" s="18" t="e">
        <f>VLOOKUP(C1461,数据集标准分类!E:F,2,0)</f>
        <v>#REF!</v>
      </c>
      <c r="F1461" s="29" t="e">
        <f>VLOOKUP(D1461,数据集标准分类!G:H,2,0)</f>
        <v>#N/A</v>
      </c>
      <c r="G1461" s="29" t="s">
        <v>1496</v>
      </c>
      <c r="H1461" s="29" t="s">
        <v>1497</v>
      </c>
      <c r="I1461" s="29" t="s">
        <v>1498</v>
      </c>
      <c r="J1461" s="29" t="s">
        <v>1499</v>
      </c>
      <c r="K1461" s="29"/>
      <c r="L1461" s="267">
        <v>3</v>
      </c>
      <c r="M1461" s="45"/>
    </row>
    <row r="1462" ht="16.8" spans="1:13">
      <c r="A1462" s="248" t="s">
        <v>3066</v>
      </c>
      <c r="B1462" s="183" t="s">
        <v>4317</v>
      </c>
      <c r="C1462" s="249" t="e">
        <f>VLOOKUP(D1462,#REF!,2,0)</f>
        <v>#REF!</v>
      </c>
      <c r="D1462" s="266" t="s">
        <v>3386</v>
      </c>
      <c r="E1462" s="18" t="e">
        <f>VLOOKUP(C1462,数据集标准分类!E:F,2,0)</f>
        <v>#REF!</v>
      </c>
      <c r="F1462" s="29" t="e">
        <f>VLOOKUP(D1462,数据集标准分类!G:H,2,0)</f>
        <v>#N/A</v>
      </c>
      <c r="G1462" s="29" t="s">
        <v>3199</v>
      </c>
      <c r="H1462" s="29" t="s">
        <v>3200</v>
      </c>
      <c r="I1462" s="29" t="s">
        <v>3201</v>
      </c>
      <c r="J1462" s="29" t="s">
        <v>3202</v>
      </c>
      <c r="K1462" s="29"/>
      <c r="L1462" s="267">
        <v>4</v>
      </c>
      <c r="M1462" s="45"/>
    </row>
    <row r="1463" ht="16.8" spans="1:13">
      <c r="A1463" s="248" t="s">
        <v>3066</v>
      </c>
      <c r="B1463" s="183" t="s">
        <v>4317</v>
      </c>
      <c r="C1463" s="249" t="e">
        <f>VLOOKUP(D1463,#REF!,2,0)</f>
        <v>#REF!</v>
      </c>
      <c r="D1463" s="266" t="s">
        <v>3386</v>
      </c>
      <c r="E1463" s="18" t="e">
        <f>VLOOKUP(C1463,数据集标准分类!E:F,2,0)</f>
        <v>#REF!</v>
      </c>
      <c r="F1463" s="29" t="e">
        <f>VLOOKUP(D1463,数据集标准分类!G:H,2,0)</f>
        <v>#N/A</v>
      </c>
      <c r="G1463" s="29" t="s">
        <v>3366</v>
      </c>
      <c r="H1463" s="29" t="s">
        <v>3367</v>
      </c>
      <c r="I1463" s="29" t="s">
        <v>3368</v>
      </c>
      <c r="J1463" s="29" t="s">
        <v>3369</v>
      </c>
      <c r="K1463" s="29"/>
      <c r="L1463" s="250">
        <v>5</v>
      </c>
      <c r="M1463" s="251"/>
    </row>
    <row r="1464" ht="16.8" spans="1:13">
      <c r="A1464" s="248" t="s">
        <v>3066</v>
      </c>
      <c r="B1464" s="183" t="s">
        <v>4317</v>
      </c>
      <c r="C1464" s="249" t="e">
        <f>VLOOKUP(D1464,#REF!,2,0)</f>
        <v>#REF!</v>
      </c>
      <c r="D1464" s="266" t="s">
        <v>3386</v>
      </c>
      <c r="E1464" s="18" t="e">
        <f>VLOOKUP(C1464,数据集标准分类!E:F,2,0)</f>
        <v>#REF!</v>
      </c>
      <c r="F1464" s="29" t="e">
        <f>VLOOKUP(D1464,数据集标准分类!G:H,2,0)</f>
        <v>#N/A</v>
      </c>
      <c r="G1464" s="29" t="s">
        <v>3336</v>
      </c>
      <c r="H1464" s="29" t="s">
        <v>3337</v>
      </c>
      <c r="I1464" s="29" t="s">
        <v>3338</v>
      </c>
      <c r="J1464" s="29" t="s">
        <v>3339</v>
      </c>
      <c r="K1464" s="29"/>
      <c r="L1464" s="250">
        <v>6</v>
      </c>
      <c r="M1464" s="251"/>
    </row>
    <row r="1465" ht="16.8" spans="1:13">
      <c r="A1465" s="248" t="s">
        <v>3066</v>
      </c>
      <c r="B1465" s="183" t="s">
        <v>4317</v>
      </c>
      <c r="C1465" s="249" t="e">
        <f>VLOOKUP(D1465,#REF!,2,0)</f>
        <v>#REF!</v>
      </c>
      <c r="D1465" s="266" t="s">
        <v>3387</v>
      </c>
      <c r="E1465" s="18" t="e">
        <f>VLOOKUP(C1465,数据集标准分类!E:F,2,0)</f>
        <v>#REF!</v>
      </c>
      <c r="F1465" s="29" t="e">
        <f>VLOOKUP(D1465,数据集标准分类!G:H,2,0)</f>
        <v>#N/A</v>
      </c>
      <c r="G1465" s="29" t="s">
        <v>3192</v>
      </c>
      <c r="H1465" s="29" t="s">
        <v>3193</v>
      </c>
      <c r="I1465" s="29" t="s">
        <v>3194</v>
      </c>
      <c r="J1465" s="29" t="s">
        <v>3195</v>
      </c>
      <c r="K1465" s="29"/>
      <c r="L1465" s="250">
        <v>1</v>
      </c>
      <c r="M1465" s="251"/>
    </row>
    <row r="1466" ht="16.8" spans="1:13">
      <c r="A1466" s="248" t="s">
        <v>3066</v>
      </c>
      <c r="B1466" s="183" t="s">
        <v>4317</v>
      </c>
      <c r="C1466" s="249" t="e">
        <f>VLOOKUP(D1466,#REF!,2,0)</f>
        <v>#REF!</v>
      </c>
      <c r="D1466" s="266" t="s">
        <v>3387</v>
      </c>
      <c r="E1466" s="18" t="e">
        <f>VLOOKUP(C1466,数据集标准分类!E:F,2,0)</f>
        <v>#REF!</v>
      </c>
      <c r="F1466" s="29" t="e">
        <f>VLOOKUP(D1466,数据集标准分类!G:H,2,0)</f>
        <v>#N/A</v>
      </c>
      <c r="G1466" s="29" t="s">
        <v>3361</v>
      </c>
      <c r="H1466" s="29" t="s">
        <v>3362</v>
      </c>
      <c r="I1466" s="29" t="s">
        <v>3363</v>
      </c>
      <c r="J1466" s="29" t="s">
        <v>3364</v>
      </c>
      <c r="K1466" s="29"/>
      <c r="L1466" s="250">
        <v>2</v>
      </c>
      <c r="M1466" s="251"/>
    </row>
    <row r="1467" ht="16.8" spans="1:13">
      <c r="A1467" s="248" t="s">
        <v>3066</v>
      </c>
      <c r="B1467" s="183" t="s">
        <v>4317</v>
      </c>
      <c r="C1467" s="249" t="e">
        <f>VLOOKUP(D1467,#REF!,2,0)</f>
        <v>#REF!</v>
      </c>
      <c r="D1467" s="266" t="s">
        <v>3387</v>
      </c>
      <c r="E1467" s="18" t="e">
        <f>VLOOKUP(C1467,数据集标准分类!E:F,2,0)</f>
        <v>#REF!</v>
      </c>
      <c r="F1467" s="29" t="e">
        <f>VLOOKUP(D1467,数据集标准分类!G:H,2,0)</f>
        <v>#N/A</v>
      </c>
      <c r="G1467" s="29" t="s">
        <v>1496</v>
      </c>
      <c r="H1467" s="29" t="s">
        <v>1497</v>
      </c>
      <c r="I1467" s="29" t="s">
        <v>1498</v>
      </c>
      <c r="J1467" s="29" t="s">
        <v>1499</v>
      </c>
      <c r="K1467" s="29"/>
      <c r="L1467" s="250">
        <v>3</v>
      </c>
      <c r="M1467" s="251"/>
    </row>
    <row r="1468" ht="16.8" spans="1:13">
      <c r="A1468" s="248" t="s">
        <v>3066</v>
      </c>
      <c r="B1468" s="183" t="s">
        <v>4317</v>
      </c>
      <c r="C1468" s="249" t="e">
        <f>VLOOKUP(D1468,#REF!,2,0)</f>
        <v>#REF!</v>
      </c>
      <c r="D1468" s="266" t="s">
        <v>3387</v>
      </c>
      <c r="E1468" s="18" t="e">
        <f>VLOOKUP(C1468,数据集标准分类!E:F,2,0)</f>
        <v>#REF!</v>
      </c>
      <c r="F1468" s="29" t="e">
        <f>VLOOKUP(D1468,数据集标准分类!G:H,2,0)</f>
        <v>#N/A</v>
      </c>
      <c r="G1468" s="29" t="s">
        <v>3199</v>
      </c>
      <c r="H1468" s="29" t="s">
        <v>3200</v>
      </c>
      <c r="I1468" s="29" t="s">
        <v>3201</v>
      </c>
      <c r="J1468" s="29" t="s">
        <v>3202</v>
      </c>
      <c r="K1468" s="29"/>
      <c r="L1468" s="250">
        <v>4</v>
      </c>
      <c r="M1468" s="251"/>
    </row>
    <row r="1469" ht="16.8" spans="1:13">
      <c r="A1469" s="248" t="s">
        <v>3066</v>
      </c>
      <c r="B1469" s="183" t="s">
        <v>4317</v>
      </c>
      <c r="C1469" s="249" t="e">
        <f>VLOOKUP(D1469,#REF!,2,0)</f>
        <v>#REF!</v>
      </c>
      <c r="D1469" s="266" t="s">
        <v>3387</v>
      </c>
      <c r="E1469" s="18" t="e">
        <f>VLOOKUP(C1469,数据集标准分类!E:F,2,0)</f>
        <v>#REF!</v>
      </c>
      <c r="F1469" s="29" t="e">
        <f>VLOOKUP(D1469,数据集标准分类!G:H,2,0)</f>
        <v>#N/A</v>
      </c>
      <c r="G1469" s="29" t="s">
        <v>3366</v>
      </c>
      <c r="H1469" s="29" t="s">
        <v>3367</v>
      </c>
      <c r="I1469" s="29" t="s">
        <v>3368</v>
      </c>
      <c r="J1469" s="29" t="s">
        <v>3369</v>
      </c>
      <c r="K1469" s="29"/>
      <c r="L1469" s="250">
        <v>5</v>
      </c>
      <c r="M1469" s="251"/>
    </row>
    <row r="1470" ht="16.8" spans="1:13">
      <c r="A1470" s="248" t="s">
        <v>3066</v>
      </c>
      <c r="B1470" s="183" t="s">
        <v>4317</v>
      </c>
      <c r="C1470" s="249" t="e">
        <f>VLOOKUP(D1470,#REF!,2,0)</f>
        <v>#REF!</v>
      </c>
      <c r="D1470" s="266" t="s">
        <v>3387</v>
      </c>
      <c r="E1470" s="18" t="e">
        <f>VLOOKUP(C1470,数据集标准分类!E:F,2,0)</f>
        <v>#REF!</v>
      </c>
      <c r="F1470" s="29" t="e">
        <f>VLOOKUP(D1470,数据集标准分类!G:H,2,0)</f>
        <v>#N/A</v>
      </c>
      <c r="G1470" s="29" t="s">
        <v>3336</v>
      </c>
      <c r="H1470" s="29" t="s">
        <v>3337</v>
      </c>
      <c r="I1470" s="29" t="s">
        <v>3338</v>
      </c>
      <c r="J1470" s="29" t="s">
        <v>3339</v>
      </c>
      <c r="K1470" s="29"/>
      <c r="L1470" s="250">
        <v>6</v>
      </c>
      <c r="M1470" s="251"/>
    </row>
    <row r="1471" ht="17" spans="1:13">
      <c r="A1471" s="248" t="s">
        <v>3066</v>
      </c>
      <c r="B1471" s="183" t="s">
        <v>4317</v>
      </c>
      <c r="C1471" s="249" t="e">
        <f>VLOOKUP(D1471,#REF!,2,0)</f>
        <v>#REF!</v>
      </c>
      <c r="D1471" s="179" t="s">
        <v>3411</v>
      </c>
      <c r="E1471" s="18" t="e">
        <f>VLOOKUP(C1471,数据集标准分类!E:F,2,0)</f>
        <v>#REF!</v>
      </c>
      <c r="F1471" s="29" t="e">
        <f>VLOOKUP(D1471,数据集标准分类!G:H,2,0)</f>
        <v>#N/A</v>
      </c>
      <c r="G1471" s="146" t="s">
        <v>2895</v>
      </c>
      <c r="H1471" s="171" t="s">
        <v>2896</v>
      </c>
      <c r="I1471" s="171" t="s">
        <v>2897</v>
      </c>
      <c r="J1471" s="146" t="s">
        <v>2898</v>
      </c>
      <c r="K1471" s="151"/>
      <c r="L1471" s="184" t="s">
        <v>3351</v>
      </c>
      <c r="M1471" s="251"/>
    </row>
    <row r="1472" ht="17" spans="1:13">
      <c r="A1472" s="248" t="s">
        <v>3066</v>
      </c>
      <c r="B1472" s="183" t="s">
        <v>4317</v>
      </c>
      <c r="C1472" s="249" t="e">
        <f>VLOOKUP(D1472,#REF!,2,0)</f>
        <v>#REF!</v>
      </c>
      <c r="D1472" s="179" t="s">
        <v>3411</v>
      </c>
      <c r="E1472" s="18" t="e">
        <f>VLOOKUP(C1472,数据集标准分类!E:F,2,0)</f>
        <v>#REF!</v>
      </c>
      <c r="F1472" s="29" t="e">
        <f>VLOOKUP(D1472,数据集标准分类!G:H,2,0)</f>
        <v>#N/A</v>
      </c>
      <c r="G1472" s="146" t="s">
        <v>2889</v>
      </c>
      <c r="H1472" s="146" t="s">
        <v>2890</v>
      </c>
      <c r="I1472" s="146" t="s">
        <v>2891</v>
      </c>
      <c r="J1472" s="146" t="s">
        <v>2892</v>
      </c>
      <c r="K1472" s="151"/>
      <c r="L1472" s="184" t="s">
        <v>3352</v>
      </c>
      <c r="M1472" s="251"/>
    </row>
    <row r="1473" ht="17" spans="1:13">
      <c r="A1473" s="248" t="s">
        <v>3066</v>
      </c>
      <c r="B1473" s="183" t="s">
        <v>4317</v>
      </c>
      <c r="C1473" s="249" t="e">
        <f>VLOOKUP(D1473,#REF!,2,0)</f>
        <v>#REF!</v>
      </c>
      <c r="D1473" s="179" t="s">
        <v>3411</v>
      </c>
      <c r="E1473" s="18" t="e">
        <f>VLOOKUP(C1473,数据集标准分类!E:F,2,0)</f>
        <v>#REF!</v>
      </c>
      <c r="F1473" s="29" t="e">
        <f>VLOOKUP(D1473,数据集标准分类!G:H,2,0)</f>
        <v>#N/A</v>
      </c>
      <c r="G1473" s="146" t="s">
        <v>3196</v>
      </c>
      <c r="H1473" s="171" t="s">
        <v>3197</v>
      </c>
      <c r="I1473" s="171" t="s">
        <v>3198</v>
      </c>
      <c r="J1473" s="146" t="s">
        <v>2740</v>
      </c>
      <c r="K1473" s="151"/>
      <c r="L1473" s="184" t="s">
        <v>3353</v>
      </c>
      <c r="M1473" s="251"/>
    </row>
    <row r="1474" ht="24" customHeight="1" spans="1:13">
      <c r="A1474" s="248" t="s">
        <v>3066</v>
      </c>
      <c r="B1474" s="183" t="s">
        <v>4317</v>
      </c>
      <c r="C1474" s="249" t="e">
        <f>VLOOKUP(D1474,#REF!,2,0)</f>
        <v>#REF!</v>
      </c>
      <c r="D1474" s="179" t="s">
        <v>3411</v>
      </c>
      <c r="E1474" s="18" t="e">
        <f>VLOOKUP(C1474,数据集标准分类!E:F,2,0)</f>
        <v>#REF!</v>
      </c>
      <c r="F1474" s="29" t="e">
        <f>VLOOKUP(D1474,数据集标准分类!G:H,2,0)</f>
        <v>#N/A</v>
      </c>
      <c r="G1474" s="171" t="s">
        <v>3199</v>
      </c>
      <c r="H1474" s="171" t="s">
        <v>3200</v>
      </c>
      <c r="I1474" s="171" t="s">
        <v>3201</v>
      </c>
      <c r="J1474" s="146" t="s">
        <v>3202</v>
      </c>
      <c r="K1474" s="151"/>
      <c r="L1474" s="184" t="s">
        <v>3365</v>
      </c>
      <c r="M1474" s="251"/>
    </row>
    <row r="1475" ht="17" spans="1:13">
      <c r="A1475" s="248" t="s">
        <v>3066</v>
      </c>
      <c r="B1475" s="183" t="s">
        <v>4317</v>
      </c>
      <c r="C1475" s="249" t="e">
        <f>VLOOKUP(D1475,#REF!,2,0)</f>
        <v>#REF!</v>
      </c>
      <c r="D1475" s="179" t="s">
        <v>3411</v>
      </c>
      <c r="E1475" s="18" t="e">
        <f>VLOOKUP(C1475,数据集标准分类!E:F,2,0)</f>
        <v>#REF!</v>
      </c>
      <c r="F1475" s="29" t="e">
        <f>VLOOKUP(D1475,数据集标准分类!G:H,2,0)</f>
        <v>#N/A</v>
      </c>
      <c r="G1475" s="146" t="s">
        <v>3328</v>
      </c>
      <c r="H1475" s="171" t="s">
        <v>3329</v>
      </c>
      <c r="I1475" s="171" t="s">
        <v>3330</v>
      </c>
      <c r="J1475" s="146" t="s">
        <v>3346</v>
      </c>
      <c r="K1475" s="151"/>
      <c r="L1475" s="184" t="s">
        <v>3370</v>
      </c>
      <c r="M1475" s="251"/>
    </row>
    <row r="1476" ht="17" spans="1:13">
      <c r="A1476" s="248" t="s">
        <v>3066</v>
      </c>
      <c r="B1476" s="183" t="s">
        <v>4317</v>
      </c>
      <c r="C1476" s="249" t="e">
        <f>VLOOKUP(D1476,#REF!,2,0)</f>
        <v>#REF!</v>
      </c>
      <c r="D1476" s="179" t="s">
        <v>3411</v>
      </c>
      <c r="E1476" s="18" t="e">
        <f>VLOOKUP(C1476,数据集标准分类!E:F,2,0)</f>
        <v>#REF!</v>
      </c>
      <c r="F1476" s="29" t="e">
        <f>VLOOKUP(D1476,数据集标准分类!G:H,2,0)</f>
        <v>#N/A</v>
      </c>
      <c r="G1476" s="146" t="s">
        <v>1774</v>
      </c>
      <c r="H1476" s="171" t="s">
        <v>1775</v>
      </c>
      <c r="I1476" s="171" t="s">
        <v>1776</v>
      </c>
      <c r="J1476" s="146" t="s">
        <v>1777</v>
      </c>
      <c r="K1476" s="151"/>
      <c r="L1476" s="184" t="s">
        <v>3371</v>
      </c>
      <c r="M1476" s="251"/>
    </row>
    <row r="1477" ht="17" spans="1:13">
      <c r="A1477" s="248" t="s">
        <v>3066</v>
      </c>
      <c r="B1477" s="183" t="s">
        <v>4317</v>
      </c>
      <c r="C1477" s="249" t="e">
        <f>VLOOKUP(D1477,#REF!,2,0)</f>
        <v>#REF!</v>
      </c>
      <c r="D1477" s="179" t="s">
        <v>3411</v>
      </c>
      <c r="E1477" s="18" t="e">
        <f>VLOOKUP(C1477,数据集标准分类!E:F,2,0)</f>
        <v>#REF!</v>
      </c>
      <c r="F1477" s="29" t="e">
        <f>VLOOKUP(D1477,数据集标准分类!G:H,2,0)</f>
        <v>#N/A</v>
      </c>
      <c r="G1477" s="146" t="s">
        <v>5556</v>
      </c>
      <c r="H1477" s="171" t="s">
        <v>5557</v>
      </c>
      <c r="I1477" s="171" t="s">
        <v>5558</v>
      </c>
      <c r="J1477" s="146" t="s">
        <v>5559</v>
      </c>
      <c r="K1477" s="151"/>
      <c r="L1477" s="184" t="s">
        <v>5555</v>
      </c>
      <c r="M1477" s="251"/>
    </row>
    <row r="1478" ht="17" spans="1:13">
      <c r="A1478" s="248" t="s">
        <v>3066</v>
      </c>
      <c r="B1478" s="183" t="s">
        <v>4317</v>
      </c>
      <c r="C1478" s="249" t="e">
        <f>VLOOKUP(D1478,#REF!,2,0)</f>
        <v>#REF!</v>
      </c>
      <c r="D1478" s="179" t="s">
        <v>3411</v>
      </c>
      <c r="E1478" s="18" t="e">
        <f>VLOOKUP(C1478,数据集标准分类!E:F,2,0)</f>
        <v>#REF!</v>
      </c>
      <c r="F1478" s="29" t="e">
        <f>VLOOKUP(D1478,数据集标准分类!G:H,2,0)</f>
        <v>#N/A</v>
      </c>
      <c r="G1478" s="146" t="s">
        <v>3192</v>
      </c>
      <c r="H1478" s="171" t="s">
        <v>3193</v>
      </c>
      <c r="I1478" s="171" t="s">
        <v>3194</v>
      </c>
      <c r="J1478" s="146" t="s">
        <v>3195</v>
      </c>
      <c r="K1478" s="151"/>
      <c r="L1478" s="184" t="s">
        <v>4488</v>
      </c>
      <c r="M1478" s="251"/>
    </row>
    <row r="1479" ht="17" spans="1:13">
      <c r="A1479" s="248" t="s">
        <v>3066</v>
      </c>
      <c r="B1479" s="183" t="s">
        <v>4317</v>
      </c>
      <c r="C1479" s="249" t="e">
        <f>VLOOKUP(D1479,#REF!,2,0)</f>
        <v>#REF!</v>
      </c>
      <c r="D1479" s="179" t="s">
        <v>3412</v>
      </c>
      <c r="E1479" s="18" t="e">
        <f>VLOOKUP(C1479,数据集标准分类!E:F,2,0)</f>
        <v>#REF!</v>
      </c>
      <c r="F1479" s="29" t="e">
        <f>VLOOKUP(D1479,数据集标准分类!G:H,2,0)</f>
        <v>#N/A</v>
      </c>
      <c r="G1479" s="146" t="s">
        <v>2895</v>
      </c>
      <c r="H1479" s="171" t="s">
        <v>2896</v>
      </c>
      <c r="I1479" s="171" t="s">
        <v>2897</v>
      </c>
      <c r="J1479" s="146" t="s">
        <v>2898</v>
      </c>
      <c r="K1479" s="151"/>
      <c r="L1479" s="184" t="s">
        <v>3351</v>
      </c>
      <c r="M1479" s="251"/>
    </row>
    <row r="1480" ht="24" customHeight="1" spans="1:13">
      <c r="A1480" s="248" t="s">
        <v>3066</v>
      </c>
      <c r="B1480" s="183" t="s">
        <v>4317</v>
      </c>
      <c r="C1480" s="249" t="e">
        <f>VLOOKUP(D1480,#REF!,2,0)</f>
        <v>#REF!</v>
      </c>
      <c r="D1480" s="179" t="s">
        <v>3412</v>
      </c>
      <c r="E1480" s="18" t="e">
        <f>VLOOKUP(C1480,数据集标准分类!E:F,2,0)</f>
        <v>#REF!</v>
      </c>
      <c r="F1480" s="29" t="e">
        <f>VLOOKUP(D1480,数据集标准分类!G:H,2,0)</f>
        <v>#N/A</v>
      </c>
      <c r="G1480" s="146" t="s">
        <v>2889</v>
      </c>
      <c r="H1480" s="146" t="s">
        <v>2890</v>
      </c>
      <c r="I1480" s="146" t="s">
        <v>2891</v>
      </c>
      <c r="J1480" s="146" t="s">
        <v>2892</v>
      </c>
      <c r="K1480" s="151"/>
      <c r="L1480" s="184" t="s">
        <v>3352</v>
      </c>
      <c r="M1480" s="251"/>
    </row>
    <row r="1481" ht="17" spans="1:13">
      <c r="A1481" s="248" t="s">
        <v>3066</v>
      </c>
      <c r="B1481" s="183" t="s">
        <v>4317</v>
      </c>
      <c r="C1481" s="249" t="e">
        <f>VLOOKUP(D1481,#REF!,2,0)</f>
        <v>#REF!</v>
      </c>
      <c r="D1481" s="179" t="s">
        <v>3412</v>
      </c>
      <c r="E1481" s="18" t="e">
        <f>VLOOKUP(C1481,数据集标准分类!E:F,2,0)</f>
        <v>#REF!</v>
      </c>
      <c r="F1481" s="29" t="e">
        <f>VLOOKUP(D1481,数据集标准分类!G:H,2,0)</f>
        <v>#N/A</v>
      </c>
      <c r="G1481" s="146" t="s">
        <v>3196</v>
      </c>
      <c r="H1481" s="171" t="s">
        <v>3197</v>
      </c>
      <c r="I1481" s="171" t="s">
        <v>3198</v>
      </c>
      <c r="J1481" s="146" t="s">
        <v>2740</v>
      </c>
      <c r="K1481" s="151"/>
      <c r="L1481" s="184" t="s">
        <v>3353</v>
      </c>
      <c r="M1481" s="251"/>
    </row>
    <row r="1482" ht="17" spans="1:13">
      <c r="A1482" s="248" t="s">
        <v>3066</v>
      </c>
      <c r="B1482" s="183" t="s">
        <v>4317</v>
      </c>
      <c r="C1482" s="249" t="e">
        <f>VLOOKUP(D1482,#REF!,2,0)</f>
        <v>#REF!</v>
      </c>
      <c r="D1482" s="179" t="s">
        <v>3412</v>
      </c>
      <c r="E1482" s="18" t="e">
        <f>VLOOKUP(C1482,数据集标准分类!E:F,2,0)</f>
        <v>#REF!</v>
      </c>
      <c r="F1482" s="29" t="e">
        <f>VLOOKUP(D1482,数据集标准分类!G:H,2,0)</f>
        <v>#N/A</v>
      </c>
      <c r="G1482" s="171" t="s">
        <v>3199</v>
      </c>
      <c r="H1482" s="171" t="s">
        <v>3200</v>
      </c>
      <c r="I1482" s="171" t="s">
        <v>3201</v>
      </c>
      <c r="J1482" s="146" t="s">
        <v>3202</v>
      </c>
      <c r="K1482" s="151"/>
      <c r="L1482" s="184" t="s">
        <v>3365</v>
      </c>
      <c r="M1482" s="251"/>
    </row>
    <row r="1483" ht="17" spans="1:13">
      <c r="A1483" s="248" t="s">
        <v>3066</v>
      </c>
      <c r="B1483" s="183" t="s">
        <v>4317</v>
      </c>
      <c r="C1483" s="249" t="e">
        <f>VLOOKUP(D1483,#REF!,2,0)</f>
        <v>#REF!</v>
      </c>
      <c r="D1483" s="179" t="s">
        <v>3412</v>
      </c>
      <c r="E1483" s="18" t="e">
        <f>VLOOKUP(C1483,数据集标准分类!E:F,2,0)</f>
        <v>#REF!</v>
      </c>
      <c r="F1483" s="29" t="e">
        <f>VLOOKUP(D1483,数据集标准分类!G:H,2,0)</f>
        <v>#N/A</v>
      </c>
      <c r="G1483" s="146" t="s">
        <v>3328</v>
      </c>
      <c r="H1483" s="171" t="s">
        <v>3329</v>
      </c>
      <c r="I1483" s="171" t="s">
        <v>3330</v>
      </c>
      <c r="J1483" s="146" t="s">
        <v>3346</v>
      </c>
      <c r="K1483" s="151"/>
      <c r="L1483" s="184" t="s">
        <v>3370</v>
      </c>
      <c r="M1483" s="251"/>
    </row>
    <row r="1484" ht="17" spans="1:13">
      <c r="A1484" s="248" t="s">
        <v>3066</v>
      </c>
      <c r="B1484" s="183" t="s">
        <v>4317</v>
      </c>
      <c r="C1484" s="249" t="e">
        <f>VLOOKUP(D1484,#REF!,2,0)</f>
        <v>#REF!</v>
      </c>
      <c r="D1484" s="179" t="s">
        <v>3412</v>
      </c>
      <c r="E1484" s="18" t="e">
        <f>VLOOKUP(C1484,数据集标准分类!E:F,2,0)</f>
        <v>#REF!</v>
      </c>
      <c r="F1484" s="29" t="e">
        <f>VLOOKUP(D1484,数据集标准分类!G:H,2,0)</f>
        <v>#N/A</v>
      </c>
      <c r="G1484" s="167" t="s">
        <v>1774</v>
      </c>
      <c r="H1484" s="176" t="s">
        <v>1775</v>
      </c>
      <c r="I1484" s="176" t="s">
        <v>1776</v>
      </c>
      <c r="J1484" s="167" t="s">
        <v>1777</v>
      </c>
      <c r="K1484" s="268"/>
      <c r="L1484" s="184" t="s">
        <v>3371</v>
      </c>
      <c r="M1484" s="251"/>
    </row>
    <row r="1485" ht="17" spans="1:13">
      <c r="A1485" s="248" t="s">
        <v>3066</v>
      </c>
      <c r="B1485" s="183" t="s">
        <v>4317</v>
      </c>
      <c r="C1485" s="249" t="e">
        <f>VLOOKUP(D1485,#REF!,2,0)</f>
        <v>#REF!</v>
      </c>
      <c r="D1485" s="179" t="s">
        <v>3412</v>
      </c>
      <c r="E1485" s="18" t="e">
        <f>VLOOKUP(C1485,数据集标准分类!E:F,2,0)</f>
        <v>#REF!</v>
      </c>
      <c r="F1485" s="29" t="e">
        <f>VLOOKUP(D1485,数据集标准分类!G:H,2,0)</f>
        <v>#N/A</v>
      </c>
      <c r="G1485" s="146" t="s">
        <v>5556</v>
      </c>
      <c r="H1485" s="171" t="s">
        <v>5557</v>
      </c>
      <c r="I1485" s="176" t="s">
        <v>5558</v>
      </c>
      <c r="J1485" s="146" t="s">
        <v>5559</v>
      </c>
      <c r="K1485" s="151"/>
      <c r="L1485" s="269" t="s">
        <v>5555</v>
      </c>
      <c r="M1485" s="251"/>
    </row>
    <row r="1486" ht="17" spans="1:13">
      <c r="A1486" s="248" t="s">
        <v>3066</v>
      </c>
      <c r="B1486" s="183" t="s">
        <v>4317</v>
      </c>
      <c r="C1486" s="249" t="e">
        <f>VLOOKUP(D1486,#REF!,2,0)</f>
        <v>#REF!</v>
      </c>
      <c r="D1486" s="179" t="s">
        <v>3412</v>
      </c>
      <c r="E1486" s="18" t="e">
        <f>VLOOKUP(C1486,数据集标准分类!E:F,2,0)</f>
        <v>#REF!</v>
      </c>
      <c r="F1486" s="29" t="e">
        <f>VLOOKUP(D1486,数据集标准分类!G:H,2,0)</f>
        <v>#N/A</v>
      </c>
      <c r="G1486" s="146" t="s">
        <v>3192</v>
      </c>
      <c r="H1486" s="171" t="s">
        <v>3193</v>
      </c>
      <c r="I1486" s="176" t="s">
        <v>3194</v>
      </c>
      <c r="J1486" s="146" t="s">
        <v>3195</v>
      </c>
      <c r="K1486" s="151"/>
      <c r="L1486" s="269" t="s">
        <v>4488</v>
      </c>
      <c r="M1486" s="251"/>
    </row>
    <row r="1487" ht="31" spans="1:13">
      <c r="A1487" s="248" t="s">
        <v>3066</v>
      </c>
      <c r="B1487" s="183" t="s">
        <v>4317</v>
      </c>
      <c r="C1487" s="249" t="e">
        <f>VLOOKUP(D1487,#REF!,2,0)</f>
        <v>#REF!</v>
      </c>
      <c r="D1487" s="266" t="s">
        <v>3413</v>
      </c>
      <c r="E1487" s="18" t="e">
        <f>VLOOKUP(C1487,数据集标准分类!E:F,2,0)</f>
        <v>#REF!</v>
      </c>
      <c r="F1487" s="29" t="e">
        <f>VLOOKUP(D1487,数据集标准分类!G:H,2,0)</f>
        <v>#N/A</v>
      </c>
      <c r="G1487" s="29" t="s">
        <v>3199</v>
      </c>
      <c r="H1487" s="255" t="s">
        <v>3200</v>
      </c>
      <c r="I1487" s="29" t="s">
        <v>3201</v>
      </c>
      <c r="J1487" s="256" t="s">
        <v>3202</v>
      </c>
      <c r="K1487" s="29"/>
      <c r="L1487" s="267">
        <v>1</v>
      </c>
      <c r="M1487" s="251"/>
    </row>
    <row r="1488" ht="31" spans="1:13">
      <c r="A1488" s="248" t="s">
        <v>3066</v>
      </c>
      <c r="B1488" s="183" t="s">
        <v>4317</v>
      </c>
      <c r="C1488" s="249" t="e">
        <f>VLOOKUP(D1488,#REF!,2,0)</f>
        <v>#REF!</v>
      </c>
      <c r="D1488" s="266" t="s">
        <v>3413</v>
      </c>
      <c r="E1488" s="18" t="e">
        <f>VLOOKUP(C1488,数据集标准分类!E:F,2,0)</f>
        <v>#REF!</v>
      </c>
      <c r="F1488" s="29" t="e">
        <f>VLOOKUP(D1488,数据集标准分类!G:H,2,0)</f>
        <v>#N/A</v>
      </c>
      <c r="G1488" s="29" t="s">
        <v>3366</v>
      </c>
      <c r="H1488" s="255" t="s">
        <v>3367</v>
      </c>
      <c r="I1488" s="29" t="s">
        <v>3368</v>
      </c>
      <c r="J1488" s="256" t="s">
        <v>3369</v>
      </c>
      <c r="K1488" s="29"/>
      <c r="L1488" s="267">
        <v>2</v>
      </c>
      <c r="M1488" s="251"/>
    </row>
    <row r="1489" ht="31" spans="1:13">
      <c r="A1489" s="248" t="s">
        <v>3066</v>
      </c>
      <c r="B1489" s="183" t="s">
        <v>4317</v>
      </c>
      <c r="C1489" s="249" t="e">
        <f>VLOOKUP(D1489,#REF!,2,0)</f>
        <v>#REF!</v>
      </c>
      <c r="D1489" s="266" t="s">
        <v>3413</v>
      </c>
      <c r="E1489" s="18" t="e">
        <f>VLOOKUP(C1489,数据集标准分类!E:F,2,0)</f>
        <v>#REF!</v>
      </c>
      <c r="F1489" s="29" t="e">
        <f>VLOOKUP(D1489,数据集标准分类!G:H,2,0)</f>
        <v>#N/A</v>
      </c>
      <c r="G1489" s="29" t="s">
        <v>3336</v>
      </c>
      <c r="H1489" s="29" t="s">
        <v>3337</v>
      </c>
      <c r="I1489" s="29" t="s">
        <v>3338</v>
      </c>
      <c r="J1489" s="29" t="s">
        <v>3339</v>
      </c>
      <c r="K1489" s="29"/>
      <c r="L1489" s="250">
        <v>3</v>
      </c>
      <c r="M1489" s="251"/>
    </row>
    <row r="1490" ht="16.8" spans="1:13">
      <c r="A1490" s="248" t="s">
        <v>3066</v>
      </c>
      <c r="B1490" s="183" t="s">
        <v>4317</v>
      </c>
      <c r="C1490" s="249" t="e">
        <f>VLOOKUP(D1490,#REF!,2,0)</f>
        <v>#REF!</v>
      </c>
      <c r="D1490" s="266" t="s">
        <v>3414</v>
      </c>
      <c r="E1490" s="18" t="e">
        <f>VLOOKUP(C1490,数据集标准分类!E:F,2,0)</f>
        <v>#REF!</v>
      </c>
      <c r="F1490" s="29" t="e">
        <f>VLOOKUP(D1490,数据集标准分类!G:H,2,0)</f>
        <v>#N/A</v>
      </c>
      <c r="G1490" s="29" t="s">
        <v>3192</v>
      </c>
      <c r="H1490" s="29" t="s">
        <v>3193</v>
      </c>
      <c r="I1490" s="29" t="s">
        <v>3194</v>
      </c>
      <c r="J1490" s="29" t="s">
        <v>3195</v>
      </c>
      <c r="K1490" s="29"/>
      <c r="L1490" s="250">
        <v>1</v>
      </c>
      <c r="M1490" s="251"/>
    </row>
    <row r="1491" ht="16.8" spans="1:13">
      <c r="A1491" s="248" t="s">
        <v>3066</v>
      </c>
      <c r="B1491" s="183" t="s">
        <v>4317</v>
      </c>
      <c r="C1491" s="249" t="e">
        <f>VLOOKUP(D1491,#REF!,2,0)</f>
        <v>#REF!</v>
      </c>
      <c r="D1491" s="266" t="s">
        <v>3414</v>
      </c>
      <c r="E1491" s="18" t="e">
        <f>VLOOKUP(C1491,数据集标准分类!E:F,2,0)</f>
        <v>#REF!</v>
      </c>
      <c r="F1491" s="29" t="e">
        <f>VLOOKUP(D1491,数据集标准分类!G:H,2,0)</f>
        <v>#N/A</v>
      </c>
      <c r="G1491" s="29" t="s">
        <v>3361</v>
      </c>
      <c r="H1491" s="29" t="s">
        <v>3362</v>
      </c>
      <c r="I1491" s="29" t="s">
        <v>3363</v>
      </c>
      <c r="J1491" s="29" t="s">
        <v>3364</v>
      </c>
      <c r="K1491" s="29"/>
      <c r="L1491" s="250">
        <v>2</v>
      </c>
      <c r="M1491" s="251"/>
    </row>
    <row r="1492" ht="16.8" spans="1:13">
      <c r="A1492" s="248" t="s">
        <v>3066</v>
      </c>
      <c r="B1492" s="183" t="s">
        <v>4317</v>
      </c>
      <c r="C1492" s="249" t="e">
        <f>VLOOKUP(D1492,#REF!,2,0)</f>
        <v>#REF!</v>
      </c>
      <c r="D1492" s="266" t="s">
        <v>3414</v>
      </c>
      <c r="E1492" s="18" t="e">
        <f>VLOOKUP(C1492,数据集标准分类!E:F,2,0)</f>
        <v>#REF!</v>
      </c>
      <c r="F1492" s="29" t="e">
        <f>VLOOKUP(D1492,数据集标准分类!G:H,2,0)</f>
        <v>#N/A</v>
      </c>
      <c r="G1492" s="29" t="s">
        <v>1496</v>
      </c>
      <c r="H1492" s="29" t="s">
        <v>1497</v>
      </c>
      <c r="I1492" s="29" t="s">
        <v>1498</v>
      </c>
      <c r="J1492" s="29" t="s">
        <v>1499</v>
      </c>
      <c r="K1492" s="29"/>
      <c r="L1492" s="250">
        <v>3</v>
      </c>
      <c r="M1492" s="251"/>
    </row>
    <row r="1493" ht="16.8" spans="1:13">
      <c r="A1493" s="248" t="s">
        <v>3066</v>
      </c>
      <c r="B1493" s="183" t="s">
        <v>4317</v>
      </c>
      <c r="C1493" s="249" t="e">
        <f>VLOOKUP(D1493,#REF!,2,0)</f>
        <v>#REF!</v>
      </c>
      <c r="D1493" s="266" t="s">
        <v>3414</v>
      </c>
      <c r="E1493" s="18" t="e">
        <f>VLOOKUP(C1493,数据集标准分类!E:F,2,0)</f>
        <v>#REF!</v>
      </c>
      <c r="F1493" s="29" t="e">
        <f>VLOOKUP(D1493,数据集标准分类!G:H,2,0)</f>
        <v>#N/A</v>
      </c>
      <c r="G1493" s="29" t="s">
        <v>3199</v>
      </c>
      <c r="H1493" s="29" t="s">
        <v>3200</v>
      </c>
      <c r="I1493" s="29" t="s">
        <v>3201</v>
      </c>
      <c r="J1493" s="29" t="s">
        <v>3202</v>
      </c>
      <c r="K1493" s="29"/>
      <c r="L1493" s="250">
        <v>4</v>
      </c>
      <c r="M1493" s="251"/>
    </row>
    <row r="1494" ht="16.8" spans="1:13">
      <c r="A1494" s="248" t="s">
        <v>3066</v>
      </c>
      <c r="B1494" s="183" t="s">
        <v>4317</v>
      </c>
      <c r="C1494" s="249" t="e">
        <f>VLOOKUP(D1494,#REF!,2,0)</f>
        <v>#REF!</v>
      </c>
      <c r="D1494" s="266" t="s">
        <v>3414</v>
      </c>
      <c r="E1494" s="18" t="e">
        <f>VLOOKUP(C1494,数据集标准分类!E:F,2,0)</f>
        <v>#REF!</v>
      </c>
      <c r="F1494" s="29" t="e">
        <f>VLOOKUP(D1494,数据集标准分类!G:H,2,0)</f>
        <v>#N/A</v>
      </c>
      <c r="G1494" s="29" t="s">
        <v>3366</v>
      </c>
      <c r="H1494" s="29" t="s">
        <v>3367</v>
      </c>
      <c r="I1494" s="29" t="s">
        <v>3368</v>
      </c>
      <c r="J1494" s="29" t="s">
        <v>3369</v>
      </c>
      <c r="K1494" s="29"/>
      <c r="L1494" s="250">
        <v>5</v>
      </c>
      <c r="M1494" s="251"/>
    </row>
    <row r="1495" ht="16.8" spans="1:13">
      <c r="A1495" s="248" t="s">
        <v>3066</v>
      </c>
      <c r="B1495" s="183" t="s">
        <v>4317</v>
      </c>
      <c r="C1495" s="249" t="e">
        <f>VLOOKUP(D1495,#REF!,2,0)</f>
        <v>#REF!</v>
      </c>
      <c r="D1495" s="266" t="s">
        <v>3414</v>
      </c>
      <c r="E1495" s="18" t="e">
        <f>VLOOKUP(C1495,数据集标准分类!E:F,2,0)</f>
        <v>#REF!</v>
      </c>
      <c r="F1495" s="29" t="e">
        <f>VLOOKUP(D1495,数据集标准分类!G:H,2,0)</f>
        <v>#N/A</v>
      </c>
      <c r="G1495" s="29" t="s">
        <v>3336</v>
      </c>
      <c r="H1495" s="29" t="s">
        <v>3337</v>
      </c>
      <c r="I1495" s="29" t="s">
        <v>3338</v>
      </c>
      <c r="J1495" s="29" t="s">
        <v>3339</v>
      </c>
      <c r="K1495" s="29"/>
      <c r="L1495" s="250">
        <v>6</v>
      </c>
      <c r="M1495" s="251"/>
    </row>
    <row r="1496" ht="16.8" spans="1:13">
      <c r="A1496" s="248" t="s">
        <v>3066</v>
      </c>
      <c r="B1496" s="183" t="s">
        <v>4317</v>
      </c>
      <c r="C1496" s="249" t="e">
        <f>VLOOKUP(D1496,#REF!,2,0)</f>
        <v>#REF!</v>
      </c>
      <c r="D1496" s="266" t="s">
        <v>3415</v>
      </c>
      <c r="E1496" s="18" t="e">
        <f>VLOOKUP(C1496,数据集标准分类!E:F,2,0)</f>
        <v>#REF!</v>
      </c>
      <c r="F1496" s="29" t="e">
        <f>VLOOKUP(D1496,数据集标准分类!G:H,2,0)</f>
        <v>#N/A</v>
      </c>
      <c r="G1496" s="29" t="s">
        <v>3192</v>
      </c>
      <c r="H1496" s="29" t="s">
        <v>3193</v>
      </c>
      <c r="I1496" s="29" t="s">
        <v>3194</v>
      </c>
      <c r="J1496" s="29" t="s">
        <v>3195</v>
      </c>
      <c r="K1496" s="29"/>
      <c r="L1496" s="250">
        <v>1</v>
      </c>
      <c r="M1496" s="251"/>
    </row>
    <row r="1497" ht="16.8" spans="1:13">
      <c r="A1497" s="248" t="s">
        <v>3066</v>
      </c>
      <c r="B1497" s="183" t="s">
        <v>4317</v>
      </c>
      <c r="C1497" s="249" t="e">
        <f>VLOOKUP(D1497,#REF!,2,0)</f>
        <v>#REF!</v>
      </c>
      <c r="D1497" s="266" t="s">
        <v>3415</v>
      </c>
      <c r="E1497" s="18" t="e">
        <f>VLOOKUP(C1497,数据集标准分类!E:F,2,0)</f>
        <v>#REF!</v>
      </c>
      <c r="F1497" s="29" t="e">
        <f>VLOOKUP(D1497,数据集标准分类!G:H,2,0)</f>
        <v>#N/A</v>
      </c>
      <c r="G1497" s="29" t="s">
        <v>3361</v>
      </c>
      <c r="H1497" s="29" t="s">
        <v>3362</v>
      </c>
      <c r="I1497" s="29" t="s">
        <v>3363</v>
      </c>
      <c r="J1497" s="29" t="s">
        <v>3364</v>
      </c>
      <c r="K1497" s="29"/>
      <c r="L1497" s="250">
        <v>2</v>
      </c>
      <c r="M1497" s="251"/>
    </row>
    <row r="1498" ht="16.8" spans="1:13">
      <c r="A1498" s="248" t="s">
        <v>3066</v>
      </c>
      <c r="B1498" s="183" t="s">
        <v>4317</v>
      </c>
      <c r="C1498" s="249" t="e">
        <f>VLOOKUP(D1498,#REF!,2,0)</f>
        <v>#REF!</v>
      </c>
      <c r="D1498" s="266" t="s">
        <v>3415</v>
      </c>
      <c r="E1498" s="18" t="e">
        <f>VLOOKUP(C1498,数据集标准分类!E:F,2,0)</f>
        <v>#REF!</v>
      </c>
      <c r="F1498" s="29" t="e">
        <f>VLOOKUP(D1498,数据集标准分类!G:H,2,0)</f>
        <v>#N/A</v>
      </c>
      <c r="G1498" s="29" t="s">
        <v>1496</v>
      </c>
      <c r="H1498" s="29" t="s">
        <v>1497</v>
      </c>
      <c r="I1498" s="29" t="s">
        <v>1498</v>
      </c>
      <c r="J1498" s="29" t="s">
        <v>1499</v>
      </c>
      <c r="K1498" s="29"/>
      <c r="L1498" s="250">
        <v>3</v>
      </c>
      <c r="M1498" s="251"/>
    </row>
    <row r="1499" ht="16.8" spans="1:13">
      <c r="A1499" s="248" t="s">
        <v>3066</v>
      </c>
      <c r="B1499" s="183" t="s">
        <v>4317</v>
      </c>
      <c r="C1499" s="249" t="e">
        <f>VLOOKUP(D1499,#REF!,2,0)</f>
        <v>#REF!</v>
      </c>
      <c r="D1499" s="266" t="s">
        <v>3415</v>
      </c>
      <c r="E1499" s="18" t="e">
        <f>VLOOKUP(C1499,数据集标准分类!E:F,2,0)</f>
        <v>#REF!</v>
      </c>
      <c r="F1499" s="29" t="e">
        <f>VLOOKUP(D1499,数据集标准分类!G:H,2,0)</f>
        <v>#N/A</v>
      </c>
      <c r="G1499" s="29" t="s">
        <v>3199</v>
      </c>
      <c r="H1499" s="29" t="s">
        <v>3200</v>
      </c>
      <c r="I1499" s="29" t="s">
        <v>3201</v>
      </c>
      <c r="J1499" s="29" t="s">
        <v>3202</v>
      </c>
      <c r="K1499" s="29"/>
      <c r="L1499" s="250">
        <v>4</v>
      </c>
      <c r="M1499" s="251"/>
    </row>
    <row r="1500" ht="16.8" spans="1:13">
      <c r="A1500" s="248" t="s">
        <v>3066</v>
      </c>
      <c r="B1500" s="183" t="s">
        <v>4317</v>
      </c>
      <c r="C1500" s="249" t="e">
        <f>VLOOKUP(D1500,#REF!,2,0)</f>
        <v>#REF!</v>
      </c>
      <c r="D1500" s="266" t="s">
        <v>3415</v>
      </c>
      <c r="E1500" s="18" t="e">
        <f>VLOOKUP(C1500,数据集标准分类!E:F,2,0)</f>
        <v>#REF!</v>
      </c>
      <c r="F1500" s="29" t="e">
        <f>VLOOKUP(D1500,数据集标准分类!G:H,2,0)</f>
        <v>#N/A</v>
      </c>
      <c r="G1500" s="29" t="s">
        <v>3366</v>
      </c>
      <c r="H1500" s="29" t="s">
        <v>3367</v>
      </c>
      <c r="I1500" s="29" t="s">
        <v>3368</v>
      </c>
      <c r="J1500" s="29" t="s">
        <v>3369</v>
      </c>
      <c r="K1500" s="29"/>
      <c r="L1500" s="250">
        <v>5</v>
      </c>
      <c r="M1500" s="251"/>
    </row>
    <row r="1501" ht="16.8" spans="1:13">
      <c r="A1501" s="248" t="s">
        <v>3066</v>
      </c>
      <c r="B1501" s="183" t="s">
        <v>4317</v>
      </c>
      <c r="C1501" s="249" t="e">
        <f>VLOOKUP(D1501,#REF!,2,0)</f>
        <v>#REF!</v>
      </c>
      <c r="D1501" s="266" t="s">
        <v>3415</v>
      </c>
      <c r="E1501" s="18" t="e">
        <f>VLOOKUP(C1501,数据集标准分类!E:F,2,0)</f>
        <v>#REF!</v>
      </c>
      <c r="F1501" s="29" t="e">
        <f>VLOOKUP(D1501,数据集标准分类!G:H,2,0)</f>
        <v>#N/A</v>
      </c>
      <c r="G1501" s="29" t="s">
        <v>3336</v>
      </c>
      <c r="H1501" s="29" t="s">
        <v>3337</v>
      </c>
      <c r="I1501" s="29" t="s">
        <v>3338</v>
      </c>
      <c r="J1501" s="29" t="s">
        <v>3339</v>
      </c>
      <c r="K1501" s="29"/>
      <c r="L1501" s="250">
        <v>6</v>
      </c>
      <c r="M1501" s="251"/>
    </row>
    <row r="1502" ht="16.8" spans="1:13">
      <c r="A1502" s="248" t="s">
        <v>3066</v>
      </c>
      <c r="B1502" s="183" t="s">
        <v>4317</v>
      </c>
      <c r="C1502" s="249" t="e">
        <f>VLOOKUP(D1502,#REF!,2,0)</f>
        <v>#REF!</v>
      </c>
      <c r="D1502" s="266" t="s">
        <v>3416</v>
      </c>
      <c r="E1502" s="18" t="e">
        <f>VLOOKUP(C1502,数据集标准分类!E:F,2,0)</f>
        <v>#REF!</v>
      </c>
      <c r="F1502" s="29" t="e">
        <f>VLOOKUP(D1502,数据集标准分类!G:H,2,0)</f>
        <v>#N/A</v>
      </c>
      <c r="G1502" s="29" t="s">
        <v>3192</v>
      </c>
      <c r="H1502" s="29" t="s">
        <v>3193</v>
      </c>
      <c r="I1502" s="29" t="s">
        <v>3194</v>
      </c>
      <c r="J1502" s="29" t="s">
        <v>3195</v>
      </c>
      <c r="K1502" s="29"/>
      <c r="L1502" s="250">
        <v>1</v>
      </c>
      <c r="M1502" s="251"/>
    </row>
    <row r="1503" ht="16.8" spans="1:13">
      <c r="A1503" s="248" t="s">
        <v>3066</v>
      </c>
      <c r="B1503" s="183" t="s">
        <v>4317</v>
      </c>
      <c r="C1503" s="249" t="e">
        <f>VLOOKUP(D1503,#REF!,2,0)</f>
        <v>#REF!</v>
      </c>
      <c r="D1503" s="266" t="s">
        <v>3416</v>
      </c>
      <c r="E1503" s="18" t="e">
        <f>VLOOKUP(C1503,数据集标准分类!E:F,2,0)</f>
        <v>#REF!</v>
      </c>
      <c r="F1503" s="29" t="e">
        <f>VLOOKUP(D1503,数据集标准分类!G:H,2,0)</f>
        <v>#N/A</v>
      </c>
      <c r="G1503" s="29" t="s">
        <v>3361</v>
      </c>
      <c r="H1503" s="29" t="s">
        <v>3362</v>
      </c>
      <c r="I1503" s="29" t="s">
        <v>3363</v>
      </c>
      <c r="J1503" s="29" t="s">
        <v>3364</v>
      </c>
      <c r="K1503" s="29"/>
      <c r="L1503" s="250">
        <v>2</v>
      </c>
      <c r="M1503" s="251"/>
    </row>
    <row r="1504" ht="16.8" spans="1:13">
      <c r="A1504" s="248" t="s">
        <v>3066</v>
      </c>
      <c r="B1504" s="183" t="s">
        <v>4317</v>
      </c>
      <c r="C1504" s="249" t="e">
        <f>VLOOKUP(D1504,#REF!,2,0)</f>
        <v>#REF!</v>
      </c>
      <c r="D1504" s="266" t="s">
        <v>3416</v>
      </c>
      <c r="E1504" s="18" t="e">
        <f>VLOOKUP(C1504,数据集标准分类!E:F,2,0)</f>
        <v>#REF!</v>
      </c>
      <c r="F1504" s="29" t="e">
        <f>VLOOKUP(D1504,数据集标准分类!G:H,2,0)</f>
        <v>#N/A</v>
      </c>
      <c r="G1504" s="29" t="s">
        <v>1496</v>
      </c>
      <c r="H1504" s="29" t="s">
        <v>1497</v>
      </c>
      <c r="I1504" s="29" t="s">
        <v>1498</v>
      </c>
      <c r="J1504" s="29" t="s">
        <v>1499</v>
      </c>
      <c r="K1504" s="29"/>
      <c r="L1504" s="250">
        <v>3</v>
      </c>
      <c r="M1504" s="251"/>
    </row>
    <row r="1505" ht="16.8" spans="1:13">
      <c r="A1505" s="248" t="s">
        <v>3066</v>
      </c>
      <c r="B1505" s="183" t="s">
        <v>4317</v>
      </c>
      <c r="C1505" s="249" t="e">
        <f>VLOOKUP(D1505,#REF!,2,0)</f>
        <v>#REF!</v>
      </c>
      <c r="D1505" s="266" t="s">
        <v>3416</v>
      </c>
      <c r="E1505" s="18" t="e">
        <f>VLOOKUP(C1505,数据集标准分类!E:F,2,0)</f>
        <v>#REF!</v>
      </c>
      <c r="F1505" s="29" t="e">
        <f>VLOOKUP(D1505,数据集标准分类!G:H,2,0)</f>
        <v>#N/A</v>
      </c>
      <c r="G1505" s="29" t="s">
        <v>3199</v>
      </c>
      <c r="H1505" s="29" t="s">
        <v>3200</v>
      </c>
      <c r="I1505" s="29" t="s">
        <v>3201</v>
      </c>
      <c r="J1505" s="29" t="s">
        <v>3202</v>
      </c>
      <c r="K1505" s="29"/>
      <c r="L1505" s="250">
        <v>4</v>
      </c>
      <c r="M1505" s="251"/>
    </row>
    <row r="1506" ht="36" customHeight="1" spans="1:13">
      <c r="A1506" s="248" t="s">
        <v>3066</v>
      </c>
      <c r="B1506" s="183" t="s">
        <v>4317</v>
      </c>
      <c r="C1506" s="249" t="e">
        <f>VLOOKUP(D1506,#REF!,2,0)</f>
        <v>#REF!</v>
      </c>
      <c r="D1506" s="266" t="s">
        <v>3416</v>
      </c>
      <c r="E1506" s="18" t="e">
        <f>VLOOKUP(C1506,数据集标准分类!E:F,2,0)</f>
        <v>#REF!</v>
      </c>
      <c r="F1506" s="29" t="e">
        <f>VLOOKUP(D1506,数据集标准分类!G:H,2,0)</f>
        <v>#N/A</v>
      </c>
      <c r="G1506" s="29" t="s">
        <v>3366</v>
      </c>
      <c r="H1506" s="29" t="s">
        <v>3367</v>
      </c>
      <c r="I1506" s="29" t="s">
        <v>3368</v>
      </c>
      <c r="J1506" s="29" t="s">
        <v>3369</v>
      </c>
      <c r="K1506" s="29"/>
      <c r="L1506" s="250">
        <v>5</v>
      </c>
      <c r="M1506" s="251"/>
    </row>
    <row r="1507" ht="16.8" spans="1:13">
      <c r="A1507" s="248" t="s">
        <v>3066</v>
      </c>
      <c r="B1507" s="183" t="s">
        <v>4317</v>
      </c>
      <c r="C1507" s="249" t="e">
        <f>VLOOKUP(D1507,#REF!,2,0)</f>
        <v>#REF!</v>
      </c>
      <c r="D1507" s="266" t="s">
        <v>3416</v>
      </c>
      <c r="E1507" s="18" t="e">
        <f>VLOOKUP(C1507,数据集标准分类!E:F,2,0)</f>
        <v>#REF!</v>
      </c>
      <c r="F1507" s="29" t="e">
        <f>VLOOKUP(D1507,数据集标准分类!G:H,2,0)</f>
        <v>#N/A</v>
      </c>
      <c r="G1507" s="29" t="s">
        <v>3336</v>
      </c>
      <c r="H1507" s="29" t="s">
        <v>3337</v>
      </c>
      <c r="I1507" s="29" t="s">
        <v>3338</v>
      </c>
      <c r="J1507" s="29" t="s">
        <v>3339</v>
      </c>
      <c r="K1507" s="29"/>
      <c r="L1507" s="250">
        <v>6</v>
      </c>
      <c r="M1507" s="251"/>
    </row>
    <row r="1508" ht="16.8" spans="1:13">
      <c r="A1508" s="248" t="s">
        <v>3066</v>
      </c>
      <c r="B1508" s="183" t="s">
        <v>4317</v>
      </c>
      <c r="C1508" s="249" t="e">
        <f>VLOOKUP(D1508,#REF!,2,0)</f>
        <v>#REF!</v>
      </c>
      <c r="D1508" s="266" t="s">
        <v>3417</v>
      </c>
      <c r="E1508" s="18" t="e">
        <f>VLOOKUP(C1508,数据集标准分类!E:F,2,0)</f>
        <v>#REF!</v>
      </c>
      <c r="F1508" s="29" t="e">
        <f>VLOOKUP(D1508,数据集标准分类!G:H,2,0)</f>
        <v>#N/A</v>
      </c>
      <c r="G1508" s="29" t="s">
        <v>3192</v>
      </c>
      <c r="H1508" s="29" t="s">
        <v>3193</v>
      </c>
      <c r="I1508" s="29" t="s">
        <v>3194</v>
      </c>
      <c r="J1508" s="29" t="s">
        <v>3195</v>
      </c>
      <c r="K1508" s="29"/>
      <c r="L1508" s="250">
        <v>1</v>
      </c>
      <c r="M1508" s="251"/>
    </row>
    <row r="1509" ht="16.8" spans="1:13">
      <c r="A1509" s="248" t="s">
        <v>3066</v>
      </c>
      <c r="B1509" s="183" t="s">
        <v>4317</v>
      </c>
      <c r="C1509" s="249" t="e">
        <f>VLOOKUP(D1509,#REF!,2,0)</f>
        <v>#REF!</v>
      </c>
      <c r="D1509" s="266" t="s">
        <v>3417</v>
      </c>
      <c r="E1509" s="18" t="e">
        <f>VLOOKUP(C1509,数据集标准分类!E:F,2,0)</f>
        <v>#REF!</v>
      </c>
      <c r="F1509" s="29" t="e">
        <f>VLOOKUP(D1509,数据集标准分类!G:H,2,0)</f>
        <v>#N/A</v>
      </c>
      <c r="G1509" s="29" t="s">
        <v>3361</v>
      </c>
      <c r="H1509" s="29" t="s">
        <v>3362</v>
      </c>
      <c r="I1509" s="29" t="s">
        <v>3363</v>
      </c>
      <c r="J1509" s="29" t="s">
        <v>3364</v>
      </c>
      <c r="K1509" s="29"/>
      <c r="L1509" s="250">
        <v>2</v>
      </c>
      <c r="M1509" s="251"/>
    </row>
    <row r="1510" ht="16.8" spans="1:13">
      <c r="A1510" s="248" t="s">
        <v>3066</v>
      </c>
      <c r="B1510" s="183" t="s">
        <v>4317</v>
      </c>
      <c r="C1510" s="249" t="e">
        <f>VLOOKUP(D1510,#REF!,2,0)</f>
        <v>#REF!</v>
      </c>
      <c r="D1510" s="266" t="s">
        <v>3417</v>
      </c>
      <c r="E1510" s="18" t="e">
        <f>VLOOKUP(C1510,数据集标准分类!E:F,2,0)</f>
        <v>#REF!</v>
      </c>
      <c r="F1510" s="29" t="e">
        <f>VLOOKUP(D1510,数据集标准分类!G:H,2,0)</f>
        <v>#N/A</v>
      </c>
      <c r="G1510" s="29" t="s">
        <v>1496</v>
      </c>
      <c r="H1510" s="29" t="s">
        <v>1497</v>
      </c>
      <c r="I1510" s="29" t="s">
        <v>1498</v>
      </c>
      <c r="J1510" s="29" t="s">
        <v>1499</v>
      </c>
      <c r="K1510" s="29"/>
      <c r="L1510" s="250">
        <v>3</v>
      </c>
      <c r="M1510" s="251"/>
    </row>
    <row r="1511" ht="16.8" spans="1:13">
      <c r="A1511" s="248" t="s">
        <v>3066</v>
      </c>
      <c r="B1511" s="183" t="s">
        <v>4317</v>
      </c>
      <c r="C1511" s="249" t="e">
        <f>VLOOKUP(D1511,#REF!,2,0)</f>
        <v>#REF!</v>
      </c>
      <c r="D1511" s="266" t="s">
        <v>3417</v>
      </c>
      <c r="E1511" s="18" t="e">
        <f>VLOOKUP(C1511,数据集标准分类!E:F,2,0)</f>
        <v>#REF!</v>
      </c>
      <c r="F1511" s="29" t="e">
        <f>VLOOKUP(D1511,数据集标准分类!G:H,2,0)</f>
        <v>#N/A</v>
      </c>
      <c r="G1511" s="29" t="s">
        <v>3199</v>
      </c>
      <c r="H1511" s="29" t="s">
        <v>3200</v>
      </c>
      <c r="I1511" s="29" t="s">
        <v>3201</v>
      </c>
      <c r="J1511" s="29" t="s">
        <v>3202</v>
      </c>
      <c r="K1511" s="29"/>
      <c r="L1511" s="250">
        <v>4</v>
      </c>
      <c r="M1511" s="251"/>
    </row>
    <row r="1512" ht="36" customHeight="1" spans="1:13">
      <c r="A1512" s="248" t="s">
        <v>3066</v>
      </c>
      <c r="B1512" s="183" t="s">
        <v>4317</v>
      </c>
      <c r="C1512" s="249" t="e">
        <f>VLOOKUP(D1512,#REF!,2,0)</f>
        <v>#REF!</v>
      </c>
      <c r="D1512" s="266" t="s">
        <v>3417</v>
      </c>
      <c r="E1512" s="18" t="e">
        <f>VLOOKUP(C1512,数据集标准分类!E:F,2,0)</f>
        <v>#REF!</v>
      </c>
      <c r="F1512" s="29" t="e">
        <f>VLOOKUP(D1512,数据集标准分类!G:H,2,0)</f>
        <v>#N/A</v>
      </c>
      <c r="G1512" s="29" t="s">
        <v>3366</v>
      </c>
      <c r="H1512" s="29" t="s">
        <v>3367</v>
      </c>
      <c r="I1512" s="29" t="s">
        <v>3368</v>
      </c>
      <c r="J1512" s="29" t="s">
        <v>3369</v>
      </c>
      <c r="K1512" s="29"/>
      <c r="L1512" s="250">
        <v>5</v>
      </c>
      <c r="M1512" s="251"/>
    </row>
    <row r="1513" ht="16.8" spans="1:13">
      <c r="A1513" s="248" t="s">
        <v>3066</v>
      </c>
      <c r="B1513" s="183" t="s">
        <v>4317</v>
      </c>
      <c r="C1513" s="249" t="e">
        <f>VLOOKUP(D1513,#REF!,2,0)</f>
        <v>#REF!</v>
      </c>
      <c r="D1513" s="266" t="s">
        <v>3417</v>
      </c>
      <c r="E1513" s="18" t="e">
        <f>VLOOKUP(C1513,数据集标准分类!E:F,2,0)</f>
        <v>#REF!</v>
      </c>
      <c r="F1513" s="29" t="e">
        <f>VLOOKUP(D1513,数据集标准分类!G:H,2,0)</f>
        <v>#N/A</v>
      </c>
      <c r="G1513" s="29" t="s">
        <v>3336</v>
      </c>
      <c r="H1513" s="29" t="s">
        <v>3337</v>
      </c>
      <c r="I1513" s="29" t="s">
        <v>3338</v>
      </c>
      <c r="J1513" s="29" t="s">
        <v>3339</v>
      </c>
      <c r="K1513" s="29"/>
      <c r="L1513" s="250">
        <v>6</v>
      </c>
      <c r="M1513" s="251"/>
    </row>
    <row r="1514" ht="16.8" spans="1:13">
      <c r="A1514" s="248" t="s">
        <v>3066</v>
      </c>
      <c r="B1514" s="183" t="s">
        <v>4317</v>
      </c>
      <c r="C1514" s="249" t="e">
        <f>VLOOKUP(D1514,#REF!,2,0)</f>
        <v>#REF!</v>
      </c>
      <c r="D1514" s="266" t="s">
        <v>3418</v>
      </c>
      <c r="E1514" s="18" t="e">
        <f>VLOOKUP(C1514,数据集标准分类!E:F,2,0)</f>
        <v>#REF!</v>
      </c>
      <c r="F1514" s="29" t="e">
        <f>VLOOKUP(D1514,数据集标准分类!G:H,2,0)</f>
        <v>#N/A</v>
      </c>
      <c r="G1514" s="29" t="s">
        <v>3192</v>
      </c>
      <c r="H1514" s="29" t="s">
        <v>3193</v>
      </c>
      <c r="I1514" s="29" t="s">
        <v>3194</v>
      </c>
      <c r="J1514" s="29" t="s">
        <v>3195</v>
      </c>
      <c r="K1514" s="29"/>
      <c r="L1514" s="250">
        <v>1</v>
      </c>
      <c r="M1514" s="251"/>
    </row>
    <row r="1515" ht="16.8" spans="1:13">
      <c r="A1515" s="248" t="s">
        <v>3066</v>
      </c>
      <c r="B1515" s="183" t="s">
        <v>4317</v>
      </c>
      <c r="C1515" s="249" t="e">
        <f>VLOOKUP(D1515,#REF!,2,0)</f>
        <v>#REF!</v>
      </c>
      <c r="D1515" s="266" t="s">
        <v>3418</v>
      </c>
      <c r="E1515" s="18" t="e">
        <f>VLOOKUP(C1515,数据集标准分类!E:F,2,0)</f>
        <v>#REF!</v>
      </c>
      <c r="F1515" s="29" t="e">
        <f>VLOOKUP(D1515,数据集标准分类!G:H,2,0)</f>
        <v>#N/A</v>
      </c>
      <c r="G1515" s="29" t="s">
        <v>3199</v>
      </c>
      <c r="H1515" s="29" t="s">
        <v>3200</v>
      </c>
      <c r="I1515" s="29" t="s">
        <v>3201</v>
      </c>
      <c r="J1515" s="29" t="s">
        <v>3202</v>
      </c>
      <c r="K1515" s="29"/>
      <c r="L1515" s="250">
        <v>2</v>
      </c>
      <c r="M1515" s="251"/>
    </row>
    <row r="1516" ht="16.8" spans="1:13">
      <c r="A1516" s="248" t="s">
        <v>3066</v>
      </c>
      <c r="B1516" s="183" t="s">
        <v>4317</v>
      </c>
      <c r="C1516" s="249" t="e">
        <f>VLOOKUP(D1516,#REF!,2,0)</f>
        <v>#REF!</v>
      </c>
      <c r="D1516" s="266" t="s">
        <v>3418</v>
      </c>
      <c r="E1516" s="18" t="e">
        <f>VLOOKUP(C1516,数据集标准分类!E:F,2,0)</f>
        <v>#REF!</v>
      </c>
      <c r="F1516" s="29" t="e">
        <f>VLOOKUP(D1516,数据集标准分类!G:H,2,0)</f>
        <v>#N/A</v>
      </c>
      <c r="G1516" s="29" t="s">
        <v>3366</v>
      </c>
      <c r="H1516" s="29" t="s">
        <v>3367</v>
      </c>
      <c r="I1516" s="29" t="s">
        <v>3368</v>
      </c>
      <c r="J1516" s="29" t="s">
        <v>3369</v>
      </c>
      <c r="K1516" s="29"/>
      <c r="L1516" s="250">
        <v>3</v>
      </c>
      <c r="M1516" s="251"/>
    </row>
    <row r="1517" customHeight="1" spans="1:13">
      <c r="A1517" s="248" t="s">
        <v>3066</v>
      </c>
      <c r="B1517" s="183" t="s">
        <v>4317</v>
      </c>
      <c r="C1517" s="249" t="e">
        <f>VLOOKUP(D1517,#REF!,2,0)</f>
        <v>#REF!</v>
      </c>
      <c r="D1517" s="266" t="s">
        <v>3418</v>
      </c>
      <c r="E1517" s="18" t="e">
        <f>VLOOKUP(C1517,数据集标准分类!E:F,2,0)</f>
        <v>#REF!</v>
      </c>
      <c r="F1517" s="29" t="e">
        <f>VLOOKUP(D1517,数据集标准分类!G:H,2,0)</f>
        <v>#N/A</v>
      </c>
      <c r="G1517" s="29" t="s">
        <v>3336</v>
      </c>
      <c r="H1517" s="29" t="s">
        <v>3337</v>
      </c>
      <c r="I1517" s="29" t="s">
        <v>3338</v>
      </c>
      <c r="J1517" s="29" t="s">
        <v>3339</v>
      </c>
      <c r="K1517" s="29"/>
      <c r="L1517" s="250">
        <v>4</v>
      </c>
      <c r="M1517" s="251"/>
    </row>
    <row r="1518" ht="16.8" spans="1:13">
      <c r="A1518" s="248" t="s">
        <v>3066</v>
      </c>
      <c r="B1518" s="183" t="s">
        <v>4317</v>
      </c>
      <c r="C1518" s="249" t="e">
        <f>VLOOKUP(D1518,#REF!,2,0)</f>
        <v>#REF!</v>
      </c>
      <c r="D1518" s="266" t="s">
        <v>3419</v>
      </c>
      <c r="E1518" s="18" t="e">
        <f>VLOOKUP(C1518,数据集标准分类!E:F,2,0)</f>
        <v>#REF!</v>
      </c>
      <c r="F1518" s="29" t="e">
        <f>VLOOKUP(D1518,数据集标准分类!G:H,2,0)</f>
        <v>#N/A</v>
      </c>
      <c r="G1518" s="29" t="s">
        <v>3192</v>
      </c>
      <c r="H1518" s="29" t="s">
        <v>3193</v>
      </c>
      <c r="I1518" s="29" t="s">
        <v>3194</v>
      </c>
      <c r="J1518" s="29" t="s">
        <v>3195</v>
      </c>
      <c r="K1518" s="29"/>
      <c r="L1518" s="250">
        <v>1</v>
      </c>
      <c r="M1518" s="251"/>
    </row>
    <row r="1519" ht="16.8" spans="1:13">
      <c r="A1519" s="248" t="s">
        <v>3066</v>
      </c>
      <c r="B1519" s="183" t="s">
        <v>4317</v>
      </c>
      <c r="C1519" s="249" t="e">
        <f>VLOOKUP(D1519,#REF!,2,0)</f>
        <v>#REF!</v>
      </c>
      <c r="D1519" s="266" t="s">
        <v>3419</v>
      </c>
      <c r="E1519" s="18" t="e">
        <f>VLOOKUP(C1519,数据集标准分类!E:F,2,0)</f>
        <v>#REF!</v>
      </c>
      <c r="F1519" s="29" t="e">
        <f>VLOOKUP(D1519,数据集标准分类!G:H,2,0)</f>
        <v>#N/A</v>
      </c>
      <c r="G1519" s="29" t="s">
        <v>3361</v>
      </c>
      <c r="H1519" s="29" t="s">
        <v>3362</v>
      </c>
      <c r="I1519" s="29" t="s">
        <v>3363</v>
      </c>
      <c r="J1519" s="29" t="s">
        <v>3364</v>
      </c>
      <c r="K1519" s="29"/>
      <c r="L1519" s="250">
        <v>2</v>
      </c>
      <c r="M1519" s="251"/>
    </row>
    <row r="1520" ht="16.8" spans="1:13">
      <c r="A1520" s="248" t="s">
        <v>3066</v>
      </c>
      <c r="B1520" s="183" t="s">
        <v>4317</v>
      </c>
      <c r="C1520" s="249" t="e">
        <f>VLOOKUP(D1520,#REF!,2,0)</f>
        <v>#REF!</v>
      </c>
      <c r="D1520" s="266" t="s">
        <v>3419</v>
      </c>
      <c r="E1520" s="18" t="e">
        <f>VLOOKUP(C1520,数据集标准分类!E:F,2,0)</f>
        <v>#REF!</v>
      </c>
      <c r="F1520" s="29" t="e">
        <f>VLOOKUP(D1520,数据集标准分类!G:H,2,0)</f>
        <v>#N/A</v>
      </c>
      <c r="G1520" s="29" t="s">
        <v>1496</v>
      </c>
      <c r="H1520" s="29" t="s">
        <v>1497</v>
      </c>
      <c r="I1520" s="29" t="s">
        <v>1498</v>
      </c>
      <c r="J1520" s="29" t="s">
        <v>1499</v>
      </c>
      <c r="K1520" s="29"/>
      <c r="L1520" s="250">
        <v>3</v>
      </c>
      <c r="M1520" s="251"/>
    </row>
    <row r="1521" ht="16.8" spans="1:13">
      <c r="A1521" s="248" t="s">
        <v>3066</v>
      </c>
      <c r="B1521" s="183" t="s">
        <v>4317</v>
      </c>
      <c r="C1521" s="249" t="e">
        <f>VLOOKUP(D1521,#REF!,2,0)</f>
        <v>#REF!</v>
      </c>
      <c r="D1521" s="266" t="s">
        <v>3419</v>
      </c>
      <c r="E1521" s="18" t="e">
        <f>VLOOKUP(C1521,数据集标准分类!E:F,2,0)</f>
        <v>#REF!</v>
      </c>
      <c r="F1521" s="29" t="e">
        <f>VLOOKUP(D1521,数据集标准分类!G:H,2,0)</f>
        <v>#N/A</v>
      </c>
      <c r="G1521" s="29" t="s">
        <v>3199</v>
      </c>
      <c r="H1521" s="29" t="s">
        <v>3200</v>
      </c>
      <c r="I1521" s="29" t="s">
        <v>3201</v>
      </c>
      <c r="J1521" s="29" t="s">
        <v>3202</v>
      </c>
      <c r="K1521" s="29"/>
      <c r="L1521" s="250">
        <v>4</v>
      </c>
      <c r="M1521" s="251"/>
    </row>
    <row r="1522" ht="16.8" spans="1:13">
      <c r="A1522" s="248" t="s">
        <v>3066</v>
      </c>
      <c r="B1522" s="183" t="s">
        <v>4317</v>
      </c>
      <c r="C1522" s="249" t="e">
        <f>VLOOKUP(D1522,#REF!,2,0)</f>
        <v>#REF!</v>
      </c>
      <c r="D1522" s="266" t="s">
        <v>3419</v>
      </c>
      <c r="E1522" s="18" t="e">
        <f>VLOOKUP(C1522,数据集标准分类!E:F,2,0)</f>
        <v>#REF!</v>
      </c>
      <c r="F1522" s="29" t="e">
        <f>VLOOKUP(D1522,数据集标准分类!G:H,2,0)</f>
        <v>#N/A</v>
      </c>
      <c r="G1522" s="29" t="s">
        <v>3366</v>
      </c>
      <c r="H1522" s="29" t="s">
        <v>3367</v>
      </c>
      <c r="I1522" s="29" t="s">
        <v>3368</v>
      </c>
      <c r="J1522" s="29" t="s">
        <v>3369</v>
      </c>
      <c r="K1522" s="29"/>
      <c r="L1522" s="250">
        <v>5</v>
      </c>
      <c r="M1522" s="251"/>
    </row>
    <row r="1523" ht="16.8" spans="1:13">
      <c r="A1523" s="248" t="s">
        <v>3066</v>
      </c>
      <c r="B1523" s="183" t="s">
        <v>4317</v>
      </c>
      <c r="C1523" s="249" t="e">
        <f>VLOOKUP(D1523,#REF!,2,0)</f>
        <v>#REF!</v>
      </c>
      <c r="D1523" s="266" t="s">
        <v>3419</v>
      </c>
      <c r="E1523" s="18" t="e">
        <f>VLOOKUP(C1523,数据集标准分类!E:F,2,0)</f>
        <v>#REF!</v>
      </c>
      <c r="F1523" s="29" t="e">
        <f>VLOOKUP(D1523,数据集标准分类!G:H,2,0)</f>
        <v>#N/A</v>
      </c>
      <c r="G1523" s="29" t="s">
        <v>3336</v>
      </c>
      <c r="H1523" s="29" t="s">
        <v>3337</v>
      </c>
      <c r="I1523" s="29" t="s">
        <v>3338</v>
      </c>
      <c r="J1523" s="29" t="s">
        <v>3339</v>
      </c>
      <c r="K1523" s="29"/>
      <c r="L1523" s="250">
        <v>6</v>
      </c>
      <c r="M1523" s="251"/>
    </row>
    <row r="1524" ht="17" spans="1:13">
      <c r="A1524" s="248" t="s">
        <v>3066</v>
      </c>
      <c r="B1524" s="183" t="s">
        <v>4317</v>
      </c>
      <c r="C1524" s="249" t="e">
        <f>VLOOKUP(D1524,#REF!,2,0)</f>
        <v>#REF!</v>
      </c>
      <c r="D1524" s="179" t="s">
        <v>5572</v>
      </c>
      <c r="E1524" s="18" t="e">
        <f>VLOOKUP(C1524,数据集标准分类!E:F,2,0)</f>
        <v>#REF!</v>
      </c>
      <c r="F1524" s="29" t="e">
        <f>VLOOKUP(D1524,数据集标准分类!G:H,2,0)</f>
        <v>#N/A</v>
      </c>
      <c r="G1524" s="146" t="s">
        <v>5565</v>
      </c>
      <c r="H1524" s="146" t="s">
        <v>5566</v>
      </c>
      <c r="I1524" s="146" t="s">
        <v>5567</v>
      </c>
      <c r="J1524" s="146" t="s">
        <v>5568</v>
      </c>
      <c r="K1524" s="151"/>
      <c r="L1524" s="184" t="s">
        <v>3351</v>
      </c>
      <c r="M1524" s="251"/>
    </row>
    <row r="1525" ht="17" spans="1:13">
      <c r="A1525" s="248" t="s">
        <v>3066</v>
      </c>
      <c r="B1525" s="183" t="s">
        <v>4317</v>
      </c>
      <c r="C1525" s="249" t="e">
        <f>VLOOKUP(D1525,#REF!,2,0)</f>
        <v>#REF!</v>
      </c>
      <c r="D1525" s="179" t="s">
        <v>5572</v>
      </c>
      <c r="E1525" s="18" t="e">
        <f>VLOOKUP(C1525,数据集标准分类!E:F,2,0)</f>
        <v>#REF!</v>
      </c>
      <c r="F1525" s="29" t="e">
        <f>VLOOKUP(D1525,数据集标准分类!G:H,2,0)</f>
        <v>#N/A</v>
      </c>
      <c r="G1525" s="146" t="s">
        <v>5561</v>
      </c>
      <c r="H1525" s="171" t="s">
        <v>5562</v>
      </c>
      <c r="I1525" s="171" t="s">
        <v>5563</v>
      </c>
      <c r="J1525" s="146" t="s">
        <v>5564</v>
      </c>
      <c r="K1525" s="151"/>
      <c r="L1525" s="184" t="s">
        <v>3352</v>
      </c>
      <c r="M1525" s="251"/>
    </row>
    <row r="1526" ht="17" spans="1:13">
      <c r="A1526" s="248" t="s">
        <v>3066</v>
      </c>
      <c r="B1526" s="183" t="s">
        <v>4317</v>
      </c>
      <c r="C1526" s="249" t="e">
        <f>VLOOKUP(D1526,#REF!,2,0)</f>
        <v>#REF!</v>
      </c>
      <c r="D1526" s="179" t="s">
        <v>5572</v>
      </c>
      <c r="E1526" s="18" t="e">
        <f>VLOOKUP(C1526,数据集标准分类!E:F,2,0)</f>
        <v>#REF!</v>
      </c>
      <c r="F1526" s="29" t="e">
        <f>VLOOKUP(D1526,数据集标准分类!G:H,2,0)</f>
        <v>#N/A</v>
      </c>
      <c r="G1526" s="146" t="s">
        <v>3641</v>
      </c>
      <c r="H1526" s="146" t="s">
        <v>3642</v>
      </c>
      <c r="I1526" s="146" t="s">
        <v>3643</v>
      </c>
      <c r="J1526" s="146" t="s">
        <v>3644</v>
      </c>
      <c r="K1526" s="151"/>
      <c r="L1526" s="184" t="s">
        <v>3353</v>
      </c>
      <c r="M1526" s="251"/>
    </row>
    <row r="1527" ht="17" spans="1:13">
      <c r="A1527" s="248" t="s">
        <v>3066</v>
      </c>
      <c r="B1527" s="183" t="s">
        <v>4317</v>
      </c>
      <c r="C1527" s="249" t="e">
        <f>VLOOKUP(D1527,#REF!,2,0)</f>
        <v>#REF!</v>
      </c>
      <c r="D1527" s="179" t="s">
        <v>5572</v>
      </c>
      <c r="E1527" s="18" t="e">
        <f>VLOOKUP(C1527,数据集标准分类!E:F,2,0)</f>
        <v>#REF!</v>
      </c>
      <c r="F1527" s="29" t="e">
        <f>VLOOKUP(D1527,数据集标准分类!G:H,2,0)</f>
        <v>#N/A</v>
      </c>
      <c r="G1527" s="146" t="s">
        <v>2889</v>
      </c>
      <c r="H1527" s="146" t="s">
        <v>2890</v>
      </c>
      <c r="I1527" s="146" t="s">
        <v>2891</v>
      </c>
      <c r="J1527" s="146" t="s">
        <v>2892</v>
      </c>
      <c r="K1527" s="151"/>
      <c r="L1527" s="184" t="s">
        <v>3365</v>
      </c>
      <c r="M1527" s="251"/>
    </row>
    <row r="1528" ht="17" spans="1:13">
      <c r="A1528" s="248" t="s">
        <v>3066</v>
      </c>
      <c r="B1528" s="183" t="s">
        <v>4317</v>
      </c>
      <c r="C1528" s="249" t="e">
        <f>VLOOKUP(D1528,#REF!,2,0)</f>
        <v>#REF!</v>
      </c>
      <c r="D1528" s="179" t="s">
        <v>5572</v>
      </c>
      <c r="E1528" s="18" t="e">
        <f>VLOOKUP(C1528,数据集标准分类!E:F,2,0)</f>
        <v>#REF!</v>
      </c>
      <c r="F1528" s="29" t="e">
        <f>VLOOKUP(D1528,数据集标准分类!G:H,2,0)</f>
        <v>#N/A</v>
      </c>
      <c r="G1528" s="146" t="s">
        <v>2935</v>
      </c>
      <c r="H1528" s="171" t="s">
        <v>2936</v>
      </c>
      <c r="I1528" s="171" t="s">
        <v>2937</v>
      </c>
      <c r="J1528" s="146" t="s">
        <v>5571</v>
      </c>
      <c r="K1528" s="151"/>
      <c r="L1528" s="184" t="s">
        <v>3370</v>
      </c>
      <c r="M1528" s="251"/>
    </row>
    <row r="1529" ht="17" spans="1:13">
      <c r="A1529" s="248" t="s">
        <v>3066</v>
      </c>
      <c r="B1529" s="183" t="s">
        <v>4317</v>
      </c>
      <c r="C1529" s="249" t="e">
        <f>VLOOKUP(D1529,#REF!,2,0)</f>
        <v>#REF!</v>
      </c>
      <c r="D1529" s="179" t="s">
        <v>5572</v>
      </c>
      <c r="E1529" s="18" t="e">
        <f>VLOOKUP(C1529,数据集标准分类!E:F,2,0)</f>
        <v>#REF!</v>
      </c>
      <c r="F1529" s="29" t="e">
        <f>VLOOKUP(D1529,数据集标准分类!G:H,2,0)</f>
        <v>#N/A</v>
      </c>
      <c r="G1529" s="146" t="s">
        <v>3196</v>
      </c>
      <c r="H1529" s="171" t="s">
        <v>3197</v>
      </c>
      <c r="I1529" s="171" t="s">
        <v>3198</v>
      </c>
      <c r="J1529" s="146" t="s">
        <v>2740</v>
      </c>
      <c r="K1529" s="151"/>
      <c r="L1529" s="184" t="s">
        <v>3371</v>
      </c>
      <c r="M1529" s="251"/>
    </row>
    <row r="1530" ht="17" spans="1:13">
      <c r="A1530" s="248" t="s">
        <v>3066</v>
      </c>
      <c r="B1530" s="183" t="s">
        <v>4317</v>
      </c>
      <c r="C1530" s="249" t="e">
        <f>VLOOKUP(D1530,#REF!,2,0)</f>
        <v>#REF!</v>
      </c>
      <c r="D1530" s="179" t="s">
        <v>5572</v>
      </c>
      <c r="E1530" s="18" t="e">
        <f>VLOOKUP(C1530,数据集标准分类!E:F,2,0)</f>
        <v>#REF!</v>
      </c>
      <c r="F1530" s="29" t="e">
        <f>VLOOKUP(D1530,数据集标准分类!G:H,2,0)</f>
        <v>#N/A</v>
      </c>
      <c r="G1530" s="146" t="s">
        <v>1774</v>
      </c>
      <c r="H1530" s="171" t="s">
        <v>1775</v>
      </c>
      <c r="I1530" s="171" t="s">
        <v>1776</v>
      </c>
      <c r="J1530" s="146" t="s">
        <v>1777</v>
      </c>
      <c r="K1530" s="151"/>
      <c r="L1530" s="184" t="s">
        <v>5555</v>
      </c>
      <c r="M1530" s="251"/>
    </row>
    <row r="1531" ht="17" spans="1:13">
      <c r="A1531" s="248" t="s">
        <v>3066</v>
      </c>
      <c r="B1531" s="183" t="s">
        <v>4317</v>
      </c>
      <c r="C1531" s="249" t="e">
        <f>VLOOKUP(D1531,#REF!,2,0)</f>
        <v>#REF!</v>
      </c>
      <c r="D1531" s="179" t="s">
        <v>5572</v>
      </c>
      <c r="E1531" s="18" t="e">
        <f>VLOOKUP(C1531,数据集标准分类!E:F,2,0)</f>
        <v>#REF!</v>
      </c>
      <c r="F1531" s="29" t="e">
        <f>VLOOKUP(D1531,数据集标准分类!G:H,2,0)</f>
        <v>#N/A</v>
      </c>
      <c r="G1531" s="146" t="s">
        <v>5556</v>
      </c>
      <c r="H1531" s="171" t="s">
        <v>5557</v>
      </c>
      <c r="I1531" s="171" t="s">
        <v>5558</v>
      </c>
      <c r="J1531" s="146" t="s">
        <v>5559</v>
      </c>
      <c r="K1531" s="151"/>
      <c r="L1531" s="184" t="s">
        <v>4488</v>
      </c>
      <c r="M1531" s="251"/>
    </row>
    <row r="1532" ht="17" spans="1:13">
      <c r="A1532" s="248" t="s">
        <v>3066</v>
      </c>
      <c r="B1532" s="183" t="s">
        <v>4317</v>
      </c>
      <c r="C1532" s="249" t="e">
        <f>VLOOKUP(D1532,#REF!,2,0)</f>
        <v>#REF!</v>
      </c>
      <c r="D1532" s="179" t="s">
        <v>5572</v>
      </c>
      <c r="E1532" s="18" t="e">
        <f>VLOOKUP(C1532,数据集标准分类!E:F,2,0)</f>
        <v>#REF!</v>
      </c>
      <c r="F1532" s="29" t="e">
        <f>VLOOKUP(D1532,数据集标准分类!G:H,2,0)</f>
        <v>#N/A</v>
      </c>
      <c r="G1532" s="171" t="s">
        <v>3192</v>
      </c>
      <c r="H1532" s="171" t="s">
        <v>3193</v>
      </c>
      <c r="I1532" s="171" t="s">
        <v>3194</v>
      </c>
      <c r="J1532" s="171" t="s">
        <v>3195</v>
      </c>
      <c r="K1532" s="151"/>
      <c r="L1532" s="184" t="s">
        <v>4492</v>
      </c>
      <c r="M1532" s="251"/>
    </row>
    <row r="1533" ht="17" spans="1:13">
      <c r="A1533" s="248" t="s">
        <v>3066</v>
      </c>
      <c r="B1533" s="183" t="s">
        <v>4317</v>
      </c>
      <c r="C1533" s="249" t="e">
        <f>VLOOKUP(D1533,#REF!,2,0)</f>
        <v>#REF!</v>
      </c>
      <c r="D1533" s="179" t="s">
        <v>5572</v>
      </c>
      <c r="E1533" s="18" t="e">
        <f>VLOOKUP(C1533,数据集标准分类!E:F,2,0)</f>
        <v>#REF!</v>
      </c>
      <c r="F1533" s="29" t="e">
        <f>VLOOKUP(D1533,数据集标准分类!G:H,2,0)</f>
        <v>#N/A</v>
      </c>
      <c r="G1533" s="171" t="s">
        <v>3332</v>
      </c>
      <c r="H1533" s="171" t="s">
        <v>3333</v>
      </c>
      <c r="I1533" s="171" t="s">
        <v>3334</v>
      </c>
      <c r="J1533" s="171" t="s">
        <v>3335</v>
      </c>
      <c r="K1533" s="151"/>
      <c r="L1533" s="184" t="s">
        <v>4495</v>
      </c>
      <c r="M1533" s="251"/>
    </row>
    <row r="1534" ht="17" spans="1:13">
      <c r="A1534" s="248" t="s">
        <v>3066</v>
      </c>
      <c r="B1534" s="183" t="s">
        <v>4317</v>
      </c>
      <c r="C1534" s="249" t="e">
        <f>VLOOKUP(D1534,#REF!,2,0)</f>
        <v>#REF!</v>
      </c>
      <c r="D1534" s="179" t="s">
        <v>5572</v>
      </c>
      <c r="E1534" s="18" t="e">
        <f>VLOOKUP(C1534,数据集标准分类!E:F,2,0)</f>
        <v>#REF!</v>
      </c>
      <c r="F1534" s="29" t="e">
        <f>VLOOKUP(D1534,数据集标准分类!G:H,2,0)</f>
        <v>#N/A</v>
      </c>
      <c r="G1534" s="171" t="s">
        <v>3336</v>
      </c>
      <c r="H1534" s="171" t="s">
        <v>3337</v>
      </c>
      <c r="I1534" s="171" t="s">
        <v>3338</v>
      </c>
      <c r="J1534" s="171" t="s">
        <v>3339</v>
      </c>
      <c r="K1534" s="151"/>
      <c r="L1534" s="184" t="s">
        <v>4499</v>
      </c>
      <c r="M1534" s="251"/>
    </row>
    <row r="1535" ht="17" spans="1:13">
      <c r="A1535" s="248" t="s">
        <v>3066</v>
      </c>
      <c r="B1535" s="183" t="s">
        <v>4317</v>
      </c>
      <c r="C1535" s="249" t="e">
        <f>VLOOKUP(D1535,#REF!,2,0)</f>
        <v>#REF!</v>
      </c>
      <c r="D1535" s="179" t="s">
        <v>5573</v>
      </c>
      <c r="E1535" s="18" t="e">
        <f>VLOOKUP(C1535,数据集标准分类!E:F,2,0)</f>
        <v>#REF!</v>
      </c>
      <c r="F1535" s="29" t="e">
        <f>VLOOKUP(D1535,数据集标准分类!G:H,2,0)</f>
        <v>#N/A</v>
      </c>
      <c r="G1535" s="146" t="s">
        <v>5565</v>
      </c>
      <c r="H1535" s="146" t="s">
        <v>5566</v>
      </c>
      <c r="I1535" s="146" t="s">
        <v>5567</v>
      </c>
      <c r="J1535" s="146" t="s">
        <v>5568</v>
      </c>
      <c r="K1535" s="151"/>
      <c r="L1535" s="184" t="s">
        <v>3351</v>
      </c>
      <c r="M1535" s="251"/>
    </row>
    <row r="1536" ht="17" spans="1:13">
      <c r="A1536" s="248" t="s">
        <v>3066</v>
      </c>
      <c r="B1536" s="183" t="s">
        <v>4317</v>
      </c>
      <c r="C1536" s="249" t="e">
        <f>VLOOKUP(D1536,#REF!,2,0)</f>
        <v>#REF!</v>
      </c>
      <c r="D1536" s="179" t="s">
        <v>5573</v>
      </c>
      <c r="E1536" s="18" t="e">
        <f>VLOOKUP(C1536,数据集标准分类!E:F,2,0)</f>
        <v>#REF!</v>
      </c>
      <c r="F1536" s="29" t="e">
        <f>VLOOKUP(D1536,数据集标准分类!G:H,2,0)</f>
        <v>#N/A</v>
      </c>
      <c r="G1536" s="146" t="s">
        <v>5561</v>
      </c>
      <c r="H1536" s="171" t="s">
        <v>5562</v>
      </c>
      <c r="I1536" s="171" t="s">
        <v>5563</v>
      </c>
      <c r="J1536" s="146" t="s">
        <v>5564</v>
      </c>
      <c r="K1536" s="151"/>
      <c r="L1536" s="184" t="s">
        <v>3352</v>
      </c>
      <c r="M1536" s="251"/>
    </row>
    <row r="1537" ht="17" spans="1:13">
      <c r="A1537" s="248" t="s">
        <v>3066</v>
      </c>
      <c r="B1537" s="183" t="s">
        <v>4317</v>
      </c>
      <c r="C1537" s="249" t="e">
        <f>VLOOKUP(D1537,#REF!,2,0)</f>
        <v>#REF!</v>
      </c>
      <c r="D1537" s="179" t="s">
        <v>5573</v>
      </c>
      <c r="E1537" s="18" t="e">
        <f>VLOOKUP(C1537,数据集标准分类!E:F,2,0)</f>
        <v>#REF!</v>
      </c>
      <c r="F1537" s="29" t="e">
        <f>VLOOKUP(D1537,数据集标准分类!G:H,2,0)</f>
        <v>#N/A</v>
      </c>
      <c r="G1537" s="146" t="s">
        <v>3641</v>
      </c>
      <c r="H1537" s="146" t="s">
        <v>3642</v>
      </c>
      <c r="I1537" s="146" t="s">
        <v>3643</v>
      </c>
      <c r="J1537" s="146" t="s">
        <v>3644</v>
      </c>
      <c r="K1537" s="151"/>
      <c r="L1537" s="184" t="s">
        <v>3353</v>
      </c>
      <c r="M1537" s="251"/>
    </row>
    <row r="1538" ht="36" customHeight="1" spans="1:13">
      <c r="A1538" s="248" t="s">
        <v>3066</v>
      </c>
      <c r="B1538" s="183" t="s">
        <v>4317</v>
      </c>
      <c r="C1538" s="249" t="e">
        <f>VLOOKUP(D1538,#REF!,2,0)</f>
        <v>#REF!</v>
      </c>
      <c r="D1538" s="179" t="s">
        <v>5573</v>
      </c>
      <c r="E1538" s="18" t="e">
        <f>VLOOKUP(C1538,数据集标准分类!E:F,2,0)</f>
        <v>#REF!</v>
      </c>
      <c r="F1538" s="29" t="e">
        <f>VLOOKUP(D1538,数据集标准分类!G:H,2,0)</f>
        <v>#N/A</v>
      </c>
      <c r="G1538" s="146" t="s">
        <v>2889</v>
      </c>
      <c r="H1538" s="146" t="s">
        <v>2890</v>
      </c>
      <c r="I1538" s="146" t="s">
        <v>2891</v>
      </c>
      <c r="J1538" s="146" t="s">
        <v>2892</v>
      </c>
      <c r="K1538" s="151"/>
      <c r="L1538" s="184" t="s">
        <v>3365</v>
      </c>
      <c r="M1538" s="251"/>
    </row>
    <row r="1539" ht="17" spans="1:13">
      <c r="A1539" s="248" t="s">
        <v>3066</v>
      </c>
      <c r="B1539" s="183" t="s">
        <v>4317</v>
      </c>
      <c r="C1539" s="249" t="e">
        <f>VLOOKUP(D1539,#REF!,2,0)</f>
        <v>#REF!</v>
      </c>
      <c r="D1539" s="179" t="s">
        <v>5573</v>
      </c>
      <c r="E1539" s="18" t="e">
        <f>VLOOKUP(C1539,数据集标准分类!E:F,2,0)</f>
        <v>#REF!</v>
      </c>
      <c r="F1539" s="29" t="e">
        <f>VLOOKUP(D1539,数据集标准分类!G:H,2,0)</f>
        <v>#N/A</v>
      </c>
      <c r="G1539" s="146" t="s">
        <v>2935</v>
      </c>
      <c r="H1539" s="171" t="s">
        <v>2936</v>
      </c>
      <c r="I1539" s="171" t="s">
        <v>2937</v>
      </c>
      <c r="J1539" s="146" t="s">
        <v>5571</v>
      </c>
      <c r="K1539" s="151"/>
      <c r="L1539" s="184" t="s">
        <v>3370</v>
      </c>
      <c r="M1539" s="251"/>
    </row>
    <row r="1540" ht="17" spans="1:13">
      <c r="A1540" s="248" t="s">
        <v>3066</v>
      </c>
      <c r="B1540" s="183" t="s">
        <v>4317</v>
      </c>
      <c r="C1540" s="249" t="e">
        <f>VLOOKUP(D1540,#REF!,2,0)</f>
        <v>#REF!</v>
      </c>
      <c r="D1540" s="179" t="s">
        <v>5573</v>
      </c>
      <c r="E1540" s="18" t="e">
        <f>VLOOKUP(C1540,数据集标准分类!E:F,2,0)</f>
        <v>#REF!</v>
      </c>
      <c r="F1540" s="29" t="e">
        <f>VLOOKUP(D1540,数据集标准分类!G:H,2,0)</f>
        <v>#N/A</v>
      </c>
      <c r="G1540" s="146" t="s">
        <v>3196</v>
      </c>
      <c r="H1540" s="171" t="s">
        <v>3197</v>
      </c>
      <c r="I1540" s="171" t="s">
        <v>3198</v>
      </c>
      <c r="J1540" s="146" t="s">
        <v>2740</v>
      </c>
      <c r="K1540" s="151"/>
      <c r="L1540" s="184" t="s">
        <v>3371</v>
      </c>
      <c r="M1540" s="251"/>
    </row>
    <row r="1541" ht="17" spans="1:13">
      <c r="A1541" s="248" t="s">
        <v>3066</v>
      </c>
      <c r="B1541" s="183" t="s">
        <v>4317</v>
      </c>
      <c r="C1541" s="249" t="e">
        <f>VLOOKUP(D1541,#REF!,2,0)</f>
        <v>#REF!</v>
      </c>
      <c r="D1541" s="179" t="s">
        <v>5573</v>
      </c>
      <c r="E1541" s="18" t="e">
        <f>VLOOKUP(C1541,数据集标准分类!E:F,2,0)</f>
        <v>#REF!</v>
      </c>
      <c r="F1541" s="29" t="e">
        <f>VLOOKUP(D1541,数据集标准分类!G:H,2,0)</f>
        <v>#N/A</v>
      </c>
      <c r="G1541" s="146" t="s">
        <v>1774</v>
      </c>
      <c r="H1541" s="171" t="s">
        <v>1775</v>
      </c>
      <c r="I1541" s="171" t="s">
        <v>1776</v>
      </c>
      <c r="J1541" s="146" t="s">
        <v>1777</v>
      </c>
      <c r="K1541" s="151"/>
      <c r="L1541" s="184" t="s">
        <v>5555</v>
      </c>
      <c r="M1541" s="251"/>
    </row>
    <row r="1542" ht="17" spans="1:13">
      <c r="A1542" s="248" t="s">
        <v>3066</v>
      </c>
      <c r="B1542" s="183" t="s">
        <v>4317</v>
      </c>
      <c r="C1542" s="249" t="e">
        <f>VLOOKUP(D1542,#REF!,2,0)</f>
        <v>#REF!</v>
      </c>
      <c r="D1542" s="179" t="s">
        <v>5573</v>
      </c>
      <c r="E1542" s="18" t="e">
        <f>VLOOKUP(C1542,数据集标准分类!E:F,2,0)</f>
        <v>#REF!</v>
      </c>
      <c r="F1542" s="29" t="e">
        <f>VLOOKUP(D1542,数据集标准分类!G:H,2,0)</f>
        <v>#N/A</v>
      </c>
      <c r="G1542" s="146" t="s">
        <v>5556</v>
      </c>
      <c r="H1542" s="171" t="s">
        <v>5557</v>
      </c>
      <c r="I1542" s="171" t="s">
        <v>5558</v>
      </c>
      <c r="J1542" s="146" t="s">
        <v>5559</v>
      </c>
      <c r="K1542" s="151"/>
      <c r="L1542" s="184" t="s">
        <v>4488</v>
      </c>
      <c r="M1542" s="251"/>
    </row>
    <row r="1543" ht="17" spans="1:13">
      <c r="A1543" s="248" t="s">
        <v>3066</v>
      </c>
      <c r="B1543" s="183" t="s">
        <v>4317</v>
      </c>
      <c r="C1543" s="249" t="e">
        <f>VLOOKUP(D1543,#REF!,2,0)</f>
        <v>#REF!</v>
      </c>
      <c r="D1543" s="179" t="s">
        <v>5573</v>
      </c>
      <c r="E1543" s="18" t="e">
        <f>VLOOKUP(C1543,数据集标准分类!E:F,2,0)</f>
        <v>#REF!</v>
      </c>
      <c r="F1543" s="29" t="e">
        <f>VLOOKUP(D1543,数据集标准分类!G:H,2,0)</f>
        <v>#N/A</v>
      </c>
      <c r="G1543" s="146" t="s">
        <v>3192</v>
      </c>
      <c r="H1543" s="171" t="s">
        <v>3193</v>
      </c>
      <c r="I1543" s="171" t="s">
        <v>3194</v>
      </c>
      <c r="J1543" s="171" t="s">
        <v>3195</v>
      </c>
      <c r="K1543" s="151"/>
      <c r="L1543" s="184" t="s">
        <v>4492</v>
      </c>
      <c r="M1543" s="251"/>
    </row>
    <row r="1544" ht="36" customHeight="1" spans="1:13">
      <c r="A1544" s="248" t="s">
        <v>3066</v>
      </c>
      <c r="B1544" s="183" t="s">
        <v>4317</v>
      </c>
      <c r="C1544" s="249" t="e">
        <f>VLOOKUP(D1544,#REF!,2,0)</f>
        <v>#REF!</v>
      </c>
      <c r="D1544" s="179" t="s">
        <v>5573</v>
      </c>
      <c r="E1544" s="18" t="e">
        <f>VLOOKUP(C1544,数据集标准分类!E:F,2,0)</f>
        <v>#REF!</v>
      </c>
      <c r="F1544" s="29" t="e">
        <f>VLOOKUP(D1544,数据集标准分类!G:H,2,0)</f>
        <v>#N/A</v>
      </c>
      <c r="G1544" s="146" t="s">
        <v>3332</v>
      </c>
      <c r="H1544" s="171" t="s">
        <v>3333</v>
      </c>
      <c r="I1544" s="171" t="s">
        <v>3334</v>
      </c>
      <c r="J1544" s="171" t="s">
        <v>3335</v>
      </c>
      <c r="K1544" s="151"/>
      <c r="L1544" s="184" t="s">
        <v>4495</v>
      </c>
      <c r="M1544" s="251"/>
    </row>
    <row r="1545" ht="17" spans="1:13">
      <c r="A1545" s="248" t="s">
        <v>3066</v>
      </c>
      <c r="B1545" s="183" t="s">
        <v>4317</v>
      </c>
      <c r="C1545" s="249" t="e">
        <f>VLOOKUP(D1545,#REF!,2,0)</f>
        <v>#REF!</v>
      </c>
      <c r="D1545" s="179" t="s">
        <v>5573</v>
      </c>
      <c r="E1545" s="18" t="e">
        <f>VLOOKUP(C1545,数据集标准分类!E:F,2,0)</f>
        <v>#REF!</v>
      </c>
      <c r="F1545" s="29" t="e">
        <f>VLOOKUP(D1545,数据集标准分类!G:H,2,0)</f>
        <v>#N/A</v>
      </c>
      <c r="G1545" s="146" t="s">
        <v>3336</v>
      </c>
      <c r="H1545" s="171" t="s">
        <v>3337</v>
      </c>
      <c r="I1545" s="171" t="s">
        <v>3338</v>
      </c>
      <c r="J1545" s="171" t="s">
        <v>3339</v>
      </c>
      <c r="K1545" s="151"/>
      <c r="L1545" s="184" t="s">
        <v>4499</v>
      </c>
      <c r="M1545" s="251"/>
    </row>
    <row r="1546" ht="34" spans="1:13">
      <c r="A1546" s="248" t="s">
        <v>3066</v>
      </c>
      <c r="B1546" s="183" t="s">
        <v>4317</v>
      </c>
      <c r="C1546" s="249" t="e">
        <f>VLOOKUP(D1546,#REF!,2,0)</f>
        <v>#REF!</v>
      </c>
      <c r="D1546" s="179" t="s">
        <v>5574</v>
      </c>
      <c r="E1546" s="18" t="e">
        <f>VLOOKUP(C1546,数据集标准分类!E:F,2,0)</f>
        <v>#REF!</v>
      </c>
      <c r="F1546" s="29" t="e">
        <f>VLOOKUP(D1546,数据集标准分类!G:H,2,0)</f>
        <v>#N/A</v>
      </c>
      <c r="G1546" s="146" t="s">
        <v>5565</v>
      </c>
      <c r="H1546" s="146" t="s">
        <v>5566</v>
      </c>
      <c r="I1546" s="146" t="s">
        <v>5567</v>
      </c>
      <c r="J1546" s="146" t="s">
        <v>5568</v>
      </c>
      <c r="K1546" s="151"/>
      <c r="L1546" s="184" t="s">
        <v>3351</v>
      </c>
      <c r="M1546" s="251"/>
    </row>
    <row r="1547" ht="34" spans="1:13">
      <c r="A1547" s="248" t="s">
        <v>3066</v>
      </c>
      <c r="B1547" s="183" t="s">
        <v>4317</v>
      </c>
      <c r="C1547" s="249" t="e">
        <f>VLOOKUP(D1547,#REF!,2,0)</f>
        <v>#REF!</v>
      </c>
      <c r="D1547" s="179" t="s">
        <v>5574</v>
      </c>
      <c r="E1547" s="18" t="e">
        <f>VLOOKUP(C1547,数据集标准分类!E:F,2,0)</f>
        <v>#REF!</v>
      </c>
      <c r="F1547" s="29" t="e">
        <f>VLOOKUP(D1547,数据集标准分类!G:H,2,0)</f>
        <v>#N/A</v>
      </c>
      <c r="G1547" s="146" t="s">
        <v>5561</v>
      </c>
      <c r="H1547" s="171" t="s">
        <v>5562</v>
      </c>
      <c r="I1547" s="171" t="s">
        <v>5563</v>
      </c>
      <c r="J1547" s="146" t="s">
        <v>5564</v>
      </c>
      <c r="K1547" s="151"/>
      <c r="L1547" s="184" t="s">
        <v>3352</v>
      </c>
      <c r="M1547" s="251"/>
    </row>
    <row r="1548" ht="34" spans="1:13">
      <c r="A1548" s="248" t="s">
        <v>3066</v>
      </c>
      <c r="B1548" s="183" t="s">
        <v>4317</v>
      </c>
      <c r="C1548" s="249" t="e">
        <f>VLOOKUP(D1548,#REF!,2,0)</f>
        <v>#REF!</v>
      </c>
      <c r="D1548" s="179" t="s">
        <v>5574</v>
      </c>
      <c r="E1548" s="18" t="e">
        <f>VLOOKUP(C1548,数据集标准分类!E:F,2,0)</f>
        <v>#REF!</v>
      </c>
      <c r="F1548" s="29" t="e">
        <f>VLOOKUP(D1548,数据集标准分类!G:H,2,0)</f>
        <v>#N/A</v>
      </c>
      <c r="G1548" s="146" t="s">
        <v>3641</v>
      </c>
      <c r="H1548" s="146" t="s">
        <v>3642</v>
      </c>
      <c r="I1548" s="146" t="s">
        <v>3643</v>
      </c>
      <c r="J1548" s="146" t="s">
        <v>3644</v>
      </c>
      <c r="K1548" s="151"/>
      <c r="L1548" s="184" t="s">
        <v>3353</v>
      </c>
      <c r="M1548" s="251"/>
    </row>
    <row r="1549" ht="34" spans="1:13">
      <c r="A1549" s="248" t="s">
        <v>3066</v>
      </c>
      <c r="B1549" s="183" t="s">
        <v>4317</v>
      </c>
      <c r="C1549" s="249" t="e">
        <f>VLOOKUP(D1549,#REF!,2,0)</f>
        <v>#REF!</v>
      </c>
      <c r="D1549" s="179" t="s">
        <v>5574</v>
      </c>
      <c r="E1549" s="18" t="e">
        <f>VLOOKUP(C1549,数据集标准分类!E:F,2,0)</f>
        <v>#REF!</v>
      </c>
      <c r="F1549" s="29" t="e">
        <f>VLOOKUP(D1549,数据集标准分类!G:H,2,0)</f>
        <v>#N/A</v>
      </c>
      <c r="G1549" s="146" t="s">
        <v>2889</v>
      </c>
      <c r="H1549" s="146" t="s">
        <v>2890</v>
      </c>
      <c r="I1549" s="146" t="s">
        <v>2891</v>
      </c>
      <c r="J1549" s="146" t="s">
        <v>2892</v>
      </c>
      <c r="K1549" s="151"/>
      <c r="L1549" s="184" t="s">
        <v>3365</v>
      </c>
      <c r="M1549" s="251"/>
    </row>
    <row r="1550" ht="34" spans="1:13">
      <c r="A1550" s="248" t="s">
        <v>3066</v>
      </c>
      <c r="B1550" s="183" t="s">
        <v>4317</v>
      </c>
      <c r="C1550" s="249" t="e">
        <f>VLOOKUP(D1550,#REF!,2,0)</f>
        <v>#REF!</v>
      </c>
      <c r="D1550" s="179" t="s">
        <v>5574</v>
      </c>
      <c r="E1550" s="18" t="e">
        <f>VLOOKUP(C1550,数据集标准分类!E:F,2,0)</f>
        <v>#REF!</v>
      </c>
      <c r="F1550" s="29" t="e">
        <f>VLOOKUP(D1550,数据集标准分类!G:H,2,0)</f>
        <v>#N/A</v>
      </c>
      <c r="G1550" s="146" t="s">
        <v>2935</v>
      </c>
      <c r="H1550" s="171" t="s">
        <v>2936</v>
      </c>
      <c r="I1550" s="171" t="s">
        <v>2937</v>
      </c>
      <c r="J1550" s="146" t="s">
        <v>5571</v>
      </c>
      <c r="K1550" s="151"/>
      <c r="L1550" s="184" t="s">
        <v>3370</v>
      </c>
      <c r="M1550" s="251"/>
    </row>
    <row r="1551" ht="34" spans="1:13">
      <c r="A1551" s="248" t="s">
        <v>3066</v>
      </c>
      <c r="B1551" s="183" t="s">
        <v>4317</v>
      </c>
      <c r="C1551" s="249" t="e">
        <f>VLOOKUP(D1551,#REF!,2,0)</f>
        <v>#REF!</v>
      </c>
      <c r="D1551" s="179" t="s">
        <v>5574</v>
      </c>
      <c r="E1551" s="18" t="e">
        <f>VLOOKUP(C1551,数据集标准分类!E:F,2,0)</f>
        <v>#REF!</v>
      </c>
      <c r="F1551" s="29" t="e">
        <f>VLOOKUP(D1551,数据集标准分类!G:H,2,0)</f>
        <v>#N/A</v>
      </c>
      <c r="G1551" s="146" t="s">
        <v>3196</v>
      </c>
      <c r="H1551" s="171" t="s">
        <v>3197</v>
      </c>
      <c r="I1551" s="171" t="s">
        <v>3198</v>
      </c>
      <c r="J1551" s="146" t="s">
        <v>2740</v>
      </c>
      <c r="K1551" s="151"/>
      <c r="L1551" s="184" t="s">
        <v>3371</v>
      </c>
      <c r="M1551" s="251"/>
    </row>
    <row r="1552" ht="34" spans="1:13">
      <c r="A1552" s="248" t="s">
        <v>3066</v>
      </c>
      <c r="B1552" s="183" t="s">
        <v>4317</v>
      </c>
      <c r="C1552" s="249" t="e">
        <f>VLOOKUP(D1552,#REF!,2,0)</f>
        <v>#REF!</v>
      </c>
      <c r="D1552" s="179" t="s">
        <v>5574</v>
      </c>
      <c r="E1552" s="18" t="e">
        <f>VLOOKUP(C1552,数据集标准分类!E:F,2,0)</f>
        <v>#REF!</v>
      </c>
      <c r="F1552" s="29" t="e">
        <f>VLOOKUP(D1552,数据集标准分类!G:H,2,0)</f>
        <v>#N/A</v>
      </c>
      <c r="G1552" s="146" t="s">
        <v>1774</v>
      </c>
      <c r="H1552" s="171" t="s">
        <v>1775</v>
      </c>
      <c r="I1552" s="171" t="s">
        <v>1776</v>
      </c>
      <c r="J1552" s="146" t="s">
        <v>1777</v>
      </c>
      <c r="K1552" s="151"/>
      <c r="L1552" s="184" t="s">
        <v>5555</v>
      </c>
      <c r="M1552" s="251"/>
    </row>
    <row r="1553" ht="34" spans="1:13">
      <c r="A1553" s="248" t="s">
        <v>3066</v>
      </c>
      <c r="B1553" s="183" t="s">
        <v>4317</v>
      </c>
      <c r="C1553" s="249" t="e">
        <f>VLOOKUP(D1553,#REF!,2,0)</f>
        <v>#REF!</v>
      </c>
      <c r="D1553" s="179" t="s">
        <v>5574</v>
      </c>
      <c r="E1553" s="18" t="e">
        <f>VLOOKUP(C1553,数据集标准分类!E:F,2,0)</f>
        <v>#REF!</v>
      </c>
      <c r="F1553" s="29" t="e">
        <f>VLOOKUP(D1553,数据集标准分类!G:H,2,0)</f>
        <v>#N/A</v>
      </c>
      <c r="G1553" s="146" t="s">
        <v>5556</v>
      </c>
      <c r="H1553" s="171" t="s">
        <v>5557</v>
      </c>
      <c r="I1553" s="171" t="s">
        <v>5558</v>
      </c>
      <c r="J1553" s="146" t="s">
        <v>5559</v>
      </c>
      <c r="K1553" s="151"/>
      <c r="L1553" s="184" t="s">
        <v>4488</v>
      </c>
      <c r="M1553" s="251"/>
    </row>
    <row r="1554" ht="34" spans="1:13">
      <c r="A1554" s="248" t="s">
        <v>3066</v>
      </c>
      <c r="B1554" s="183" t="s">
        <v>4317</v>
      </c>
      <c r="C1554" s="249" t="e">
        <f>VLOOKUP(D1554,#REF!,2,0)</f>
        <v>#REF!</v>
      </c>
      <c r="D1554" s="179" t="s">
        <v>5574</v>
      </c>
      <c r="E1554" s="18" t="e">
        <f>VLOOKUP(C1554,数据集标准分类!E:F,2,0)</f>
        <v>#REF!</v>
      </c>
      <c r="F1554" s="29" t="e">
        <f>VLOOKUP(D1554,数据集标准分类!G:H,2,0)</f>
        <v>#N/A</v>
      </c>
      <c r="G1554" s="146" t="s">
        <v>3192</v>
      </c>
      <c r="H1554" s="171" t="s">
        <v>3193</v>
      </c>
      <c r="I1554" s="171" t="s">
        <v>3194</v>
      </c>
      <c r="J1554" s="146" t="s">
        <v>3195</v>
      </c>
      <c r="K1554" s="151"/>
      <c r="L1554" s="184" t="s">
        <v>4492</v>
      </c>
      <c r="M1554" s="251"/>
    </row>
    <row r="1555" ht="34" spans="1:13">
      <c r="A1555" s="248" t="s">
        <v>3066</v>
      </c>
      <c r="B1555" s="183" t="s">
        <v>4317</v>
      </c>
      <c r="C1555" s="249" t="e">
        <f>VLOOKUP(D1555,#REF!,2,0)</f>
        <v>#REF!</v>
      </c>
      <c r="D1555" s="179" t="s">
        <v>5574</v>
      </c>
      <c r="E1555" s="18" t="e">
        <f>VLOOKUP(C1555,数据集标准分类!E:F,2,0)</f>
        <v>#REF!</v>
      </c>
      <c r="F1555" s="29" t="e">
        <f>VLOOKUP(D1555,数据集标准分类!G:H,2,0)</f>
        <v>#N/A</v>
      </c>
      <c r="G1555" s="146" t="s">
        <v>3332</v>
      </c>
      <c r="H1555" s="146" t="s">
        <v>3333</v>
      </c>
      <c r="I1555" s="146" t="s">
        <v>3334</v>
      </c>
      <c r="J1555" s="146" t="s">
        <v>3335</v>
      </c>
      <c r="K1555" s="151"/>
      <c r="L1555" s="184" t="s">
        <v>4495</v>
      </c>
      <c r="M1555" s="251"/>
    </row>
    <row r="1556" ht="34" spans="1:13">
      <c r="A1556" s="248" t="s">
        <v>3066</v>
      </c>
      <c r="B1556" s="183" t="s">
        <v>4317</v>
      </c>
      <c r="C1556" s="249" t="e">
        <f>VLOOKUP(D1556,#REF!,2,0)</f>
        <v>#REF!</v>
      </c>
      <c r="D1556" s="179" t="s">
        <v>5574</v>
      </c>
      <c r="E1556" s="18" t="e">
        <f>VLOOKUP(C1556,数据集标准分类!E:F,2,0)</f>
        <v>#REF!</v>
      </c>
      <c r="F1556" s="29" t="e">
        <f>VLOOKUP(D1556,数据集标准分类!G:H,2,0)</f>
        <v>#N/A</v>
      </c>
      <c r="G1556" s="146" t="s">
        <v>3336</v>
      </c>
      <c r="H1556" s="146" t="s">
        <v>3337</v>
      </c>
      <c r="I1556" s="146" t="s">
        <v>3338</v>
      </c>
      <c r="J1556" s="146" t="s">
        <v>3339</v>
      </c>
      <c r="K1556" s="151"/>
      <c r="L1556" s="184" t="s">
        <v>4499</v>
      </c>
      <c r="M1556" s="251"/>
    </row>
    <row r="1557" ht="30" customHeight="1" spans="1:13">
      <c r="A1557" s="248" t="s">
        <v>3066</v>
      </c>
      <c r="B1557" s="183" t="s">
        <v>4317</v>
      </c>
      <c r="C1557" s="249" t="e">
        <f>VLOOKUP(D1557,#REF!,2,0)</f>
        <v>#REF!</v>
      </c>
      <c r="D1557" s="266" t="s">
        <v>3423</v>
      </c>
      <c r="E1557" s="18" t="e">
        <f>VLOOKUP(C1557,数据集标准分类!E:F,2,0)</f>
        <v>#REF!</v>
      </c>
      <c r="F1557" s="29" t="e">
        <f>VLOOKUP(D1557,数据集标准分类!G:H,2,0)</f>
        <v>#N/A</v>
      </c>
      <c r="G1557" s="29" t="s">
        <v>3192</v>
      </c>
      <c r="H1557" s="29" t="s">
        <v>3193</v>
      </c>
      <c r="I1557" s="29" t="s">
        <v>3194</v>
      </c>
      <c r="J1557" s="29" t="s">
        <v>3195</v>
      </c>
      <c r="K1557" s="29"/>
      <c r="L1557" s="250">
        <v>1</v>
      </c>
      <c r="M1557" s="251"/>
    </row>
    <row r="1558" ht="31" spans="1:13">
      <c r="A1558" s="248" t="s">
        <v>3066</v>
      </c>
      <c r="B1558" s="183" t="s">
        <v>4317</v>
      </c>
      <c r="C1558" s="249" t="e">
        <f>VLOOKUP(D1558,#REF!,2,0)</f>
        <v>#REF!</v>
      </c>
      <c r="D1558" s="266" t="s">
        <v>3423</v>
      </c>
      <c r="E1558" s="18" t="e">
        <f>VLOOKUP(C1558,数据集标准分类!E:F,2,0)</f>
        <v>#REF!</v>
      </c>
      <c r="F1558" s="29" t="e">
        <f>VLOOKUP(D1558,数据集标准分类!G:H,2,0)</f>
        <v>#N/A</v>
      </c>
      <c r="G1558" s="29" t="s">
        <v>3361</v>
      </c>
      <c r="H1558" s="29" t="s">
        <v>3362</v>
      </c>
      <c r="I1558" s="29" t="s">
        <v>3363</v>
      </c>
      <c r="J1558" s="29" t="s">
        <v>3364</v>
      </c>
      <c r="K1558" s="29"/>
      <c r="L1558" s="250">
        <v>2</v>
      </c>
      <c r="M1558" s="251"/>
    </row>
    <row r="1559" ht="31" spans="1:13">
      <c r="A1559" s="248" t="s">
        <v>3066</v>
      </c>
      <c r="B1559" s="183" t="s">
        <v>4317</v>
      </c>
      <c r="C1559" s="249" t="e">
        <f>VLOOKUP(D1559,#REF!,2,0)</f>
        <v>#REF!</v>
      </c>
      <c r="D1559" s="266" t="s">
        <v>3423</v>
      </c>
      <c r="E1559" s="18" t="e">
        <f>VLOOKUP(C1559,数据集标准分类!E:F,2,0)</f>
        <v>#REF!</v>
      </c>
      <c r="F1559" s="29" t="e">
        <f>VLOOKUP(D1559,数据集标准分类!G:H,2,0)</f>
        <v>#N/A</v>
      </c>
      <c r="G1559" s="29" t="s">
        <v>1496</v>
      </c>
      <c r="H1559" s="29" t="s">
        <v>1497</v>
      </c>
      <c r="I1559" s="29" t="s">
        <v>1498</v>
      </c>
      <c r="J1559" s="29" t="s">
        <v>1499</v>
      </c>
      <c r="K1559" s="29"/>
      <c r="L1559" s="250">
        <v>3</v>
      </c>
      <c r="M1559" s="251"/>
    </row>
    <row r="1560" ht="31" spans="1:13">
      <c r="A1560" s="248" t="s">
        <v>3066</v>
      </c>
      <c r="B1560" s="183" t="s">
        <v>4317</v>
      </c>
      <c r="C1560" s="249" t="e">
        <f>VLOOKUP(D1560,#REF!,2,0)</f>
        <v>#REF!</v>
      </c>
      <c r="D1560" s="266" t="s">
        <v>3423</v>
      </c>
      <c r="E1560" s="18" t="e">
        <f>VLOOKUP(C1560,数据集标准分类!E:F,2,0)</f>
        <v>#REF!</v>
      </c>
      <c r="F1560" s="29" t="e">
        <f>VLOOKUP(D1560,数据集标准分类!G:H,2,0)</f>
        <v>#N/A</v>
      </c>
      <c r="G1560" s="29" t="s">
        <v>3199</v>
      </c>
      <c r="H1560" s="29" t="s">
        <v>3200</v>
      </c>
      <c r="I1560" s="29" t="s">
        <v>3201</v>
      </c>
      <c r="J1560" s="29" t="s">
        <v>3202</v>
      </c>
      <c r="K1560" s="29"/>
      <c r="L1560" s="250">
        <v>4</v>
      </c>
      <c r="M1560" s="251"/>
    </row>
    <row r="1561" ht="31" spans="1:13">
      <c r="A1561" s="248" t="s">
        <v>3066</v>
      </c>
      <c r="B1561" s="183" t="s">
        <v>4317</v>
      </c>
      <c r="C1561" s="249" t="e">
        <f>VLOOKUP(D1561,#REF!,2,0)</f>
        <v>#REF!</v>
      </c>
      <c r="D1561" s="266" t="s">
        <v>3423</v>
      </c>
      <c r="E1561" s="18" t="e">
        <f>VLOOKUP(C1561,数据集标准分类!E:F,2,0)</f>
        <v>#REF!</v>
      </c>
      <c r="F1561" s="29" t="e">
        <f>VLOOKUP(D1561,数据集标准分类!G:H,2,0)</f>
        <v>#N/A</v>
      </c>
      <c r="G1561" s="29" t="s">
        <v>3366</v>
      </c>
      <c r="H1561" s="29" t="s">
        <v>3367</v>
      </c>
      <c r="I1561" s="29" t="s">
        <v>3368</v>
      </c>
      <c r="J1561" s="29" t="s">
        <v>3369</v>
      </c>
      <c r="K1561" s="29"/>
      <c r="L1561" s="250">
        <v>5</v>
      </c>
      <c r="M1561" s="251"/>
    </row>
    <row r="1562" ht="31" spans="1:13">
      <c r="A1562" s="248" t="s">
        <v>3066</v>
      </c>
      <c r="B1562" s="183" t="s">
        <v>4317</v>
      </c>
      <c r="C1562" s="249" t="e">
        <f>VLOOKUP(D1562,#REF!,2,0)</f>
        <v>#REF!</v>
      </c>
      <c r="D1562" s="266" t="s">
        <v>3423</v>
      </c>
      <c r="E1562" s="18" t="e">
        <f>VLOOKUP(C1562,数据集标准分类!E:F,2,0)</f>
        <v>#REF!</v>
      </c>
      <c r="F1562" s="29" t="e">
        <f>VLOOKUP(D1562,数据集标准分类!G:H,2,0)</f>
        <v>#N/A</v>
      </c>
      <c r="G1562" s="29" t="s">
        <v>3336</v>
      </c>
      <c r="H1562" s="29" t="s">
        <v>3337</v>
      </c>
      <c r="I1562" s="29" t="s">
        <v>3338</v>
      </c>
      <c r="J1562" s="29" t="s">
        <v>3339</v>
      </c>
      <c r="K1562" s="29"/>
      <c r="L1562" s="250">
        <v>6</v>
      </c>
      <c r="M1562" s="251"/>
    </row>
    <row r="1563" ht="30" customHeight="1" spans="1:13">
      <c r="A1563" s="248" t="s">
        <v>3066</v>
      </c>
      <c r="B1563" s="183" t="s">
        <v>4317</v>
      </c>
      <c r="C1563" s="249" t="e">
        <f>VLOOKUP(D1563,#REF!,2,0)</f>
        <v>#REF!</v>
      </c>
      <c r="D1563" s="266" t="s">
        <v>3424</v>
      </c>
      <c r="E1563" s="18" t="e">
        <f>VLOOKUP(C1563,数据集标准分类!E:F,2,0)</f>
        <v>#REF!</v>
      </c>
      <c r="F1563" s="29" t="e">
        <f>VLOOKUP(D1563,数据集标准分类!G:H,2,0)</f>
        <v>#N/A</v>
      </c>
      <c r="G1563" s="29" t="s">
        <v>3192</v>
      </c>
      <c r="H1563" s="29" t="s">
        <v>3193</v>
      </c>
      <c r="I1563" s="29" t="s">
        <v>3194</v>
      </c>
      <c r="J1563" s="29" t="s">
        <v>3195</v>
      </c>
      <c r="K1563" s="29"/>
      <c r="L1563" s="250">
        <v>1</v>
      </c>
      <c r="M1563" s="251"/>
    </row>
    <row r="1564" ht="16.8" spans="1:13">
      <c r="A1564" s="248" t="s">
        <v>3066</v>
      </c>
      <c r="B1564" s="183" t="s">
        <v>4317</v>
      </c>
      <c r="C1564" s="249" t="e">
        <f>VLOOKUP(D1564,#REF!,2,0)</f>
        <v>#REF!</v>
      </c>
      <c r="D1564" s="266" t="s">
        <v>3424</v>
      </c>
      <c r="E1564" s="18" t="e">
        <f>VLOOKUP(C1564,数据集标准分类!E:F,2,0)</f>
        <v>#REF!</v>
      </c>
      <c r="F1564" s="29" t="e">
        <f>VLOOKUP(D1564,数据集标准分类!G:H,2,0)</f>
        <v>#N/A</v>
      </c>
      <c r="G1564" s="29" t="s">
        <v>3361</v>
      </c>
      <c r="H1564" s="29" t="s">
        <v>3362</v>
      </c>
      <c r="I1564" s="29" t="s">
        <v>3363</v>
      </c>
      <c r="J1564" s="29" t="s">
        <v>3364</v>
      </c>
      <c r="K1564" s="29"/>
      <c r="L1564" s="250">
        <v>2</v>
      </c>
      <c r="M1564" s="251"/>
    </row>
    <row r="1565" ht="16.8" spans="1:13">
      <c r="A1565" s="248" t="s">
        <v>3066</v>
      </c>
      <c r="B1565" s="183" t="s">
        <v>4317</v>
      </c>
      <c r="C1565" s="249" t="e">
        <f>VLOOKUP(D1565,#REF!,2,0)</f>
        <v>#REF!</v>
      </c>
      <c r="D1565" s="266" t="s">
        <v>3424</v>
      </c>
      <c r="E1565" s="18" t="e">
        <f>VLOOKUP(C1565,数据集标准分类!E:F,2,0)</f>
        <v>#REF!</v>
      </c>
      <c r="F1565" s="29" t="e">
        <f>VLOOKUP(D1565,数据集标准分类!G:H,2,0)</f>
        <v>#N/A</v>
      </c>
      <c r="G1565" s="29" t="s">
        <v>1496</v>
      </c>
      <c r="H1565" s="29" t="s">
        <v>1497</v>
      </c>
      <c r="I1565" s="29" t="s">
        <v>1498</v>
      </c>
      <c r="J1565" s="29" t="s">
        <v>1499</v>
      </c>
      <c r="K1565" s="29"/>
      <c r="L1565" s="250">
        <v>3</v>
      </c>
      <c r="M1565" s="251"/>
    </row>
    <row r="1566" ht="16.8" spans="1:13">
      <c r="A1566" s="248" t="s">
        <v>3066</v>
      </c>
      <c r="B1566" s="183" t="s">
        <v>4317</v>
      </c>
      <c r="C1566" s="249" t="e">
        <f>VLOOKUP(D1566,#REF!,2,0)</f>
        <v>#REF!</v>
      </c>
      <c r="D1566" s="266" t="s">
        <v>3424</v>
      </c>
      <c r="E1566" s="18" t="e">
        <f>VLOOKUP(C1566,数据集标准分类!E:F,2,0)</f>
        <v>#REF!</v>
      </c>
      <c r="F1566" s="29" t="e">
        <f>VLOOKUP(D1566,数据集标准分类!G:H,2,0)</f>
        <v>#N/A</v>
      </c>
      <c r="G1566" s="29" t="s">
        <v>3199</v>
      </c>
      <c r="H1566" s="29" t="s">
        <v>3200</v>
      </c>
      <c r="I1566" s="29" t="s">
        <v>3201</v>
      </c>
      <c r="J1566" s="29" t="s">
        <v>3202</v>
      </c>
      <c r="K1566" s="29"/>
      <c r="L1566" s="250">
        <v>4</v>
      </c>
      <c r="M1566" s="251"/>
    </row>
    <row r="1567" ht="16.8" spans="1:13">
      <c r="A1567" s="248" t="s">
        <v>3066</v>
      </c>
      <c r="B1567" s="183" t="s">
        <v>4317</v>
      </c>
      <c r="C1567" s="249" t="e">
        <f>VLOOKUP(D1567,#REF!,2,0)</f>
        <v>#REF!</v>
      </c>
      <c r="D1567" s="266" t="s">
        <v>3424</v>
      </c>
      <c r="E1567" s="18" t="e">
        <f>VLOOKUP(C1567,数据集标准分类!E:F,2,0)</f>
        <v>#REF!</v>
      </c>
      <c r="F1567" s="29" t="e">
        <f>VLOOKUP(D1567,数据集标准分类!G:H,2,0)</f>
        <v>#N/A</v>
      </c>
      <c r="G1567" s="29" t="s">
        <v>3366</v>
      </c>
      <c r="H1567" s="29" t="s">
        <v>3367</v>
      </c>
      <c r="I1567" s="29" t="s">
        <v>3368</v>
      </c>
      <c r="J1567" s="29" t="s">
        <v>3369</v>
      </c>
      <c r="K1567" s="29"/>
      <c r="L1567" s="250">
        <v>5</v>
      </c>
      <c r="M1567" s="251"/>
    </row>
    <row r="1568" ht="16.8" spans="1:13">
      <c r="A1568" s="248" t="s">
        <v>3066</v>
      </c>
      <c r="B1568" s="183" t="s">
        <v>4317</v>
      </c>
      <c r="C1568" s="249" t="e">
        <f>VLOOKUP(D1568,#REF!,2,0)</f>
        <v>#REF!</v>
      </c>
      <c r="D1568" s="266" t="s">
        <v>3424</v>
      </c>
      <c r="E1568" s="18" t="e">
        <f>VLOOKUP(C1568,数据集标准分类!E:F,2,0)</f>
        <v>#REF!</v>
      </c>
      <c r="F1568" s="29" t="e">
        <f>VLOOKUP(D1568,数据集标准分类!G:H,2,0)</f>
        <v>#N/A</v>
      </c>
      <c r="G1568" s="29" t="s">
        <v>3336</v>
      </c>
      <c r="H1568" s="29" t="s">
        <v>3337</v>
      </c>
      <c r="I1568" s="29" t="s">
        <v>3338</v>
      </c>
      <c r="J1568" s="29" t="s">
        <v>3339</v>
      </c>
      <c r="K1568" s="29"/>
      <c r="L1568" s="250">
        <v>6</v>
      </c>
      <c r="M1568" s="251"/>
    </row>
    <row r="1569" ht="16.8" spans="1:13">
      <c r="A1569" s="248" t="s">
        <v>3066</v>
      </c>
      <c r="B1569" s="183" t="s">
        <v>4317</v>
      </c>
      <c r="C1569" s="249" t="e">
        <f>VLOOKUP(D1569,#REF!,2,0)</f>
        <v>#REF!</v>
      </c>
      <c r="D1569" s="266" t="s">
        <v>3425</v>
      </c>
      <c r="E1569" s="18" t="e">
        <f>VLOOKUP(C1569,数据集标准分类!E:F,2,0)</f>
        <v>#REF!</v>
      </c>
      <c r="F1569" s="29" t="e">
        <f>VLOOKUP(D1569,数据集标准分类!G:H,2,0)</f>
        <v>#N/A</v>
      </c>
      <c r="G1569" s="29" t="s">
        <v>3192</v>
      </c>
      <c r="H1569" s="29" t="s">
        <v>3193</v>
      </c>
      <c r="I1569" s="29" t="s">
        <v>3194</v>
      </c>
      <c r="J1569" s="29" t="s">
        <v>3195</v>
      </c>
      <c r="K1569" s="29"/>
      <c r="L1569" s="250">
        <v>1</v>
      </c>
      <c r="M1569" s="251"/>
    </row>
    <row r="1570" ht="16.8" spans="1:13">
      <c r="A1570" s="248" t="s">
        <v>3066</v>
      </c>
      <c r="B1570" s="183" t="s">
        <v>4317</v>
      </c>
      <c r="C1570" s="249" t="e">
        <f>VLOOKUP(D1570,#REF!,2,0)</f>
        <v>#REF!</v>
      </c>
      <c r="D1570" s="266" t="s">
        <v>3425</v>
      </c>
      <c r="E1570" s="18" t="e">
        <f>VLOOKUP(C1570,数据集标准分类!E:F,2,0)</f>
        <v>#REF!</v>
      </c>
      <c r="F1570" s="29" t="e">
        <f>VLOOKUP(D1570,数据集标准分类!G:H,2,0)</f>
        <v>#N/A</v>
      </c>
      <c r="G1570" s="29" t="s">
        <v>3361</v>
      </c>
      <c r="H1570" s="29" t="s">
        <v>3362</v>
      </c>
      <c r="I1570" s="29" t="s">
        <v>3363</v>
      </c>
      <c r="J1570" s="29" t="s">
        <v>3364</v>
      </c>
      <c r="K1570" s="29"/>
      <c r="L1570" s="250">
        <v>2</v>
      </c>
      <c r="M1570" s="251"/>
    </row>
    <row r="1571" ht="16.8" spans="1:13">
      <c r="A1571" s="248" t="s">
        <v>3066</v>
      </c>
      <c r="B1571" s="183" t="s">
        <v>4317</v>
      </c>
      <c r="C1571" s="249" t="e">
        <f>VLOOKUP(D1571,#REF!,2,0)</f>
        <v>#REF!</v>
      </c>
      <c r="D1571" s="266" t="s">
        <v>3425</v>
      </c>
      <c r="E1571" s="18" t="e">
        <f>VLOOKUP(C1571,数据集标准分类!E:F,2,0)</f>
        <v>#REF!</v>
      </c>
      <c r="F1571" s="29" t="e">
        <f>VLOOKUP(D1571,数据集标准分类!G:H,2,0)</f>
        <v>#N/A</v>
      </c>
      <c r="G1571" s="29" t="s">
        <v>1496</v>
      </c>
      <c r="H1571" s="29" t="s">
        <v>1497</v>
      </c>
      <c r="I1571" s="29" t="s">
        <v>1498</v>
      </c>
      <c r="J1571" s="29" t="s">
        <v>1499</v>
      </c>
      <c r="K1571" s="29"/>
      <c r="L1571" s="250">
        <v>3</v>
      </c>
      <c r="M1571" s="251"/>
    </row>
    <row r="1572" ht="16.8" spans="1:13">
      <c r="A1572" s="248" t="s">
        <v>3066</v>
      </c>
      <c r="B1572" s="183" t="s">
        <v>4317</v>
      </c>
      <c r="C1572" s="249" t="e">
        <f>VLOOKUP(D1572,#REF!,2,0)</f>
        <v>#REF!</v>
      </c>
      <c r="D1572" s="266" t="s">
        <v>3425</v>
      </c>
      <c r="E1572" s="18" t="e">
        <f>VLOOKUP(C1572,数据集标准分类!E:F,2,0)</f>
        <v>#REF!</v>
      </c>
      <c r="F1572" s="29" t="e">
        <f>VLOOKUP(D1572,数据集标准分类!G:H,2,0)</f>
        <v>#N/A</v>
      </c>
      <c r="G1572" s="29" t="s">
        <v>3199</v>
      </c>
      <c r="H1572" s="29" t="s">
        <v>3200</v>
      </c>
      <c r="I1572" s="29" t="s">
        <v>3201</v>
      </c>
      <c r="J1572" s="29" t="s">
        <v>3202</v>
      </c>
      <c r="K1572" s="29"/>
      <c r="L1572" s="250">
        <v>4</v>
      </c>
      <c r="M1572" s="251"/>
    </row>
    <row r="1573" ht="16.8" spans="1:13">
      <c r="A1573" s="248" t="s">
        <v>3066</v>
      </c>
      <c r="B1573" s="183" t="s">
        <v>4317</v>
      </c>
      <c r="C1573" s="249" t="e">
        <f>VLOOKUP(D1573,#REF!,2,0)</f>
        <v>#REF!</v>
      </c>
      <c r="D1573" s="266" t="s">
        <v>3425</v>
      </c>
      <c r="E1573" s="18" t="e">
        <f>VLOOKUP(C1573,数据集标准分类!E:F,2,0)</f>
        <v>#REF!</v>
      </c>
      <c r="F1573" s="29" t="e">
        <f>VLOOKUP(D1573,数据集标准分类!G:H,2,0)</f>
        <v>#N/A</v>
      </c>
      <c r="G1573" s="29" t="s">
        <v>3366</v>
      </c>
      <c r="H1573" s="29" t="s">
        <v>3367</v>
      </c>
      <c r="I1573" s="29" t="s">
        <v>3368</v>
      </c>
      <c r="J1573" s="29" t="s">
        <v>3369</v>
      </c>
      <c r="K1573" s="29"/>
      <c r="L1573" s="250">
        <v>5</v>
      </c>
      <c r="M1573" s="251"/>
    </row>
    <row r="1574" ht="16.8" spans="1:13">
      <c r="A1574" s="248" t="s">
        <v>3066</v>
      </c>
      <c r="B1574" s="183" t="s">
        <v>4317</v>
      </c>
      <c r="C1574" s="249" t="e">
        <f>VLOOKUP(D1574,#REF!,2,0)</f>
        <v>#REF!</v>
      </c>
      <c r="D1574" s="266" t="s">
        <v>3425</v>
      </c>
      <c r="E1574" s="18" t="e">
        <f>VLOOKUP(C1574,数据集标准分类!E:F,2,0)</f>
        <v>#REF!</v>
      </c>
      <c r="F1574" s="29" t="e">
        <f>VLOOKUP(D1574,数据集标准分类!G:H,2,0)</f>
        <v>#N/A</v>
      </c>
      <c r="G1574" s="29" t="s">
        <v>3336</v>
      </c>
      <c r="H1574" s="29" t="s">
        <v>3337</v>
      </c>
      <c r="I1574" s="29" t="s">
        <v>3338</v>
      </c>
      <c r="J1574" s="29" t="s">
        <v>3339</v>
      </c>
      <c r="K1574" s="29"/>
      <c r="L1574" s="250">
        <v>6</v>
      </c>
      <c r="M1574" s="251"/>
    </row>
    <row r="1575" ht="16.8" spans="1:13">
      <c r="A1575" s="248" t="s">
        <v>3066</v>
      </c>
      <c r="B1575" s="183" t="s">
        <v>4317</v>
      </c>
      <c r="C1575" s="249" t="e">
        <f>VLOOKUP(D1575,#REF!,2,0)</f>
        <v>#REF!</v>
      </c>
      <c r="D1575" s="266" t="s">
        <v>3426</v>
      </c>
      <c r="E1575" s="18" t="e">
        <f>VLOOKUP(C1575,数据集标准分类!E:F,2,0)</f>
        <v>#REF!</v>
      </c>
      <c r="F1575" s="29" t="e">
        <f>VLOOKUP(D1575,数据集标准分类!G:H,2,0)</f>
        <v>#N/A</v>
      </c>
      <c r="G1575" s="29" t="s">
        <v>3192</v>
      </c>
      <c r="H1575" s="29" t="s">
        <v>3193</v>
      </c>
      <c r="I1575" s="29" t="s">
        <v>3194</v>
      </c>
      <c r="J1575" s="29" t="s">
        <v>3195</v>
      </c>
      <c r="K1575" s="29"/>
      <c r="L1575" s="250">
        <v>1</v>
      </c>
      <c r="M1575" s="251"/>
    </row>
    <row r="1576" ht="48" customHeight="1" spans="1:13">
      <c r="A1576" s="248" t="s">
        <v>3066</v>
      </c>
      <c r="B1576" s="183" t="s">
        <v>4317</v>
      </c>
      <c r="C1576" s="249" t="e">
        <f>VLOOKUP(D1576,#REF!,2,0)</f>
        <v>#REF!</v>
      </c>
      <c r="D1576" s="266" t="s">
        <v>3426</v>
      </c>
      <c r="E1576" s="18" t="e">
        <f>VLOOKUP(C1576,数据集标准分类!E:F,2,0)</f>
        <v>#REF!</v>
      </c>
      <c r="F1576" s="29" t="e">
        <f>VLOOKUP(D1576,数据集标准分类!G:H,2,0)</f>
        <v>#N/A</v>
      </c>
      <c r="G1576" s="29" t="s">
        <v>3361</v>
      </c>
      <c r="H1576" s="29" t="s">
        <v>3362</v>
      </c>
      <c r="I1576" s="29" t="s">
        <v>3363</v>
      </c>
      <c r="J1576" s="29" t="s">
        <v>3364</v>
      </c>
      <c r="K1576" s="29"/>
      <c r="L1576" s="250">
        <v>2</v>
      </c>
      <c r="M1576" s="251"/>
    </row>
    <row r="1577" ht="16.8" spans="1:13">
      <c r="A1577" s="248" t="s">
        <v>3066</v>
      </c>
      <c r="B1577" s="183" t="s">
        <v>4317</v>
      </c>
      <c r="C1577" s="249" t="e">
        <f>VLOOKUP(D1577,#REF!,2,0)</f>
        <v>#REF!</v>
      </c>
      <c r="D1577" s="266" t="s">
        <v>3426</v>
      </c>
      <c r="E1577" s="18" t="e">
        <f>VLOOKUP(C1577,数据集标准分类!E:F,2,0)</f>
        <v>#REF!</v>
      </c>
      <c r="F1577" s="29" t="e">
        <f>VLOOKUP(D1577,数据集标准分类!G:H,2,0)</f>
        <v>#N/A</v>
      </c>
      <c r="G1577" s="29" t="s">
        <v>1496</v>
      </c>
      <c r="H1577" s="29" t="s">
        <v>1497</v>
      </c>
      <c r="I1577" s="29" t="s">
        <v>1498</v>
      </c>
      <c r="J1577" s="29" t="s">
        <v>1499</v>
      </c>
      <c r="K1577" s="29"/>
      <c r="L1577" s="250">
        <v>3</v>
      </c>
      <c r="M1577" s="251"/>
    </row>
    <row r="1578" ht="16.8" spans="1:13">
      <c r="A1578" s="248" t="s">
        <v>3066</v>
      </c>
      <c r="B1578" s="183" t="s">
        <v>4317</v>
      </c>
      <c r="C1578" s="249" t="e">
        <f>VLOOKUP(D1578,#REF!,2,0)</f>
        <v>#REF!</v>
      </c>
      <c r="D1578" s="266" t="s">
        <v>3426</v>
      </c>
      <c r="E1578" s="18" t="e">
        <f>VLOOKUP(C1578,数据集标准分类!E:F,2,0)</f>
        <v>#REF!</v>
      </c>
      <c r="F1578" s="29" t="e">
        <f>VLOOKUP(D1578,数据集标准分类!G:H,2,0)</f>
        <v>#N/A</v>
      </c>
      <c r="G1578" s="29" t="s">
        <v>3199</v>
      </c>
      <c r="H1578" s="29" t="s">
        <v>3200</v>
      </c>
      <c r="I1578" s="29" t="s">
        <v>3201</v>
      </c>
      <c r="J1578" s="29" t="s">
        <v>3202</v>
      </c>
      <c r="K1578" s="29"/>
      <c r="L1578" s="250">
        <v>4</v>
      </c>
      <c r="M1578" s="251"/>
    </row>
    <row r="1579" ht="16.8" spans="1:13">
      <c r="A1579" s="248" t="s">
        <v>3066</v>
      </c>
      <c r="B1579" s="183" t="s">
        <v>4317</v>
      </c>
      <c r="C1579" s="249" t="e">
        <f>VLOOKUP(D1579,#REF!,2,0)</f>
        <v>#REF!</v>
      </c>
      <c r="D1579" s="266" t="s">
        <v>3426</v>
      </c>
      <c r="E1579" s="18" t="e">
        <f>VLOOKUP(C1579,数据集标准分类!E:F,2,0)</f>
        <v>#REF!</v>
      </c>
      <c r="F1579" s="29" t="e">
        <f>VLOOKUP(D1579,数据集标准分类!G:H,2,0)</f>
        <v>#N/A</v>
      </c>
      <c r="G1579" s="29" t="s">
        <v>3366</v>
      </c>
      <c r="H1579" s="29" t="s">
        <v>3367</v>
      </c>
      <c r="I1579" s="29" t="s">
        <v>3368</v>
      </c>
      <c r="J1579" s="29" t="s">
        <v>3369</v>
      </c>
      <c r="K1579" s="29"/>
      <c r="L1579" s="250">
        <v>5</v>
      </c>
      <c r="M1579" s="251"/>
    </row>
    <row r="1580" ht="16.8" spans="1:13">
      <c r="A1580" s="248" t="s">
        <v>3066</v>
      </c>
      <c r="B1580" s="183" t="s">
        <v>4317</v>
      </c>
      <c r="C1580" s="249" t="e">
        <f>VLOOKUP(D1580,#REF!,2,0)</f>
        <v>#REF!</v>
      </c>
      <c r="D1580" s="266" t="s">
        <v>3426</v>
      </c>
      <c r="E1580" s="18" t="e">
        <f>VLOOKUP(C1580,数据集标准分类!E:F,2,0)</f>
        <v>#REF!</v>
      </c>
      <c r="F1580" s="29" t="e">
        <f>VLOOKUP(D1580,数据集标准分类!G:H,2,0)</f>
        <v>#N/A</v>
      </c>
      <c r="G1580" s="29" t="s">
        <v>3336</v>
      </c>
      <c r="H1580" s="29" t="s">
        <v>3337</v>
      </c>
      <c r="I1580" s="29" t="s">
        <v>3338</v>
      </c>
      <c r="J1580" s="29" t="s">
        <v>3339</v>
      </c>
      <c r="K1580" s="29"/>
      <c r="L1580" s="250">
        <v>6</v>
      </c>
      <c r="M1580" s="251"/>
    </row>
    <row r="1581" ht="16.8" spans="1:13">
      <c r="A1581" s="248" t="s">
        <v>3066</v>
      </c>
      <c r="B1581" s="183" t="s">
        <v>4317</v>
      </c>
      <c r="C1581" s="249" t="e">
        <f>VLOOKUP(D1581,#REF!,2,0)</f>
        <v>#REF!</v>
      </c>
      <c r="D1581" s="266" t="s">
        <v>3427</v>
      </c>
      <c r="E1581" s="18" t="e">
        <f>VLOOKUP(C1581,数据集标准分类!E:F,2,0)</f>
        <v>#REF!</v>
      </c>
      <c r="F1581" s="29" t="e">
        <f>VLOOKUP(D1581,数据集标准分类!G:H,2,0)</f>
        <v>#N/A</v>
      </c>
      <c r="G1581" s="29" t="s">
        <v>3192</v>
      </c>
      <c r="H1581" s="29" t="s">
        <v>3193</v>
      </c>
      <c r="I1581" s="29" t="s">
        <v>3194</v>
      </c>
      <c r="J1581" s="29" t="s">
        <v>3195</v>
      </c>
      <c r="K1581" s="29"/>
      <c r="L1581" s="250">
        <v>1</v>
      </c>
      <c r="M1581" s="251"/>
    </row>
    <row r="1582" ht="48" customHeight="1" spans="1:13">
      <c r="A1582" s="248" t="s">
        <v>3066</v>
      </c>
      <c r="B1582" s="183" t="s">
        <v>4317</v>
      </c>
      <c r="C1582" s="249" t="e">
        <f>VLOOKUP(D1582,#REF!,2,0)</f>
        <v>#REF!</v>
      </c>
      <c r="D1582" s="266" t="s">
        <v>3427</v>
      </c>
      <c r="E1582" s="18" t="e">
        <f>VLOOKUP(C1582,数据集标准分类!E:F,2,0)</f>
        <v>#REF!</v>
      </c>
      <c r="F1582" s="29" t="e">
        <f>VLOOKUP(D1582,数据集标准分类!G:H,2,0)</f>
        <v>#N/A</v>
      </c>
      <c r="G1582" s="29" t="s">
        <v>3361</v>
      </c>
      <c r="H1582" s="29" t="s">
        <v>3362</v>
      </c>
      <c r="I1582" s="29" t="s">
        <v>3363</v>
      </c>
      <c r="J1582" s="29" t="s">
        <v>3364</v>
      </c>
      <c r="K1582" s="29"/>
      <c r="L1582" s="250">
        <v>2</v>
      </c>
      <c r="M1582" s="251"/>
    </row>
    <row r="1583" ht="16.8" spans="1:13">
      <c r="A1583" s="248" t="s">
        <v>3066</v>
      </c>
      <c r="B1583" s="183" t="s">
        <v>4317</v>
      </c>
      <c r="C1583" s="249" t="e">
        <f>VLOOKUP(D1583,#REF!,2,0)</f>
        <v>#REF!</v>
      </c>
      <c r="D1583" s="266" t="s">
        <v>3427</v>
      </c>
      <c r="E1583" s="18" t="e">
        <f>VLOOKUP(C1583,数据集标准分类!E:F,2,0)</f>
        <v>#REF!</v>
      </c>
      <c r="F1583" s="29" t="e">
        <f>VLOOKUP(D1583,数据集标准分类!G:H,2,0)</f>
        <v>#N/A</v>
      </c>
      <c r="G1583" s="29" t="s">
        <v>1496</v>
      </c>
      <c r="H1583" s="29" t="s">
        <v>1497</v>
      </c>
      <c r="I1583" s="29" t="s">
        <v>1498</v>
      </c>
      <c r="J1583" s="29" t="s">
        <v>1499</v>
      </c>
      <c r="K1583" s="29"/>
      <c r="L1583" s="250">
        <v>3</v>
      </c>
      <c r="M1583" s="251"/>
    </row>
    <row r="1584" ht="16.8" spans="1:13">
      <c r="A1584" s="248" t="s">
        <v>3066</v>
      </c>
      <c r="B1584" s="183" t="s">
        <v>4317</v>
      </c>
      <c r="C1584" s="249" t="e">
        <f>VLOOKUP(D1584,#REF!,2,0)</f>
        <v>#REF!</v>
      </c>
      <c r="D1584" s="266" t="s">
        <v>3427</v>
      </c>
      <c r="E1584" s="18" t="e">
        <f>VLOOKUP(C1584,数据集标准分类!E:F,2,0)</f>
        <v>#REF!</v>
      </c>
      <c r="F1584" s="29" t="e">
        <f>VLOOKUP(D1584,数据集标准分类!G:H,2,0)</f>
        <v>#N/A</v>
      </c>
      <c r="G1584" s="29" t="s">
        <v>3199</v>
      </c>
      <c r="H1584" s="29" t="s">
        <v>3200</v>
      </c>
      <c r="I1584" s="29" t="s">
        <v>3201</v>
      </c>
      <c r="J1584" s="29" t="s">
        <v>3202</v>
      </c>
      <c r="K1584" s="29"/>
      <c r="L1584" s="250">
        <v>4</v>
      </c>
      <c r="M1584" s="251"/>
    </row>
    <row r="1585" ht="16.8" spans="1:13">
      <c r="A1585" s="248" t="s">
        <v>3066</v>
      </c>
      <c r="B1585" s="183" t="s">
        <v>4317</v>
      </c>
      <c r="C1585" s="249" t="e">
        <f>VLOOKUP(D1585,#REF!,2,0)</f>
        <v>#REF!</v>
      </c>
      <c r="D1585" s="266" t="s">
        <v>3427</v>
      </c>
      <c r="E1585" s="18" t="e">
        <f>VLOOKUP(C1585,数据集标准分类!E:F,2,0)</f>
        <v>#REF!</v>
      </c>
      <c r="F1585" s="29" t="e">
        <f>VLOOKUP(D1585,数据集标准分类!G:H,2,0)</f>
        <v>#N/A</v>
      </c>
      <c r="G1585" s="29" t="s">
        <v>3366</v>
      </c>
      <c r="H1585" s="29" t="s">
        <v>3367</v>
      </c>
      <c r="I1585" s="29" t="s">
        <v>3368</v>
      </c>
      <c r="J1585" s="29" t="s">
        <v>3369</v>
      </c>
      <c r="K1585" s="29"/>
      <c r="L1585" s="250">
        <v>5</v>
      </c>
      <c r="M1585" s="251"/>
    </row>
    <row r="1586" ht="16.8" spans="1:13">
      <c r="A1586" s="248" t="s">
        <v>3066</v>
      </c>
      <c r="B1586" s="183" t="s">
        <v>4317</v>
      </c>
      <c r="C1586" s="249" t="e">
        <f>VLOOKUP(D1586,#REF!,2,0)</f>
        <v>#REF!</v>
      </c>
      <c r="D1586" s="266" t="s">
        <v>3427</v>
      </c>
      <c r="E1586" s="18" t="e">
        <f>VLOOKUP(C1586,数据集标准分类!E:F,2,0)</f>
        <v>#REF!</v>
      </c>
      <c r="F1586" s="29" t="e">
        <f>VLOOKUP(D1586,数据集标准分类!G:H,2,0)</f>
        <v>#N/A</v>
      </c>
      <c r="G1586" s="29" t="s">
        <v>3336</v>
      </c>
      <c r="H1586" s="29" t="s">
        <v>3337</v>
      </c>
      <c r="I1586" s="29" t="s">
        <v>3338</v>
      </c>
      <c r="J1586" s="29" t="s">
        <v>3339</v>
      </c>
      <c r="K1586" s="29"/>
      <c r="L1586" s="250">
        <v>6</v>
      </c>
      <c r="M1586" s="251"/>
    </row>
    <row r="1587" ht="31" spans="1:13">
      <c r="A1587" s="248" t="s">
        <v>3066</v>
      </c>
      <c r="B1587" s="183" t="s">
        <v>4317</v>
      </c>
      <c r="C1587" s="249" t="e">
        <f>VLOOKUP(D1587,#REF!,2,0)</f>
        <v>#REF!</v>
      </c>
      <c r="D1587" s="266" t="s">
        <v>3428</v>
      </c>
      <c r="E1587" s="18" t="e">
        <f>VLOOKUP(C1587,数据集标准分类!E:F,2,0)</f>
        <v>#REF!</v>
      </c>
      <c r="F1587" s="29" t="e">
        <f>VLOOKUP(D1587,数据集标准分类!G:H,2,0)</f>
        <v>#N/A</v>
      </c>
      <c r="G1587" s="29" t="s">
        <v>3192</v>
      </c>
      <c r="H1587" s="29" t="s">
        <v>3193</v>
      </c>
      <c r="I1587" s="29" t="s">
        <v>3194</v>
      </c>
      <c r="J1587" s="29" t="s">
        <v>3195</v>
      </c>
      <c r="K1587" s="29"/>
      <c r="L1587" s="250">
        <v>1</v>
      </c>
      <c r="M1587" s="45"/>
    </row>
    <row r="1588" ht="31" spans="1:13">
      <c r="A1588" s="248" t="s">
        <v>3066</v>
      </c>
      <c r="B1588" s="183" t="s">
        <v>4317</v>
      </c>
      <c r="C1588" s="249" t="e">
        <f>VLOOKUP(D1588,#REF!,2,0)</f>
        <v>#REF!</v>
      </c>
      <c r="D1588" s="266" t="s">
        <v>3428</v>
      </c>
      <c r="E1588" s="18" t="e">
        <f>VLOOKUP(C1588,数据集标准分类!E:F,2,0)</f>
        <v>#REF!</v>
      </c>
      <c r="F1588" s="29" t="e">
        <f>VLOOKUP(D1588,数据集标准分类!G:H,2,0)</f>
        <v>#N/A</v>
      </c>
      <c r="G1588" s="29" t="s">
        <v>3361</v>
      </c>
      <c r="H1588" s="29" t="s">
        <v>3362</v>
      </c>
      <c r="I1588" s="29" t="s">
        <v>3363</v>
      </c>
      <c r="J1588" s="29" t="s">
        <v>3364</v>
      </c>
      <c r="K1588" s="29"/>
      <c r="L1588" s="250">
        <v>2</v>
      </c>
      <c r="M1588" s="45"/>
    </row>
    <row r="1589" ht="31" spans="1:13">
      <c r="A1589" s="248" t="s">
        <v>3066</v>
      </c>
      <c r="B1589" s="183" t="s">
        <v>4317</v>
      </c>
      <c r="C1589" s="249" t="e">
        <f>VLOOKUP(D1589,#REF!,2,0)</f>
        <v>#REF!</v>
      </c>
      <c r="D1589" s="266" t="s">
        <v>3428</v>
      </c>
      <c r="E1589" s="18" t="e">
        <f>VLOOKUP(C1589,数据集标准分类!E:F,2,0)</f>
        <v>#REF!</v>
      </c>
      <c r="F1589" s="29" t="e">
        <f>VLOOKUP(D1589,数据集标准分类!G:H,2,0)</f>
        <v>#N/A</v>
      </c>
      <c r="G1589" s="29" t="s">
        <v>1496</v>
      </c>
      <c r="H1589" s="29" t="s">
        <v>1497</v>
      </c>
      <c r="I1589" s="29" t="s">
        <v>1498</v>
      </c>
      <c r="J1589" s="29" t="s">
        <v>1499</v>
      </c>
      <c r="K1589" s="29"/>
      <c r="L1589" s="250">
        <v>3</v>
      </c>
      <c r="M1589" s="45"/>
    </row>
    <row r="1590" ht="31" spans="1:13">
      <c r="A1590" s="248" t="s">
        <v>3066</v>
      </c>
      <c r="B1590" s="183" t="s">
        <v>4317</v>
      </c>
      <c r="C1590" s="249" t="e">
        <f>VLOOKUP(D1590,#REF!,2,0)</f>
        <v>#REF!</v>
      </c>
      <c r="D1590" s="266" t="s">
        <v>3428</v>
      </c>
      <c r="E1590" s="18" t="e">
        <f>VLOOKUP(C1590,数据集标准分类!E:F,2,0)</f>
        <v>#REF!</v>
      </c>
      <c r="F1590" s="29" t="e">
        <f>VLOOKUP(D1590,数据集标准分类!G:H,2,0)</f>
        <v>#N/A</v>
      </c>
      <c r="G1590" s="29" t="s">
        <v>3199</v>
      </c>
      <c r="H1590" s="29" t="s">
        <v>3200</v>
      </c>
      <c r="I1590" s="29" t="s">
        <v>3201</v>
      </c>
      <c r="J1590" s="29" t="s">
        <v>3202</v>
      </c>
      <c r="K1590" s="29"/>
      <c r="L1590" s="250">
        <v>4</v>
      </c>
      <c r="M1590" s="45"/>
    </row>
    <row r="1591" ht="31" spans="1:13">
      <c r="A1591" s="248" t="s">
        <v>3066</v>
      </c>
      <c r="B1591" s="183" t="s">
        <v>4317</v>
      </c>
      <c r="C1591" s="249" t="e">
        <f>VLOOKUP(D1591,#REF!,2,0)</f>
        <v>#REF!</v>
      </c>
      <c r="D1591" s="266" t="s">
        <v>3428</v>
      </c>
      <c r="E1591" s="18" t="e">
        <f>VLOOKUP(C1591,数据集标准分类!E:F,2,0)</f>
        <v>#REF!</v>
      </c>
      <c r="F1591" s="29" t="e">
        <f>VLOOKUP(D1591,数据集标准分类!G:H,2,0)</f>
        <v>#N/A</v>
      </c>
      <c r="G1591" s="29" t="s">
        <v>3366</v>
      </c>
      <c r="H1591" s="29" t="s">
        <v>3367</v>
      </c>
      <c r="I1591" s="29" t="s">
        <v>3368</v>
      </c>
      <c r="J1591" s="29" t="s">
        <v>3369</v>
      </c>
      <c r="K1591" s="29"/>
      <c r="L1591" s="250">
        <v>5</v>
      </c>
      <c r="M1591" s="45"/>
    </row>
    <row r="1592" ht="31" spans="1:13">
      <c r="A1592" s="248" t="s">
        <v>3066</v>
      </c>
      <c r="B1592" s="183" t="s">
        <v>4317</v>
      </c>
      <c r="C1592" s="249" t="e">
        <f>VLOOKUP(D1592,#REF!,2,0)</f>
        <v>#REF!</v>
      </c>
      <c r="D1592" s="266" t="s">
        <v>3428</v>
      </c>
      <c r="E1592" s="18" t="e">
        <f>VLOOKUP(C1592,数据集标准分类!E:F,2,0)</f>
        <v>#REF!</v>
      </c>
      <c r="F1592" s="29" t="e">
        <f>VLOOKUP(D1592,数据集标准分类!G:H,2,0)</f>
        <v>#N/A</v>
      </c>
      <c r="G1592" s="29" t="s">
        <v>3336</v>
      </c>
      <c r="H1592" s="29" t="s">
        <v>3337</v>
      </c>
      <c r="I1592" s="29" t="s">
        <v>3338</v>
      </c>
      <c r="J1592" s="29" t="s">
        <v>3339</v>
      </c>
      <c r="K1592" s="29"/>
      <c r="L1592" s="250">
        <v>6</v>
      </c>
      <c r="M1592" s="45"/>
    </row>
    <row r="1593" ht="16.8" spans="1:13">
      <c r="A1593" s="248" t="s">
        <v>3066</v>
      </c>
      <c r="B1593" s="183" t="s">
        <v>4317</v>
      </c>
      <c r="C1593" s="249" t="e">
        <f>VLOOKUP(D1593,#REF!,2,0)</f>
        <v>#REF!</v>
      </c>
      <c r="D1593" s="266" t="s">
        <v>3429</v>
      </c>
      <c r="E1593" s="18" t="e">
        <f>VLOOKUP(C1593,数据集标准分类!E:F,2,0)</f>
        <v>#REF!</v>
      </c>
      <c r="F1593" s="29" t="e">
        <f>VLOOKUP(D1593,数据集标准分类!G:H,2,0)</f>
        <v>#N/A</v>
      </c>
      <c r="G1593" s="29" t="s">
        <v>3192</v>
      </c>
      <c r="H1593" s="29" t="s">
        <v>3193</v>
      </c>
      <c r="I1593" s="29" t="s">
        <v>3194</v>
      </c>
      <c r="J1593" s="29" t="s">
        <v>3195</v>
      </c>
      <c r="K1593" s="29"/>
      <c r="L1593" s="250">
        <v>1</v>
      </c>
      <c r="M1593" s="45"/>
    </row>
    <row r="1594" ht="16.8" spans="1:13">
      <c r="A1594" s="248" t="s">
        <v>3066</v>
      </c>
      <c r="B1594" s="183" t="s">
        <v>4317</v>
      </c>
      <c r="C1594" s="249" t="e">
        <f>VLOOKUP(D1594,#REF!,2,0)</f>
        <v>#REF!</v>
      </c>
      <c r="D1594" s="266" t="s">
        <v>3429</v>
      </c>
      <c r="E1594" s="18" t="e">
        <f>VLOOKUP(C1594,数据集标准分类!E:F,2,0)</f>
        <v>#REF!</v>
      </c>
      <c r="F1594" s="29" t="e">
        <f>VLOOKUP(D1594,数据集标准分类!G:H,2,0)</f>
        <v>#N/A</v>
      </c>
      <c r="G1594" s="29" t="s">
        <v>3361</v>
      </c>
      <c r="H1594" s="29" t="s">
        <v>3362</v>
      </c>
      <c r="I1594" s="29" t="s">
        <v>3363</v>
      </c>
      <c r="J1594" s="29" t="s">
        <v>3364</v>
      </c>
      <c r="K1594" s="29"/>
      <c r="L1594" s="250">
        <v>2</v>
      </c>
      <c r="M1594" s="45"/>
    </row>
    <row r="1595" ht="16.8" spans="1:13">
      <c r="A1595" s="248" t="s">
        <v>3066</v>
      </c>
      <c r="B1595" s="183" t="s">
        <v>4317</v>
      </c>
      <c r="C1595" s="249" t="e">
        <f>VLOOKUP(D1595,#REF!,2,0)</f>
        <v>#REF!</v>
      </c>
      <c r="D1595" s="266" t="s">
        <v>3429</v>
      </c>
      <c r="E1595" s="18" t="e">
        <f>VLOOKUP(C1595,数据集标准分类!E:F,2,0)</f>
        <v>#REF!</v>
      </c>
      <c r="F1595" s="29" t="e">
        <f>VLOOKUP(D1595,数据集标准分类!G:H,2,0)</f>
        <v>#N/A</v>
      </c>
      <c r="G1595" s="29" t="s">
        <v>1496</v>
      </c>
      <c r="H1595" s="29" t="s">
        <v>1497</v>
      </c>
      <c r="I1595" s="29" t="s">
        <v>1498</v>
      </c>
      <c r="J1595" s="29" t="s">
        <v>1499</v>
      </c>
      <c r="K1595" s="29"/>
      <c r="L1595" s="250">
        <v>3</v>
      </c>
      <c r="M1595" s="45"/>
    </row>
    <row r="1596" ht="24" customHeight="1" spans="1:13">
      <c r="A1596" s="248" t="s">
        <v>3066</v>
      </c>
      <c r="B1596" s="183" t="s">
        <v>4317</v>
      </c>
      <c r="C1596" s="249" t="e">
        <f>VLOOKUP(D1596,#REF!,2,0)</f>
        <v>#REF!</v>
      </c>
      <c r="D1596" s="266" t="s">
        <v>3429</v>
      </c>
      <c r="E1596" s="18" t="e">
        <f>VLOOKUP(C1596,数据集标准分类!E:F,2,0)</f>
        <v>#REF!</v>
      </c>
      <c r="F1596" s="29" t="e">
        <f>VLOOKUP(D1596,数据集标准分类!G:H,2,0)</f>
        <v>#N/A</v>
      </c>
      <c r="G1596" s="29" t="s">
        <v>3199</v>
      </c>
      <c r="H1596" s="29" t="s">
        <v>3200</v>
      </c>
      <c r="I1596" s="29" t="s">
        <v>3201</v>
      </c>
      <c r="J1596" s="29" t="s">
        <v>3202</v>
      </c>
      <c r="K1596" s="29"/>
      <c r="L1596" s="250">
        <v>4</v>
      </c>
      <c r="M1596" s="45"/>
    </row>
    <row r="1597" ht="16.8" spans="1:13">
      <c r="A1597" s="248" t="s">
        <v>3066</v>
      </c>
      <c r="B1597" s="183" t="s">
        <v>4317</v>
      </c>
      <c r="C1597" s="249" t="e">
        <f>VLOOKUP(D1597,#REF!,2,0)</f>
        <v>#REF!</v>
      </c>
      <c r="D1597" s="266" t="s">
        <v>3429</v>
      </c>
      <c r="E1597" s="18" t="e">
        <f>VLOOKUP(C1597,数据集标准分类!E:F,2,0)</f>
        <v>#REF!</v>
      </c>
      <c r="F1597" s="29" t="e">
        <f>VLOOKUP(D1597,数据集标准分类!G:H,2,0)</f>
        <v>#N/A</v>
      </c>
      <c r="G1597" s="29" t="s">
        <v>3366</v>
      </c>
      <c r="H1597" s="29" t="s">
        <v>3367</v>
      </c>
      <c r="I1597" s="29" t="s">
        <v>3368</v>
      </c>
      <c r="J1597" s="29" t="s">
        <v>3369</v>
      </c>
      <c r="K1597" s="29"/>
      <c r="L1597" s="250">
        <v>5</v>
      </c>
      <c r="M1597" s="45"/>
    </row>
    <row r="1598" ht="16.8" spans="1:13">
      <c r="A1598" s="248" t="s">
        <v>3066</v>
      </c>
      <c r="B1598" s="183" t="s">
        <v>4317</v>
      </c>
      <c r="C1598" s="249" t="e">
        <f>VLOOKUP(D1598,#REF!,2,0)</f>
        <v>#REF!</v>
      </c>
      <c r="D1598" s="266" t="s">
        <v>3429</v>
      </c>
      <c r="E1598" s="18" t="e">
        <f>VLOOKUP(C1598,数据集标准分类!E:F,2,0)</f>
        <v>#REF!</v>
      </c>
      <c r="F1598" s="29" t="e">
        <f>VLOOKUP(D1598,数据集标准分类!G:H,2,0)</f>
        <v>#N/A</v>
      </c>
      <c r="G1598" s="29" t="s">
        <v>3336</v>
      </c>
      <c r="H1598" s="29" t="s">
        <v>3337</v>
      </c>
      <c r="I1598" s="29" t="s">
        <v>3338</v>
      </c>
      <c r="J1598" s="29" t="s">
        <v>3339</v>
      </c>
      <c r="K1598" s="29"/>
      <c r="L1598" s="250">
        <v>6</v>
      </c>
      <c r="M1598" s="45"/>
    </row>
    <row r="1599" ht="16.8" spans="1:13">
      <c r="A1599" s="248" t="s">
        <v>3066</v>
      </c>
      <c r="B1599" s="183" t="s">
        <v>4317</v>
      </c>
      <c r="C1599" s="249" t="e">
        <f>VLOOKUP(D1599,#REF!,2,0)</f>
        <v>#REF!</v>
      </c>
      <c r="D1599" s="146" t="s">
        <v>3430</v>
      </c>
      <c r="E1599" s="146" t="e">
        <f>VLOOKUP(C1599,数据集标准分类!E:F,2,0)</f>
        <v>#REF!</v>
      </c>
      <c r="F1599" s="29" t="e">
        <f>VLOOKUP(D1599,数据集标准分类!G:H,2,0)</f>
        <v>#N/A</v>
      </c>
      <c r="G1599" s="146" t="s">
        <v>2242</v>
      </c>
      <c r="H1599" s="146" t="s">
        <v>2243</v>
      </c>
      <c r="I1599" s="146" t="s">
        <v>2244</v>
      </c>
      <c r="J1599" s="146" t="s">
        <v>2836</v>
      </c>
      <c r="K1599" s="146"/>
      <c r="L1599" s="166" t="s">
        <v>3351</v>
      </c>
      <c r="M1599" s="45"/>
    </row>
    <row r="1600" ht="16.8" spans="1:13">
      <c r="A1600" s="248" t="s">
        <v>3066</v>
      </c>
      <c r="B1600" s="183" t="s">
        <v>4317</v>
      </c>
      <c r="C1600" s="249" t="e">
        <f>VLOOKUP(D1600,#REF!,2,0)</f>
        <v>#REF!</v>
      </c>
      <c r="D1600" s="146" t="s">
        <v>3430</v>
      </c>
      <c r="E1600" s="146" t="e">
        <f>VLOOKUP(C1600,数据集标准分类!E:F,2,0)</f>
        <v>#REF!</v>
      </c>
      <c r="F1600" s="29" t="e">
        <f>VLOOKUP(D1600,数据集标准分类!G:H,2,0)</f>
        <v>#N/A</v>
      </c>
      <c r="G1600" s="29" t="s">
        <v>2939</v>
      </c>
      <c r="H1600" s="45" t="s">
        <v>2940</v>
      </c>
      <c r="I1600" s="45" t="s">
        <v>2941</v>
      </c>
      <c r="J1600" s="45" t="s">
        <v>2942</v>
      </c>
      <c r="K1600" s="146"/>
      <c r="L1600" s="166" t="s">
        <v>3352</v>
      </c>
      <c r="M1600" s="45"/>
    </row>
    <row r="1601" ht="16.8" spans="1:13">
      <c r="A1601" s="248" t="s">
        <v>3066</v>
      </c>
      <c r="B1601" s="183" t="s">
        <v>4317</v>
      </c>
      <c r="C1601" s="249" t="e">
        <f>VLOOKUP(D1601,#REF!,2,0)</f>
        <v>#REF!</v>
      </c>
      <c r="D1601" s="146" t="s">
        <v>3430</v>
      </c>
      <c r="E1601" s="146" t="e">
        <f>VLOOKUP(C1601,数据集标准分类!E:F,2,0)</f>
        <v>#REF!</v>
      </c>
      <c r="F1601" s="29" t="e">
        <f>VLOOKUP(D1601,数据集标准分类!G:H,2,0)</f>
        <v>#N/A</v>
      </c>
      <c r="G1601" s="146" t="s">
        <v>3431</v>
      </c>
      <c r="H1601" s="146" t="s">
        <v>3205</v>
      </c>
      <c r="I1601" s="146" t="s">
        <v>3205</v>
      </c>
      <c r="J1601" s="146" t="s">
        <v>3206</v>
      </c>
      <c r="K1601" s="146"/>
      <c r="L1601" s="166" t="s">
        <v>3353</v>
      </c>
      <c r="M1601" s="45"/>
    </row>
    <row r="1602" ht="24" customHeight="1" spans="1:13">
      <c r="A1602" s="248" t="s">
        <v>3066</v>
      </c>
      <c r="B1602" s="183" t="s">
        <v>4317</v>
      </c>
      <c r="C1602" s="249" t="e">
        <f>VLOOKUP(D1602,#REF!,2,0)</f>
        <v>#REF!</v>
      </c>
      <c r="D1602" s="29" t="s">
        <v>3432</v>
      </c>
      <c r="E1602" s="18" t="e">
        <f>VLOOKUP(C1602,数据集标准分类!E:F,2,0)</f>
        <v>#REF!</v>
      </c>
      <c r="F1602" s="29" t="e">
        <f>VLOOKUP(D1602,数据集标准分类!G:H,2,0)</f>
        <v>#N/A</v>
      </c>
      <c r="G1602" s="146" t="s">
        <v>2242</v>
      </c>
      <c r="H1602" s="146" t="s">
        <v>2243</v>
      </c>
      <c r="I1602" s="146" t="s">
        <v>2244</v>
      </c>
      <c r="J1602" s="146" t="s">
        <v>2836</v>
      </c>
      <c r="K1602" s="29"/>
      <c r="L1602" s="250">
        <v>1</v>
      </c>
      <c r="M1602" s="45"/>
    </row>
    <row r="1603" ht="16.8" spans="1:13">
      <c r="A1603" s="248" t="s">
        <v>3066</v>
      </c>
      <c r="B1603" s="183" t="s">
        <v>4317</v>
      </c>
      <c r="C1603" s="249" t="e">
        <f>VLOOKUP(D1603,#REF!,2,0)</f>
        <v>#REF!</v>
      </c>
      <c r="D1603" s="29" t="s">
        <v>3432</v>
      </c>
      <c r="E1603" s="18" t="e">
        <f>VLOOKUP(C1603,数据集标准分类!E:F,2,0)</f>
        <v>#REF!</v>
      </c>
      <c r="F1603" s="29" t="e">
        <f>VLOOKUP(D1603,数据集标准分类!G:H,2,0)</f>
        <v>#N/A</v>
      </c>
      <c r="G1603" s="29" t="s">
        <v>2939</v>
      </c>
      <c r="H1603" s="45" t="s">
        <v>2940</v>
      </c>
      <c r="I1603" s="45" t="s">
        <v>2941</v>
      </c>
      <c r="J1603" s="45" t="s">
        <v>2942</v>
      </c>
      <c r="K1603" s="29"/>
      <c r="L1603" s="250">
        <v>2</v>
      </c>
      <c r="M1603" s="45"/>
    </row>
    <row r="1604" ht="16.8" spans="1:13">
      <c r="A1604" s="248" t="s">
        <v>3066</v>
      </c>
      <c r="B1604" s="183" t="s">
        <v>4317</v>
      </c>
      <c r="C1604" s="249" t="e">
        <f>VLOOKUP(D1604,#REF!,2,0)</f>
        <v>#REF!</v>
      </c>
      <c r="D1604" s="29" t="s">
        <v>3432</v>
      </c>
      <c r="E1604" s="18" t="e">
        <f>VLOOKUP(C1604,数据集标准分类!E:F,2,0)</f>
        <v>#REF!</v>
      </c>
      <c r="F1604" s="29" t="e">
        <f>VLOOKUP(D1604,数据集标准分类!G:H,2,0)</f>
        <v>#N/A</v>
      </c>
      <c r="G1604" s="29" t="s">
        <v>3431</v>
      </c>
      <c r="H1604" s="29" t="s">
        <v>3205</v>
      </c>
      <c r="I1604" s="29" t="s">
        <v>3205</v>
      </c>
      <c r="J1604" s="29" t="s">
        <v>3206</v>
      </c>
      <c r="K1604" s="29"/>
      <c r="L1604" s="250">
        <v>3</v>
      </c>
      <c r="M1604" s="45"/>
    </row>
    <row r="1605" ht="16.8" spans="1:13">
      <c r="A1605" s="248" t="s">
        <v>3066</v>
      </c>
      <c r="B1605" s="183" t="s">
        <v>4317</v>
      </c>
      <c r="C1605" s="249" t="e">
        <f>VLOOKUP(D1605,#REF!,2,0)</f>
        <v>#REF!</v>
      </c>
      <c r="D1605" s="29" t="s">
        <v>3616</v>
      </c>
      <c r="E1605" s="18" t="e">
        <f>VLOOKUP(C1605,数据集标准分类!E:F,2,0)</f>
        <v>#REF!</v>
      </c>
      <c r="F1605" s="29" t="e">
        <f>VLOOKUP(D1605,数据集标准分类!G:H,2,0)</f>
        <v>#N/A</v>
      </c>
      <c r="G1605" s="146" t="s">
        <v>2242</v>
      </c>
      <c r="H1605" s="146" t="s">
        <v>2243</v>
      </c>
      <c r="I1605" s="146" t="s">
        <v>2244</v>
      </c>
      <c r="J1605" s="146" t="s">
        <v>2836</v>
      </c>
      <c r="K1605" s="151"/>
      <c r="L1605" s="184" t="s">
        <v>4510</v>
      </c>
      <c r="M1605" s="45"/>
    </row>
    <row r="1606" ht="16.8" spans="1:13">
      <c r="A1606" s="248" t="s">
        <v>3066</v>
      </c>
      <c r="B1606" s="183" t="s">
        <v>4317</v>
      </c>
      <c r="C1606" s="249" t="e">
        <f>VLOOKUP(D1606,#REF!,2,0)</f>
        <v>#REF!</v>
      </c>
      <c r="D1606" s="29" t="s">
        <v>3616</v>
      </c>
      <c r="E1606" s="18" t="e">
        <f>VLOOKUP(C1606,数据集标准分类!E:F,2,0)</f>
        <v>#REF!</v>
      </c>
      <c r="F1606" s="29" t="e">
        <f>VLOOKUP(D1606,数据集标准分类!G:H,2,0)</f>
        <v>#N/A</v>
      </c>
      <c r="G1606" s="146" t="s">
        <v>3617</v>
      </c>
      <c r="H1606" s="146" t="s">
        <v>3618</v>
      </c>
      <c r="I1606" s="146" t="s">
        <v>3619</v>
      </c>
      <c r="J1606" s="146" t="s">
        <v>3620</v>
      </c>
      <c r="K1606" s="151"/>
      <c r="L1606" s="184" t="s">
        <v>4514</v>
      </c>
      <c r="M1606" s="45"/>
    </row>
    <row r="1607" ht="16.8" spans="1:13">
      <c r="A1607" s="248" t="s">
        <v>3066</v>
      </c>
      <c r="B1607" s="183" t="s">
        <v>4317</v>
      </c>
      <c r="C1607" s="249" t="e">
        <f>VLOOKUP(D1607,#REF!,2,0)</f>
        <v>#REF!</v>
      </c>
      <c r="D1607" s="29" t="s">
        <v>3616</v>
      </c>
      <c r="E1607" s="18" t="e">
        <f>VLOOKUP(C1607,数据集标准分类!E:F,2,0)</f>
        <v>#REF!</v>
      </c>
      <c r="F1607" s="29" t="e">
        <f>VLOOKUP(D1607,数据集标准分类!G:H,2,0)</f>
        <v>#N/A</v>
      </c>
      <c r="G1607" s="146" t="s">
        <v>5556</v>
      </c>
      <c r="H1607" s="146" t="s">
        <v>5557</v>
      </c>
      <c r="I1607" s="146" t="s">
        <v>5558</v>
      </c>
      <c r="J1607" s="146" t="s">
        <v>5559</v>
      </c>
      <c r="K1607" s="151"/>
      <c r="L1607" s="184" t="s">
        <v>4518</v>
      </c>
      <c r="M1607" s="45"/>
    </row>
    <row r="1608" ht="16.8" spans="1:13">
      <c r="A1608" s="248" t="s">
        <v>3066</v>
      </c>
      <c r="B1608" s="183" t="s">
        <v>4317</v>
      </c>
      <c r="C1608" s="249" t="e">
        <f>VLOOKUP(D1608,#REF!,2,0)</f>
        <v>#REF!</v>
      </c>
      <c r="D1608" s="29" t="s">
        <v>3616</v>
      </c>
      <c r="E1608" s="18" t="e">
        <f>VLOOKUP(C1608,数据集标准分类!E:F,2,0)</f>
        <v>#REF!</v>
      </c>
      <c r="F1608" s="29" t="e">
        <f>VLOOKUP(D1608,数据集标准分类!G:H,2,0)</f>
        <v>#N/A</v>
      </c>
      <c r="G1608" s="146" t="s">
        <v>1774</v>
      </c>
      <c r="H1608" s="146" t="s">
        <v>1775</v>
      </c>
      <c r="I1608" s="146" t="s">
        <v>1776</v>
      </c>
      <c r="J1608" s="146" t="s">
        <v>1777</v>
      </c>
      <c r="K1608" s="151"/>
      <c r="L1608" s="184" t="s">
        <v>4522</v>
      </c>
      <c r="M1608" s="45"/>
    </row>
    <row r="1609" ht="16.8" spans="1:13">
      <c r="A1609" s="248" t="s">
        <v>3066</v>
      </c>
      <c r="B1609" s="183" t="s">
        <v>4317</v>
      </c>
      <c r="C1609" s="249" t="e">
        <f>VLOOKUP(D1609,#REF!,2,0)</f>
        <v>#REF!</v>
      </c>
      <c r="D1609" s="29" t="s">
        <v>3616</v>
      </c>
      <c r="E1609" s="18" t="e">
        <f>VLOOKUP(C1609,数据集标准分类!E:F,2,0)</f>
        <v>#REF!</v>
      </c>
      <c r="F1609" s="29" t="e">
        <f>VLOOKUP(D1609,数据集标准分类!G:H,2,0)</f>
        <v>#N/A</v>
      </c>
      <c r="G1609" s="146" t="s">
        <v>3621</v>
      </c>
      <c r="H1609" s="146" t="s">
        <v>3622</v>
      </c>
      <c r="I1609" s="146" t="s">
        <v>3623</v>
      </c>
      <c r="J1609" s="146" t="s">
        <v>3624</v>
      </c>
      <c r="K1609" s="151"/>
      <c r="L1609" s="184" t="s">
        <v>4524</v>
      </c>
      <c r="M1609" s="45"/>
    </row>
    <row r="1610" ht="16.8" spans="1:13">
      <c r="A1610" s="248" t="s">
        <v>3066</v>
      </c>
      <c r="B1610" s="183" t="s">
        <v>4317</v>
      </c>
      <c r="C1610" s="249" t="e">
        <f>VLOOKUP(D1610,#REF!,2,0)</f>
        <v>#REF!</v>
      </c>
      <c r="D1610" s="29" t="s">
        <v>3616</v>
      </c>
      <c r="E1610" s="18" t="e">
        <f>VLOOKUP(C1610,数据集标准分类!E:F,2,0)</f>
        <v>#REF!</v>
      </c>
      <c r="F1610" s="29" t="e">
        <f>VLOOKUP(D1610,数据集标准分类!G:H,2,0)</f>
        <v>#N/A</v>
      </c>
      <c r="G1610" s="146" t="s">
        <v>3625</v>
      </c>
      <c r="H1610" s="146" t="s">
        <v>3626</v>
      </c>
      <c r="I1610" s="146" t="s">
        <v>3627</v>
      </c>
      <c r="J1610" s="146" t="s">
        <v>3628</v>
      </c>
      <c r="K1610" s="151"/>
      <c r="L1610" s="184" t="s">
        <v>4527</v>
      </c>
      <c r="M1610" s="45"/>
    </row>
    <row r="1611" ht="16.8" spans="1:13">
      <c r="A1611" s="248" t="s">
        <v>3066</v>
      </c>
      <c r="B1611" s="183" t="s">
        <v>4317</v>
      </c>
      <c r="C1611" s="249" t="e">
        <f>VLOOKUP(D1611,#REF!,2,0)</f>
        <v>#REF!</v>
      </c>
      <c r="D1611" s="29" t="s">
        <v>3616</v>
      </c>
      <c r="E1611" s="18" t="e">
        <f>VLOOKUP(C1611,数据集标准分类!E:F,2,0)</f>
        <v>#REF!</v>
      </c>
      <c r="F1611" s="29" t="e">
        <f>VLOOKUP(D1611,数据集标准分类!G:H,2,0)</f>
        <v>#N/A</v>
      </c>
      <c r="G1611" s="146" t="s">
        <v>3629</v>
      </c>
      <c r="H1611" s="146" t="s">
        <v>3630</v>
      </c>
      <c r="I1611" s="146" t="s">
        <v>3630</v>
      </c>
      <c r="J1611" s="146" t="s">
        <v>3631</v>
      </c>
      <c r="K1611" s="151"/>
      <c r="L1611" s="184" t="s">
        <v>5575</v>
      </c>
      <c r="M1611" s="45"/>
    </row>
    <row r="1612" ht="16.8" spans="1:13">
      <c r="A1612" s="248" t="s">
        <v>3066</v>
      </c>
      <c r="B1612" s="183" t="s">
        <v>4317</v>
      </c>
      <c r="C1612" s="249" t="e">
        <f>VLOOKUP(D1612,#REF!,2,0)</f>
        <v>#REF!</v>
      </c>
      <c r="D1612" s="29" t="s">
        <v>3616</v>
      </c>
      <c r="E1612" s="18" t="e">
        <f>VLOOKUP(C1612,数据集标准分类!E:F,2,0)</f>
        <v>#REF!</v>
      </c>
      <c r="F1612" s="29" t="e">
        <f>VLOOKUP(D1612,数据集标准分类!G:H,2,0)</f>
        <v>#N/A</v>
      </c>
      <c r="G1612" s="146" t="s">
        <v>3632</v>
      </c>
      <c r="H1612" s="146" t="s">
        <v>3633</v>
      </c>
      <c r="I1612" s="146" t="s">
        <v>3634</v>
      </c>
      <c r="J1612" s="146" t="s">
        <v>3635</v>
      </c>
      <c r="K1612" s="151"/>
      <c r="L1612" s="184" t="s">
        <v>5576</v>
      </c>
      <c r="M1612" s="45"/>
    </row>
    <row r="1613" ht="16.8" spans="1:13">
      <c r="A1613" s="248" t="s">
        <v>3066</v>
      </c>
      <c r="B1613" s="183" t="s">
        <v>4317</v>
      </c>
      <c r="C1613" s="249" t="e">
        <f>VLOOKUP(D1613,#REF!,2,0)</f>
        <v>#REF!</v>
      </c>
      <c r="D1613" s="29" t="s">
        <v>3616</v>
      </c>
      <c r="E1613" s="18" t="e">
        <f>VLOOKUP(C1613,数据集标准分类!E:F,2,0)</f>
        <v>#REF!</v>
      </c>
      <c r="F1613" s="29" t="e">
        <f>VLOOKUP(D1613,数据集标准分类!G:H,2,0)</f>
        <v>#N/A</v>
      </c>
      <c r="G1613" s="146" t="s">
        <v>3636</v>
      </c>
      <c r="H1613" s="146" t="s">
        <v>3637</v>
      </c>
      <c r="I1613" s="146" t="s">
        <v>3638</v>
      </c>
      <c r="J1613" s="146" t="s">
        <v>3639</v>
      </c>
      <c r="K1613" s="151"/>
      <c r="L1613" s="184" t="s">
        <v>4531</v>
      </c>
      <c r="M1613" s="45"/>
    </row>
    <row r="1614" ht="16.8" spans="1:13">
      <c r="A1614" s="248" t="s">
        <v>3066</v>
      </c>
      <c r="B1614" s="183" t="s">
        <v>4317</v>
      </c>
      <c r="C1614" s="249" t="e">
        <f>VLOOKUP(D1614,#REF!,2,0)</f>
        <v>#REF!</v>
      </c>
      <c r="D1614" s="146" t="s">
        <v>3640</v>
      </c>
      <c r="E1614" s="18" t="e">
        <f>VLOOKUP(C1614,数据集标准分类!E:F,2,0)</f>
        <v>#REF!</v>
      </c>
      <c r="F1614" s="29" t="e">
        <f>VLOOKUP(D1614,数据集标准分类!G:H,2,0)</f>
        <v>#N/A</v>
      </c>
      <c r="G1614" s="146" t="s">
        <v>2889</v>
      </c>
      <c r="H1614" s="146" t="s">
        <v>2890</v>
      </c>
      <c r="I1614" s="146" t="s">
        <v>2891</v>
      </c>
      <c r="J1614" s="146" t="s">
        <v>2892</v>
      </c>
      <c r="K1614" s="151"/>
      <c r="L1614" s="184" t="s">
        <v>3351</v>
      </c>
      <c r="M1614" s="45"/>
    </row>
    <row r="1615" ht="16.8" spans="1:13">
      <c r="A1615" s="248" t="s">
        <v>3066</v>
      </c>
      <c r="B1615" s="183" t="s">
        <v>4317</v>
      </c>
      <c r="C1615" s="249" t="e">
        <f>VLOOKUP(D1615,#REF!,2,0)</f>
        <v>#REF!</v>
      </c>
      <c r="D1615" s="146" t="s">
        <v>3640</v>
      </c>
      <c r="E1615" s="18" t="e">
        <f>VLOOKUP(C1615,数据集标准分类!E:F,2,0)</f>
        <v>#REF!</v>
      </c>
      <c r="F1615" s="29" t="e">
        <f>VLOOKUP(D1615,数据集标准分类!G:H,2,0)</f>
        <v>#N/A</v>
      </c>
      <c r="G1615" s="146" t="s">
        <v>3641</v>
      </c>
      <c r="H1615" s="146" t="s">
        <v>3642</v>
      </c>
      <c r="I1615" s="146" t="s">
        <v>3643</v>
      </c>
      <c r="J1615" s="146" t="s">
        <v>3644</v>
      </c>
      <c r="K1615" s="151"/>
      <c r="L1615" s="184" t="s">
        <v>3352</v>
      </c>
      <c r="M1615" s="45"/>
    </row>
    <row r="1616" ht="16.8" spans="1:13">
      <c r="A1616" s="248" t="s">
        <v>3066</v>
      </c>
      <c r="B1616" s="183" t="s">
        <v>4317</v>
      </c>
      <c r="C1616" s="249" t="e">
        <f>VLOOKUP(D1616,#REF!,2,0)</f>
        <v>#REF!</v>
      </c>
      <c r="D1616" s="146" t="s">
        <v>3640</v>
      </c>
      <c r="E1616" s="18" t="e">
        <f>VLOOKUP(C1616,数据集标准分类!E:F,2,0)</f>
        <v>#REF!</v>
      </c>
      <c r="F1616" s="29" t="e">
        <f>VLOOKUP(D1616,数据集标准分类!G:H,2,0)</f>
        <v>#N/A</v>
      </c>
      <c r="G1616" s="146" t="s">
        <v>3617</v>
      </c>
      <c r="H1616" s="146" t="s">
        <v>3618</v>
      </c>
      <c r="I1616" s="146" t="s">
        <v>3619</v>
      </c>
      <c r="J1616" s="146" t="s">
        <v>3620</v>
      </c>
      <c r="K1616" s="151"/>
      <c r="L1616" s="184" t="s">
        <v>3353</v>
      </c>
      <c r="M1616" s="45"/>
    </row>
    <row r="1617" ht="16.8" spans="1:13">
      <c r="A1617" s="248" t="s">
        <v>3066</v>
      </c>
      <c r="B1617" s="183" t="s">
        <v>4317</v>
      </c>
      <c r="C1617" s="249" t="e">
        <f>VLOOKUP(D1617,#REF!,2,0)</f>
        <v>#REF!</v>
      </c>
      <c r="D1617" s="146" t="s">
        <v>3640</v>
      </c>
      <c r="E1617" s="18" t="e">
        <f>VLOOKUP(C1617,数据集标准分类!E:F,2,0)</f>
        <v>#REF!</v>
      </c>
      <c r="F1617" s="29" t="e">
        <f>VLOOKUP(D1617,数据集标准分类!G:H,2,0)</f>
        <v>#N/A</v>
      </c>
      <c r="G1617" s="146" t="s">
        <v>5556</v>
      </c>
      <c r="H1617" s="146" t="s">
        <v>5557</v>
      </c>
      <c r="I1617" s="146" t="s">
        <v>5558</v>
      </c>
      <c r="J1617" s="146" t="s">
        <v>5559</v>
      </c>
      <c r="K1617" s="151"/>
      <c r="L1617" s="184" t="s">
        <v>3365</v>
      </c>
      <c r="M1617" s="45"/>
    </row>
    <row r="1618" ht="16.8" spans="1:13">
      <c r="A1618" s="248" t="s">
        <v>3066</v>
      </c>
      <c r="B1618" s="183" t="s">
        <v>4317</v>
      </c>
      <c r="C1618" s="249" t="e">
        <f>VLOOKUP(D1618,#REF!,2,0)</f>
        <v>#REF!</v>
      </c>
      <c r="D1618" s="146" t="s">
        <v>3640</v>
      </c>
      <c r="E1618" s="18" t="e">
        <f>VLOOKUP(C1618,数据集标准分类!E:F,2,0)</f>
        <v>#REF!</v>
      </c>
      <c r="F1618" s="29" t="e">
        <f>VLOOKUP(D1618,数据集标准分类!G:H,2,0)</f>
        <v>#N/A</v>
      </c>
      <c r="G1618" s="146" t="s">
        <v>1774</v>
      </c>
      <c r="H1618" s="146" t="s">
        <v>1775</v>
      </c>
      <c r="I1618" s="146" t="s">
        <v>1776</v>
      </c>
      <c r="J1618" s="146" t="s">
        <v>1777</v>
      </c>
      <c r="K1618" s="151"/>
      <c r="L1618" s="184" t="s">
        <v>3370</v>
      </c>
      <c r="M1618" s="45"/>
    </row>
    <row r="1619" ht="31" spans="1:13">
      <c r="A1619" s="248" t="s">
        <v>3066</v>
      </c>
      <c r="B1619" s="183" t="s">
        <v>4317</v>
      </c>
      <c r="C1619" s="249" t="e">
        <f>VLOOKUP(D1619,#REF!,2,0)</f>
        <v>#REF!</v>
      </c>
      <c r="D1619" s="146" t="s">
        <v>3640</v>
      </c>
      <c r="E1619" s="18" t="e">
        <f>VLOOKUP(C1619,数据集标准分类!E:F,2,0)</f>
        <v>#REF!</v>
      </c>
      <c r="F1619" s="29" t="e">
        <f>VLOOKUP(D1619,数据集标准分类!G:H,2,0)</f>
        <v>#N/A</v>
      </c>
      <c r="G1619" s="146" t="s">
        <v>3645</v>
      </c>
      <c r="H1619" s="146" t="s">
        <v>3646</v>
      </c>
      <c r="I1619" s="146" t="s">
        <v>3647</v>
      </c>
      <c r="J1619" s="146" t="s">
        <v>3648</v>
      </c>
      <c r="K1619" s="151"/>
      <c r="L1619" s="184" t="s">
        <v>3371</v>
      </c>
      <c r="M1619" s="45"/>
    </row>
    <row r="1620" ht="31" spans="1:13">
      <c r="A1620" s="248" t="s">
        <v>3066</v>
      </c>
      <c r="B1620" s="183" t="s">
        <v>4317</v>
      </c>
      <c r="C1620" s="249" t="e">
        <f>VLOOKUP(D1620,#REF!,2,0)</f>
        <v>#REF!</v>
      </c>
      <c r="D1620" s="146" t="s">
        <v>3640</v>
      </c>
      <c r="E1620" s="18" t="e">
        <f>VLOOKUP(C1620,数据集标准分类!E:F,2,0)</f>
        <v>#REF!</v>
      </c>
      <c r="F1620" s="29" t="e">
        <f>VLOOKUP(D1620,数据集标准分类!G:H,2,0)</f>
        <v>#N/A</v>
      </c>
      <c r="G1620" s="146" t="s">
        <v>3649</v>
      </c>
      <c r="H1620" s="146" t="s">
        <v>3650</v>
      </c>
      <c r="I1620" s="146" t="s">
        <v>3651</v>
      </c>
      <c r="J1620" s="146" t="s">
        <v>3652</v>
      </c>
      <c r="K1620" s="151"/>
      <c r="L1620" s="184" t="s">
        <v>5555</v>
      </c>
      <c r="M1620" s="45"/>
    </row>
    <row r="1621" ht="16.8" spans="1:13">
      <c r="A1621" s="248" t="s">
        <v>3066</v>
      </c>
      <c r="B1621" s="183" t="s">
        <v>4317</v>
      </c>
      <c r="C1621" s="249" t="e">
        <f>VLOOKUP(D1621,#REF!,2,0)</f>
        <v>#REF!</v>
      </c>
      <c r="D1621" s="146" t="s">
        <v>3640</v>
      </c>
      <c r="E1621" s="18" t="e">
        <f>VLOOKUP(C1621,数据集标准分类!E:F,2,0)</f>
        <v>#REF!</v>
      </c>
      <c r="F1621" s="29" t="e">
        <f>VLOOKUP(D1621,数据集标准分类!G:H,2,0)</f>
        <v>#N/A</v>
      </c>
      <c r="G1621" s="146" t="s">
        <v>3632</v>
      </c>
      <c r="H1621" s="146" t="s">
        <v>3633</v>
      </c>
      <c r="I1621" s="146" t="s">
        <v>3634</v>
      </c>
      <c r="J1621" s="146" t="s">
        <v>3635</v>
      </c>
      <c r="K1621" s="151"/>
      <c r="L1621" s="184" t="s">
        <v>4488</v>
      </c>
      <c r="M1621" s="45"/>
    </row>
    <row r="1622" ht="16.8" spans="1:13">
      <c r="A1622" s="248" t="s">
        <v>3066</v>
      </c>
      <c r="B1622" s="183" t="s">
        <v>4317</v>
      </c>
      <c r="C1622" s="249" t="e">
        <f>VLOOKUP(D1622,#REF!,2,0)</f>
        <v>#REF!</v>
      </c>
      <c r="D1622" s="109" t="s">
        <v>3694</v>
      </c>
      <c r="E1622" s="18" t="e">
        <f>VLOOKUP(C1622,数据集标准分类!E:F,2,0)</f>
        <v>#REF!</v>
      </c>
      <c r="F1622" s="29" t="e">
        <f>VLOOKUP(D1622,数据集标准分类!G:H,2,0)</f>
        <v>#N/A</v>
      </c>
      <c r="G1622" s="109" t="s">
        <v>2889</v>
      </c>
      <c r="H1622" s="109" t="s">
        <v>2890</v>
      </c>
      <c r="I1622" s="109" t="s">
        <v>2891</v>
      </c>
      <c r="J1622" s="171" t="s">
        <v>2892</v>
      </c>
      <c r="K1622" s="151"/>
      <c r="L1622" s="177">
        <v>1</v>
      </c>
      <c r="M1622" s="45"/>
    </row>
    <row r="1623" ht="16.8" spans="1:13">
      <c r="A1623" s="248" t="s">
        <v>3066</v>
      </c>
      <c r="B1623" s="183" t="s">
        <v>4317</v>
      </c>
      <c r="C1623" s="249" t="e">
        <f>VLOOKUP(D1623,#REF!,2,0)</f>
        <v>#REF!</v>
      </c>
      <c r="D1623" s="109" t="s">
        <v>3694</v>
      </c>
      <c r="E1623" s="18" t="e">
        <f>VLOOKUP(C1623,数据集标准分类!E:F,2,0)</f>
        <v>#REF!</v>
      </c>
      <c r="F1623" s="29" t="e">
        <f>VLOOKUP(D1623,数据集标准分类!G:H,2,0)</f>
        <v>#N/A</v>
      </c>
      <c r="G1623" s="109" t="s">
        <v>3641</v>
      </c>
      <c r="H1623" s="109" t="s">
        <v>3642</v>
      </c>
      <c r="I1623" s="109" t="s">
        <v>3643</v>
      </c>
      <c r="J1623" s="171" t="s">
        <v>3644</v>
      </c>
      <c r="K1623" s="151"/>
      <c r="L1623" s="177">
        <v>2</v>
      </c>
      <c r="M1623" s="45"/>
    </row>
    <row r="1624" ht="16.8" spans="1:13">
      <c r="A1624" s="248" t="s">
        <v>3066</v>
      </c>
      <c r="B1624" s="183" t="s">
        <v>4317</v>
      </c>
      <c r="C1624" s="249" t="e">
        <f>VLOOKUP(D1624,#REF!,2,0)</f>
        <v>#REF!</v>
      </c>
      <c r="D1624" s="109" t="s">
        <v>3694</v>
      </c>
      <c r="E1624" s="18" t="e">
        <f>VLOOKUP(C1624,数据集标准分类!E:F,2,0)</f>
        <v>#REF!</v>
      </c>
      <c r="F1624" s="29" t="e">
        <f>VLOOKUP(D1624,数据集标准分类!G:H,2,0)</f>
        <v>#N/A</v>
      </c>
      <c r="G1624" s="146" t="s">
        <v>3617</v>
      </c>
      <c r="H1624" s="109" t="s">
        <v>3618</v>
      </c>
      <c r="I1624" s="109" t="s">
        <v>3619</v>
      </c>
      <c r="J1624" s="171" t="s">
        <v>3620</v>
      </c>
      <c r="K1624" s="151"/>
      <c r="L1624" s="177">
        <v>3</v>
      </c>
      <c r="M1624" s="45"/>
    </row>
    <row r="1625" ht="16.8" spans="1:13">
      <c r="A1625" s="248" t="s">
        <v>3066</v>
      </c>
      <c r="B1625" s="183" t="s">
        <v>4317</v>
      </c>
      <c r="C1625" s="249" t="e">
        <f>VLOOKUP(D1625,#REF!,2,0)</f>
        <v>#REF!</v>
      </c>
      <c r="D1625" s="109" t="s">
        <v>3694</v>
      </c>
      <c r="E1625" s="18" t="e">
        <f>VLOOKUP(C1625,数据集标准分类!E:F,2,0)</f>
        <v>#REF!</v>
      </c>
      <c r="F1625" s="29" t="e">
        <f>VLOOKUP(D1625,数据集标准分类!G:H,2,0)</f>
        <v>#N/A</v>
      </c>
      <c r="G1625" s="109" t="s">
        <v>3695</v>
      </c>
      <c r="H1625" s="109" t="s">
        <v>3696</v>
      </c>
      <c r="I1625" s="109" t="s">
        <v>3697</v>
      </c>
      <c r="J1625" s="171" t="s">
        <v>3698</v>
      </c>
      <c r="K1625" s="151"/>
      <c r="L1625" s="177">
        <v>4</v>
      </c>
      <c r="M1625" s="45"/>
    </row>
    <row r="1626" ht="16.8" spans="1:13">
      <c r="A1626" s="248" t="s">
        <v>3066</v>
      </c>
      <c r="B1626" s="183" t="s">
        <v>4317</v>
      </c>
      <c r="C1626" s="249" t="e">
        <f>VLOOKUP(D1626,#REF!,2,0)</f>
        <v>#REF!</v>
      </c>
      <c r="D1626" s="109" t="s">
        <v>3694</v>
      </c>
      <c r="E1626" s="18" t="e">
        <f>VLOOKUP(C1626,数据集标准分类!E:F,2,0)</f>
        <v>#REF!</v>
      </c>
      <c r="F1626" s="29" t="e">
        <f>VLOOKUP(D1626,数据集标准分类!G:H,2,0)</f>
        <v>#N/A</v>
      </c>
      <c r="G1626" s="109" t="s">
        <v>2035</v>
      </c>
      <c r="H1626" s="109" t="s">
        <v>2036</v>
      </c>
      <c r="I1626" s="109" t="s">
        <v>2037</v>
      </c>
      <c r="J1626" s="171" t="s">
        <v>2038</v>
      </c>
      <c r="K1626" s="151"/>
      <c r="L1626" s="177">
        <v>5</v>
      </c>
      <c r="M1626" s="45"/>
    </row>
    <row r="1627" ht="16.8" spans="1:13">
      <c r="A1627" s="248" t="s">
        <v>3066</v>
      </c>
      <c r="B1627" s="183" t="s">
        <v>4317</v>
      </c>
      <c r="C1627" s="249" t="e">
        <f>VLOOKUP(D1627,#REF!,2,0)</f>
        <v>#REF!</v>
      </c>
      <c r="D1627" s="146" t="s">
        <v>3699</v>
      </c>
      <c r="E1627" s="18" t="e">
        <f>VLOOKUP(C1627,数据集标准分类!E:F,2,0)</f>
        <v>#REF!</v>
      </c>
      <c r="F1627" s="29" t="e">
        <f>VLOOKUP(D1627,数据集标准分类!G:H,2,0)</f>
        <v>#N/A</v>
      </c>
      <c r="G1627" s="146" t="s">
        <v>2889</v>
      </c>
      <c r="H1627" s="146" t="s">
        <v>2890</v>
      </c>
      <c r="I1627" s="146" t="s">
        <v>2891</v>
      </c>
      <c r="J1627" s="146" t="s">
        <v>2892</v>
      </c>
      <c r="K1627" s="151"/>
      <c r="L1627" s="184" t="s">
        <v>3351</v>
      </c>
      <c r="M1627" s="45"/>
    </row>
    <row r="1628" ht="16.8" spans="1:13">
      <c r="A1628" s="248" t="s">
        <v>3066</v>
      </c>
      <c r="B1628" s="183" t="s">
        <v>4317</v>
      </c>
      <c r="C1628" s="249" t="e">
        <f>VLOOKUP(D1628,#REF!,2,0)</f>
        <v>#REF!</v>
      </c>
      <c r="D1628" s="146" t="s">
        <v>3699</v>
      </c>
      <c r="E1628" s="18" t="e">
        <f>VLOOKUP(C1628,数据集标准分类!E:F,2,0)</f>
        <v>#REF!</v>
      </c>
      <c r="F1628" s="29" t="e">
        <f>VLOOKUP(D1628,数据集标准分类!G:H,2,0)</f>
        <v>#N/A</v>
      </c>
      <c r="G1628" s="146" t="s">
        <v>3641</v>
      </c>
      <c r="H1628" s="146" t="s">
        <v>3642</v>
      </c>
      <c r="I1628" s="146" t="s">
        <v>3643</v>
      </c>
      <c r="J1628" s="146" t="s">
        <v>3644</v>
      </c>
      <c r="K1628" s="151"/>
      <c r="L1628" s="184" t="s">
        <v>3352</v>
      </c>
      <c r="M1628" s="45"/>
    </row>
    <row r="1629" ht="16.8" spans="1:13">
      <c r="A1629" s="248" t="s">
        <v>3066</v>
      </c>
      <c r="B1629" s="183" t="s">
        <v>4317</v>
      </c>
      <c r="C1629" s="249" t="e">
        <f>VLOOKUP(D1629,#REF!,2,0)</f>
        <v>#REF!</v>
      </c>
      <c r="D1629" s="146" t="s">
        <v>3699</v>
      </c>
      <c r="E1629" s="18" t="e">
        <f>VLOOKUP(C1629,数据集标准分类!E:F,2,0)</f>
        <v>#REF!</v>
      </c>
      <c r="F1629" s="29" t="e">
        <f>VLOOKUP(D1629,数据集标准分类!G:H,2,0)</f>
        <v>#N/A</v>
      </c>
      <c r="G1629" s="146" t="s">
        <v>3700</v>
      </c>
      <c r="H1629" s="146" t="s">
        <v>3701</v>
      </c>
      <c r="I1629" s="146" t="s">
        <v>3702</v>
      </c>
      <c r="J1629" s="146" t="s">
        <v>3703</v>
      </c>
      <c r="K1629" s="151"/>
      <c r="L1629" s="184" t="s">
        <v>3353</v>
      </c>
      <c r="M1629" s="45"/>
    </row>
    <row r="1630" ht="16.8" spans="1:13">
      <c r="A1630" s="248" t="s">
        <v>3066</v>
      </c>
      <c r="B1630" s="183" t="s">
        <v>4317</v>
      </c>
      <c r="C1630" s="249" t="e">
        <f>VLOOKUP(D1630,#REF!,2,0)</f>
        <v>#REF!</v>
      </c>
      <c r="D1630" s="146" t="s">
        <v>3699</v>
      </c>
      <c r="E1630" s="18" t="e">
        <f>VLOOKUP(C1630,数据集标准分类!E:F,2,0)</f>
        <v>#REF!</v>
      </c>
      <c r="F1630" s="29" t="e">
        <f>VLOOKUP(D1630,数据集标准分类!G:H,2,0)</f>
        <v>#N/A</v>
      </c>
      <c r="G1630" s="146" t="s">
        <v>3704</v>
      </c>
      <c r="H1630" s="146" t="s">
        <v>3705</v>
      </c>
      <c r="I1630" s="146" t="s">
        <v>3706</v>
      </c>
      <c r="J1630" s="146" t="s">
        <v>3707</v>
      </c>
      <c r="K1630" s="151"/>
      <c r="L1630" s="184" t="s">
        <v>3365</v>
      </c>
      <c r="M1630" s="45"/>
    </row>
    <row r="1631" ht="16.8" spans="1:13">
      <c r="A1631" s="248" t="s">
        <v>3066</v>
      </c>
      <c r="B1631" s="183" t="s">
        <v>4317</v>
      </c>
      <c r="C1631" s="249" t="e">
        <f>VLOOKUP(D1631,#REF!,2,0)</f>
        <v>#REF!</v>
      </c>
      <c r="D1631" s="146" t="s">
        <v>3699</v>
      </c>
      <c r="E1631" s="18" t="e">
        <f>VLOOKUP(C1631,数据集标准分类!E:F,2,0)</f>
        <v>#REF!</v>
      </c>
      <c r="F1631" s="29" t="e">
        <f>VLOOKUP(D1631,数据集标准分类!G:H,2,0)</f>
        <v>#N/A</v>
      </c>
      <c r="G1631" s="146" t="s">
        <v>3617</v>
      </c>
      <c r="H1631" s="146" t="s">
        <v>3618</v>
      </c>
      <c r="I1631" s="146" t="s">
        <v>3619</v>
      </c>
      <c r="J1631" s="146" t="s">
        <v>3620</v>
      </c>
      <c r="K1631" s="151"/>
      <c r="L1631" s="184" t="s">
        <v>3370</v>
      </c>
      <c r="M1631" s="45"/>
    </row>
    <row r="1632" ht="16.8" spans="1:13">
      <c r="A1632" s="248" t="s">
        <v>3066</v>
      </c>
      <c r="B1632" s="183" t="s">
        <v>4317</v>
      </c>
      <c r="C1632" s="249" t="e">
        <f>VLOOKUP(D1632,#REF!,2,0)</f>
        <v>#REF!</v>
      </c>
      <c r="D1632" s="146" t="s">
        <v>3699</v>
      </c>
      <c r="E1632" s="18" t="e">
        <f>VLOOKUP(C1632,数据集标准分类!E:F,2,0)</f>
        <v>#REF!</v>
      </c>
      <c r="F1632" s="29" t="e">
        <f>VLOOKUP(D1632,数据集标准分类!G:H,2,0)</f>
        <v>#N/A</v>
      </c>
      <c r="G1632" s="146" t="s">
        <v>1774</v>
      </c>
      <c r="H1632" s="146" t="s">
        <v>1775</v>
      </c>
      <c r="I1632" s="146" t="s">
        <v>1776</v>
      </c>
      <c r="J1632" s="146" t="s">
        <v>1777</v>
      </c>
      <c r="K1632" s="151"/>
      <c r="L1632" s="184" t="s">
        <v>3371</v>
      </c>
      <c r="M1632" s="45"/>
    </row>
    <row r="1633" ht="16.8" spans="1:13">
      <c r="A1633" s="248" t="s">
        <v>3066</v>
      </c>
      <c r="B1633" s="183" t="s">
        <v>4317</v>
      </c>
      <c r="C1633" s="249" t="e">
        <f>VLOOKUP(D1633,#REF!,2,0)</f>
        <v>#REF!</v>
      </c>
      <c r="D1633" s="146" t="s">
        <v>3699</v>
      </c>
      <c r="E1633" s="18" t="e">
        <f>VLOOKUP(C1633,数据集标准分类!E:F,2,0)</f>
        <v>#REF!</v>
      </c>
      <c r="F1633" s="29" t="e">
        <f>VLOOKUP(D1633,数据集标准分类!G:H,2,0)</f>
        <v>#N/A</v>
      </c>
      <c r="G1633" s="146" t="s">
        <v>5556</v>
      </c>
      <c r="H1633" s="146" t="s">
        <v>5557</v>
      </c>
      <c r="I1633" s="146" t="s">
        <v>5558</v>
      </c>
      <c r="J1633" s="146" t="s">
        <v>5559</v>
      </c>
      <c r="K1633" s="151"/>
      <c r="L1633" s="184" t="s">
        <v>5555</v>
      </c>
      <c r="M1633" s="45"/>
    </row>
    <row r="1634" ht="16.8" spans="1:13">
      <c r="A1634" s="248" t="s">
        <v>3066</v>
      </c>
      <c r="B1634" s="183" t="s">
        <v>4317</v>
      </c>
      <c r="C1634" s="249" t="e">
        <f>VLOOKUP(D1634,#REF!,2,0)</f>
        <v>#REF!</v>
      </c>
      <c r="D1634" s="146" t="s">
        <v>3699</v>
      </c>
      <c r="E1634" s="18" t="e">
        <f>VLOOKUP(C1634,数据集标准分类!E:F,2,0)</f>
        <v>#REF!</v>
      </c>
      <c r="F1634" s="29" t="e">
        <f>VLOOKUP(D1634,数据集标准分类!G:H,2,0)</f>
        <v>#N/A</v>
      </c>
      <c r="G1634" s="150" t="s">
        <v>3708</v>
      </c>
      <c r="H1634" s="150" t="s">
        <v>3709</v>
      </c>
      <c r="I1634" s="150" t="s">
        <v>3710</v>
      </c>
      <c r="J1634" s="150" t="s">
        <v>3711</v>
      </c>
      <c r="K1634" s="151"/>
      <c r="L1634" s="184" t="s">
        <v>4488</v>
      </c>
      <c r="M1634" s="45"/>
    </row>
    <row r="1635" ht="16.8" spans="1:13">
      <c r="A1635" s="248" t="s">
        <v>3066</v>
      </c>
      <c r="B1635" s="183" t="s">
        <v>4317</v>
      </c>
      <c r="C1635" s="249" t="e">
        <f>VLOOKUP(D1635,#REF!,2,0)</f>
        <v>#REF!</v>
      </c>
      <c r="D1635" s="146" t="s">
        <v>3699</v>
      </c>
      <c r="E1635" s="18" t="e">
        <f>VLOOKUP(C1635,数据集标准分类!E:F,2,0)</f>
        <v>#REF!</v>
      </c>
      <c r="F1635" s="29" t="e">
        <f>VLOOKUP(D1635,数据集标准分类!G:H,2,0)</f>
        <v>#N/A</v>
      </c>
      <c r="G1635" s="150" t="s">
        <v>3712</v>
      </c>
      <c r="H1635" s="150" t="s">
        <v>3713</v>
      </c>
      <c r="I1635" s="150" t="s">
        <v>3714</v>
      </c>
      <c r="J1635" s="150" t="s">
        <v>3715</v>
      </c>
      <c r="K1635" s="151"/>
      <c r="L1635" s="184" t="s">
        <v>4492</v>
      </c>
      <c r="M1635" s="45"/>
    </row>
    <row r="1636" ht="16.8" spans="1:13">
      <c r="A1636" s="248" t="s">
        <v>3066</v>
      </c>
      <c r="B1636" s="183" t="s">
        <v>4317</v>
      </c>
      <c r="C1636" s="249" t="e">
        <f>VLOOKUP(D1636,#REF!,2,0)</f>
        <v>#REF!</v>
      </c>
      <c r="D1636" s="146" t="s">
        <v>3699</v>
      </c>
      <c r="E1636" s="18" t="e">
        <f>VLOOKUP(C1636,数据集标准分类!E:F,2,0)</f>
        <v>#REF!</v>
      </c>
      <c r="F1636" s="29" t="e">
        <f>VLOOKUP(D1636,数据集标准分类!G:H,2,0)</f>
        <v>#N/A</v>
      </c>
      <c r="G1636" s="150" t="s">
        <v>3716</v>
      </c>
      <c r="H1636" s="150" t="s">
        <v>3717</v>
      </c>
      <c r="I1636" s="150" t="s">
        <v>3718</v>
      </c>
      <c r="J1636" s="150" t="s">
        <v>3719</v>
      </c>
      <c r="K1636" s="151"/>
      <c r="L1636" s="184" t="s">
        <v>4495</v>
      </c>
      <c r="M1636" s="45"/>
    </row>
    <row r="1637" ht="16.8" spans="1:13">
      <c r="A1637" s="248" t="s">
        <v>3066</v>
      </c>
      <c r="B1637" s="183" t="s">
        <v>4317</v>
      </c>
      <c r="C1637" s="249" t="e">
        <f>VLOOKUP(D1637,#REF!,2,0)</f>
        <v>#REF!</v>
      </c>
      <c r="D1637" s="146" t="s">
        <v>3699</v>
      </c>
      <c r="E1637" s="18" t="e">
        <f>VLOOKUP(C1637,数据集标准分类!E:F,2,0)</f>
        <v>#REF!</v>
      </c>
      <c r="F1637" s="29" t="e">
        <f>VLOOKUP(D1637,数据集标准分类!G:H,2,0)</f>
        <v>#N/A</v>
      </c>
      <c r="G1637" s="150" t="s">
        <v>3720</v>
      </c>
      <c r="H1637" s="150" t="s">
        <v>3721</v>
      </c>
      <c r="I1637" s="150" t="s">
        <v>3722</v>
      </c>
      <c r="J1637" s="150" t="s">
        <v>3723</v>
      </c>
      <c r="K1637" s="151"/>
      <c r="L1637" s="184" t="s">
        <v>4499</v>
      </c>
      <c r="M1637" s="45"/>
    </row>
    <row r="1638" ht="16.8" spans="1:13">
      <c r="A1638" s="248" t="s">
        <v>3066</v>
      </c>
      <c r="B1638" s="183" t="s">
        <v>4317</v>
      </c>
      <c r="C1638" s="249" t="e">
        <f>VLOOKUP(D1638,#REF!,2,0)</f>
        <v>#REF!</v>
      </c>
      <c r="D1638" s="146" t="s">
        <v>3699</v>
      </c>
      <c r="E1638" s="18" t="e">
        <f>VLOOKUP(C1638,数据集标准分类!E:F,2,0)</f>
        <v>#REF!</v>
      </c>
      <c r="F1638" s="29" t="e">
        <f>VLOOKUP(D1638,数据集标准分类!G:H,2,0)</f>
        <v>#N/A</v>
      </c>
      <c r="G1638" s="150" t="s">
        <v>3724</v>
      </c>
      <c r="H1638" s="150" t="s">
        <v>3725</v>
      </c>
      <c r="I1638" s="150" t="s">
        <v>3726</v>
      </c>
      <c r="J1638" s="150" t="s">
        <v>3727</v>
      </c>
      <c r="K1638" s="151"/>
      <c r="L1638" s="184" t="s">
        <v>4502</v>
      </c>
      <c r="M1638" s="45"/>
    </row>
    <row r="1639" ht="16.8" spans="1:13">
      <c r="A1639" s="248" t="s">
        <v>3066</v>
      </c>
      <c r="B1639" s="183" t="s">
        <v>4317</v>
      </c>
      <c r="C1639" s="249" t="e">
        <f>VLOOKUP(D1639,#REF!,2,0)</f>
        <v>#REF!</v>
      </c>
      <c r="D1639" s="64" t="s">
        <v>3728</v>
      </c>
      <c r="E1639" s="18" t="e">
        <f>VLOOKUP(C1639,数据集标准分类!E:F,2,0)</f>
        <v>#REF!</v>
      </c>
      <c r="F1639" s="29" t="e">
        <f>VLOOKUP(D1639,数据集标准分类!G:H,2,0)</f>
        <v>#N/A</v>
      </c>
      <c r="G1639" s="146" t="s">
        <v>5577</v>
      </c>
      <c r="H1639" s="146" t="s">
        <v>5578</v>
      </c>
      <c r="I1639" s="146" t="s">
        <v>5579</v>
      </c>
      <c r="J1639" s="183" t="s">
        <v>5580</v>
      </c>
      <c r="K1639" s="170"/>
      <c r="L1639" s="243">
        <v>1</v>
      </c>
      <c r="M1639" s="45"/>
    </row>
    <row r="1640" ht="16.8" spans="1:13">
      <c r="A1640" s="248" t="s">
        <v>3066</v>
      </c>
      <c r="B1640" s="183" t="s">
        <v>4317</v>
      </c>
      <c r="C1640" s="249" t="e">
        <f>VLOOKUP(D1640,#REF!,2,0)</f>
        <v>#REF!</v>
      </c>
      <c r="D1640" s="64" t="s">
        <v>3728</v>
      </c>
      <c r="E1640" s="18" t="e">
        <f>VLOOKUP(C1640,数据集标准分类!E:F,2,0)</f>
        <v>#REF!</v>
      </c>
      <c r="F1640" s="29" t="e">
        <f>VLOOKUP(D1640,数据集标准分类!G:H,2,0)</f>
        <v>#N/A</v>
      </c>
      <c r="G1640" s="146" t="s">
        <v>5565</v>
      </c>
      <c r="H1640" s="146" t="s">
        <v>5566</v>
      </c>
      <c r="I1640" s="146" t="s">
        <v>5567</v>
      </c>
      <c r="J1640" s="146" t="s">
        <v>5568</v>
      </c>
      <c r="K1640" s="170"/>
      <c r="L1640" s="243">
        <v>2</v>
      </c>
      <c r="M1640" s="45"/>
    </row>
    <row r="1641" ht="16.8" spans="1:13">
      <c r="A1641" s="248" t="s">
        <v>3066</v>
      </c>
      <c r="B1641" s="183" t="s">
        <v>4317</v>
      </c>
      <c r="C1641" s="249" t="e">
        <f>VLOOKUP(D1641,#REF!,2,0)</f>
        <v>#REF!</v>
      </c>
      <c r="D1641" s="64" t="s">
        <v>3728</v>
      </c>
      <c r="E1641" s="18" t="e">
        <f>VLOOKUP(C1641,数据集标准分类!E:F,2,0)</f>
        <v>#REF!</v>
      </c>
      <c r="F1641" s="29" t="e">
        <f>VLOOKUP(D1641,数据集标准分类!G:H,2,0)</f>
        <v>#N/A</v>
      </c>
      <c r="G1641" s="146" t="s">
        <v>2889</v>
      </c>
      <c r="H1641" s="146" t="s">
        <v>2890</v>
      </c>
      <c r="I1641" s="146" t="s">
        <v>2891</v>
      </c>
      <c r="J1641" s="146" t="s">
        <v>2892</v>
      </c>
      <c r="K1641" s="170"/>
      <c r="L1641" s="243">
        <v>3</v>
      </c>
      <c r="M1641" s="45"/>
    </row>
    <row r="1642" ht="16.8" spans="1:13">
      <c r="A1642" s="248" t="s">
        <v>3066</v>
      </c>
      <c r="B1642" s="183" t="s">
        <v>4317</v>
      </c>
      <c r="C1642" s="249" t="e">
        <f>VLOOKUP(D1642,#REF!,2,0)</f>
        <v>#REF!</v>
      </c>
      <c r="D1642" s="64" t="s">
        <v>3728</v>
      </c>
      <c r="E1642" s="18" t="e">
        <f>VLOOKUP(C1642,数据集标准分类!E:F,2,0)</f>
        <v>#REF!</v>
      </c>
      <c r="F1642" s="29" t="e">
        <f>VLOOKUP(D1642,数据集标准分类!G:H,2,0)</f>
        <v>#N/A</v>
      </c>
      <c r="G1642" s="146" t="s">
        <v>2935</v>
      </c>
      <c r="H1642" s="171" t="s">
        <v>2936</v>
      </c>
      <c r="I1642" s="171" t="s">
        <v>2937</v>
      </c>
      <c r="J1642" s="146" t="s">
        <v>5571</v>
      </c>
      <c r="K1642" s="170"/>
      <c r="L1642" s="243">
        <v>4</v>
      </c>
      <c r="M1642" s="45"/>
    </row>
    <row r="1643" ht="16.8" spans="1:13">
      <c r="A1643" s="248" t="s">
        <v>3066</v>
      </c>
      <c r="B1643" s="183" t="s">
        <v>4317</v>
      </c>
      <c r="C1643" s="249" t="e">
        <f>VLOOKUP(D1643,#REF!,2,0)</f>
        <v>#REF!</v>
      </c>
      <c r="D1643" s="64" t="s">
        <v>3728</v>
      </c>
      <c r="E1643" s="18" t="e">
        <f>VLOOKUP(C1643,数据集标准分类!E:F,2,0)</f>
        <v>#REF!</v>
      </c>
      <c r="F1643" s="29" t="e">
        <f>VLOOKUP(D1643,数据集标准分类!G:H,2,0)</f>
        <v>#N/A</v>
      </c>
      <c r="G1643" s="146" t="s">
        <v>5561</v>
      </c>
      <c r="H1643" s="171" t="s">
        <v>5562</v>
      </c>
      <c r="I1643" s="171" t="s">
        <v>5563</v>
      </c>
      <c r="J1643" s="146" t="s">
        <v>5564</v>
      </c>
      <c r="K1643" s="170"/>
      <c r="L1643" s="243">
        <v>5</v>
      </c>
      <c r="M1643" s="45"/>
    </row>
    <row r="1644" ht="16.8" spans="1:13">
      <c r="A1644" s="248" t="s">
        <v>3066</v>
      </c>
      <c r="B1644" s="183" t="s">
        <v>4317</v>
      </c>
      <c r="C1644" s="249" t="e">
        <f>VLOOKUP(D1644,#REF!,2,0)</f>
        <v>#REF!</v>
      </c>
      <c r="D1644" s="64" t="s">
        <v>3728</v>
      </c>
      <c r="E1644" s="18" t="e">
        <f>VLOOKUP(C1644,数据集标准分类!E:F,2,0)</f>
        <v>#REF!</v>
      </c>
      <c r="F1644" s="29" t="e">
        <f>VLOOKUP(D1644,数据集标准分类!G:H,2,0)</f>
        <v>#N/A</v>
      </c>
      <c r="G1644" s="146" t="s">
        <v>3641</v>
      </c>
      <c r="H1644" s="146" t="s">
        <v>3642</v>
      </c>
      <c r="I1644" s="146" t="s">
        <v>3643</v>
      </c>
      <c r="J1644" s="146" t="s">
        <v>3644</v>
      </c>
      <c r="K1644" s="170"/>
      <c r="L1644" s="243">
        <v>6</v>
      </c>
      <c r="M1644" s="45"/>
    </row>
    <row r="1645" ht="16.8" spans="1:13">
      <c r="A1645" s="248" t="s">
        <v>3066</v>
      </c>
      <c r="B1645" s="183" t="s">
        <v>4317</v>
      </c>
      <c r="C1645" s="249" t="e">
        <f>VLOOKUP(D1645,#REF!,2,0)</f>
        <v>#REF!</v>
      </c>
      <c r="D1645" s="64" t="s">
        <v>3728</v>
      </c>
      <c r="E1645" s="18" t="e">
        <f>VLOOKUP(C1645,数据集标准分类!E:F,2,0)</f>
        <v>#REF!</v>
      </c>
      <c r="F1645" s="29" t="e">
        <f>VLOOKUP(D1645,数据集标准分类!G:H,2,0)</f>
        <v>#N/A</v>
      </c>
      <c r="G1645" s="146" t="s">
        <v>3617</v>
      </c>
      <c r="H1645" s="146" t="s">
        <v>3618</v>
      </c>
      <c r="I1645" s="146" t="s">
        <v>3619</v>
      </c>
      <c r="J1645" s="183" t="s">
        <v>3620</v>
      </c>
      <c r="K1645" s="170"/>
      <c r="L1645" s="243">
        <v>7</v>
      </c>
      <c r="M1645" s="45"/>
    </row>
    <row r="1646" ht="16.8" spans="1:13">
      <c r="A1646" s="248" t="s">
        <v>3066</v>
      </c>
      <c r="B1646" s="183" t="s">
        <v>4317</v>
      </c>
      <c r="C1646" s="249" t="e">
        <f>VLOOKUP(D1646,#REF!,2,0)</f>
        <v>#REF!</v>
      </c>
      <c r="D1646" s="64" t="s">
        <v>3728</v>
      </c>
      <c r="E1646" s="18" t="e">
        <f>VLOOKUP(C1646,数据集标准分类!E:F,2,0)</f>
        <v>#REF!</v>
      </c>
      <c r="F1646" s="29" t="e">
        <f>VLOOKUP(D1646,数据集标准分类!G:H,2,0)</f>
        <v>#N/A</v>
      </c>
      <c r="G1646" s="146" t="s">
        <v>3729</v>
      </c>
      <c r="H1646" s="171" t="s">
        <v>3730</v>
      </c>
      <c r="I1646" s="171" t="s">
        <v>3731</v>
      </c>
      <c r="J1646" s="183" t="s">
        <v>3732</v>
      </c>
      <c r="K1646" s="170"/>
      <c r="L1646" s="243">
        <v>8</v>
      </c>
      <c r="M1646" s="45"/>
    </row>
    <row r="1647" ht="16.8" spans="1:13">
      <c r="A1647" s="248" t="s">
        <v>3066</v>
      </c>
      <c r="B1647" s="183" t="s">
        <v>4317</v>
      </c>
      <c r="C1647" s="249" t="e">
        <f>VLOOKUP(D1647,#REF!,2,0)</f>
        <v>#REF!</v>
      </c>
      <c r="D1647" s="64" t="s">
        <v>3728</v>
      </c>
      <c r="E1647" s="18" t="e">
        <f>VLOOKUP(C1647,数据集标准分类!E:F,2,0)</f>
        <v>#REF!</v>
      </c>
      <c r="F1647" s="29" t="e">
        <f>VLOOKUP(D1647,数据集标准分类!G:H,2,0)</f>
        <v>#N/A</v>
      </c>
      <c r="G1647" s="146" t="s">
        <v>3733</v>
      </c>
      <c r="H1647" s="171" t="s">
        <v>3734</v>
      </c>
      <c r="I1647" s="171" t="s">
        <v>3735</v>
      </c>
      <c r="J1647" s="183" t="s">
        <v>3736</v>
      </c>
      <c r="K1647" s="170"/>
      <c r="L1647" s="243">
        <v>9</v>
      </c>
      <c r="M1647" s="45"/>
    </row>
    <row r="1648" ht="16.8" spans="1:13">
      <c r="A1648" s="248" t="s">
        <v>3066</v>
      </c>
      <c r="B1648" s="183" t="s">
        <v>4317</v>
      </c>
      <c r="C1648" s="249" t="e">
        <f>VLOOKUP(D1648,#REF!,2,0)</f>
        <v>#REF!</v>
      </c>
      <c r="D1648" s="64" t="s">
        <v>3728</v>
      </c>
      <c r="E1648" s="18" t="e">
        <f>VLOOKUP(C1648,数据集标准分类!E:F,2,0)</f>
        <v>#REF!</v>
      </c>
      <c r="F1648" s="29" t="e">
        <f>VLOOKUP(D1648,数据集标准分类!G:H,2,0)</f>
        <v>#N/A</v>
      </c>
      <c r="G1648" s="146" t="s">
        <v>3737</v>
      </c>
      <c r="H1648" s="171" t="s">
        <v>3738</v>
      </c>
      <c r="I1648" s="171" t="s">
        <v>3739</v>
      </c>
      <c r="J1648" s="183" t="s">
        <v>3740</v>
      </c>
      <c r="K1648" s="170"/>
      <c r="L1648" s="243">
        <v>10</v>
      </c>
      <c r="M1648" s="45"/>
    </row>
    <row r="1649" ht="16.8" spans="1:13">
      <c r="A1649" s="248" t="s">
        <v>3066</v>
      </c>
      <c r="B1649" s="183" t="s">
        <v>4317</v>
      </c>
      <c r="C1649" s="249" t="e">
        <f>VLOOKUP(D1649,#REF!,2,0)</f>
        <v>#REF!</v>
      </c>
      <c r="D1649" s="64" t="s">
        <v>3728</v>
      </c>
      <c r="E1649" s="18" t="e">
        <f>VLOOKUP(C1649,数据集标准分类!E:F,2,0)</f>
        <v>#REF!</v>
      </c>
      <c r="F1649" s="29" t="e">
        <f>VLOOKUP(D1649,数据集标准分类!G:H,2,0)</f>
        <v>#N/A</v>
      </c>
      <c r="G1649" s="171" t="s">
        <v>3741</v>
      </c>
      <c r="H1649" s="270" t="s">
        <v>3742</v>
      </c>
      <c r="I1649" s="171" t="s">
        <v>3743</v>
      </c>
      <c r="J1649" s="171" t="s">
        <v>3744</v>
      </c>
      <c r="K1649" s="171"/>
      <c r="L1649" s="157">
        <v>11</v>
      </c>
      <c r="M1649" s="45"/>
    </row>
    <row r="1650" ht="16.8" spans="1:13">
      <c r="A1650" s="248" t="s">
        <v>3066</v>
      </c>
      <c r="B1650" s="183" t="s">
        <v>4317</v>
      </c>
      <c r="C1650" s="249" t="e">
        <f>VLOOKUP(D1650,#REF!,2,0)</f>
        <v>#REF!</v>
      </c>
      <c r="D1650" s="64" t="s">
        <v>3728</v>
      </c>
      <c r="E1650" s="18" t="e">
        <f>VLOOKUP(C1650,数据集标准分类!E:F,2,0)</f>
        <v>#REF!</v>
      </c>
      <c r="F1650" s="29" t="e">
        <f>VLOOKUP(D1650,数据集标准分类!G:H,2,0)</f>
        <v>#N/A</v>
      </c>
      <c r="G1650" s="171" t="s">
        <v>3745</v>
      </c>
      <c r="H1650" s="270" t="s">
        <v>3746</v>
      </c>
      <c r="I1650" s="171" t="s">
        <v>3747</v>
      </c>
      <c r="J1650" s="171" t="s">
        <v>3748</v>
      </c>
      <c r="K1650" s="171"/>
      <c r="L1650" s="157">
        <v>12</v>
      </c>
      <c r="M1650" s="45"/>
    </row>
    <row r="1651" ht="16.8" spans="1:13">
      <c r="A1651" s="248" t="s">
        <v>3066</v>
      </c>
      <c r="B1651" s="183" t="s">
        <v>4317</v>
      </c>
      <c r="C1651" s="249" t="e">
        <f>VLOOKUP(D1651,#REF!,2,0)</f>
        <v>#REF!</v>
      </c>
      <c r="D1651" s="64" t="s">
        <v>3728</v>
      </c>
      <c r="E1651" s="18" t="e">
        <f>VLOOKUP(C1651,数据集标准分类!E:F,2,0)</f>
        <v>#REF!</v>
      </c>
      <c r="F1651" s="29" t="e">
        <f>VLOOKUP(D1651,数据集标准分类!G:H,2,0)</f>
        <v>#N/A</v>
      </c>
      <c r="G1651" s="171" t="s">
        <v>3749</v>
      </c>
      <c r="H1651" s="270" t="s">
        <v>3750</v>
      </c>
      <c r="I1651" s="171" t="s">
        <v>3751</v>
      </c>
      <c r="J1651" s="171" t="s">
        <v>3752</v>
      </c>
      <c r="K1651" s="171"/>
      <c r="L1651" s="157">
        <v>13</v>
      </c>
      <c r="M1651" s="45"/>
    </row>
    <row r="1652" ht="16.8" spans="1:13">
      <c r="A1652" s="248" t="s">
        <v>3066</v>
      </c>
      <c r="B1652" s="183" t="s">
        <v>4317</v>
      </c>
      <c r="C1652" s="249" t="e">
        <f>VLOOKUP(D1652,#REF!,2,0)</f>
        <v>#REF!</v>
      </c>
      <c r="D1652" s="64" t="s">
        <v>3728</v>
      </c>
      <c r="E1652" s="18" t="e">
        <f>VLOOKUP(C1652,数据集标准分类!E:F,2,0)</f>
        <v>#REF!</v>
      </c>
      <c r="F1652" s="29" t="e">
        <f>VLOOKUP(D1652,数据集标准分类!G:H,2,0)</f>
        <v>#N/A</v>
      </c>
      <c r="G1652" s="171" t="s">
        <v>3753</v>
      </c>
      <c r="H1652" s="270" t="s">
        <v>3754</v>
      </c>
      <c r="I1652" s="171" t="s">
        <v>3755</v>
      </c>
      <c r="J1652" s="171" t="s">
        <v>3756</v>
      </c>
      <c r="K1652" s="171"/>
      <c r="L1652" s="157">
        <v>14</v>
      </c>
      <c r="M1652" s="45"/>
    </row>
    <row r="1653" ht="16.8" spans="1:13">
      <c r="A1653" s="248" t="s">
        <v>3066</v>
      </c>
      <c r="B1653" s="183" t="s">
        <v>4317</v>
      </c>
      <c r="C1653" s="249" t="e">
        <f>VLOOKUP(D1653,#REF!,2,0)</f>
        <v>#REF!</v>
      </c>
      <c r="D1653" s="64" t="s">
        <v>3728</v>
      </c>
      <c r="E1653" s="18" t="e">
        <f>VLOOKUP(C1653,数据集标准分类!E:F,2,0)</f>
        <v>#REF!</v>
      </c>
      <c r="F1653" s="29" t="e">
        <f>VLOOKUP(D1653,数据集标准分类!G:H,2,0)</f>
        <v>#N/A</v>
      </c>
      <c r="G1653" s="171" t="s">
        <v>3757</v>
      </c>
      <c r="H1653" s="270" t="s">
        <v>3758</v>
      </c>
      <c r="I1653" s="171" t="s">
        <v>3759</v>
      </c>
      <c r="J1653" s="171" t="s">
        <v>3760</v>
      </c>
      <c r="K1653" s="171"/>
      <c r="L1653" s="157">
        <v>15</v>
      </c>
      <c r="M1653" s="45"/>
    </row>
    <row r="1654" ht="16.8" spans="1:13">
      <c r="A1654" s="248" t="s">
        <v>3066</v>
      </c>
      <c r="B1654" s="183" t="s">
        <v>4317</v>
      </c>
      <c r="C1654" s="249" t="e">
        <f>VLOOKUP(D1654,#REF!,2,0)</f>
        <v>#REF!</v>
      </c>
      <c r="D1654" s="64" t="s">
        <v>3728</v>
      </c>
      <c r="E1654" s="18" t="e">
        <f>VLOOKUP(C1654,数据集标准分类!E:F,2,0)</f>
        <v>#REF!</v>
      </c>
      <c r="F1654" s="29" t="e">
        <f>VLOOKUP(D1654,数据集标准分类!G:H,2,0)</f>
        <v>#N/A</v>
      </c>
      <c r="G1654" s="171" t="s">
        <v>3761</v>
      </c>
      <c r="H1654" s="270" t="s">
        <v>3762</v>
      </c>
      <c r="I1654" s="171" t="s">
        <v>3763</v>
      </c>
      <c r="J1654" s="171" t="s">
        <v>3764</v>
      </c>
      <c r="K1654" s="171"/>
      <c r="L1654" s="157">
        <v>16</v>
      </c>
      <c r="M1654" s="45"/>
    </row>
    <row r="1655" ht="16.8" spans="1:13">
      <c r="A1655" s="248" t="s">
        <v>3066</v>
      </c>
      <c r="B1655" s="183" t="s">
        <v>4317</v>
      </c>
      <c r="C1655" s="249" t="e">
        <f>VLOOKUP(D1655,#REF!,2,0)</f>
        <v>#REF!</v>
      </c>
      <c r="D1655" s="64" t="s">
        <v>3728</v>
      </c>
      <c r="E1655" s="18" t="e">
        <f>VLOOKUP(C1655,数据集标准分类!E:F,2,0)</f>
        <v>#REF!</v>
      </c>
      <c r="F1655" s="29" t="e">
        <f>VLOOKUP(D1655,数据集标准分类!G:H,2,0)</f>
        <v>#N/A</v>
      </c>
      <c r="G1655" s="171" t="s">
        <v>3765</v>
      </c>
      <c r="H1655" s="270" t="s">
        <v>3766</v>
      </c>
      <c r="I1655" s="171" t="s">
        <v>3767</v>
      </c>
      <c r="J1655" s="171" t="s">
        <v>3768</v>
      </c>
      <c r="K1655" s="171"/>
      <c r="L1655" s="157">
        <v>17</v>
      </c>
      <c r="M1655" s="45"/>
    </row>
    <row r="1656" ht="16.8" spans="1:13">
      <c r="A1656" s="248" t="s">
        <v>3066</v>
      </c>
      <c r="B1656" s="183" t="s">
        <v>4317</v>
      </c>
      <c r="C1656" s="249" t="e">
        <f>VLOOKUP(D1656,#REF!,2,0)</f>
        <v>#REF!</v>
      </c>
      <c r="D1656" s="64" t="s">
        <v>3728</v>
      </c>
      <c r="E1656" s="18" t="e">
        <f>VLOOKUP(C1656,数据集标准分类!E:F,2,0)</f>
        <v>#REF!</v>
      </c>
      <c r="F1656" s="29" t="e">
        <f>VLOOKUP(D1656,数据集标准分类!G:H,2,0)</f>
        <v>#N/A</v>
      </c>
      <c r="G1656" s="171" t="s">
        <v>3769</v>
      </c>
      <c r="H1656" s="270" t="s">
        <v>3770</v>
      </c>
      <c r="I1656" s="171" t="s">
        <v>3771</v>
      </c>
      <c r="J1656" s="171" t="s">
        <v>3772</v>
      </c>
      <c r="K1656" s="171"/>
      <c r="L1656" s="157">
        <v>18</v>
      </c>
      <c r="M1656" s="45"/>
    </row>
  </sheetData>
  <dataValidations count="2">
    <dataValidation type="date" operator="between" allowBlank="1" showInputMessage="1" showErrorMessage="1" sqref="Q681:Q686 Q698:Q703 Q808:Q898"/>
    <dataValidation type="list" allowBlank="1" showInputMessage="1" showErrorMessage="1" sqref="S681:S686 S698:S703 S808:S898 U681:U686 U698:U703 U808:U898 V681:V686 V698:V703 V808:V898">
      <formula1>"是,否,"</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数据元信息"/>
  <dimension ref="A1:AF1650"/>
  <sheetViews>
    <sheetView workbookViewId="0">
      <pane ySplit="2" topLeftCell="A3" activePane="bottomLeft" state="frozen"/>
      <selection/>
      <selection pane="bottomLeft" activeCell="A1" sqref="A1:O1"/>
    </sheetView>
  </sheetViews>
  <sheetFormatPr defaultColWidth="9.22115384615385" defaultRowHeight="16.8"/>
  <cols>
    <col min="1" max="1" width="16.3365384615385" style="2" customWidth="1"/>
    <col min="2" max="2" width="15.8846153846154" style="3" customWidth="1"/>
    <col min="3" max="3" width="22.5673076923077" style="2" customWidth="1"/>
    <col min="4" max="4" width="22.4423076923077" style="3" customWidth="1"/>
    <col min="5" max="5" width="22.4423076923077" style="2" customWidth="1"/>
    <col min="6" max="6" width="11.4038461538462" style="4" customWidth="1"/>
    <col min="7" max="7" width="29.9615384615385" style="2" customWidth="1"/>
    <col min="8" max="8" width="23.7884615384615" style="2" customWidth="1"/>
    <col min="9" max="9" width="24.0288461538462" style="2" customWidth="1"/>
    <col min="10" max="11" width="24.0288461538462" style="5" customWidth="1"/>
    <col min="12" max="12" width="24.0288461538462" style="2" customWidth="1"/>
    <col min="13" max="14" width="16.3173076923077" style="5" customWidth="1"/>
    <col min="15" max="15" width="16.3173076923077" style="4" customWidth="1"/>
    <col min="16" max="16" width="40.9615384615385" style="2" hidden="1" customWidth="1"/>
    <col min="17" max="17" width="14.4711538461538" style="5" customWidth="1"/>
    <col min="18" max="18" width="10.0480769230769" style="5" customWidth="1"/>
    <col min="19" max="19" width="14.4711538461538" style="2" customWidth="1"/>
    <col min="20" max="20" width="21.2211538461538" style="2" customWidth="1"/>
    <col min="21" max="21" width="25.6346153846154" style="2" customWidth="1"/>
    <col min="22" max="22" width="24.0384615384615" style="2" customWidth="1"/>
    <col min="23" max="23" width="14.7115384615385" style="3" customWidth="1"/>
    <col min="24" max="32" width="9.22115384615385" style="2"/>
  </cols>
  <sheetData>
    <row r="1" ht="12" customHeight="1" spans="1:32">
      <c r="A1" s="6"/>
      <c r="B1" s="7"/>
      <c r="C1" s="7"/>
      <c r="D1" s="7"/>
      <c r="E1" s="7"/>
      <c r="F1" s="7"/>
      <c r="G1" s="7"/>
      <c r="H1" s="7"/>
      <c r="I1" s="7"/>
      <c r="J1" s="8"/>
      <c r="K1" s="8"/>
      <c r="L1" s="7"/>
      <c r="M1" s="8"/>
      <c r="N1" s="8"/>
      <c r="O1" s="7"/>
    </row>
    <row r="2" s="1" customFormat="1" spans="1:32">
      <c r="A2" s="9" t="s">
        <v>2</v>
      </c>
      <c r="B2" s="10" t="s">
        <v>1</v>
      </c>
      <c r="C2" s="9" t="s">
        <v>4</v>
      </c>
      <c r="D2" s="10" t="s">
        <v>3</v>
      </c>
      <c r="E2" s="9"/>
      <c r="F2" s="11" t="s">
        <v>8</v>
      </c>
      <c r="G2" s="9" t="s">
        <v>9</v>
      </c>
      <c r="H2" s="9" t="s">
        <v>10</v>
      </c>
      <c r="I2" s="9" t="s">
        <v>12</v>
      </c>
      <c r="J2" s="9" t="s">
        <v>5581</v>
      </c>
      <c r="K2" s="9" t="s">
        <v>5582</v>
      </c>
      <c r="L2" s="9" t="s">
        <v>13</v>
      </c>
      <c r="M2" s="9" t="s">
        <v>5583</v>
      </c>
      <c r="N2" s="9" t="s">
        <v>5584</v>
      </c>
      <c r="O2" s="11" t="s">
        <v>14</v>
      </c>
      <c r="P2" s="12" t="s">
        <v>5585</v>
      </c>
      <c r="Q2" s="12" t="s">
        <v>4162</v>
      </c>
      <c r="R2" s="12" t="s">
        <v>5586</v>
      </c>
      <c r="S2" s="12" t="s">
        <v>5587</v>
      </c>
      <c r="T2" s="12" t="s">
        <v>1309</v>
      </c>
      <c r="U2" s="12" t="s">
        <v>5588</v>
      </c>
      <c r="V2" s="12" t="s">
        <v>5589</v>
      </c>
      <c r="W2" s="13" t="s">
        <v>5590</v>
      </c>
      <c r="X2" s="14"/>
      <c r="Y2" s="15"/>
      <c r="Z2" s="15"/>
      <c r="AA2" s="15"/>
      <c r="AB2" s="15"/>
      <c r="AC2" s="15"/>
      <c r="AD2" s="15"/>
      <c r="AE2" s="15"/>
      <c r="AF2" s="15"/>
    </row>
    <row r="3" ht="31" spans="1:32">
      <c r="A3" s="16" t="s">
        <v>4174</v>
      </c>
      <c r="B3" s="17" t="s">
        <v>4175</v>
      </c>
      <c r="C3" s="18" t="s">
        <v>2650</v>
      </c>
      <c r="D3" s="19" t="e">
        <f>VLOOKUP(C3,#REF!,2,0)</f>
        <v>#REF!</v>
      </c>
      <c r="E3" s="20" t="e">
        <f>VLOOKUP(D3,数据集标准分类!E:F,2,0)</f>
        <v>#REF!</v>
      </c>
      <c r="F3" s="21">
        <v>1</v>
      </c>
      <c r="G3" s="22" t="s">
        <v>503</v>
      </c>
      <c r="H3" s="22" t="s">
        <v>5591</v>
      </c>
      <c r="I3" s="22" t="s">
        <v>5592</v>
      </c>
      <c r="J3" s="22" t="s">
        <v>504</v>
      </c>
      <c r="K3" s="22" t="s">
        <v>506</v>
      </c>
      <c r="L3" s="22" t="s">
        <v>1779</v>
      </c>
      <c r="M3" s="16" t="s">
        <v>5593</v>
      </c>
      <c r="N3" s="16" t="s">
        <v>5593</v>
      </c>
      <c r="O3" s="23">
        <v>1</v>
      </c>
      <c r="P3" s="24" t="e">
        <f>VLOOKUP(I3,#REF!,2,0)</f>
        <v>#REF!</v>
      </c>
      <c r="Q3" s="25"/>
      <c r="R3" s="24"/>
      <c r="S3" s="26"/>
      <c r="T3" s="24"/>
      <c r="U3" s="26"/>
      <c r="V3" s="26"/>
      <c r="W3" s="27">
        <v>1</v>
      </c>
      <c r="X3" s="28"/>
    </row>
    <row r="4" ht="31" spans="1:32">
      <c r="A4" s="16" t="s">
        <v>4174</v>
      </c>
      <c r="B4" s="17" t="s">
        <v>4175</v>
      </c>
      <c r="C4" s="18" t="s">
        <v>2650</v>
      </c>
      <c r="D4" s="19" t="e">
        <f>VLOOKUP(C4,#REF!,2,0)</f>
        <v>#REF!</v>
      </c>
      <c r="E4" s="20" t="e">
        <f>VLOOKUP(D4,数据集标准分类!E:F,2,0)</f>
        <v>#REF!</v>
      </c>
      <c r="F4" s="21">
        <v>1</v>
      </c>
      <c r="G4" s="22" t="s">
        <v>508</v>
      </c>
      <c r="H4" s="22" t="s">
        <v>5594</v>
      </c>
      <c r="I4" s="22" t="s">
        <v>511</v>
      </c>
      <c r="J4" s="22" t="s">
        <v>509</v>
      </c>
      <c r="K4" s="22" t="s">
        <v>511</v>
      </c>
      <c r="L4" s="22" t="s">
        <v>116</v>
      </c>
      <c r="M4" s="16" t="s">
        <v>5593</v>
      </c>
      <c r="N4" s="16" t="s">
        <v>5595</v>
      </c>
      <c r="O4" s="23">
        <v>2</v>
      </c>
      <c r="P4" s="24" t="e">
        <f>VLOOKUP(I4,#REF!,2,0)</f>
        <v>#REF!</v>
      </c>
      <c r="Q4" s="25"/>
      <c r="R4" s="24"/>
      <c r="S4" s="26"/>
      <c r="T4" s="24"/>
      <c r="U4" s="26"/>
      <c r="V4" s="26"/>
      <c r="W4" s="27">
        <v>2</v>
      </c>
      <c r="X4" s="28"/>
    </row>
    <row r="5" ht="46" spans="1:32">
      <c r="A5" s="16" t="s">
        <v>4174</v>
      </c>
      <c r="B5" s="17" t="s">
        <v>4175</v>
      </c>
      <c r="C5" s="18" t="s">
        <v>2650</v>
      </c>
      <c r="D5" s="19" t="e">
        <f>VLOOKUP(C5,#REF!,2,0)</f>
        <v>#REF!</v>
      </c>
      <c r="E5" s="20" t="e">
        <f>VLOOKUP(D5,数据集标准分类!E:F,2,0)</f>
        <v>#REF!</v>
      </c>
      <c r="F5" s="21">
        <v>1</v>
      </c>
      <c r="G5" s="22" t="s">
        <v>147</v>
      </c>
      <c r="H5" s="22" t="s">
        <v>148</v>
      </c>
      <c r="I5" s="22" t="s">
        <v>5596</v>
      </c>
      <c r="J5" s="22" t="s">
        <v>148</v>
      </c>
      <c r="K5" s="22" t="s">
        <v>150</v>
      </c>
      <c r="L5" s="22" t="s">
        <v>151</v>
      </c>
      <c r="M5" s="16" t="s">
        <v>5595</v>
      </c>
      <c r="N5" s="16" t="s">
        <v>5593</v>
      </c>
      <c r="O5" s="23">
        <v>3</v>
      </c>
      <c r="P5" s="24" t="e">
        <f>VLOOKUP(I5,#REF!,2,0)</f>
        <v>#REF!</v>
      </c>
      <c r="Q5" s="25"/>
      <c r="R5" s="24"/>
      <c r="S5" s="26"/>
      <c r="T5" s="24"/>
      <c r="U5" s="26"/>
      <c r="V5" s="26"/>
      <c r="W5" s="27">
        <v>3</v>
      </c>
      <c r="X5" s="28"/>
    </row>
    <row r="6" ht="31" spans="1:32">
      <c r="A6" s="16" t="s">
        <v>4174</v>
      </c>
      <c r="B6" s="17" t="s">
        <v>4175</v>
      </c>
      <c r="C6" s="18" t="s">
        <v>2650</v>
      </c>
      <c r="D6" s="19" t="e">
        <f>VLOOKUP(C6,#REF!,2,0)</f>
        <v>#REF!</v>
      </c>
      <c r="E6" s="20" t="e">
        <f>VLOOKUP(D6,数据集标准分类!E:F,2,0)</f>
        <v>#REF!</v>
      </c>
      <c r="F6" s="21">
        <v>1</v>
      </c>
      <c r="G6" s="22" t="s">
        <v>2652</v>
      </c>
      <c r="H6" s="22" t="s">
        <v>2653</v>
      </c>
      <c r="I6" s="22" t="s">
        <v>5597</v>
      </c>
      <c r="J6" s="22" t="s">
        <v>2653</v>
      </c>
      <c r="K6" s="22" t="s">
        <v>2655</v>
      </c>
      <c r="L6" s="22" t="s">
        <v>2656</v>
      </c>
      <c r="M6" s="16" t="s">
        <v>5595</v>
      </c>
      <c r="N6" s="16" t="s">
        <v>5593</v>
      </c>
      <c r="O6" s="23">
        <v>4</v>
      </c>
      <c r="P6" s="24" t="e">
        <f>VLOOKUP(I6,#REF!,2,0)</f>
        <v>#REF!</v>
      </c>
      <c r="Q6" s="25"/>
      <c r="R6" s="24"/>
      <c r="S6" s="26"/>
      <c r="T6" s="24"/>
      <c r="U6" s="26"/>
      <c r="V6" s="26"/>
      <c r="W6" s="27">
        <v>4</v>
      </c>
      <c r="X6" s="28"/>
    </row>
    <row r="7" ht="61" spans="1:32">
      <c r="A7" s="16" t="s">
        <v>4174</v>
      </c>
      <c r="B7" s="17" t="s">
        <v>4175</v>
      </c>
      <c r="C7" s="18" t="s">
        <v>2650</v>
      </c>
      <c r="D7" s="19" t="e">
        <f>VLOOKUP(C7,#REF!,2,0)</f>
        <v>#REF!</v>
      </c>
      <c r="E7" s="20" t="e">
        <f>VLOOKUP(D7,数据集标准分类!E:F,2,0)</f>
        <v>#REF!</v>
      </c>
      <c r="F7" s="21">
        <v>1</v>
      </c>
      <c r="G7" s="22" t="s">
        <v>663</v>
      </c>
      <c r="H7" s="22" t="s">
        <v>664</v>
      </c>
      <c r="I7" s="22" t="s">
        <v>666</v>
      </c>
      <c r="J7" s="22" t="s">
        <v>664</v>
      </c>
      <c r="K7" s="22" t="s">
        <v>666</v>
      </c>
      <c r="L7" s="22" t="s">
        <v>667</v>
      </c>
      <c r="M7" s="16" t="s">
        <v>5595</v>
      </c>
      <c r="N7" s="16" t="s">
        <v>5595</v>
      </c>
      <c r="O7" s="23">
        <v>5</v>
      </c>
      <c r="P7" s="24" t="e">
        <f>VLOOKUP(I7,#REF!,2,0)</f>
        <v>#REF!</v>
      </c>
      <c r="Q7" s="25"/>
      <c r="R7" s="24"/>
      <c r="S7" s="26"/>
      <c r="T7" s="24"/>
      <c r="U7" s="26"/>
      <c r="V7" s="26"/>
      <c r="W7" s="27">
        <v>5</v>
      </c>
      <c r="X7" s="28"/>
    </row>
    <row r="8" ht="31" spans="1:32">
      <c r="A8" s="16" t="s">
        <v>4174</v>
      </c>
      <c r="B8" s="17" t="s">
        <v>4175</v>
      </c>
      <c r="C8" s="18" t="s">
        <v>2650</v>
      </c>
      <c r="D8" s="19" t="e">
        <f>VLOOKUP(C8,#REF!,2,0)</f>
        <v>#REF!</v>
      </c>
      <c r="E8" s="20" t="e">
        <f>VLOOKUP(D8,数据集标准分类!E:F,2,0)</f>
        <v>#REF!</v>
      </c>
      <c r="F8" s="21">
        <v>1</v>
      </c>
      <c r="G8" s="22" t="s">
        <v>668</v>
      </c>
      <c r="H8" s="22" t="s">
        <v>5598</v>
      </c>
      <c r="I8" s="22" t="s">
        <v>671</v>
      </c>
      <c r="J8" s="22" t="s">
        <v>669</v>
      </c>
      <c r="K8" s="22" t="s">
        <v>671</v>
      </c>
      <c r="L8" s="22" t="s">
        <v>672</v>
      </c>
      <c r="M8" s="16" t="s">
        <v>5593</v>
      </c>
      <c r="N8" s="16" t="s">
        <v>5595</v>
      </c>
      <c r="O8" s="23">
        <v>6</v>
      </c>
      <c r="P8" s="24" t="e">
        <f>VLOOKUP(I8,#REF!,2,0)</f>
        <v>#REF!</v>
      </c>
      <c r="Q8" s="25"/>
      <c r="R8" s="24"/>
      <c r="S8" s="26"/>
      <c r="T8" s="24"/>
      <c r="U8" s="26"/>
      <c r="V8" s="26"/>
      <c r="W8" s="27">
        <v>6</v>
      </c>
      <c r="X8" s="28"/>
    </row>
    <row r="9" ht="31" spans="1:32">
      <c r="A9" s="16" t="s">
        <v>4174</v>
      </c>
      <c r="B9" s="17" t="s">
        <v>4175</v>
      </c>
      <c r="C9" s="18" t="s">
        <v>2650</v>
      </c>
      <c r="D9" s="19" t="e">
        <f>VLOOKUP(C9,#REF!,2,0)</f>
        <v>#REF!</v>
      </c>
      <c r="E9" s="20" t="e">
        <f>VLOOKUP(D9,数据集标准分类!E:F,2,0)</f>
        <v>#REF!</v>
      </c>
      <c r="F9" s="21">
        <v>1</v>
      </c>
      <c r="G9" s="22" t="s">
        <v>918</v>
      </c>
      <c r="H9" s="22" t="s">
        <v>5599</v>
      </c>
      <c r="I9" s="22" t="s">
        <v>921</v>
      </c>
      <c r="J9" s="22" t="s">
        <v>919</v>
      </c>
      <c r="K9" s="22" t="s">
        <v>921</v>
      </c>
      <c r="L9" s="22" t="s">
        <v>922</v>
      </c>
      <c r="M9" s="16" t="s">
        <v>5593</v>
      </c>
      <c r="N9" s="16" t="s">
        <v>5595</v>
      </c>
      <c r="O9" s="23">
        <v>7</v>
      </c>
      <c r="P9" s="24" t="e">
        <f>VLOOKUP(I9,#REF!,2,0)</f>
        <v>#REF!</v>
      </c>
      <c r="Q9" s="25"/>
      <c r="R9" s="24"/>
      <c r="S9" s="26"/>
      <c r="T9" s="24"/>
      <c r="U9" s="26"/>
      <c r="V9" s="26"/>
      <c r="W9" s="27">
        <v>7</v>
      </c>
      <c r="X9" s="28"/>
    </row>
    <row r="10" spans="1:32">
      <c r="A10" s="16" t="s">
        <v>4174</v>
      </c>
      <c r="B10" s="17" t="s">
        <v>4175</v>
      </c>
      <c r="C10" s="18" t="s">
        <v>2650</v>
      </c>
      <c r="D10" s="19" t="e">
        <f>VLOOKUP(C10,#REF!,2,0)</f>
        <v>#REF!</v>
      </c>
      <c r="E10" s="20" t="e">
        <f>VLOOKUP(D10,数据集标准分类!E:F,2,0)</f>
        <v>#REF!</v>
      </c>
      <c r="F10" s="21">
        <v>1</v>
      </c>
      <c r="G10" s="22" t="s">
        <v>2657</v>
      </c>
      <c r="H10" s="22" t="s">
        <v>5600</v>
      </c>
      <c r="I10" s="22" t="s">
        <v>2660</v>
      </c>
      <c r="J10" s="22" t="s">
        <v>2658</v>
      </c>
      <c r="K10" s="22" t="s">
        <v>2660</v>
      </c>
      <c r="L10" s="22" t="s">
        <v>2661</v>
      </c>
      <c r="M10" s="16" t="s">
        <v>5593</v>
      </c>
      <c r="N10" s="16" t="s">
        <v>5595</v>
      </c>
      <c r="O10" s="23">
        <v>8</v>
      </c>
      <c r="P10" s="24" t="e">
        <f>VLOOKUP(I10,#REF!,2,0)</f>
        <v>#REF!</v>
      </c>
      <c r="Q10" s="25"/>
      <c r="R10" s="24"/>
      <c r="S10" s="26"/>
      <c r="T10" s="24"/>
      <c r="U10" s="26"/>
      <c r="V10" s="26"/>
      <c r="W10" s="27">
        <v>8</v>
      </c>
      <c r="X10" s="28"/>
    </row>
    <row r="11" ht="61" spans="1:32">
      <c r="A11" s="16" t="s">
        <v>4174</v>
      </c>
      <c r="B11" s="17" t="s">
        <v>4175</v>
      </c>
      <c r="C11" s="18" t="s">
        <v>2650</v>
      </c>
      <c r="D11" s="19" t="e">
        <f>VLOOKUP(C11,#REF!,2,0)</f>
        <v>#REF!</v>
      </c>
      <c r="E11" s="20" t="e">
        <f>VLOOKUP(D11,数据集标准分类!E:F,2,0)</f>
        <v>#REF!</v>
      </c>
      <c r="F11" s="21">
        <v>1</v>
      </c>
      <c r="G11" s="22" t="s">
        <v>2662</v>
      </c>
      <c r="H11" s="22" t="s">
        <v>5601</v>
      </c>
      <c r="I11" s="22" t="s">
        <v>2670</v>
      </c>
      <c r="J11" s="22" t="s">
        <v>2663</v>
      </c>
      <c r="K11" s="22" t="s">
        <v>2665</v>
      </c>
      <c r="L11" s="22" t="s">
        <v>2666</v>
      </c>
      <c r="M11" s="16" t="s">
        <v>5593</v>
      </c>
      <c r="N11" s="16" t="s">
        <v>5593</v>
      </c>
      <c r="O11" s="23">
        <v>9</v>
      </c>
      <c r="P11" s="24" t="e">
        <f>VLOOKUP(I11,#REF!,2,0)</f>
        <v>#REF!</v>
      </c>
      <c r="Q11" s="25"/>
      <c r="R11" s="24"/>
      <c r="S11" s="26"/>
      <c r="T11" s="24"/>
      <c r="U11" s="26"/>
      <c r="V11" s="26"/>
      <c r="W11" s="27">
        <v>9</v>
      </c>
      <c r="X11" s="28"/>
    </row>
    <row r="12" ht="46" spans="1:32">
      <c r="A12" s="16" t="s">
        <v>4174</v>
      </c>
      <c r="B12" s="17" t="s">
        <v>4175</v>
      </c>
      <c r="C12" s="18" t="s">
        <v>2650</v>
      </c>
      <c r="D12" s="19" t="e">
        <f>VLOOKUP(C12,#REF!,2,0)</f>
        <v>#REF!</v>
      </c>
      <c r="E12" s="20" t="e">
        <f>VLOOKUP(D12,数据集标准分类!E:F,2,0)</f>
        <v>#REF!</v>
      </c>
      <c r="F12" s="21">
        <v>1</v>
      </c>
      <c r="G12" s="22" t="s">
        <v>784</v>
      </c>
      <c r="H12" s="22" t="s">
        <v>785</v>
      </c>
      <c r="I12" s="22" t="s">
        <v>787</v>
      </c>
      <c r="J12" s="22" t="s">
        <v>785</v>
      </c>
      <c r="K12" s="22" t="s">
        <v>787</v>
      </c>
      <c r="L12" s="22" t="s">
        <v>788</v>
      </c>
      <c r="M12" s="16" t="s">
        <v>5595</v>
      </c>
      <c r="N12" s="16" t="s">
        <v>5595</v>
      </c>
      <c r="O12" s="23">
        <v>10</v>
      </c>
      <c r="P12" s="24" t="e">
        <f>VLOOKUP(I12,#REF!,2,0)</f>
        <v>#REF!</v>
      </c>
      <c r="Q12" s="25"/>
      <c r="R12" s="24"/>
      <c r="S12" s="26"/>
      <c r="T12" s="24"/>
      <c r="U12" s="26"/>
      <c r="V12" s="26"/>
      <c r="W12" s="27">
        <v>10</v>
      </c>
      <c r="X12" s="28"/>
    </row>
    <row r="13" ht="31" spans="1:32">
      <c r="A13" s="16" t="s">
        <v>4174</v>
      </c>
      <c r="B13" s="17" t="s">
        <v>4175</v>
      </c>
      <c r="C13" s="18" t="s">
        <v>2650</v>
      </c>
      <c r="D13" s="19" t="e">
        <f>VLOOKUP(C13,#REF!,2,0)</f>
        <v>#REF!</v>
      </c>
      <c r="E13" s="20" t="e">
        <f>VLOOKUP(D13,数据集标准分类!E:F,2,0)</f>
        <v>#REF!</v>
      </c>
      <c r="F13" s="21">
        <v>1</v>
      </c>
      <c r="G13" s="22" t="s">
        <v>2667</v>
      </c>
      <c r="H13" s="22" t="s">
        <v>2668</v>
      </c>
      <c r="I13" s="22" t="s">
        <v>5602</v>
      </c>
      <c r="J13" s="22" t="s">
        <v>2668</v>
      </c>
      <c r="K13" s="22" t="s">
        <v>2670</v>
      </c>
      <c r="L13" s="22" t="s">
        <v>2671</v>
      </c>
      <c r="M13" s="16" t="s">
        <v>5595</v>
      </c>
      <c r="N13" s="16" t="s">
        <v>5593</v>
      </c>
      <c r="O13" s="23">
        <v>11</v>
      </c>
      <c r="P13" s="24" t="e">
        <f>VLOOKUP(I13,#REF!,2,0)</f>
        <v>#REF!</v>
      </c>
      <c r="Q13" s="25"/>
      <c r="R13" s="24"/>
      <c r="S13" s="26"/>
      <c r="T13" s="24"/>
      <c r="U13" s="26"/>
      <c r="V13" s="26"/>
      <c r="W13" s="27">
        <v>11</v>
      </c>
      <c r="X13" s="28"/>
    </row>
    <row r="14" ht="31" spans="1:32">
      <c r="A14" s="16" t="s">
        <v>4174</v>
      </c>
      <c r="B14" s="17" t="s">
        <v>4175</v>
      </c>
      <c r="C14" s="18" t="s">
        <v>2650</v>
      </c>
      <c r="D14" s="19" t="e">
        <f>VLOOKUP(C14,#REF!,2,0)</f>
        <v>#REF!</v>
      </c>
      <c r="E14" s="20" t="e">
        <f>VLOOKUP(D14,数据集标准分类!E:F,2,0)</f>
        <v>#REF!</v>
      </c>
      <c r="F14" s="21">
        <v>1</v>
      </c>
      <c r="G14" s="22" t="s">
        <v>779</v>
      </c>
      <c r="H14" s="22" t="s">
        <v>780</v>
      </c>
      <c r="I14" s="22" t="s">
        <v>782</v>
      </c>
      <c r="J14" s="22" t="s">
        <v>780</v>
      </c>
      <c r="K14" s="22" t="s">
        <v>782</v>
      </c>
      <c r="L14" s="22" t="s">
        <v>2672</v>
      </c>
      <c r="M14" s="16" t="s">
        <v>5595</v>
      </c>
      <c r="N14" s="16" t="s">
        <v>5595</v>
      </c>
      <c r="O14" s="23">
        <v>12</v>
      </c>
      <c r="P14" s="24" t="e">
        <f>VLOOKUP(I14,#REF!,2,0)</f>
        <v>#REF!</v>
      </c>
      <c r="Q14" s="25"/>
      <c r="R14" s="24"/>
      <c r="S14" s="26"/>
      <c r="T14" s="24"/>
      <c r="U14" s="26"/>
      <c r="V14" s="26"/>
      <c r="W14" s="27">
        <v>12</v>
      </c>
      <c r="X14" s="28"/>
    </row>
    <row r="15" ht="46" spans="1:32">
      <c r="A15" s="16" t="s">
        <v>4174</v>
      </c>
      <c r="B15" s="17" t="s">
        <v>4175</v>
      </c>
      <c r="C15" s="18" t="s">
        <v>2650</v>
      </c>
      <c r="D15" s="19" t="e">
        <f>VLOOKUP(C15,#REF!,2,0)</f>
        <v>#REF!</v>
      </c>
      <c r="E15" s="20" t="e">
        <f>VLOOKUP(D15,数据集标准分类!E:F,2,0)</f>
        <v>#REF!</v>
      </c>
      <c r="F15" s="21">
        <v>1</v>
      </c>
      <c r="G15" s="22" t="s">
        <v>798</v>
      </c>
      <c r="H15" s="22" t="s">
        <v>5603</v>
      </c>
      <c r="I15" s="22" t="s">
        <v>5604</v>
      </c>
      <c r="J15" s="22" t="s">
        <v>799</v>
      </c>
      <c r="K15" s="22" t="s">
        <v>801</v>
      </c>
      <c r="L15" s="22" t="s">
        <v>2673</v>
      </c>
      <c r="M15" s="16" t="s">
        <v>5593</v>
      </c>
      <c r="N15" s="16" t="s">
        <v>5593</v>
      </c>
      <c r="O15" s="23">
        <v>13</v>
      </c>
      <c r="P15" s="24" t="e">
        <f>VLOOKUP(I15,#REF!,2,0)</f>
        <v>#REF!</v>
      </c>
      <c r="Q15" s="25"/>
      <c r="R15" s="24"/>
      <c r="S15" s="26"/>
      <c r="T15" s="24"/>
      <c r="U15" s="26"/>
      <c r="V15" s="26"/>
      <c r="W15" s="27">
        <v>13</v>
      </c>
      <c r="X15" s="28"/>
    </row>
    <row r="16" ht="46" spans="1:32">
      <c r="A16" s="16" t="s">
        <v>4174</v>
      </c>
      <c r="B16" s="17" t="s">
        <v>4175</v>
      </c>
      <c r="C16" s="18" t="s">
        <v>2650</v>
      </c>
      <c r="D16" s="19" t="e">
        <f>VLOOKUP(C16,#REF!,2,0)</f>
        <v>#REF!</v>
      </c>
      <c r="E16" s="20" t="e">
        <f>VLOOKUP(D16,数据集标准分类!E:F,2,0)</f>
        <v>#REF!</v>
      </c>
      <c r="F16" s="21">
        <v>1</v>
      </c>
      <c r="G16" s="22" t="s">
        <v>793</v>
      </c>
      <c r="H16" s="22" t="s">
        <v>5605</v>
      </c>
      <c r="I16" s="22" t="s">
        <v>5606</v>
      </c>
      <c r="J16" s="22" t="s">
        <v>794</v>
      </c>
      <c r="K16" s="22" t="s">
        <v>796</v>
      </c>
      <c r="L16" s="22" t="s">
        <v>2674</v>
      </c>
      <c r="M16" s="16" t="s">
        <v>5593</v>
      </c>
      <c r="N16" s="16" t="s">
        <v>5593</v>
      </c>
      <c r="O16" s="23">
        <v>14</v>
      </c>
      <c r="P16" s="24" t="e">
        <f>VLOOKUP(I16,#REF!,2,0)</f>
        <v>#REF!</v>
      </c>
      <c r="Q16" s="25"/>
      <c r="R16" s="24"/>
      <c r="S16" s="26"/>
      <c r="T16" s="24"/>
      <c r="U16" s="26"/>
      <c r="V16" s="26"/>
      <c r="W16" s="27">
        <v>14</v>
      </c>
      <c r="X16" s="28"/>
    </row>
    <row r="17" ht="46" spans="1:24">
      <c r="A17" s="16" t="s">
        <v>4174</v>
      </c>
      <c r="B17" s="17" t="s">
        <v>4175</v>
      </c>
      <c r="C17" s="18" t="s">
        <v>2650</v>
      </c>
      <c r="D17" s="19" t="e">
        <f>VLOOKUP(C17,#REF!,2,0)</f>
        <v>#REF!</v>
      </c>
      <c r="E17" s="20" t="e">
        <f>VLOOKUP(D17,数据集标准分类!E:F,2,0)</f>
        <v>#REF!</v>
      </c>
      <c r="F17" s="21">
        <v>1</v>
      </c>
      <c r="G17" s="22" t="s">
        <v>808</v>
      </c>
      <c r="H17" s="22" t="s">
        <v>5607</v>
      </c>
      <c r="I17" s="22" t="s">
        <v>811</v>
      </c>
      <c r="J17" s="22" t="s">
        <v>809</v>
      </c>
      <c r="K17" s="22" t="s">
        <v>811</v>
      </c>
      <c r="L17" s="22" t="s">
        <v>2675</v>
      </c>
      <c r="M17" s="16" t="s">
        <v>5593</v>
      </c>
      <c r="N17" s="16" t="s">
        <v>5595</v>
      </c>
      <c r="O17" s="23">
        <v>15</v>
      </c>
      <c r="P17" s="24" t="e">
        <f>VLOOKUP(I17,#REF!,2,0)</f>
        <v>#REF!</v>
      </c>
      <c r="Q17" s="25"/>
      <c r="R17" s="24"/>
      <c r="S17" s="26"/>
      <c r="T17" s="24"/>
      <c r="U17" s="26"/>
      <c r="V17" s="26"/>
      <c r="W17" s="27">
        <v>15</v>
      </c>
      <c r="X17" s="28"/>
    </row>
    <row r="18" ht="46" spans="1:24">
      <c r="A18" s="16" t="s">
        <v>4174</v>
      </c>
      <c r="B18" s="17" t="s">
        <v>4175</v>
      </c>
      <c r="C18" s="18" t="s">
        <v>2650</v>
      </c>
      <c r="D18" s="19" t="e">
        <f>VLOOKUP(C18,#REF!,2,0)</f>
        <v>#REF!</v>
      </c>
      <c r="E18" s="20" t="e">
        <f>VLOOKUP(D18,数据集标准分类!E:F,2,0)</f>
        <v>#REF!</v>
      </c>
      <c r="F18" s="21">
        <v>1</v>
      </c>
      <c r="G18" s="22" t="s">
        <v>803</v>
      </c>
      <c r="H18" s="22" t="s">
        <v>5608</v>
      </c>
      <c r="I18" s="22" t="s">
        <v>806</v>
      </c>
      <c r="J18" s="22" t="s">
        <v>804</v>
      </c>
      <c r="K18" s="22" t="s">
        <v>806</v>
      </c>
      <c r="L18" s="22" t="s">
        <v>2676</v>
      </c>
      <c r="M18" s="16" t="s">
        <v>5593</v>
      </c>
      <c r="N18" s="16" t="s">
        <v>5595</v>
      </c>
      <c r="O18" s="23">
        <v>16</v>
      </c>
      <c r="P18" s="24" t="e">
        <f>VLOOKUP(I18,#REF!,2,0)</f>
        <v>#REF!</v>
      </c>
      <c r="Q18" s="25"/>
      <c r="R18" s="24"/>
      <c r="S18" s="26"/>
      <c r="T18" s="24"/>
      <c r="U18" s="26"/>
      <c r="V18" s="26"/>
      <c r="W18" s="27">
        <v>16</v>
      </c>
      <c r="X18" s="28"/>
    </row>
    <row r="19" ht="46" spans="1:24">
      <c r="A19" s="16" t="s">
        <v>4174</v>
      </c>
      <c r="B19" s="17" t="s">
        <v>4175</v>
      </c>
      <c r="C19" s="18" t="s">
        <v>2650</v>
      </c>
      <c r="D19" s="19" t="e">
        <f>VLOOKUP(C19,#REF!,2,0)</f>
        <v>#REF!</v>
      </c>
      <c r="E19" s="20" t="e">
        <f>VLOOKUP(D19,数据集标准分类!E:F,2,0)</f>
        <v>#REF!</v>
      </c>
      <c r="F19" s="21">
        <v>1</v>
      </c>
      <c r="G19" s="22" t="s">
        <v>818</v>
      </c>
      <c r="H19" s="22" t="s">
        <v>5609</v>
      </c>
      <c r="I19" s="22" t="s">
        <v>821</v>
      </c>
      <c r="J19" s="22" t="s">
        <v>819</v>
      </c>
      <c r="K19" s="22" t="s">
        <v>821</v>
      </c>
      <c r="L19" s="22" t="s">
        <v>2677</v>
      </c>
      <c r="M19" s="16" t="s">
        <v>5593</v>
      </c>
      <c r="N19" s="16" t="s">
        <v>5595</v>
      </c>
      <c r="O19" s="23">
        <v>17</v>
      </c>
      <c r="P19" s="24" t="e">
        <f>VLOOKUP(I19,#REF!,2,0)</f>
        <v>#REF!</v>
      </c>
      <c r="Q19" s="25"/>
      <c r="R19" s="24"/>
      <c r="S19" s="26"/>
      <c r="T19" s="24"/>
      <c r="U19" s="26"/>
      <c r="V19" s="26"/>
      <c r="W19" s="27">
        <v>17</v>
      </c>
      <c r="X19" s="28"/>
    </row>
    <row r="20" ht="46" spans="1:24">
      <c r="A20" s="16" t="s">
        <v>4174</v>
      </c>
      <c r="B20" s="17" t="s">
        <v>4175</v>
      </c>
      <c r="C20" s="18" t="s">
        <v>2650</v>
      </c>
      <c r="D20" s="19" t="e">
        <f>VLOOKUP(C20,#REF!,2,0)</f>
        <v>#REF!</v>
      </c>
      <c r="E20" s="20" t="e">
        <f>VLOOKUP(D20,数据集标准分类!E:F,2,0)</f>
        <v>#REF!</v>
      </c>
      <c r="F20" s="21">
        <v>1</v>
      </c>
      <c r="G20" s="22" t="s">
        <v>813</v>
      </c>
      <c r="H20" s="22" t="s">
        <v>5610</v>
      </c>
      <c r="I20" s="22" t="s">
        <v>816</v>
      </c>
      <c r="J20" s="22" t="s">
        <v>814</v>
      </c>
      <c r="K20" s="22" t="s">
        <v>816</v>
      </c>
      <c r="L20" s="22" t="s">
        <v>2678</v>
      </c>
      <c r="M20" s="16" t="s">
        <v>5593</v>
      </c>
      <c r="N20" s="16" t="s">
        <v>5595</v>
      </c>
      <c r="O20" s="23">
        <v>18</v>
      </c>
      <c r="P20" s="24" t="e">
        <f>VLOOKUP(I20,#REF!,2,0)</f>
        <v>#REF!</v>
      </c>
      <c r="Q20" s="25"/>
      <c r="R20" s="24"/>
      <c r="S20" s="26"/>
      <c r="T20" s="24"/>
      <c r="U20" s="26"/>
      <c r="V20" s="26"/>
      <c r="W20" s="27">
        <v>18</v>
      </c>
      <c r="X20" s="28"/>
    </row>
    <row r="21" ht="31" spans="1:24">
      <c r="A21" s="16" t="s">
        <v>4174</v>
      </c>
      <c r="B21" s="17" t="s">
        <v>4175</v>
      </c>
      <c r="C21" s="18" t="s">
        <v>2650</v>
      </c>
      <c r="D21" s="19" t="e">
        <f>VLOOKUP(C21,#REF!,2,0)</f>
        <v>#REF!</v>
      </c>
      <c r="E21" s="20" t="e">
        <f>VLOOKUP(D21,数据集标准分类!E:F,2,0)</f>
        <v>#REF!</v>
      </c>
      <c r="F21" s="21">
        <v>1</v>
      </c>
      <c r="G21" s="22" t="s">
        <v>2679</v>
      </c>
      <c r="H21" s="22" t="s">
        <v>5611</v>
      </c>
      <c r="I21" s="22" t="s">
        <v>2682</v>
      </c>
      <c r="J21" s="22" t="s">
        <v>2680</v>
      </c>
      <c r="K21" s="22" t="s">
        <v>2682</v>
      </c>
      <c r="L21" s="22" t="s">
        <v>2683</v>
      </c>
      <c r="M21" s="16" t="s">
        <v>5593</v>
      </c>
      <c r="N21" s="16" t="s">
        <v>5595</v>
      </c>
      <c r="O21" s="23">
        <v>19</v>
      </c>
      <c r="P21" s="24" t="e">
        <f>VLOOKUP(I21,#REF!,2,0)</f>
        <v>#REF!</v>
      </c>
      <c r="Q21" s="25"/>
      <c r="R21" s="24"/>
      <c r="S21" s="26"/>
      <c r="T21" s="24"/>
      <c r="U21" s="26"/>
      <c r="V21" s="26"/>
      <c r="W21" s="27">
        <v>19</v>
      </c>
      <c r="X21" s="28"/>
    </row>
    <row r="22" ht="31" spans="1:24">
      <c r="A22" s="16" t="s">
        <v>4174</v>
      </c>
      <c r="B22" s="17" t="s">
        <v>4175</v>
      </c>
      <c r="C22" s="18" t="s">
        <v>2650</v>
      </c>
      <c r="D22" s="19" t="e">
        <f>VLOOKUP(C22,#REF!,2,0)</f>
        <v>#REF!</v>
      </c>
      <c r="E22" s="20" t="e">
        <f>VLOOKUP(D22,数据集标准分类!E:F,2,0)</f>
        <v>#REF!</v>
      </c>
      <c r="F22" s="21">
        <v>1</v>
      </c>
      <c r="G22" s="22" t="s">
        <v>789</v>
      </c>
      <c r="H22" s="22" t="s">
        <v>790</v>
      </c>
      <c r="I22" s="22" t="s">
        <v>791</v>
      </c>
      <c r="J22" s="22" t="s">
        <v>790</v>
      </c>
      <c r="K22" s="22" t="s">
        <v>791</v>
      </c>
      <c r="L22" s="22" t="s">
        <v>792</v>
      </c>
      <c r="M22" s="16" t="s">
        <v>5595</v>
      </c>
      <c r="N22" s="16" t="s">
        <v>5595</v>
      </c>
      <c r="O22" s="23">
        <v>20</v>
      </c>
      <c r="P22" s="24" t="e">
        <f>VLOOKUP(I22,#REF!,2,0)</f>
        <v>#REF!</v>
      </c>
      <c r="Q22" s="25"/>
      <c r="R22" s="24"/>
      <c r="S22" s="26"/>
      <c r="T22" s="24"/>
      <c r="U22" s="26"/>
      <c r="V22" s="26"/>
      <c r="W22" s="27">
        <v>20</v>
      </c>
      <c r="X22" s="28"/>
    </row>
    <row r="23" ht="31" spans="1:24">
      <c r="A23" s="16" t="s">
        <v>4174</v>
      </c>
      <c r="B23" s="17" t="s">
        <v>4175</v>
      </c>
      <c r="C23" s="18" t="s">
        <v>2650</v>
      </c>
      <c r="D23" s="19" t="e">
        <f>VLOOKUP(C23,#REF!,2,0)</f>
        <v>#REF!</v>
      </c>
      <c r="E23" s="20" t="e">
        <f>VLOOKUP(D23,数据集标准分类!E:F,2,0)</f>
        <v>#REF!</v>
      </c>
      <c r="F23" s="21">
        <v>1</v>
      </c>
      <c r="G23" s="22" t="s">
        <v>2685</v>
      </c>
      <c r="H23" s="22" t="s">
        <v>5612</v>
      </c>
      <c r="I23" s="22" t="s">
        <v>2688</v>
      </c>
      <c r="J23" s="22" t="s">
        <v>2686</v>
      </c>
      <c r="K23" s="22" t="s">
        <v>2688</v>
      </c>
      <c r="L23" s="22" t="s">
        <v>2689</v>
      </c>
      <c r="M23" s="16" t="s">
        <v>5593</v>
      </c>
      <c r="N23" s="16" t="s">
        <v>5595</v>
      </c>
      <c r="O23" s="23">
        <v>21</v>
      </c>
      <c r="P23" s="24" t="e">
        <f>VLOOKUP(I23,#REF!,2,0)</f>
        <v>#REF!</v>
      </c>
      <c r="Q23" s="25"/>
      <c r="R23" s="24"/>
      <c r="S23" s="26"/>
      <c r="T23" s="24"/>
      <c r="U23" s="26"/>
      <c r="V23" s="26"/>
      <c r="W23" s="27">
        <v>21</v>
      </c>
      <c r="X23" s="28"/>
    </row>
    <row r="24" spans="1:24">
      <c r="A24" s="16" t="s">
        <v>4174</v>
      </c>
      <c r="B24" s="17" t="s">
        <v>4175</v>
      </c>
      <c r="C24" s="18" t="s">
        <v>2650</v>
      </c>
      <c r="D24" s="19" t="e">
        <f>VLOOKUP(C24,#REF!,2,0)</f>
        <v>#REF!</v>
      </c>
      <c r="E24" s="20" t="e">
        <f>VLOOKUP(D24,数据集标准分类!E:F,2,0)</f>
        <v>#REF!</v>
      </c>
      <c r="F24" s="21">
        <v>1</v>
      </c>
      <c r="G24" s="22" t="s">
        <v>2690</v>
      </c>
      <c r="H24" s="22" t="s">
        <v>5613</v>
      </c>
      <c r="I24" s="22" t="s">
        <v>2693</v>
      </c>
      <c r="J24" s="22" t="s">
        <v>2691</v>
      </c>
      <c r="K24" s="22" t="s">
        <v>2693</v>
      </c>
      <c r="L24" s="22" t="s">
        <v>2694</v>
      </c>
      <c r="M24" s="16" t="s">
        <v>5593</v>
      </c>
      <c r="N24" s="16" t="s">
        <v>5595</v>
      </c>
      <c r="O24" s="23">
        <v>22</v>
      </c>
      <c r="P24" s="24" t="e">
        <f>VLOOKUP(I24,#REF!,2,0)</f>
        <v>#REF!</v>
      </c>
      <c r="Q24" s="25"/>
      <c r="R24" s="24"/>
      <c r="S24" s="26"/>
      <c r="T24" s="24"/>
      <c r="U24" s="26"/>
      <c r="V24" s="26"/>
      <c r="W24" s="27">
        <v>22</v>
      </c>
      <c r="X24" s="28"/>
    </row>
    <row r="25" ht="31" spans="1:24">
      <c r="A25" s="16" t="s">
        <v>4174</v>
      </c>
      <c r="B25" s="17" t="s">
        <v>4175</v>
      </c>
      <c r="C25" s="18" t="s">
        <v>2650</v>
      </c>
      <c r="D25" s="19" t="e">
        <f>VLOOKUP(C25,#REF!,2,0)</f>
        <v>#REF!</v>
      </c>
      <c r="E25" s="20" t="e">
        <f>VLOOKUP(D25,数据集标准分类!E:F,2,0)</f>
        <v>#REF!</v>
      </c>
      <c r="F25" s="21">
        <v>1</v>
      </c>
      <c r="G25" s="22" t="s">
        <v>1921</v>
      </c>
      <c r="H25" s="22" t="s">
        <v>5614</v>
      </c>
      <c r="I25" s="22" t="s">
        <v>5615</v>
      </c>
      <c r="J25" s="22" t="s">
        <v>1922</v>
      </c>
      <c r="K25" s="22" t="s">
        <v>1924</v>
      </c>
      <c r="L25" s="22" t="s">
        <v>2695</v>
      </c>
      <c r="M25" s="16" t="s">
        <v>5593</v>
      </c>
      <c r="N25" s="16" t="s">
        <v>5593</v>
      </c>
      <c r="O25" s="23">
        <v>23</v>
      </c>
      <c r="P25" s="24" t="e">
        <f>VLOOKUP(I25,#REF!,2,0)</f>
        <v>#REF!</v>
      </c>
      <c r="Q25" s="25"/>
      <c r="R25" s="24"/>
      <c r="S25" s="26"/>
      <c r="T25" s="24"/>
      <c r="U25" s="26"/>
      <c r="V25" s="26"/>
      <c r="W25" s="27">
        <v>23</v>
      </c>
      <c r="X25" s="28"/>
    </row>
    <row r="26" spans="1:24">
      <c r="A26" s="16" t="s">
        <v>4174</v>
      </c>
      <c r="B26" s="17" t="s">
        <v>4175</v>
      </c>
      <c r="C26" s="18" t="s">
        <v>2650</v>
      </c>
      <c r="D26" s="19" t="e">
        <f>VLOOKUP(C26,#REF!,2,0)</f>
        <v>#REF!</v>
      </c>
      <c r="E26" s="20" t="e">
        <f>VLOOKUP(D26,数据集标准分类!E:F,2,0)</f>
        <v>#REF!</v>
      </c>
      <c r="F26" s="21">
        <v>1</v>
      </c>
      <c r="G26" s="29" t="s">
        <v>2696</v>
      </c>
      <c r="H26" s="29" t="s">
        <v>5616</v>
      </c>
      <c r="I26" s="29" t="s">
        <v>2699</v>
      </c>
      <c r="J26" s="22" t="s">
        <v>2697</v>
      </c>
      <c r="K26" s="22" t="s">
        <v>2699</v>
      </c>
      <c r="L26" s="22" t="s">
        <v>2700</v>
      </c>
      <c r="M26" s="16" t="s">
        <v>5593</v>
      </c>
      <c r="N26" s="16" t="s">
        <v>5595</v>
      </c>
      <c r="O26" s="23">
        <v>24</v>
      </c>
      <c r="P26" s="24" t="e">
        <f>VLOOKUP(I26,#REF!,2,0)</f>
        <v>#REF!</v>
      </c>
      <c r="Q26" s="25"/>
      <c r="R26" s="24"/>
      <c r="S26" s="26"/>
      <c r="T26" s="24"/>
      <c r="U26" s="26"/>
      <c r="V26" s="26"/>
      <c r="W26" s="27">
        <v>24</v>
      </c>
      <c r="X26" s="28"/>
    </row>
    <row r="27" ht="31" spans="1:24">
      <c r="A27" s="16" t="s">
        <v>4174</v>
      </c>
      <c r="B27" s="17" t="s">
        <v>4175</v>
      </c>
      <c r="C27" s="18" t="s">
        <v>2650</v>
      </c>
      <c r="D27" s="19" t="e">
        <f>VLOOKUP(C27,#REF!,2,0)</f>
        <v>#REF!</v>
      </c>
      <c r="E27" s="20" t="e">
        <f>VLOOKUP(D27,数据集标准分类!E:F,2,0)</f>
        <v>#REF!</v>
      </c>
      <c r="F27" s="21">
        <v>1</v>
      </c>
      <c r="G27" s="22" t="s">
        <v>2701</v>
      </c>
      <c r="H27" s="22" t="s">
        <v>2702</v>
      </c>
      <c r="I27" s="22" t="s">
        <v>5617</v>
      </c>
      <c r="J27" s="22" t="s">
        <v>2702</v>
      </c>
      <c r="K27" s="22" t="s">
        <v>2704</v>
      </c>
      <c r="L27" s="22" t="s">
        <v>2705</v>
      </c>
      <c r="M27" s="16" t="s">
        <v>5595</v>
      </c>
      <c r="N27" s="16" t="s">
        <v>5593</v>
      </c>
      <c r="O27" s="23">
        <v>25</v>
      </c>
      <c r="P27" s="24" t="e">
        <f>VLOOKUP(I27,#REF!,2,0)</f>
        <v>#REF!</v>
      </c>
      <c r="Q27" s="25"/>
      <c r="R27" s="24"/>
      <c r="S27" s="26"/>
      <c r="T27" s="24"/>
      <c r="U27" s="26"/>
      <c r="V27" s="26"/>
      <c r="W27" s="27">
        <v>25</v>
      </c>
      <c r="X27" s="28"/>
    </row>
    <row r="28" ht="14.4" customHeight="1" spans="1:24">
      <c r="A28" s="16" t="s">
        <v>4174</v>
      </c>
      <c r="B28" s="17" t="s">
        <v>4175</v>
      </c>
      <c r="C28" s="18" t="s">
        <v>2650</v>
      </c>
      <c r="D28" s="19" t="e">
        <f>VLOOKUP(C28,#REF!,2,0)</f>
        <v>#REF!</v>
      </c>
      <c r="E28" s="20" t="e">
        <f>VLOOKUP(D28,数据集标准分类!E:F,2,0)</f>
        <v>#REF!</v>
      </c>
      <c r="F28" s="21">
        <v>1</v>
      </c>
      <c r="G28" s="29" t="s">
        <v>2706</v>
      </c>
      <c r="H28" s="29" t="s">
        <v>2707</v>
      </c>
      <c r="I28" s="29" t="s">
        <v>2709</v>
      </c>
      <c r="J28" s="22" t="s">
        <v>2707</v>
      </c>
      <c r="K28" s="22" t="s">
        <v>2709</v>
      </c>
      <c r="L28" s="22" t="s">
        <v>2710</v>
      </c>
      <c r="M28" s="16" t="s">
        <v>5595</v>
      </c>
      <c r="N28" s="16" t="s">
        <v>5595</v>
      </c>
      <c r="O28" s="23">
        <v>26</v>
      </c>
      <c r="P28" s="24" t="e">
        <f>VLOOKUP(I28,#REF!,2,0)</f>
        <v>#REF!</v>
      </c>
      <c r="Q28" s="25"/>
      <c r="R28" s="24"/>
      <c r="S28" s="26"/>
      <c r="T28" s="24"/>
      <c r="U28" s="26"/>
      <c r="V28" s="26"/>
      <c r="W28" s="27">
        <v>26</v>
      </c>
      <c r="X28" s="28"/>
    </row>
    <row r="29" ht="31" spans="1:24">
      <c r="A29" s="16" t="s">
        <v>4174</v>
      </c>
      <c r="B29" s="17" t="s">
        <v>4175</v>
      </c>
      <c r="C29" s="18" t="s">
        <v>2650</v>
      </c>
      <c r="D29" s="19" t="e">
        <f>VLOOKUP(C29,#REF!,2,0)</f>
        <v>#REF!</v>
      </c>
      <c r="E29" s="20" t="e">
        <f>VLOOKUP(D29,数据集标准分类!E:F,2,0)</f>
        <v>#REF!</v>
      </c>
      <c r="F29" s="21">
        <v>1</v>
      </c>
      <c r="G29" s="22" t="s">
        <v>2711</v>
      </c>
      <c r="H29" s="22" t="s">
        <v>5618</v>
      </c>
      <c r="I29" s="22" t="s">
        <v>5619</v>
      </c>
      <c r="J29" s="22" t="s">
        <v>2712</v>
      </c>
      <c r="K29" s="22" t="s">
        <v>2714</v>
      </c>
      <c r="L29" s="22" t="s">
        <v>2715</v>
      </c>
      <c r="M29" s="16" t="s">
        <v>5593</v>
      </c>
      <c r="N29" s="16" t="s">
        <v>5593</v>
      </c>
      <c r="O29" s="23">
        <v>27</v>
      </c>
      <c r="P29" s="24" t="e">
        <f>VLOOKUP(I29,#REF!,2,0)</f>
        <v>#REF!</v>
      </c>
      <c r="Q29" s="25"/>
      <c r="R29" s="24"/>
      <c r="S29" s="26"/>
      <c r="T29" s="24"/>
      <c r="U29" s="26"/>
      <c r="V29" s="26"/>
      <c r="W29" s="27">
        <v>27</v>
      </c>
      <c r="X29" s="28"/>
    </row>
    <row r="30" ht="31" spans="1:24">
      <c r="A30" s="16" t="s">
        <v>4174</v>
      </c>
      <c r="B30" s="17" t="s">
        <v>4175</v>
      </c>
      <c r="C30" s="30" t="s">
        <v>2716</v>
      </c>
      <c r="D30" s="19" t="e">
        <f>VLOOKUP(C30,#REF!,2,0)</f>
        <v>#REF!</v>
      </c>
      <c r="E30" s="20" t="e">
        <f>VLOOKUP(D30,数据集标准分类!E:F,2,0)</f>
        <v>#REF!</v>
      </c>
      <c r="F30" s="21">
        <v>2</v>
      </c>
      <c r="G30" s="22" t="s">
        <v>503</v>
      </c>
      <c r="H30" s="22" t="s">
        <v>5591</v>
      </c>
      <c r="I30" s="22" t="s">
        <v>5592</v>
      </c>
      <c r="J30" s="22" t="s">
        <v>504</v>
      </c>
      <c r="K30" s="22" t="s">
        <v>506</v>
      </c>
      <c r="L30" s="22" t="s">
        <v>1779</v>
      </c>
      <c r="M30" s="16" t="s">
        <v>5593</v>
      </c>
      <c r="N30" s="16" t="s">
        <v>5593</v>
      </c>
      <c r="O30" s="23">
        <v>1</v>
      </c>
      <c r="P30" s="24" t="e">
        <f>VLOOKUP(I30,#REF!,2,0)</f>
        <v>#REF!</v>
      </c>
      <c r="Q30" s="25"/>
      <c r="R30" s="24"/>
      <c r="S30" s="26"/>
      <c r="T30" s="24"/>
      <c r="U30" s="26"/>
      <c r="V30" s="26"/>
      <c r="W30" s="27">
        <v>28</v>
      </c>
      <c r="X30" s="28"/>
    </row>
    <row r="31" ht="31" spans="1:24">
      <c r="A31" s="16" t="s">
        <v>4174</v>
      </c>
      <c r="B31" s="17" t="s">
        <v>4175</v>
      </c>
      <c r="C31" s="30" t="s">
        <v>2716</v>
      </c>
      <c r="D31" s="19" t="e">
        <f>VLOOKUP(C31,#REF!,2,0)</f>
        <v>#REF!</v>
      </c>
      <c r="E31" s="20" t="e">
        <f>VLOOKUP(D31,数据集标准分类!E:F,2,0)</f>
        <v>#REF!</v>
      </c>
      <c r="F31" s="21">
        <v>2</v>
      </c>
      <c r="G31" s="22" t="s">
        <v>508</v>
      </c>
      <c r="H31" s="22" t="s">
        <v>5594</v>
      </c>
      <c r="I31" s="22" t="s">
        <v>5620</v>
      </c>
      <c r="J31" s="22" t="s">
        <v>509</v>
      </c>
      <c r="K31" s="22" t="s">
        <v>511</v>
      </c>
      <c r="L31" s="22" t="s">
        <v>116</v>
      </c>
      <c r="M31" s="16" t="s">
        <v>5593</v>
      </c>
      <c r="N31" s="16" t="s">
        <v>5593</v>
      </c>
      <c r="O31" s="23">
        <v>2</v>
      </c>
      <c r="P31" s="24" t="e">
        <f>VLOOKUP(I31,#REF!,2,0)</f>
        <v>#REF!</v>
      </c>
      <c r="Q31" s="25"/>
      <c r="R31" s="24"/>
      <c r="S31" s="26"/>
      <c r="T31" s="24"/>
      <c r="U31" s="26"/>
      <c r="V31" s="26"/>
      <c r="W31" s="27">
        <v>29</v>
      </c>
      <c r="X31" s="28"/>
    </row>
    <row r="32" ht="46" spans="1:24">
      <c r="A32" s="16" t="s">
        <v>4174</v>
      </c>
      <c r="B32" s="17" t="s">
        <v>4175</v>
      </c>
      <c r="C32" s="30" t="s">
        <v>2716</v>
      </c>
      <c r="D32" s="19" t="e">
        <f>VLOOKUP(C32,#REF!,2,0)</f>
        <v>#REF!</v>
      </c>
      <c r="E32" s="20" t="e">
        <f>VLOOKUP(D32,数据集标准分类!E:F,2,0)</f>
        <v>#REF!</v>
      </c>
      <c r="F32" s="21">
        <v>2</v>
      </c>
      <c r="G32" s="22" t="s">
        <v>147</v>
      </c>
      <c r="H32" s="22" t="s">
        <v>148</v>
      </c>
      <c r="I32" s="22" t="s">
        <v>5596</v>
      </c>
      <c r="J32" s="22" t="s">
        <v>148</v>
      </c>
      <c r="K32" s="22" t="s">
        <v>150</v>
      </c>
      <c r="L32" s="22" t="s">
        <v>151</v>
      </c>
      <c r="M32" s="16" t="s">
        <v>5595</v>
      </c>
      <c r="N32" s="16" t="s">
        <v>5593</v>
      </c>
      <c r="O32" s="23">
        <v>3</v>
      </c>
      <c r="P32" s="24" t="e">
        <f>VLOOKUP(I32,#REF!,2,0)</f>
        <v>#REF!</v>
      </c>
      <c r="Q32" s="25"/>
      <c r="R32" s="24"/>
      <c r="S32" s="26"/>
      <c r="T32" s="24"/>
      <c r="U32" s="26"/>
      <c r="V32" s="26"/>
      <c r="W32" s="27">
        <v>30</v>
      </c>
      <c r="X32" s="28"/>
    </row>
    <row r="33" ht="31" spans="1:32">
      <c r="A33" s="16" t="s">
        <v>4174</v>
      </c>
      <c r="B33" s="17" t="s">
        <v>4175</v>
      </c>
      <c r="C33" s="30" t="s">
        <v>2716</v>
      </c>
      <c r="D33" s="19" t="e">
        <f>VLOOKUP(C33,#REF!,2,0)</f>
        <v>#REF!</v>
      </c>
      <c r="E33" s="20" t="e">
        <f>VLOOKUP(D33,数据集标准分类!E:F,2,0)</f>
        <v>#REF!</v>
      </c>
      <c r="F33" s="21">
        <v>2</v>
      </c>
      <c r="G33" s="22" t="s">
        <v>2652</v>
      </c>
      <c r="H33" s="22" t="s">
        <v>2653</v>
      </c>
      <c r="I33" s="22" t="s">
        <v>5597</v>
      </c>
      <c r="J33" s="22" t="s">
        <v>2653</v>
      </c>
      <c r="K33" s="22" t="s">
        <v>2655</v>
      </c>
      <c r="L33" s="22" t="s">
        <v>2656</v>
      </c>
      <c r="M33" s="16" t="s">
        <v>5595</v>
      </c>
      <c r="N33" s="16" t="s">
        <v>5593</v>
      </c>
      <c r="O33" s="23">
        <v>4</v>
      </c>
      <c r="P33" s="24" t="e">
        <f>VLOOKUP(I33,#REF!,2,0)</f>
        <v>#REF!</v>
      </c>
      <c r="Q33" s="25"/>
      <c r="R33" s="24"/>
      <c r="S33" s="26"/>
      <c r="T33" s="24"/>
      <c r="U33" s="26"/>
      <c r="V33" s="26"/>
      <c r="W33" s="27">
        <v>31</v>
      </c>
      <c r="X33" s="28"/>
    </row>
    <row r="34" ht="46" spans="1:32">
      <c r="A34" s="16" t="s">
        <v>4174</v>
      </c>
      <c r="B34" s="17" t="s">
        <v>4175</v>
      </c>
      <c r="C34" s="30" t="s">
        <v>2716</v>
      </c>
      <c r="D34" s="19" t="e">
        <f>VLOOKUP(C34,#REF!,2,0)</f>
        <v>#REF!</v>
      </c>
      <c r="E34" s="20" t="e">
        <f>VLOOKUP(D34,数据集标准分类!E:F,2,0)</f>
        <v>#REF!</v>
      </c>
      <c r="F34" s="21">
        <v>2</v>
      </c>
      <c r="G34" s="22" t="s">
        <v>2717</v>
      </c>
      <c r="H34" s="22" t="s">
        <v>5621</v>
      </c>
      <c r="I34" s="22" t="s">
        <v>5622</v>
      </c>
      <c r="J34" s="22" t="s">
        <v>2718</v>
      </c>
      <c r="K34" s="22" t="s">
        <v>2720</v>
      </c>
      <c r="L34" s="22" t="s">
        <v>2721</v>
      </c>
      <c r="M34" s="16" t="s">
        <v>5593</v>
      </c>
      <c r="N34" s="16" t="s">
        <v>5593</v>
      </c>
      <c r="O34" s="23">
        <v>5</v>
      </c>
      <c r="P34" s="24" t="e">
        <f>VLOOKUP(I34,#REF!,2,0)</f>
        <v>#REF!</v>
      </c>
      <c r="Q34" s="25"/>
      <c r="R34" s="24"/>
      <c r="S34" s="26"/>
      <c r="T34" s="24"/>
      <c r="U34" s="26"/>
      <c r="V34" s="26"/>
      <c r="W34" s="27">
        <v>32</v>
      </c>
      <c r="X34" s="28"/>
    </row>
    <row r="35" ht="61" spans="1:32">
      <c r="A35" s="16" t="s">
        <v>4174</v>
      </c>
      <c r="B35" s="17" t="s">
        <v>4175</v>
      </c>
      <c r="C35" s="30" t="s">
        <v>2716</v>
      </c>
      <c r="D35" s="19" t="e">
        <f>VLOOKUP(C35,#REF!,2,0)</f>
        <v>#REF!</v>
      </c>
      <c r="E35" s="20" t="e">
        <f>VLOOKUP(D35,数据集标准分类!E:F,2,0)</f>
        <v>#REF!</v>
      </c>
      <c r="F35" s="21">
        <v>2</v>
      </c>
      <c r="G35" s="22" t="s">
        <v>663</v>
      </c>
      <c r="H35" s="22" t="s">
        <v>664</v>
      </c>
      <c r="I35" s="22" t="s">
        <v>666</v>
      </c>
      <c r="J35" s="22" t="s">
        <v>664</v>
      </c>
      <c r="K35" s="22" t="s">
        <v>666</v>
      </c>
      <c r="L35" s="22" t="s">
        <v>667</v>
      </c>
      <c r="M35" s="16" t="s">
        <v>5595</v>
      </c>
      <c r="N35" s="16" t="s">
        <v>5595</v>
      </c>
      <c r="O35" s="23">
        <v>6</v>
      </c>
      <c r="P35" s="24" t="e">
        <f>VLOOKUP(I35,#REF!,2,0)</f>
        <v>#REF!</v>
      </c>
      <c r="Q35" s="25"/>
      <c r="R35" s="24"/>
      <c r="S35" s="26"/>
      <c r="T35" s="24"/>
      <c r="U35" s="26"/>
      <c r="V35" s="26"/>
      <c r="W35" s="27">
        <v>33</v>
      </c>
      <c r="X35" s="28"/>
    </row>
    <row r="36" ht="31" spans="1:32">
      <c r="A36" s="16" t="s">
        <v>4174</v>
      </c>
      <c r="B36" s="17" t="s">
        <v>4175</v>
      </c>
      <c r="C36" s="30" t="s">
        <v>2716</v>
      </c>
      <c r="D36" s="19" t="e">
        <f>VLOOKUP(C36,#REF!,2,0)</f>
        <v>#REF!</v>
      </c>
      <c r="E36" s="20" t="e">
        <f>VLOOKUP(D36,数据集标准分类!E:F,2,0)</f>
        <v>#REF!</v>
      </c>
      <c r="F36" s="21">
        <v>2</v>
      </c>
      <c r="G36" s="22" t="s">
        <v>668</v>
      </c>
      <c r="H36" s="22" t="s">
        <v>5598</v>
      </c>
      <c r="I36" s="22" t="s">
        <v>671</v>
      </c>
      <c r="J36" s="22" t="s">
        <v>669</v>
      </c>
      <c r="K36" s="22" t="s">
        <v>671</v>
      </c>
      <c r="L36" s="22" t="s">
        <v>672</v>
      </c>
      <c r="M36" s="16" t="s">
        <v>5593</v>
      </c>
      <c r="N36" s="16" t="s">
        <v>5595</v>
      </c>
      <c r="O36" s="23">
        <v>7</v>
      </c>
      <c r="P36" s="24" t="e">
        <f>VLOOKUP(I36,#REF!,2,0)</f>
        <v>#REF!</v>
      </c>
      <c r="Q36" s="25"/>
      <c r="R36" s="24"/>
      <c r="S36" s="26"/>
      <c r="T36" s="24"/>
      <c r="U36" s="26"/>
      <c r="V36" s="26"/>
      <c r="W36" s="27">
        <v>34</v>
      </c>
      <c r="X36" s="28"/>
    </row>
    <row r="37" ht="31" spans="1:32">
      <c r="A37" s="16" t="s">
        <v>4174</v>
      </c>
      <c r="B37" s="17" t="s">
        <v>4175</v>
      </c>
      <c r="C37" s="30" t="s">
        <v>2716</v>
      </c>
      <c r="D37" s="19" t="e">
        <f>VLOOKUP(C37,#REF!,2,0)</f>
        <v>#REF!</v>
      </c>
      <c r="E37" s="20" t="e">
        <f>VLOOKUP(D37,数据集标准分类!E:F,2,0)</f>
        <v>#REF!</v>
      </c>
      <c r="F37" s="21">
        <v>2</v>
      </c>
      <c r="G37" s="22" t="s">
        <v>918</v>
      </c>
      <c r="H37" s="22" t="s">
        <v>5599</v>
      </c>
      <c r="I37" s="22" t="s">
        <v>921</v>
      </c>
      <c r="J37" s="22" t="s">
        <v>919</v>
      </c>
      <c r="K37" s="22" t="s">
        <v>921</v>
      </c>
      <c r="L37" s="22" t="s">
        <v>922</v>
      </c>
      <c r="M37" s="16" t="s">
        <v>5593</v>
      </c>
      <c r="N37" s="16" t="s">
        <v>5595</v>
      </c>
      <c r="O37" s="23">
        <v>8</v>
      </c>
      <c r="P37" s="24" t="e">
        <f>VLOOKUP(I37,#REF!,2,0)</f>
        <v>#REF!</v>
      </c>
      <c r="Q37" s="25"/>
      <c r="R37" s="24"/>
      <c r="S37" s="26"/>
      <c r="T37" s="24"/>
      <c r="U37" s="26"/>
      <c r="V37" s="26"/>
      <c r="W37" s="27">
        <v>35</v>
      </c>
      <c r="X37" s="28"/>
    </row>
    <row r="38" ht="61" spans="1:32">
      <c r="A38" s="16" t="s">
        <v>4174</v>
      </c>
      <c r="B38" s="17" t="s">
        <v>4175</v>
      </c>
      <c r="C38" s="30" t="s">
        <v>2716</v>
      </c>
      <c r="D38" s="19" t="e">
        <f>VLOOKUP(C38,#REF!,2,0)</f>
        <v>#REF!</v>
      </c>
      <c r="E38" s="20" t="e">
        <f>VLOOKUP(D38,数据集标准分类!E:F,2,0)</f>
        <v>#REF!</v>
      </c>
      <c r="F38" s="21">
        <v>2</v>
      </c>
      <c r="G38" s="22" t="s">
        <v>2662</v>
      </c>
      <c r="H38" s="22" t="s">
        <v>5601</v>
      </c>
      <c r="I38" s="22" t="s">
        <v>2665</v>
      </c>
      <c r="J38" s="22" t="s">
        <v>2663</v>
      </c>
      <c r="K38" s="22" t="s">
        <v>2665</v>
      </c>
      <c r="L38" s="22" t="s">
        <v>2666</v>
      </c>
      <c r="M38" s="16" t="s">
        <v>5593</v>
      </c>
      <c r="N38" s="16" t="s">
        <v>5595</v>
      </c>
      <c r="O38" s="23">
        <v>9</v>
      </c>
      <c r="P38" s="24" t="e">
        <f>VLOOKUP(I38,#REF!,2,0)</f>
        <v>#REF!</v>
      </c>
      <c r="Q38" s="25"/>
      <c r="R38" s="24"/>
      <c r="S38" s="26"/>
      <c r="T38" s="24"/>
      <c r="U38" s="26"/>
      <c r="V38" s="26"/>
      <c r="W38" s="27">
        <v>36</v>
      </c>
      <c r="X38" s="28"/>
    </row>
    <row r="39" ht="46" spans="1:32">
      <c r="A39" s="16" t="s">
        <v>4174</v>
      </c>
      <c r="B39" s="17" t="s">
        <v>4175</v>
      </c>
      <c r="C39" s="30" t="s">
        <v>2716</v>
      </c>
      <c r="D39" s="19" t="e">
        <f>VLOOKUP(C39,#REF!,2,0)</f>
        <v>#REF!</v>
      </c>
      <c r="E39" s="20" t="e">
        <f>VLOOKUP(D39,数据集标准分类!E:F,2,0)</f>
        <v>#REF!</v>
      </c>
      <c r="F39" s="21">
        <v>2</v>
      </c>
      <c r="G39" s="22" t="s">
        <v>784</v>
      </c>
      <c r="H39" s="22" t="s">
        <v>785</v>
      </c>
      <c r="I39" s="22" t="s">
        <v>787</v>
      </c>
      <c r="J39" s="22" t="s">
        <v>785</v>
      </c>
      <c r="K39" s="22" t="s">
        <v>787</v>
      </c>
      <c r="L39" s="22" t="s">
        <v>788</v>
      </c>
      <c r="M39" s="16" t="s">
        <v>5595</v>
      </c>
      <c r="N39" s="16" t="s">
        <v>5595</v>
      </c>
      <c r="O39" s="23">
        <v>10</v>
      </c>
      <c r="P39" s="24" t="e">
        <f>VLOOKUP(I39,#REF!,2,0)</f>
        <v>#REF!</v>
      </c>
      <c r="Q39" s="25"/>
      <c r="R39" s="24"/>
      <c r="S39" s="26"/>
      <c r="T39" s="24"/>
      <c r="U39" s="26"/>
      <c r="V39" s="26"/>
      <c r="W39" s="27">
        <v>37</v>
      </c>
      <c r="X39" s="28"/>
    </row>
    <row r="40" ht="31" spans="1:32">
      <c r="A40" s="16" t="s">
        <v>4174</v>
      </c>
      <c r="B40" s="17" t="s">
        <v>4175</v>
      </c>
      <c r="C40" s="30" t="s">
        <v>2716</v>
      </c>
      <c r="D40" s="19" t="e">
        <f>VLOOKUP(C40,#REF!,2,0)</f>
        <v>#REF!</v>
      </c>
      <c r="E40" s="20" t="e">
        <f>VLOOKUP(D40,数据集标准分类!E:F,2,0)</f>
        <v>#REF!</v>
      </c>
      <c r="F40" s="21">
        <v>2</v>
      </c>
      <c r="G40" s="22" t="s">
        <v>2667</v>
      </c>
      <c r="H40" s="22" t="s">
        <v>2668</v>
      </c>
      <c r="I40" s="22" t="s">
        <v>2670</v>
      </c>
      <c r="J40" s="22" t="s">
        <v>2668</v>
      </c>
      <c r="K40" s="22" t="s">
        <v>2670</v>
      </c>
      <c r="L40" s="22" t="s">
        <v>2671</v>
      </c>
      <c r="M40" s="16" t="s">
        <v>5595</v>
      </c>
      <c r="N40" s="16" t="s">
        <v>5595</v>
      </c>
      <c r="O40" s="23">
        <v>11</v>
      </c>
      <c r="P40" s="24" t="e">
        <f>VLOOKUP(I40,#REF!,2,0)</f>
        <v>#REF!</v>
      </c>
      <c r="Q40" s="25"/>
      <c r="R40" s="24"/>
      <c r="S40" s="26"/>
      <c r="T40" s="24"/>
      <c r="U40" s="26"/>
      <c r="V40" s="26"/>
      <c r="W40" s="27">
        <v>38</v>
      </c>
      <c r="X40" s="28"/>
    </row>
    <row r="41" ht="31" spans="1:32">
      <c r="A41" s="16" t="s">
        <v>4174</v>
      </c>
      <c r="B41" s="17" t="s">
        <v>4175</v>
      </c>
      <c r="C41" s="30" t="s">
        <v>2716</v>
      </c>
      <c r="D41" s="19" t="e">
        <f>VLOOKUP(C41,#REF!,2,0)</f>
        <v>#REF!</v>
      </c>
      <c r="E41" s="20" t="e">
        <f>VLOOKUP(D41,数据集标准分类!E:F,2,0)</f>
        <v>#REF!</v>
      </c>
      <c r="F41" s="21">
        <v>2</v>
      </c>
      <c r="G41" s="22" t="s">
        <v>779</v>
      </c>
      <c r="H41" s="22" t="s">
        <v>780</v>
      </c>
      <c r="I41" s="22" t="s">
        <v>782</v>
      </c>
      <c r="J41" s="22" t="s">
        <v>780</v>
      </c>
      <c r="K41" s="22" t="s">
        <v>782</v>
      </c>
      <c r="L41" s="22" t="s">
        <v>2672</v>
      </c>
      <c r="M41" s="16" t="s">
        <v>5595</v>
      </c>
      <c r="N41" s="16" t="s">
        <v>5595</v>
      </c>
      <c r="O41" s="23">
        <v>12</v>
      </c>
      <c r="P41" s="24" t="e">
        <f>VLOOKUP(I41,#REF!,2,0)</f>
        <v>#REF!</v>
      </c>
      <c r="Q41" s="25"/>
      <c r="R41" s="24"/>
      <c r="S41" s="26"/>
      <c r="T41" s="24"/>
      <c r="U41" s="26"/>
      <c r="V41" s="26"/>
      <c r="W41" s="27">
        <v>39</v>
      </c>
      <c r="X41" s="28"/>
    </row>
    <row r="42" ht="46" spans="1:32">
      <c r="A42" s="16" t="s">
        <v>4174</v>
      </c>
      <c r="B42" s="17" t="s">
        <v>4175</v>
      </c>
      <c r="C42" s="30" t="s">
        <v>2716</v>
      </c>
      <c r="D42" s="19" t="e">
        <f>VLOOKUP(C42,#REF!,2,0)</f>
        <v>#REF!</v>
      </c>
      <c r="E42" s="20" t="e">
        <f>VLOOKUP(D42,数据集标准分类!E:F,2,0)</f>
        <v>#REF!</v>
      </c>
      <c r="F42" s="21">
        <v>2</v>
      </c>
      <c r="G42" s="22" t="s">
        <v>798</v>
      </c>
      <c r="H42" s="22" t="s">
        <v>5603</v>
      </c>
      <c r="I42" s="22" t="s">
        <v>5604</v>
      </c>
      <c r="J42" s="22" t="s">
        <v>799</v>
      </c>
      <c r="K42" s="22" t="s">
        <v>801</v>
      </c>
      <c r="L42" s="22" t="s">
        <v>2673</v>
      </c>
      <c r="M42" s="16" t="s">
        <v>5593</v>
      </c>
      <c r="N42" s="16" t="s">
        <v>5593</v>
      </c>
      <c r="O42" s="23">
        <v>13</v>
      </c>
      <c r="P42" s="24" t="e">
        <f>VLOOKUP(I42,#REF!,2,0)</f>
        <v>#REF!</v>
      </c>
      <c r="Q42" s="25"/>
      <c r="R42" s="24"/>
      <c r="S42" s="26"/>
      <c r="T42" s="24"/>
      <c r="U42" s="26"/>
      <c r="V42" s="26"/>
      <c r="W42" s="27">
        <v>40</v>
      </c>
      <c r="X42" s="28"/>
    </row>
    <row r="43" ht="46" spans="1:32">
      <c r="A43" s="16" t="s">
        <v>4174</v>
      </c>
      <c r="B43" s="17" t="s">
        <v>4175</v>
      </c>
      <c r="C43" s="30" t="s">
        <v>2716</v>
      </c>
      <c r="D43" s="19" t="e">
        <f>VLOOKUP(C43,#REF!,2,0)</f>
        <v>#REF!</v>
      </c>
      <c r="E43" s="20" t="e">
        <f>VLOOKUP(D43,数据集标准分类!E:F,2,0)</f>
        <v>#REF!</v>
      </c>
      <c r="F43" s="21">
        <v>2</v>
      </c>
      <c r="G43" s="22" t="s">
        <v>793</v>
      </c>
      <c r="H43" s="22" t="s">
        <v>5605</v>
      </c>
      <c r="I43" s="22" t="s">
        <v>5606</v>
      </c>
      <c r="J43" s="22" t="s">
        <v>794</v>
      </c>
      <c r="K43" s="22" t="s">
        <v>796</v>
      </c>
      <c r="L43" s="22" t="s">
        <v>2674</v>
      </c>
      <c r="M43" s="16" t="s">
        <v>5593</v>
      </c>
      <c r="N43" s="16" t="s">
        <v>5593</v>
      </c>
      <c r="O43" s="23">
        <v>14</v>
      </c>
      <c r="P43" s="24" t="e">
        <f>VLOOKUP(I43,#REF!,2,0)</f>
        <v>#REF!</v>
      </c>
      <c r="Q43" s="25"/>
      <c r="R43" s="24"/>
      <c r="S43" s="26"/>
      <c r="T43" s="24"/>
      <c r="U43" s="26"/>
      <c r="V43" s="26"/>
      <c r="W43" s="27">
        <v>41</v>
      </c>
      <c r="X43" s="28"/>
    </row>
    <row r="44" ht="46" spans="1:32">
      <c r="A44" s="16" t="s">
        <v>4174</v>
      </c>
      <c r="B44" s="17" t="s">
        <v>4175</v>
      </c>
      <c r="C44" s="30" t="s">
        <v>2716</v>
      </c>
      <c r="D44" s="19" t="e">
        <f>VLOOKUP(C44,#REF!,2,0)</f>
        <v>#REF!</v>
      </c>
      <c r="E44" s="20" t="e">
        <f>VLOOKUP(D44,数据集标准分类!E:F,2,0)</f>
        <v>#REF!</v>
      </c>
      <c r="F44" s="21">
        <v>2</v>
      </c>
      <c r="G44" s="22" t="s">
        <v>808</v>
      </c>
      <c r="H44" s="22" t="s">
        <v>5607</v>
      </c>
      <c r="I44" s="22" t="s">
        <v>811</v>
      </c>
      <c r="J44" s="22" t="s">
        <v>809</v>
      </c>
      <c r="K44" s="22" t="s">
        <v>811</v>
      </c>
      <c r="L44" s="22" t="s">
        <v>2675</v>
      </c>
      <c r="M44" s="16" t="s">
        <v>5593</v>
      </c>
      <c r="N44" s="16" t="s">
        <v>5595</v>
      </c>
      <c r="O44" s="23">
        <v>15</v>
      </c>
      <c r="P44" s="24" t="e">
        <f>VLOOKUP(I44,#REF!,2,0)</f>
        <v>#REF!</v>
      </c>
      <c r="Q44" s="25"/>
      <c r="R44" s="24"/>
      <c r="S44" s="26"/>
      <c r="T44" s="24"/>
      <c r="U44" s="26"/>
      <c r="V44" s="26"/>
      <c r="W44" s="27">
        <v>42</v>
      </c>
      <c r="X44" s="28"/>
    </row>
    <row r="45" ht="46" spans="1:32">
      <c r="A45" s="16" t="s">
        <v>4174</v>
      </c>
      <c r="B45" s="17" t="s">
        <v>4175</v>
      </c>
      <c r="C45" s="30" t="s">
        <v>2716</v>
      </c>
      <c r="D45" s="19" t="e">
        <f>VLOOKUP(C45,#REF!,2,0)</f>
        <v>#REF!</v>
      </c>
      <c r="E45" s="20" t="e">
        <f>VLOOKUP(D45,数据集标准分类!E:F,2,0)</f>
        <v>#REF!</v>
      </c>
      <c r="F45" s="21">
        <v>2</v>
      </c>
      <c r="G45" s="22" t="s">
        <v>803</v>
      </c>
      <c r="H45" s="22" t="s">
        <v>5608</v>
      </c>
      <c r="I45" s="22" t="s">
        <v>806</v>
      </c>
      <c r="J45" s="22" t="s">
        <v>804</v>
      </c>
      <c r="K45" s="22" t="s">
        <v>806</v>
      </c>
      <c r="L45" s="22" t="s">
        <v>2676</v>
      </c>
      <c r="M45" s="16" t="s">
        <v>5593</v>
      </c>
      <c r="N45" s="16" t="s">
        <v>5595</v>
      </c>
      <c r="O45" s="23">
        <v>16</v>
      </c>
      <c r="P45" s="24" t="e">
        <f>VLOOKUP(I45,#REF!,2,0)</f>
        <v>#REF!</v>
      </c>
      <c r="Q45" s="25"/>
      <c r="R45" s="24"/>
      <c r="S45" s="26"/>
      <c r="T45" s="24"/>
      <c r="U45" s="26"/>
      <c r="V45" s="26"/>
      <c r="W45" s="27">
        <v>43</v>
      </c>
      <c r="X45" s="28"/>
    </row>
    <row r="46" ht="46" spans="1:32">
      <c r="A46" s="16" t="s">
        <v>4174</v>
      </c>
      <c r="B46" s="17" t="s">
        <v>4175</v>
      </c>
      <c r="C46" s="30" t="s">
        <v>2716</v>
      </c>
      <c r="D46" s="19" t="e">
        <f>VLOOKUP(C46,#REF!,2,0)</f>
        <v>#REF!</v>
      </c>
      <c r="E46" s="20" t="e">
        <f>VLOOKUP(D46,数据集标准分类!E:F,2,0)</f>
        <v>#REF!</v>
      </c>
      <c r="F46" s="21">
        <v>2</v>
      </c>
      <c r="G46" s="22" t="s">
        <v>818</v>
      </c>
      <c r="H46" s="22" t="s">
        <v>5609</v>
      </c>
      <c r="I46" s="22" t="s">
        <v>821</v>
      </c>
      <c r="J46" s="22" t="s">
        <v>819</v>
      </c>
      <c r="K46" s="22" t="s">
        <v>821</v>
      </c>
      <c r="L46" s="22" t="s">
        <v>2677</v>
      </c>
      <c r="M46" s="16" t="s">
        <v>5593</v>
      </c>
      <c r="N46" s="16" t="s">
        <v>5595</v>
      </c>
      <c r="O46" s="23">
        <v>17</v>
      </c>
      <c r="P46" s="24" t="e">
        <f>VLOOKUP(I46,#REF!,2,0)</f>
        <v>#REF!</v>
      </c>
      <c r="Q46" s="25"/>
      <c r="R46" s="24"/>
      <c r="S46" s="26"/>
      <c r="T46" s="24"/>
      <c r="U46" s="26"/>
      <c r="V46" s="26"/>
      <c r="W46" s="27">
        <v>44</v>
      </c>
      <c r="X46" s="28"/>
    </row>
    <row r="47" ht="46" spans="1:32">
      <c r="A47" s="16" t="s">
        <v>4174</v>
      </c>
      <c r="B47" s="17" t="s">
        <v>4175</v>
      </c>
      <c r="C47" s="30" t="s">
        <v>2716</v>
      </c>
      <c r="D47" s="19" t="e">
        <f>VLOOKUP(C47,#REF!,2,0)</f>
        <v>#REF!</v>
      </c>
      <c r="E47" s="20" t="e">
        <f>VLOOKUP(D47,数据集标准分类!E:F,2,0)</f>
        <v>#REF!</v>
      </c>
      <c r="F47" s="21">
        <v>2</v>
      </c>
      <c r="G47" s="22" t="s">
        <v>813</v>
      </c>
      <c r="H47" s="22" t="s">
        <v>5610</v>
      </c>
      <c r="I47" s="22" t="s">
        <v>816</v>
      </c>
      <c r="J47" s="22" t="s">
        <v>814</v>
      </c>
      <c r="K47" s="22" t="s">
        <v>816</v>
      </c>
      <c r="L47" s="22" t="s">
        <v>2678</v>
      </c>
      <c r="M47" s="16" t="s">
        <v>5593</v>
      </c>
      <c r="N47" s="16" t="s">
        <v>5595</v>
      </c>
      <c r="O47" s="23">
        <v>18</v>
      </c>
      <c r="P47" s="24" t="e">
        <f>VLOOKUP(I47,#REF!,2,0)</f>
        <v>#REF!</v>
      </c>
      <c r="Q47" s="25"/>
      <c r="R47" s="24"/>
      <c r="S47" s="26"/>
      <c r="T47" s="24"/>
      <c r="U47" s="26"/>
      <c r="V47" s="26"/>
      <c r="W47" s="27">
        <v>45</v>
      </c>
      <c r="X47" s="28"/>
    </row>
    <row r="48" ht="31" spans="1:32">
      <c r="A48" s="31" t="s">
        <v>4174</v>
      </c>
      <c r="B48" s="32" t="s">
        <v>4175</v>
      </c>
      <c r="C48" s="33" t="s">
        <v>2716</v>
      </c>
      <c r="D48" s="34" t="e">
        <f>VLOOKUP(C48,#REF!,2,0)</f>
        <v>#REF!</v>
      </c>
      <c r="E48" s="35" t="e">
        <f>VLOOKUP(D48,数据集标准分类!E:F,2,0)</f>
        <v>#REF!</v>
      </c>
      <c r="F48" s="36">
        <v>2</v>
      </c>
      <c r="G48" s="37" t="s">
        <v>2679</v>
      </c>
      <c r="H48" s="37" t="s">
        <v>5611</v>
      </c>
      <c r="I48" s="37" t="s">
        <v>2682</v>
      </c>
      <c r="J48" s="37" t="s">
        <v>2680</v>
      </c>
      <c r="K48" s="37" t="s">
        <v>2682</v>
      </c>
      <c r="L48" s="37" t="s">
        <v>2683</v>
      </c>
      <c r="M48" s="31" t="s">
        <v>5593</v>
      </c>
      <c r="N48" s="31" t="s">
        <v>5595</v>
      </c>
      <c r="O48" s="38">
        <v>19</v>
      </c>
      <c r="P48" s="39" t="e">
        <f>VLOOKUP(I48,#REF!,2,0)</f>
        <v>#REF!</v>
      </c>
      <c r="Q48" s="40"/>
      <c r="R48" s="39"/>
      <c r="S48" s="41"/>
      <c r="T48" s="39"/>
      <c r="U48" s="41"/>
      <c r="V48" s="41"/>
      <c r="W48" s="42">
        <v>46</v>
      </c>
      <c r="X48" s="43"/>
      <c r="Y48" s="44"/>
      <c r="Z48" s="44"/>
      <c r="AA48" s="44"/>
      <c r="AB48" s="44"/>
      <c r="AC48" s="44"/>
      <c r="AD48" s="44"/>
      <c r="AE48" s="44"/>
      <c r="AF48" s="44"/>
    </row>
    <row r="49" ht="31" spans="1:32">
      <c r="A49" s="16" t="s">
        <v>4174</v>
      </c>
      <c r="B49" s="17" t="s">
        <v>4175</v>
      </c>
      <c r="C49" s="30" t="s">
        <v>2716</v>
      </c>
      <c r="D49" s="19" t="e">
        <f>VLOOKUP(C49,#REF!,2,0)</f>
        <v>#REF!</v>
      </c>
      <c r="E49" s="20" t="e">
        <f>VLOOKUP(D49,数据集标准分类!E:F,2,0)</f>
        <v>#REF!</v>
      </c>
      <c r="F49" s="21">
        <v>2</v>
      </c>
      <c r="G49" s="22" t="s">
        <v>789</v>
      </c>
      <c r="H49" s="22" t="s">
        <v>790</v>
      </c>
      <c r="I49" s="22" t="s">
        <v>791</v>
      </c>
      <c r="J49" s="22" t="s">
        <v>790</v>
      </c>
      <c r="K49" s="22" t="s">
        <v>791</v>
      </c>
      <c r="L49" s="22" t="s">
        <v>792</v>
      </c>
      <c r="M49" s="16" t="s">
        <v>5595</v>
      </c>
      <c r="N49" s="16" t="s">
        <v>5595</v>
      </c>
      <c r="O49" s="23">
        <v>20</v>
      </c>
      <c r="P49" s="24" t="e">
        <f>VLOOKUP(I49,#REF!,2,0)</f>
        <v>#REF!</v>
      </c>
      <c r="Q49" s="25"/>
      <c r="R49" s="24"/>
      <c r="S49" s="26"/>
      <c r="T49" s="24"/>
      <c r="U49" s="26"/>
      <c r="V49" s="26"/>
      <c r="W49" s="27">
        <v>47</v>
      </c>
      <c r="X49" s="28"/>
    </row>
    <row r="50" ht="31" spans="1:32">
      <c r="A50" s="16" t="s">
        <v>4174</v>
      </c>
      <c r="B50" s="17" t="s">
        <v>4175</v>
      </c>
      <c r="C50" s="30" t="s">
        <v>2716</v>
      </c>
      <c r="D50" s="19" t="e">
        <f>VLOOKUP(C50,#REF!,2,0)</f>
        <v>#REF!</v>
      </c>
      <c r="E50" s="20" t="e">
        <f>VLOOKUP(D50,数据集标准分类!E:F,2,0)</f>
        <v>#REF!</v>
      </c>
      <c r="F50" s="21">
        <v>2</v>
      </c>
      <c r="G50" s="22" t="s">
        <v>2685</v>
      </c>
      <c r="H50" s="22" t="s">
        <v>5612</v>
      </c>
      <c r="I50" s="22" t="s">
        <v>2688</v>
      </c>
      <c r="J50" s="22" t="s">
        <v>2686</v>
      </c>
      <c r="K50" s="22" t="s">
        <v>2688</v>
      </c>
      <c r="L50" s="22" t="s">
        <v>2689</v>
      </c>
      <c r="M50" s="16" t="s">
        <v>5593</v>
      </c>
      <c r="N50" s="16" t="s">
        <v>5595</v>
      </c>
      <c r="O50" s="23">
        <v>21</v>
      </c>
      <c r="P50" s="24" t="e">
        <f>VLOOKUP(I50,#REF!,2,0)</f>
        <v>#REF!</v>
      </c>
      <c r="Q50" s="25"/>
      <c r="R50" s="24"/>
      <c r="S50" s="26"/>
      <c r="T50" s="24"/>
      <c r="U50" s="26"/>
      <c r="V50" s="26"/>
      <c r="W50" s="27">
        <v>48</v>
      </c>
      <c r="X50" s="28"/>
    </row>
    <row r="51" spans="1:32">
      <c r="A51" s="16" t="s">
        <v>4174</v>
      </c>
      <c r="B51" s="17" t="s">
        <v>4175</v>
      </c>
      <c r="C51" s="30" t="s">
        <v>2716</v>
      </c>
      <c r="D51" s="19" t="e">
        <f>VLOOKUP(C51,#REF!,2,0)</f>
        <v>#REF!</v>
      </c>
      <c r="E51" s="20" t="e">
        <f>VLOOKUP(D51,数据集标准分类!E:F,2,0)</f>
        <v>#REF!</v>
      </c>
      <c r="F51" s="21">
        <v>2</v>
      </c>
      <c r="G51" s="22" t="s">
        <v>2690</v>
      </c>
      <c r="H51" s="22" t="s">
        <v>5613</v>
      </c>
      <c r="I51" s="22" t="s">
        <v>2693</v>
      </c>
      <c r="J51" s="22" t="s">
        <v>2691</v>
      </c>
      <c r="K51" s="22" t="s">
        <v>2693</v>
      </c>
      <c r="L51" s="22" t="s">
        <v>2694</v>
      </c>
      <c r="M51" s="16" t="s">
        <v>5593</v>
      </c>
      <c r="N51" s="16" t="s">
        <v>5595</v>
      </c>
      <c r="O51" s="23">
        <v>22</v>
      </c>
      <c r="P51" s="24" t="e">
        <f>VLOOKUP(I51,#REF!,2,0)</f>
        <v>#REF!</v>
      </c>
      <c r="Q51" s="25"/>
      <c r="R51" s="24"/>
      <c r="S51" s="26"/>
      <c r="T51" s="24"/>
      <c r="U51" s="26"/>
      <c r="V51" s="26"/>
      <c r="W51" s="27">
        <v>49</v>
      </c>
      <c r="X51" s="28"/>
    </row>
    <row r="52" ht="31" spans="1:32">
      <c r="A52" s="16" t="s">
        <v>4174</v>
      </c>
      <c r="B52" s="17" t="s">
        <v>4175</v>
      </c>
      <c r="C52" s="30" t="s">
        <v>2716</v>
      </c>
      <c r="D52" s="19" t="e">
        <f>VLOOKUP(C52,#REF!,2,0)</f>
        <v>#REF!</v>
      </c>
      <c r="E52" s="20" t="e">
        <f>VLOOKUP(D52,数据集标准分类!E:F,2,0)</f>
        <v>#REF!</v>
      </c>
      <c r="F52" s="21">
        <v>2</v>
      </c>
      <c r="G52" s="22" t="s">
        <v>1921</v>
      </c>
      <c r="H52" s="22" t="s">
        <v>5614</v>
      </c>
      <c r="I52" s="22" t="s">
        <v>5615</v>
      </c>
      <c r="J52" s="22" t="s">
        <v>1922</v>
      </c>
      <c r="K52" s="22" t="s">
        <v>1924</v>
      </c>
      <c r="L52" s="22" t="s">
        <v>2695</v>
      </c>
      <c r="M52" s="16" t="s">
        <v>5593</v>
      </c>
      <c r="N52" s="16" t="s">
        <v>5593</v>
      </c>
      <c r="O52" s="23">
        <v>23</v>
      </c>
      <c r="P52" s="24" t="e">
        <f>VLOOKUP(I52,#REF!,2,0)</f>
        <v>#REF!</v>
      </c>
      <c r="Q52" s="25"/>
      <c r="R52" s="24"/>
      <c r="S52" s="26"/>
      <c r="T52" s="24"/>
      <c r="U52" s="26"/>
      <c r="V52" s="26"/>
      <c r="W52" s="27">
        <v>50</v>
      </c>
      <c r="X52" s="28"/>
    </row>
    <row r="53" spans="1:32">
      <c r="A53" s="24" t="s">
        <v>4174</v>
      </c>
      <c r="B53" s="27" t="s">
        <v>4175</v>
      </c>
      <c r="C53" s="30" t="s">
        <v>2716</v>
      </c>
      <c r="D53" s="19" t="e">
        <f>VLOOKUP(C53,#REF!,2,0)</f>
        <v>#REF!</v>
      </c>
      <c r="E53" s="45" t="e">
        <f>VLOOKUP(D53,数据集标准分类!E:F,2,0)</f>
        <v>#REF!</v>
      </c>
      <c r="F53" s="21">
        <v>2</v>
      </c>
      <c r="G53" s="29" t="s">
        <v>2696</v>
      </c>
      <c r="H53" s="29" t="s">
        <v>5616</v>
      </c>
      <c r="I53" s="29" t="s">
        <v>2699</v>
      </c>
      <c r="J53" s="29" t="s">
        <v>2697</v>
      </c>
      <c r="K53" s="29" t="s">
        <v>2699</v>
      </c>
      <c r="L53" s="29" t="s">
        <v>2700</v>
      </c>
      <c r="M53" s="24" t="s">
        <v>5593</v>
      </c>
      <c r="N53" s="24" t="s">
        <v>5595</v>
      </c>
      <c r="O53" s="46">
        <v>24</v>
      </c>
      <c r="P53" s="24" t="e">
        <f>VLOOKUP(I53,#REF!,2,0)</f>
        <v>#REF!</v>
      </c>
      <c r="Q53" s="47"/>
      <c r="R53" s="24"/>
      <c r="S53" s="48"/>
      <c r="T53" s="24"/>
      <c r="U53" s="48"/>
      <c r="V53" s="48"/>
      <c r="W53" s="27">
        <v>51</v>
      </c>
      <c r="X53" s="28"/>
      <c r="Y53" s="5"/>
      <c r="Z53" s="5"/>
      <c r="AA53" s="5"/>
      <c r="AB53" s="5"/>
      <c r="AC53" s="5"/>
      <c r="AD53" s="5"/>
      <c r="AE53" s="5"/>
      <c r="AF53" s="5"/>
    </row>
    <row r="54" ht="31" spans="1:32">
      <c r="A54" s="16" t="s">
        <v>4174</v>
      </c>
      <c r="B54" s="17" t="s">
        <v>4175</v>
      </c>
      <c r="C54" s="30" t="s">
        <v>2716</v>
      </c>
      <c r="D54" s="19" t="e">
        <f>VLOOKUP(C54,#REF!,2,0)</f>
        <v>#REF!</v>
      </c>
      <c r="E54" s="20" t="e">
        <f>VLOOKUP(D54,数据集标准分类!E:F,2,0)</f>
        <v>#REF!</v>
      </c>
      <c r="F54" s="21">
        <v>2</v>
      </c>
      <c r="G54" s="22" t="s">
        <v>2701</v>
      </c>
      <c r="H54" s="22" t="s">
        <v>2702</v>
      </c>
      <c r="I54" s="22" t="s">
        <v>5617</v>
      </c>
      <c r="J54" s="22" t="s">
        <v>2702</v>
      </c>
      <c r="K54" s="22" t="s">
        <v>2704</v>
      </c>
      <c r="L54" s="22" t="s">
        <v>2705</v>
      </c>
      <c r="M54" s="16" t="s">
        <v>5595</v>
      </c>
      <c r="N54" s="16" t="s">
        <v>5593</v>
      </c>
      <c r="O54" s="23">
        <v>24</v>
      </c>
      <c r="P54" s="24" t="e">
        <f>VLOOKUP(I54,#REF!,2,0)</f>
        <v>#REF!</v>
      </c>
      <c r="Q54" s="25"/>
      <c r="R54" s="24"/>
      <c r="S54" s="26"/>
      <c r="T54" s="24"/>
      <c r="U54" s="26"/>
      <c r="V54" s="26"/>
      <c r="W54" s="27">
        <v>52</v>
      </c>
      <c r="X54" s="28"/>
    </row>
    <row r="55" spans="1:32">
      <c r="A55" s="16" t="s">
        <v>4174</v>
      </c>
      <c r="B55" s="17" t="s">
        <v>4175</v>
      </c>
      <c r="C55" s="30" t="s">
        <v>2716</v>
      </c>
      <c r="D55" s="19" t="e">
        <f>VLOOKUP(C55,#REF!,2,0)</f>
        <v>#REF!</v>
      </c>
      <c r="E55" s="20" t="e">
        <f>VLOOKUP(D55,数据集标准分类!E:F,2,0)</f>
        <v>#REF!</v>
      </c>
      <c r="F55" s="21">
        <v>2</v>
      </c>
      <c r="G55" s="29" t="s">
        <v>2706</v>
      </c>
      <c r="H55" s="29" t="s">
        <v>2707</v>
      </c>
      <c r="I55" s="29" t="s">
        <v>2709</v>
      </c>
      <c r="J55" s="22" t="s">
        <v>2707</v>
      </c>
      <c r="K55" s="22" t="s">
        <v>2709</v>
      </c>
      <c r="L55" s="22" t="s">
        <v>2710</v>
      </c>
      <c r="M55" s="16" t="s">
        <v>5595</v>
      </c>
      <c r="N55" s="16" t="s">
        <v>5595</v>
      </c>
      <c r="O55" s="23">
        <v>25</v>
      </c>
      <c r="P55" s="24" t="e">
        <f>VLOOKUP(I55,#REF!,2,0)</f>
        <v>#REF!</v>
      </c>
      <c r="Q55" s="25"/>
      <c r="R55" s="24"/>
      <c r="S55" s="26"/>
      <c r="T55" s="24"/>
      <c r="U55" s="26"/>
      <c r="V55" s="26"/>
      <c r="W55" s="27">
        <v>53</v>
      </c>
      <c r="X55" s="28"/>
    </row>
    <row r="56" ht="31" spans="1:32">
      <c r="A56" s="16" t="s">
        <v>4174</v>
      </c>
      <c r="B56" s="17" t="s">
        <v>4175</v>
      </c>
      <c r="C56" s="30" t="s">
        <v>2716</v>
      </c>
      <c r="D56" s="19" t="e">
        <f>VLOOKUP(C56,#REF!,2,0)</f>
        <v>#REF!</v>
      </c>
      <c r="E56" s="20" t="e">
        <f>VLOOKUP(D56,数据集标准分类!E:F,2,0)</f>
        <v>#REF!</v>
      </c>
      <c r="F56" s="21">
        <v>2</v>
      </c>
      <c r="G56" s="22" t="s">
        <v>2711</v>
      </c>
      <c r="H56" s="22" t="s">
        <v>5618</v>
      </c>
      <c r="I56" s="22" t="s">
        <v>5619</v>
      </c>
      <c r="J56" s="22" t="s">
        <v>2712</v>
      </c>
      <c r="K56" s="22" t="s">
        <v>2714</v>
      </c>
      <c r="L56" s="22" t="s">
        <v>2715</v>
      </c>
      <c r="M56" s="16" t="s">
        <v>5593</v>
      </c>
      <c r="N56" s="16" t="s">
        <v>5593</v>
      </c>
      <c r="O56" s="23">
        <v>26</v>
      </c>
      <c r="P56" s="24" t="e">
        <f>VLOOKUP(I56,#REF!,2,0)</f>
        <v>#REF!</v>
      </c>
      <c r="Q56" s="25"/>
      <c r="R56" s="24"/>
      <c r="S56" s="26"/>
      <c r="T56" s="24"/>
      <c r="U56" s="26"/>
      <c r="V56" s="26"/>
      <c r="W56" s="27">
        <v>54</v>
      </c>
      <c r="X56" s="28"/>
    </row>
    <row r="57" ht="46" spans="1:32">
      <c r="A57" s="16" t="s">
        <v>4174</v>
      </c>
      <c r="B57" s="17" t="s">
        <v>4175</v>
      </c>
      <c r="C57" s="30" t="s">
        <v>2716</v>
      </c>
      <c r="D57" s="19" t="e">
        <f>VLOOKUP(C57,#REF!,2,0)</f>
        <v>#REF!</v>
      </c>
      <c r="E57" s="20" t="e">
        <f>VLOOKUP(D57,数据集标准分类!E:F,2,0)</f>
        <v>#REF!</v>
      </c>
      <c r="F57" s="21">
        <v>2</v>
      </c>
      <c r="G57" s="22" t="s">
        <v>2722</v>
      </c>
      <c r="H57" s="22" t="s">
        <v>5623</v>
      </c>
      <c r="I57" s="22" t="s">
        <v>2725</v>
      </c>
      <c r="J57" s="22" t="s">
        <v>2723</v>
      </c>
      <c r="K57" s="22" t="s">
        <v>2725</v>
      </c>
      <c r="L57" s="22" t="s">
        <v>2726</v>
      </c>
      <c r="M57" s="16" t="s">
        <v>5593</v>
      </c>
      <c r="N57" s="16" t="s">
        <v>5595</v>
      </c>
      <c r="O57" s="23">
        <v>27</v>
      </c>
      <c r="P57" s="24" t="e">
        <f>VLOOKUP(I57,#REF!,2,0)</f>
        <v>#REF!</v>
      </c>
      <c r="Q57" s="25"/>
      <c r="R57" s="24"/>
      <c r="S57" s="26"/>
      <c r="T57" s="24"/>
      <c r="U57" s="26"/>
      <c r="V57" s="26"/>
      <c r="W57" s="27">
        <v>55</v>
      </c>
      <c r="X57" s="28"/>
    </row>
    <row r="58" ht="31" spans="1:32">
      <c r="A58" s="16" t="s">
        <v>4174</v>
      </c>
      <c r="B58" s="17" t="s">
        <v>4175</v>
      </c>
      <c r="C58" s="30" t="s">
        <v>2716</v>
      </c>
      <c r="D58" s="19" t="e">
        <f>VLOOKUP(C58,#REF!,2,0)</f>
        <v>#REF!</v>
      </c>
      <c r="E58" s="20" t="e">
        <f>VLOOKUP(D58,数据集标准分类!E:F,2,0)</f>
        <v>#REF!</v>
      </c>
      <c r="F58" s="21">
        <v>2</v>
      </c>
      <c r="G58" s="22" t="s">
        <v>1277</v>
      </c>
      <c r="H58" s="22" t="s">
        <v>5624</v>
      </c>
      <c r="I58" s="22" t="s">
        <v>5625</v>
      </c>
      <c r="J58" s="22" t="s">
        <v>1278</v>
      </c>
      <c r="K58" s="22" t="s">
        <v>1280</v>
      </c>
      <c r="L58" s="22" t="s">
        <v>1281</v>
      </c>
      <c r="M58" s="16" t="s">
        <v>5593</v>
      </c>
      <c r="N58" s="16" t="s">
        <v>5593</v>
      </c>
      <c r="O58" s="23">
        <v>28</v>
      </c>
      <c r="P58" s="24" t="e">
        <f>VLOOKUP(I58,#REF!,2,0)</f>
        <v>#REF!</v>
      </c>
      <c r="Q58" s="25"/>
      <c r="R58" s="24"/>
      <c r="S58" s="26"/>
      <c r="T58" s="24"/>
      <c r="U58" s="26"/>
      <c r="V58" s="26"/>
      <c r="W58" s="27">
        <v>56</v>
      </c>
      <c r="X58" s="28"/>
    </row>
    <row r="59" ht="31" spans="1:32">
      <c r="A59" s="16" t="s">
        <v>4174</v>
      </c>
      <c r="B59" s="17" t="s">
        <v>4175</v>
      </c>
      <c r="C59" s="30" t="s">
        <v>2716</v>
      </c>
      <c r="D59" s="19" t="e">
        <f>VLOOKUP(C59,#REF!,2,0)</f>
        <v>#REF!</v>
      </c>
      <c r="E59" s="20" t="e">
        <f>VLOOKUP(D59,数据集标准分类!E:F,2,0)</f>
        <v>#REF!</v>
      </c>
      <c r="F59" s="21">
        <v>2</v>
      </c>
      <c r="G59" s="49" t="s">
        <v>1282</v>
      </c>
      <c r="H59" s="49" t="s">
        <v>5626</v>
      </c>
      <c r="I59" s="49" t="s">
        <v>5627</v>
      </c>
      <c r="J59" s="22" t="s">
        <v>1283</v>
      </c>
      <c r="K59" s="22" t="s">
        <v>1285</v>
      </c>
      <c r="L59" s="22" t="s">
        <v>1286</v>
      </c>
      <c r="M59" s="16" t="s">
        <v>5593</v>
      </c>
      <c r="N59" s="16" t="s">
        <v>5593</v>
      </c>
      <c r="O59" s="23">
        <v>29</v>
      </c>
      <c r="P59" s="24" t="e">
        <f>VLOOKUP(I59,#REF!,2,0)</f>
        <v>#REF!</v>
      </c>
      <c r="Q59" s="25"/>
      <c r="R59" s="24"/>
      <c r="S59" s="26"/>
      <c r="T59" s="24"/>
      <c r="U59" s="26"/>
      <c r="V59" s="26"/>
      <c r="W59" s="27">
        <v>57</v>
      </c>
      <c r="X59" s="28"/>
    </row>
    <row r="60" spans="1:32">
      <c r="A60" s="16" t="s">
        <v>4174</v>
      </c>
      <c r="B60" s="17" t="s">
        <v>4175</v>
      </c>
      <c r="C60" s="30" t="s">
        <v>2716</v>
      </c>
      <c r="D60" s="19" t="e">
        <f>VLOOKUP(C60,#REF!,2,0)</f>
        <v>#REF!</v>
      </c>
      <c r="E60" s="20" t="e">
        <f>VLOOKUP(D60,数据集标准分类!E:F,2,0)</f>
        <v>#REF!</v>
      </c>
      <c r="F60" s="21">
        <v>2</v>
      </c>
      <c r="G60" s="22" t="s">
        <v>2727</v>
      </c>
      <c r="H60" s="22" t="s">
        <v>2728</v>
      </c>
      <c r="I60" s="22" t="s">
        <v>2730</v>
      </c>
      <c r="J60" s="22" t="s">
        <v>2728</v>
      </c>
      <c r="K60" s="22" t="s">
        <v>2730</v>
      </c>
      <c r="L60" s="22" t="s">
        <v>2731</v>
      </c>
      <c r="M60" s="16" t="s">
        <v>5595</v>
      </c>
      <c r="N60" s="16" t="s">
        <v>5595</v>
      </c>
      <c r="O60" s="23">
        <v>30</v>
      </c>
      <c r="P60" s="24" t="e">
        <f>VLOOKUP(I60,#REF!,2,0)</f>
        <v>#REF!</v>
      </c>
      <c r="Q60" s="25"/>
      <c r="R60" s="24"/>
      <c r="S60" s="26"/>
      <c r="T60" s="24"/>
      <c r="U60" s="26"/>
      <c r="V60" s="26"/>
      <c r="W60" s="27">
        <v>58</v>
      </c>
      <c r="X60" s="28"/>
    </row>
    <row r="61" spans="1:32">
      <c r="A61" s="31" t="s">
        <v>4174</v>
      </c>
      <c r="B61" s="32" t="s">
        <v>4175</v>
      </c>
      <c r="C61" s="33" t="s">
        <v>2716</v>
      </c>
      <c r="D61" s="34" t="e">
        <f>VLOOKUP(C61,#REF!,2,0)</f>
        <v>#REF!</v>
      </c>
      <c r="E61" s="35" t="e">
        <f>VLOOKUP(D61,数据集标准分类!E:F,2,0)</f>
        <v>#REF!</v>
      </c>
      <c r="F61" s="36">
        <v>2</v>
      </c>
      <c r="G61" s="37" t="s">
        <v>396</v>
      </c>
      <c r="H61" s="37" t="s">
        <v>5628</v>
      </c>
      <c r="I61" s="37" t="s">
        <v>5629</v>
      </c>
      <c r="J61" s="37" t="s">
        <v>397</v>
      </c>
      <c r="K61" s="37" t="s">
        <v>399</v>
      </c>
      <c r="L61" s="37" t="s">
        <v>1260</v>
      </c>
      <c r="M61" s="31" t="s">
        <v>5593</v>
      </c>
      <c r="N61" s="31" t="s">
        <v>5593</v>
      </c>
      <c r="O61" s="38">
        <v>31</v>
      </c>
      <c r="P61" s="39" t="e">
        <f>VLOOKUP(I61,#REF!,2,0)</f>
        <v>#REF!</v>
      </c>
      <c r="Q61" s="40"/>
      <c r="R61" s="39"/>
      <c r="S61" s="41"/>
      <c r="T61" s="39"/>
      <c r="U61" s="41"/>
      <c r="V61" s="41"/>
      <c r="W61" s="42">
        <v>59</v>
      </c>
      <c r="X61" s="43"/>
      <c r="Y61" s="44"/>
      <c r="Z61" s="44"/>
      <c r="AA61" s="44"/>
      <c r="AB61" s="44"/>
      <c r="AC61" s="44"/>
      <c r="AD61" s="44"/>
      <c r="AE61" s="44"/>
      <c r="AF61" s="44"/>
    </row>
    <row r="62" ht="46" spans="1:32">
      <c r="A62" s="31" t="s">
        <v>4174</v>
      </c>
      <c r="B62" s="32" t="s">
        <v>4175</v>
      </c>
      <c r="C62" s="33" t="s">
        <v>2716</v>
      </c>
      <c r="D62" s="34" t="e">
        <f>VLOOKUP(C62,#REF!,2,0)</f>
        <v>#REF!</v>
      </c>
      <c r="E62" s="35" t="e">
        <f>VLOOKUP(D62,数据集标准分类!E:F,2,0)</f>
        <v>#REF!</v>
      </c>
      <c r="F62" s="36">
        <v>2</v>
      </c>
      <c r="G62" s="37" t="s">
        <v>192</v>
      </c>
      <c r="H62" s="37" t="s">
        <v>5630</v>
      </c>
      <c r="I62" s="37" t="s">
        <v>5631</v>
      </c>
      <c r="J62" s="37" t="s">
        <v>193</v>
      </c>
      <c r="K62" s="37" t="s">
        <v>195</v>
      </c>
      <c r="L62" s="37" t="s">
        <v>385</v>
      </c>
      <c r="M62" s="31" t="s">
        <v>5593</v>
      </c>
      <c r="N62" s="31" t="s">
        <v>5593</v>
      </c>
      <c r="O62" s="38">
        <v>32</v>
      </c>
      <c r="P62" s="39" t="e">
        <f>VLOOKUP(I62,#REF!,2,0)</f>
        <v>#REF!</v>
      </c>
      <c r="Q62" s="40"/>
      <c r="R62" s="39"/>
      <c r="S62" s="41"/>
      <c r="T62" s="39"/>
      <c r="U62" s="41"/>
      <c r="V62" s="41"/>
      <c r="W62" s="42">
        <v>60</v>
      </c>
      <c r="X62" s="43"/>
      <c r="Y62" s="44"/>
      <c r="Z62" s="44"/>
      <c r="AA62" s="44"/>
      <c r="AB62" s="44"/>
      <c r="AC62" s="44"/>
      <c r="AD62" s="44"/>
      <c r="AE62" s="44"/>
      <c r="AF62" s="44"/>
    </row>
    <row r="63" ht="31" spans="1:32">
      <c r="A63" s="50" t="s">
        <v>4174</v>
      </c>
      <c r="B63" s="51" t="s">
        <v>4175</v>
      </c>
      <c r="C63" s="52" t="s">
        <v>2716</v>
      </c>
      <c r="D63" s="53" t="e">
        <f>VLOOKUP(C63,#REF!,2,0)</f>
        <v>#REF!</v>
      </c>
      <c r="E63" s="20" t="e">
        <f>VLOOKUP(D63,数据集标准分类!E:F,2,0)</f>
        <v>#REF!</v>
      </c>
      <c r="F63" s="54">
        <v>2</v>
      </c>
      <c r="G63" s="55" t="s">
        <v>1261</v>
      </c>
      <c r="H63" s="55" t="s">
        <v>5632</v>
      </c>
      <c r="I63" s="55" t="s">
        <v>1264</v>
      </c>
      <c r="J63" s="55" t="s">
        <v>1262</v>
      </c>
      <c r="K63" s="55" t="s">
        <v>1264</v>
      </c>
      <c r="L63" s="55" t="s">
        <v>1265</v>
      </c>
      <c r="M63" s="50" t="s">
        <v>5593</v>
      </c>
      <c r="N63" s="50" t="s">
        <v>5595</v>
      </c>
      <c r="O63" s="56">
        <v>33</v>
      </c>
      <c r="P63" s="57" t="e">
        <f>VLOOKUP(I63,#REF!,2,0)</f>
        <v>#REF!</v>
      </c>
      <c r="Q63" s="58"/>
      <c r="R63" s="57"/>
      <c r="S63" s="59"/>
      <c r="T63" s="57"/>
      <c r="U63" s="59"/>
      <c r="V63" s="59" t="s">
        <v>5593</v>
      </c>
      <c r="W63" s="60">
        <v>61</v>
      </c>
      <c r="X63" s="61"/>
      <c r="Y63" s="62"/>
      <c r="Z63" s="62"/>
      <c r="AA63" s="62"/>
      <c r="AB63" s="62"/>
      <c r="AC63" s="62"/>
      <c r="AD63" s="62"/>
      <c r="AE63" s="62"/>
      <c r="AF63" s="62"/>
    </row>
    <row r="64" ht="31" spans="1:32">
      <c r="A64" s="50" t="s">
        <v>4174</v>
      </c>
      <c r="B64" s="51" t="s">
        <v>4175</v>
      </c>
      <c r="C64" s="52" t="s">
        <v>2716</v>
      </c>
      <c r="D64" s="53" t="e">
        <f>VLOOKUP(C64,#REF!,2,0)</f>
        <v>#REF!</v>
      </c>
      <c r="E64" s="20" t="e">
        <f>VLOOKUP(D64,数据集标准分类!E:F,2,0)</f>
        <v>#REF!</v>
      </c>
      <c r="F64" s="54">
        <v>2</v>
      </c>
      <c r="G64" s="55" t="s">
        <v>1266</v>
      </c>
      <c r="H64" s="55" t="s">
        <v>5633</v>
      </c>
      <c r="I64" s="55" t="s">
        <v>1269</v>
      </c>
      <c r="J64" s="55" t="s">
        <v>1267</v>
      </c>
      <c r="K64" s="55" t="s">
        <v>1269</v>
      </c>
      <c r="L64" s="55" t="s">
        <v>1270</v>
      </c>
      <c r="M64" s="50" t="s">
        <v>5593</v>
      </c>
      <c r="N64" s="50" t="s">
        <v>5595</v>
      </c>
      <c r="O64" s="56">
        <v>34</v>
      </c>
      <c r="P64" s="57" t="e">
        <f>VLOOKUP(I64,#REF!,2,0)</f>
        <v>#REF!</v>
      </c>
      <c r="Q64" s="58"/>
      <c r="R64" s="57"/>
      <c r="S64" s="59"/>
      <c r="T64" s="57"/>
      <c r="U64" s="59"/>
      <c r="V64" s="59" t="s">
        <v>5593</v>
      </c>
      <c r="W64" s="60">
        <v>62</v>
      </c>
      <c r="X64" s="61"/>
      <c r="Y64" s="62"/>
      <c r="Z64" s="62"/>
      <c r="AA64" s="62"/>
      <c r="AB64" s="62"/>
      <c r="AC64" s="62"/>
      <c r="AD64" s="62"/>
      <c r="AE64" s="62"/>
      <c r="AF64" s="62"/>
    </row>
    <row r="65" spans="1:32">
      <c r="A65" s="50" t="s">
        <v>4174</v>
      </c>
      <c r="B65" s="51" t="s">
        <v>4175</v>
      </c>
      <c r="C65" s="52" t="s">
        <v>2716</v>
      </c>
      <c r="D65" s="53" t="e">
        <f>VLOOKUP(C65,#REF!,2,0)</f>
        <v>#REF!</v>
      </c>
      <c r="E65" s="20" t="e">
        <f>VLOOKUP(D65,数据集标准分类!E:F,2,0)</f>
        <v>#REF!</v>
      </c>
      <c r="F65" s="54">
        <v>2</v>
      </c>
      <c r="G65" s="55" t="s">
        <v>216</v>
      </c>
      <c r="H65" s="55" t="s">
        <v>5634</v>
      </c>
      <c r="I65" s="55" t="s">
        <v>219</v>
      </c>
      <c r="J65" s="55" t="s">
        <v>217</v>
      </c>
      <c r="K65" s="55" t="s">
        <v>219</v>
      </c>
      <c r="L65" s="55" t="s">
        <v>1271</v>
      </c>
      <c r="M65" s="50" t="s">
        <v>5593</v>
      </c>
      <c r="N65" s="50" t="s">
        <v>5595</v>
      </c>
      <c r="O65" s="56">
        <v>35</v>
      </c>
      <c r="P65" s="57" t="e">
        <f>VLOOKUP(I65,#REF!,2,0)</f>
        <v>#REF!</v>
      </c>
      <c r="Q65" s="58"/>
      <c r="R65" s="57"/>
      <c r="S65" s="59"/>
      <c r="T65" s="57"/>
      <c r="U65" s="59"/>
      <c r="V65" s="59" t="s">
        <v>5593</v>
      </c>
      <c r="W65" s="60">
        <v>63</v>
      </c>
      <c r="X65" s="61"/>
      <c r="Y65" s="62"/>
      <c r="Z65" s="62"/>
      <c r="AA65" s="62"/>
      <c r="AB65" s="62"/>
      <c r="AC65" s="62"/>
      <c r="AD65" s="62"/>
      <c r="AE65" s="62"/>
      <c r="AF65" s="62"/>
    </row>
    <row r="66" spans="1:32">
      <c r="A66" s="31" t="s">
        <v>4174</v>
      </c>
      <c r="B66" s="32" t="s">
        <v>4175</v>
      </c>
      <c r="C66" s="33" t="s">
        <v>2716</v>
      </c>
      <c r="D66" s="34" t="e">
        <f>VLOOKUP(C66,#REF!,2,0)</f>
        <v>#REF!</v>
      </c>
      <c r="E66" s="35" t="e">
        <f>VLOOKUP(D66,数据集标准分类!E:F,2,0)</f>
        <v>#REF!</v>
      </c>
      <c r="F66" s="36">
        <v>2</v>
      </c>
      <c r="G66" s="37" t="s">
        <v>1272</v>
      </c>
      <c r="H66" s="37" t="s">
        <v>5635</v>
      </c>
      <c r="I66" s="37" t="s">
        <v>1275</v>
      </c>
      <c r="J66" s="37" t="s">
        <v>1273</v>
      </c>
      <c r="K66" s="37" t="s">
        <v>1275</v>
      </c>
      <c r="L66" s="37" t="s">
        <v>2732</v>
      </c>
      <c r="M66" s="31" t="s">
        <v>5593</v>
      </c>
      <c r="N66" s="31" t="s">
        <v>5595</v>
      </c>
      <c r="O66" s="38">
        <v>36</v>
      </c>
      <c r="P66" s="39" t="e">
        <f>VLOOKUP(I66,#REF!,2,0)</f>
        <v>#REF!</v>
      </c>
      <c r="Q66" s="40"/>
      <c r="R66" s="39"/>
      <c r="S66" s="41"/>
      <c r="T66" s="39"/>
      <c r="U66" s="41"/>
      <c r="V66" s="41"/>
      <c r="W66" s="42">
        <v>64</v>
      </c>
      <c r="X66" s="43"/>
      <c r="Y66" s="44"/>
      <c r="Z66" s="44"/>
      <c r="AA66" s="44"/>
      <c r="AB66" s="44"/>
      <c r="AC66" s="44"/>
      <c r="AD66" s="44"/>
      <c r="AE66" s="44"/>
      <c r="AF66" s="44"/>
    </row>
    <row r="67" ht="31" spans="1:32">
      <c r="A67" s="16" t="s">
        <v>4174</v>
      </c>
      <c r="B67" s="17" t="s">
        <v>4175</v>
      </c>
      <c r="C67" s="30" t="s">
        <v>2716</v>
      </c>
      <c r="D67" s="19" t="e">
        <f>VLOOKUP(C67,#REF!,2,0)</f>
        <v>#REF!</v>
      </c>
      <c r="E67" s="20" t="e">
        <f>VLOOKUP(D67,数据集标准分类!E:F,2,0)</f>
        <v>#REF!</v>
      </c>
      <c r="F67" s="21">
        <v>2</v>
      </c>
      <c r="G67" s="22" t="s">
        <v>1394</v>
      </c>
      <c r="H67" s="22" t="s">
        <v>5636</v>
      </c>
      <c r="I67" s="22" t="s">
        <v>5637</v>
      </c>
      <c r="J67" s="22" t="s">
        <v>1395</v>
      </c>
      <c r="K67" s="22" t="s">
        <v>1397</v>
      </c>
      <c r="L67" s="22" t="s">
        <v>1106</v>
      </c>
      <c r="M67" s="16" t="s">
        <v>5593</v>
      </c>
      <c r="N67" s="16" t="s">
        <v>5593</v>
      </c>
      <c r="O67" s="23">
        <v>37</v>
      </c>
      <c r="P67" s="24" t="e">
        <f>VLOOKUP(I67,#REF!,2,0)</f>
        <v>#REF!</v>
      </c>
      <c r="Q67" s="25"/>
      <c r="R67" s="24"/>
      <c r="S67" s="26"/>
      <c r="T67" s="24"/>
      <c r="U67" s="26"/>
      <c r="V67" s="26"/>
      <c r="W67" s="27">
        <v>65</v>
      </c>
      <c r="X67" s="28"/>
    </row>
    <row r="68" ht="24" customHeight="1" spans="1:32">
      <c r="A68" s="16" t="s">
        <v>4174</v>
      </c>
      <c r="B68" s="17" t="s">
        <v>4175</v>
      </c>
      <c r="C68" s="30" t="s">
        <v>2716</v>
      </c>
      <c r="D68" s="19" t="e">
        <f>VLOOKUP(C68,#REF!,2,0)</f>
        <v>#REF!</v>
      </c>
      <c r="E68" s="20" t="e">
        <f>VLOOKUP(D68,数据集标准分类!E:F,2,0)</f>
        <v>#REF!</v>
      </c>
      <c r="F68" s="21">
        <v>2</v>
      </c>
      <c r="G68" s="22" t="s">
        <v>1192</v>
      </c>
      <c r="H68" s="22" t="s">
        <v>5638</v>
      </c>
      <c r="I68" s="22" t="s">
        <v>1195</v>
      </c>
      <c r="J68" s="22" t="s">
        <v>1193</v>
      </c>
      <c r="K68" s="22" t="s">
        <v>1195</v>
      </c>
      <c r="L68" s="22" t="s">
        <v>1196</v>
      </c>
      <c r="M68" s="16" t="s">
        <v>5593</v>
      </c>
      <c r="N68" s="16" t="s">
        <v>5595</v>
      </c>
      <c r="O68" s="23">
        <v>38</v>
      </c>
      <c r="P68" s="24" t="e">
        <f>VLOOKUP(I68,#REF!,2,0)</f>
        <v>#REF!</v>
      </c>
      <c r="Q68" s="25"/>
      <c r="R68" s="24"/>
      <c r="S68" s="26"/>
      <c r="T68" s="24"/>
      <c r="U68" s="26"/>
      <c r="V68" s="26"/>
      <c r="W68" s="27">
        <v>66</v>
      </c>
      <c r="X68" s="28"/>
    </row>
    <row r="69" ht="61" spans="1:32">
      <c r="A69" s="16" t="s">
        <v>4174</v>
      </c>
      <c r="B69" s="17" t="s">
        <v>4175</v>
      </c>
      <c r="C69" s="30" t="s">
        <v>2716</v>
      </c>
      <c r="D69" s="19" t="e">
        <f>VLOOKUP(C69,#REF!,2,0)</f>
        <v>#REF!</v>
      </c>
      <c r="E69" s="20" t="e">
        <f>VLOOKUP(D69,数据集标准分类!E:F,2,0)</f>
        <v>#REF!</v>
      </c>
      <c r="F69" s="21">
        <v>2</v>
      </c>
      <c r="G69" s="22" t="s">
        <v>2106</v>
      </c>
      <c r="H69" s="22" t="s">
        <v>2107</v>
      </c>
      <c r="I69" s="22" t="s">
        <v>2109</v>
      </c>
      <c r="J69" s="22" t="s">
        <v>2107</v>
      </c>
      <c r="K69" s="22" t="s">
        <v>2109</v>
      </c>
      <c r="L69" s="22" t="s">
        <v>2733</v>
      </c>
      <c r="M69" s="16" t="s">
        <v>5595</v>
      </c>
      <c r="N69" s="16" t="s">
        <v>5595</v>
      </c>
      <c r="O69" s="23">
        <v>39</v>
      </c>
      <c r="P69" s="24" t="e">
        <f>VLOOKUP(I69,#REF!,2,0)</f>
        <v>#REF!</v>
      </c>
      <c r="Q69" s="25"/>
      <c r="R69" s="24"/>
      <c r="S69" s="26"/>
      <c r="T69" s="24"/>
      <c r="U69" s="26"/>
      <c r="V69" s="26"/>
      <c r="W69" s="27">
        <v>67</v>
      </c>
      <c r="X69" s="28"/>
    </row>
    <row r="70" ht="31" spans="1:32">
      <c r="A70" s="16" t="s">
        <v>4174</v>
      </c>
      <c r="B70" s="17" t="s">
        <v>4175</v>
      </c>
      <c r="C70" s="30" t="s">
        <v>2625</v>
      </c>
      <c r="D70" s="19" t="e">
        <f>VLOOKUP(C70,#REF!,2,0)</f>
        <v>#REF!</v>
      </c>
      <c r="E70" s="20" t="e">
        <f>VLOOKUP(D70,数据集标准分类!E:F,2,0)</f>
        <v>#REF!</v>
      </c>
      <c r="F70" s="21">
        <v>7</v>
      </c>
      <c r="G70" s="22" t="s">
        <v>711</v>
      </c>
      <c r="H70" s="22" t="s">
        <v>712</v>
      </c>
      <c r="I70" s="22" t="s">
        <v>713</v>
      </c>
      <c r="J70" s="22" t="s">
        <v>712</v>
      </c>
      <c r="K70" s="22" t="s">
        <v>713</v>
      </c>
      <c r="L70" s="22" t="s">
        <v>714</v>
      </c>
      <c r="M70" s="16" t="s">
        <v>5595</v>
      </c>
      <c r="N70" s="16" t="s">
        <v>5595</v>
      </c>
      <c r="O70" s="23">
        <v>1</v>
      </c>
      <c r="P70" s="24" t="e">
        <f>VLOOKUP(I70,#REF!,2,0)</f>
        <v>#REF!</v>
      </c>
      <c r="Q70" s="25"/>
      <c r="R70" s="24"/>
      <c r="S70" s="26"/>
      <c r="T70" s="24"/>
      <c r="U70" s="26"/>
      <c r="V70" s="26"/>
      <c r="W70" s="27">
        <v>68</v>
      </c>
      <c r="X70" s="28"/>
    </row>
    <row r="71" ht="31" spans="1:32">
      <c r="A71" s="16" t="s">
        <v>4174</v>
      </c>
      <c r="B71" s="17" t="s">
        <v>4175</v>
      </c>
      <c r="C71" s="30" t="s">
        <v>2625</v>
      </c>
      <c r="D71" s="19" t="e">
        <f>VLOOKUP(C71,#REF!,2,0)</f>
        <v>#REF!</v>
      </c>
      <c r="E71" s="20" t="e">
        <f>VLOOKUP(D71,数据集标准分类!E:F,2,0)</f>
        <v>#REF!</v>
      </c>
      <c r="F71" s="21">
        <v>7</v>
      </c>
      <c r="G71" s="22" t="s">
        <v>172</v>
      </c>
      <c r="H71" s="22" t="s">
        <v>5639</v>
      </c>
      <c r="I71" s="22" t="s">
        <v>5640</v>
      </c>
      <c r="J71" s="22" t="s">
        <v>173</v>
      </c>
      <c r="K71" s="22" t="s">
        <v>175</v>
      </c>
      <c r="L71" s="22" t="s">
        <v>1245</v>
      </c>
      <c r="M71" s="16" t="s">
        <v>5593</v>
      </c>
      <c r="N71" s="16" t="s">
        <v>5593</v>
      </c>
      <c r="O71" s="23">
        <v>2</v>
      </c>
      <c r="P71" s="24" t="e">
        <f>VLOOKUP(I71,#REF!,2,0)</f>
        <v>#REF!</v>
      </c>
      <c r="Q71" s="25"/>
      <c r="R71" s="24"/>
      <c r="S71" s="26"/>
      <c r="T71" s="24"/>
      <c r="U71" s="26"/>
      <c r="V71" s="26"/>
      <c r="W71" s="27">
        <v>69</v>
      </c>
      <c r="X71" s="28"/>
    </row>
    <row r="72" ht="31" spans="1:32">
      <c r="A72" s="16" t="s">
        <v>4174</v>
      </c>
      <c r="B72" s="17" t="s">
        <v>4175</v>
      </c>
      <c r="C72" s="30" t="s">
        <v>2625</v>
      </c>
      <c r="D72" s="19" t="e">
        <f>VLOOKUP(C72,#REF!,2,0)</f>
        <v>#REF!</v>
      </c>
      <c r="E72" s="20" t="e">
        <f>VLOOKUP(D72,数据集标准分类!E:F,2,0)</f>
        <v>#REF!</v>
      </c>
      <c r="F72" s="21">
        <v>7</v>
      </c>
      <c r="G72" s="22" t="s">
        <v>1418</v>
      </c>
      <c r="H72" s="22" t="s">
        <v>1419</v>
      </c>
      <c r="I72" s="22" t="s">
        <v>1421</v>
      </c>
      <c r="J72" s="22" t="s">
        <v>1419</v>
      </c>
      <c r="K72" s="22" t="s">
        <v>1421</v>
      </c>
      <c r="L72" s="22" t="s">
        <v>2626</v>
      </c>
      <c r="M72" s="16" t="s">
        <v>5595</v>
      </c>
      <c r="N72" s="16" t="s">
        <v>5595</v>
      </c>
      <c r="O72" s="23">
        <v>3</v>
      </c>
      <c r="P72" s="24" t="e">
        <f>VLOOKUP(I72,#REF!,2,0)</f>
        <v>#REF!</v>
      </c>
      <c r="Q72" s="25"/>
      <c r="R72" s="24"/>
      <c r="S72" s="26"/>
      <c r="T72" s="24"/>
      <c r="U72" s="26"/>
      <c r="V72" s="26"/>
      <c r="W72" s="27">
        <v>70</v>
      </c>
      <c r="X72" s="28"/>
    </row>
    <row r="73" ht="31" spans="1:32">
      <c r="A73" s="16" t="s">
        <v>4174</v>
      </c>
      <c r="B73" s="17" t="s">
        <v>4175</v>
      </c>
      <c r="C73" s="30" t="s">
        <v>2625</v>
      </c>
      <c r="D73" s="19" t="e">
        <f>VLOOKUP(C73,#REF!,2,0)</f>
        <v>#REF!</v>
      </c>
      <c r="E73" s="20" t="e">
        <f>VLOOKUP(D73,数据集标准分类!E:F,2,0)</f>
        <v>#REF!</v>
      </c>
      <c r="F73" s="21">
        <v>7</v>
      </c>
      <c r="G73" s="22" t="s">
        <v>2627</v>
      </c>
      <c r="H73" s="22" t="s">
        <v>5641</v>
      </c>
      <c r="I73" s="22" t="s">
        <v>5642</v>
      </c>
      <c r="J73" s="22" t="s">
        <v>2628</v>
      </c>
      <c r="K73" s="22" t="s">
        <v>2630</v>
      </c>
      <c r="L73" s="22" t="s">
        <v>2631</v>
      </c>
      <c r="M73" s="16" t="s">
        <v>5593</v>
      </c>
      <c r="N73" s="16" t="s">
        <v>5593</v>
      </c>
      <c r="O73" s="23">
        <v>4</v>
      </c>
      <c r="P73" s="24" t="e">
        <f>VLOOKUP(I73,#REF!,2,0)</f>
        <v>#REF!</v>
      </c>
      <c r="Q73" s="25"/>
      <c r="R73" s="24"/>
      <c r="S73" s="26"/>
      <c r="T73" s="24"/>
      <c r="U73" s="26"/>
      <c r="V73" s="26"/>
      <c r="W73" s="27">
        <v>71</v>
      </c>
      <c r="X73" s="28"/>
    </row>
    <row r="74" ht="31" spans="1:32">
      <c r="A74" s="16" t="s">
        <v>4174</v>
      </c>
      <c r="B74" s="17" t="s">
        <v>4175</v>
      </c>
      <c r="C74" s="30" t="s">
        <v>2625</v>
      </c>
      <c r="D74" s="19" t="e">
        <f>VLOOKUP(C74,#REF!,2,0)</f>
        <v>#REF!</v>
      </c>
      <c r="E74" s="20" t="e">
        <f>VLOOKUP(D74,数据集标准分类!E:F,2,0)</f>
        <v>#REF!</v>
      </c>
      <c r="F74" s="21">
        <v>7</v>
      </c>
      <c r="G74" s="22" t="s">
        <v>192</v>
      </c>
      <c r="H74" s="22" t="s">
        <v>5630</v>
      </c>
      <c r="I74" s="22" t="s">
        <v>5631</v>
      </c>
      <c r="J74" s="22" t="s">
        <v>193</v>
      </c>
      <c r="K74" s="22" t="s">
        <v>195</v>
      </c>
      <c r="L74" s="22" t="s">
        <v>2543</v>
      </c>
      <c r="M74" s="16" t="s">
        <v>5593</v>
      </c>
      <c r="N74" s="16" t="s">
        <v>5593</v>
      </c>
      <c r="O74" s="23">
        <v>5</v>
      </c>
      <c r="P74" s="24" t="e">
        <f>VLOOKUP(I74,#REF!,2,0)</f>
        <v>#REF!</v>
      </c>
      <c r="Q74" s="25"/>
      <c r="R74" s="24"/>
      <c r="S74" s="26"/>
      <c r="T74" s="24"/>
      <c r="U74" s="26"/>
      <c r="V74" s="26"/>
      <c r="W74" s="27">
        <v>72</v>
      </c>
      <c r="X74" s="28"/>
    </row>
    <row r="75" spans="1:32">
      <c r="A75" s="16" t="s">
        <v>4174</v>
      </c>
      <c r="B75" s="17" t="s">
        <v>4175</v>
      </c>
      <c r="C75" s="30" t="s">
        <v>2625</v>
      </c>
      <c r="D75" s="19" t="e">
        <f>VLOOKUP(C75,#REF!,2,0)</f>
        <v>#REF!</v>
      </c>
      <c r="E75" s="20" t="e">
        <f>VLOOKUP(D75,数据集标准分类!E:F,2,0)</f>
        <v>#REF!</v>
      </c>
      <c r="F75" s="21">
        <v>7</v>
      </c>
      <c r="G75" s="22" t="s">
        <v>396</v>
      </c>
      <c r="H75" s="22" t="s">
        <v>5628</v>
      </c>
      <c r="I75" s="22" t="s">
        <v>5629</v>
      </c>
      <c r="J75" s="22" t="s">
        <v>397</v>
      </c>
      <c r="K75" s="22" t="s">
        <v>399</v>
      </c>
      <c r="L75" s="22" t="s">
        <v>1260</v>
      </c>
      <c r="M75" s="16" t="s">
        <v>5593</v>
      </c>
      <c r="N75" s="16" t="s">
        <v>5593</v>
      </c>
      <c r="O75" s="23">
        <v>6</v>
      </c>
      <c r="P75" s="24" t="e">
        <f>VLOOKUP(I75,#REF!,2,0)</f>
        <v>#REF!</v>
      </c>
      <c r="Q75" s="25"/>
      <c r="R75" s="24"/>
      <c r="S75" s="26"/>
      <c r="T75" s="24"/>
      <c r="U75" s="26"/>
      <c r="V75" s="26"/>
      <c r="W75" s="27">
        <v>73</v>
      </c>
      <c r="X75" s="28"/>
    </row>
    <row r="76" spans="1:32">
      <c r="A76" s="16" t="s">
        <v>4174</v>
      </c>
      <c r="B76" s="17" t="s">
        <v>4175</v>
      </c>
      <c r="C76" s="30" t="s">
        <v>2625</v>
      </c>
      <c r="D76" s="19" t="e">
        <f>VLOOKUP(C76,#REF!,2,0)</f>
        <v>#REF!</v>
      </c>
      <c r="E76" s="20" t="e">
        <f>VLOOKUP(D76,数据集标准分类!E:F,2,0)</f>
        <v>#REF!</v>
      </c>
      <c r="F76" s="21">
        <v>7</v>
      </c>
      <c r="G76" s="22" t="s">
        <v>1261</v>
      </c>
      <c r="H76" s="22" t="s">
        <v>5632</v>
      </c>
      <c r="I76" s="22" t="s">
        <v>1264</v>
      </c>
      <c r="J76" s="22" t="s">
        <v>1262</v>
      </c>
      <c r="K76" s="22" t="s">
        <v>1264</v>
      </c>
      <c r="L76" s="22" t="s">
        <v>2632</v>
      </c>
      <c r="M76" s="16" t="s">
        <v>5593</v>
      </c>
      <c r="N76" s="16" t="s">
        <v>5595</v>
      </c>
      <c r="O76" s="23">
        <v>7</v>
      </c>
      <c r="P76" s="24" t="e">
        <f>VLOOKUP(I76,#REF!,2,0)</f>
        <v>#REF!</v>
      </c>
      <c r="Q76" s="25"/>
      <c r="R76" s="24"/>
      <c r="S76" s="26"/>
      <c r="T76" s="24"/>
      <c r="U76" s="26"/>
      <c r="V76" s="26"/>
      <c r="W76" s="27">
        <v>74</v>
      </c>
      <c r="X76" s="28"/>
    </row>
    <row r="77" ht="31" spans="1:32">
      <c r="A77" s="16" t="s">
        <v>4174</v>
      </c>
      <c r="B77" s="17" t="s">
        <v>4175</v>
      </c>
      <c r="C77" s="30" t="s">
        <v>2625</v>
      </c>
      <c r="D77" s="19" t="e">
        <f>VLOOKUP(C77,#REF!,2,0)</f>
        <v>#REF!</v>
      </c>
      <c r="E77" s="20" t="e">
        <f>VLOOKUP(D77,数据集标准分类!E:F,2,0)</f>
        <v>#REF!</v>
      </c>
      <c r="F77" s="21">
        <v>7</v>
      </c>
      <c r="G77" s="22" t="s">
        <v>1266</v>
      </c>
      <c r="H77" s="22" t="s">
        <v>5633</v>
      </c>
      <c r="I77" s="22" t="s">
        <v>1269</v>
      </c>
      <c r="J77" s="22" t="s">
        <v>1267</v>
      </c>
      <c r="K77" s="22" t="s">
        <v>1269</v>
      </c>
      <c r="L77" s="22" t="s">
        <v>1270</v>
      </c>
      <c r="M77" s="16" t="s">
        <v>5593</v>
      </c>
      <c r="N77" s="16" t="s">
        <v>5595</v>
      </c>
      <c r="O77" s="23">
        <v>8</v>
      </c>
      <c r="P77" s="24" t="e">
        <f>VLOOKUP(I77,#REF!,2,0)</f>
        <v>#REF!</v>
      </c>
      <c r="Q77" s="25"/>
      <c r="R77" s="24"/>
      <c r="S77" s="26"/>
      <c r="T77" s="24"/>
      <c r="U77" s="26"/>
      <c r="V77" s="26"/>
      <c r="W77" s="27">
        <v>75</v>
      </c>
      <c r="X77" s="28"/>
    </row>
    <row r="78" spans="1:32">
      <c r="A78" s="16" t="s">
        <v>4174</v>
      </c>
      <c r="B78" s="17" t="s">
        <v>4175</v>
      </c>
      <c r="C78" s="30" t="s">
        <v>2625</v>
      </c>
      <c r="D78" s="19" t="e">
        <f>VLOOKUP(C78,#REF!,2,0)</f>
        <v>#REF!</v>
      </c>
      <c r="E78" s="20" t="e">
        <f>VLOOKUP(D78,数据集标准分类!E:F,2,0)</f>
        <v>#REF!</v>
      </c>
      <c r="F78" s="21">
        <v>7</v>
      </c>
      <c r="G78" s="22" t="s">
        <v>216</v>
      </c>
      <c r="H78" s="22" t="s">
        <v>5634</v>
      </c>
      <c r="I78" s="22" t="s">
        <v>219</v>
      </c>
      <c r="J78" s="22" t="s">
        <v>217</v>
      </c>
      <c r="K78" s="22" t="s">
        <v>219</v>
      </c>
      <c r="L78" s="22" t="s">
        <v>2549</v>
      </c>
      <c r="M78" s="16" t="s">
        <v>5593</v>
      </c>
      <c r="N78" s="16" t="s">
        <v>5595</v>
      </c>
      <c r="O78" s="23">
        <v>9</v>
      </c>
      <c r="P78" s="24" t="e">
        <f>VLOOKUP(I78,#REF!,2,0)</f>
        <v>#REF!</v>
      </c>
      <c r="Q78" s="25"/>
      <c r="R78" s="24"/>
      <c r="S78" s="26"/>
      <c r="T78" s="24"/>
      <c r="U78" s="26"/>
      <c r="V78" s="26"/>
      <c r="W78" s="27">
        <v>76</v>
      </c>
      <c r="X78" s="28"/>
    </row>
    <row r="79" spans="1:32">
      <c r="A79" s="16" t="s">
        <v>4174</v>
      </c>
      <c r="B79" s="17" t="s">
        <v>4175</v>
      </c>
      <c r="C79" s="30" t="s">
        <v>2625</v>
      </c>
      <c r="D79" s="19" t="e">
        <f>VLOOKUP(C79,#REF!,2,0)</f>
        <v>#REF!</v>
      </c>
      <c r="E79" s="20" t="e">
        <f>VLOOKUP(D79,数据集标准分类!E:F,2,0)</f>
        <v>#REF!</v>
      </c>
      <c r="F79" s="21">
        <v>7</v>
      </c>
      <c r="G79" s="22" t="s">
        <v>1272</v>
      </c>
      <c r="H79" s="22" t="s">
        <v>5635</v>
      </c>
      <c r="I79" s="22" t="s">
        <v>1275</v>
      </c>
      <c r="J79" s="22" t="s">
        <v>1273</v>
      </c>
      <c r="K79" s="22" t="s">
        <v>1275</v>
      </c>
      <c r="L79" s="22" t="s">
        <v>1276</v>
      </c>
      <c r="M79" s="16" t="s">
        <v>5593</v>
      </c>
      <c r="N79" s="16" t="s">
        <v>5595</v>
      </c>
      <c r="O79" s="23">
        <v>10</v>
      </c>
      <c r="P79" s="24" t="e">
        <f>VLOOKUP(I79,#REF!,2,0)</f>
        <v>#REF!</v>
      </c>
      <c r="Q79" s="25"/>
      <c r="R79" s="24"/>
      <c r="S79" s="26"/>
      <c r="T79" s="24"/>
      <c r="U79" s="26"/>
      <c r="V79" s="26"/>
      <c r="W79" s="27">
        <v>77</v>
      </c>
      <c r="X79" s="28"/>
    </row>
    <row r="80" ht="46" spans="1:32">
      <c r="A80" s="16" t="s">
        <v>4174</v>
      </c>
      <c r="B80" s="17" t="s">
        <v>4175</v>
      </c>
      <c r="C80" s="30" t="s">
        <v>2625</v>
      </c>
      <c r="D80" s="19" t="e">
        <f>VLOOKUP(C80,#REF!,2,0)</f>
        <v>#REF!</v>
      </c>
      <c r="E80" s="20" t="e">
        <f>VLOOKUP(D80,数据集标准分类!E:F,2,0)</f>
        <v>#REF!</v>
      </c>
      <c r="F80" s="21">
        <v>7</v>
      </c>
      <c r="G80" s="22" t="s">
        <v>1430</v>
      </c>
      <c r="H80" s="22" t="s">
        <v>5643</v>
      </c>
      <c r="I80" s="22" t="s">
        <v>5644</v>
      </c>
      <c r="J80" s="22" t="s">
        <v>1431</v>
      </c>
      <c r="K80" s="22" t="s">
        <v>1433</v>
      </c>
      <c r="L80" s="22" t="s">
        <v>2550</v>
      </c>
      <c r="M80" s="16" t="s">
        <v>5593</v>
      </c>
      <c r="N80" s="16" t="s">
        <v>5593</v>
      </c>
      <c r="O80" s="23">
        <v>11</v>
      </c>
      <c r="P80" s="24" t="e">
        <f>VLOOKUP(I80,#REF!,2,0)</f>
        <v>#REF!</v>
      </c>
      <c r="Q80" s="25"/>
      <c r="R80" s="24"/>
      <c r="S80" s="26"/>
      <c r="T80" s="24"/>
      <c r="U80" s="26"/>
      <c r="V80" s="26"/>
      <c r="W80" s="27">
        <v>78</v>
      </c>
      <c r="X80" s="28"/>
    </row>
    <row r="81" spans="1:24">
      <c r="A81" s="16" t="s">
        <v>4174</v>
      </c>
      <c r="B81" s="17" t="s">
        <v>4175</v>
      </c>
      <c r="C81" s="30" t="s">
        <v>2625</v>
      </c>
      <c r="D81" s="19" t="e">
        <f>VLOOKUP(C81,#REF!,2,0)</f>
        <v>#REF!</v>
      </c>
      <c r="E81" s="20" t="e">
        <f>VLOOKUP(D81,数据集标准分类!E:F,2,0)</f>
        <v>#REF!</v>
      </c>
      <c r="F81" s="21">
        <v>7</v>
      </c>
      <c r="G81" s="22" t="s">
        <v>197</v>
      </c>
      <c r="H81" s="22" t="s">
        <v>198</v>
      </c>
      <c r="I81" s="22" t="s">
        <v>5645</v>
      </c>
      <c r="J81" s="22" t="s">
        <v>198</v>
      </c>
      <c r="K81" s="22" t="s">
        <v>199</v>
      </c>
      <c r="L81" s="22" t="s">
        <v>2019</v>
      </c>
      <c r="M81" s="16" t="s">
        <v>5595</v>
      </c>
      <c r="N81" s="16" t="s">
        <v>5593</v>
      </c>
      <c r="O81" s="23">
        <v>12</v>
      </c>
      <c r="P81" s="24" t="e">
        <f>VLOOKUP(I81,#REF!,2,0)</f>
        <v>#REF!</v>
      </c>
      <c r="Q81" s="25"/>
      <c r="R81" s="24"/>
      <c r="S81" s="26"/>
      <c r="T81" s="24"/>
      <c r="U81" s="26"/>
      <c r="V81" s="26"/>
      <c r="W81" s="27">
        <v>79</v>
      </c>
      <c r="X81" s="28"/>
    </row>
    <row r="82" ht="31" spans="1:24">
      <c r="A82" s="16" t="s">
        <v>4174</v>
      </c>
      <c r="B82" s="17" t="s">
        <v>4175</v>
      </c>
      <c r="C82" s="30" t="s">
        <v>2625</v>
      </c>
      <c r="D82" s="19" t="e">
        <f>VLOOKUP(C82,#REF!,2,0)</f>
        <v>#REF!</v>
      </c>
      <c r="E82" s="20" t="e">
        <f>VLOOKUP(D82,数据集标准分类!E:F,2,0)</f>
        <v>#REF!</v>
      </c>
      <c r="F82" s="21">
        <v>7</v>
      </c>
      <c r="G82" s="22" t="s">
        <v>201</v>
      </c>
      <c r="H82" s="22" t="s">
        <v>5646</v>
      </c>
      <c r="I82" s="22" t="s">
        <v>5647</v>
      </c>
      <c r="J82" s="22" t="s">
        <v>202</v>
      </c>
      <c r="K82" s="22" t="s">
        <v>204</v>
      </c>
      <c r="L82" s="22" t="s">
        <v>2075</v>
      </c>
      <c r="M82" s="16" t="s">
        <v>5593</v>
      </c>
      <c r="N82" s="16" t="s">
        <v>5593</v>
      </c>
      <c r="O82" s="23">
        <v>13</v>
      </c>
      <c r="P82" s="24" t="e">
        <f>VLOOKUP(I82,#REF!,2,0)</f>
        <v>#REF!</v>
      </c>
      <c r="Q82" s="25"/>
      <c r="R82" s="24"/>
      <c r="S82" s="26"/>
      <c r="T82" s="24"/>
      <c r="U82" s="26"/>
      <c r="V82" s="26"/>
      <c r="W82" s="27">
        <v>80</v>
      </c>
      <c r="X82" s="28"/>
    </row>
    <row r="83" ht="31" spans="1:24">
      <c r="A83" s="16" t="s">
        <v>4174</v>
      </c>
      <c r="B83" s="17" t="s">
        <v>4175</v>
      </c>
      <c r="C83" s="30" t="s">
        <v>2625</v>
      </c>
      <c r="D83" s="19" t="e">
        <f>VLOOKUP(C83,#REF!,2,0)</f>
        <v>#REF!</v>
      </c>
      <c r="E83" s="20" t="e">
        <f>VLOOKUP(D83,数据集标准分类!E:F,2,0)</f>
        <v>#REF!</v>
      </c>
      <c r="F83" s="21">
        <v>7</v>
      </c>
      <c r="G83" s="22" t="s">
        <v>211</v>
      </c>
      <c r="H83" s="22" t="s">
        <v>5648</v>
      </c>
      <c r="I83" s="22" t="s">
        <v>214</v>
      </c>
      <c r="J83" s="22" t="s">
        <v>212</v>
      </c>
      <c r="K83" s="22" t="s">
        <v>214</v>
      </c>
      <c r="L83" s="22" t="s">
        <v>215</v>
      </c>
      <c r="M83" s="16" t="s">
        <v>5593</v>
      </c>
      <c r="N83" s="16" t="s">
        <v>5595</v>
      </c>
      <c r="O83" s="23">
        <v>14</v>
      </c>
      <c r="P83" s="24" t="e">
        <f>VLOOKUP(I83,#REF!,2,0)</f>
        <v>#REF!</v>
      </c>
      <c r="Q83" s="25"/>
      <c r="R83" s="24"/>
      <c r="S83" s="26"/>
      <c r="T83" s="24"/>
      <c r="U83" s="26"/>
      <c r="V83" s="26"/>
      <c r="W83" s="27">
        <v>81</v>
      </c>
      <c r="X83" s="28"/>
    </row>
    <row r="84" ht="31" spans="1:24">
      <c r="A84" s="16" t="s">
        <v>4174</v>
      </c>
      <c r="B84" s="17" t="s">
        <v>4175</v>
      </c>
      <c r="C84" s="30" t="s">
        <v>2625</v>
      </c>
      <c r="D84" s="19" t="e">
        <f>VLOOKUP(C84,#REF!,2,0)</f>
        <v>#REF!</v>
      </c>
      <c r="E84" s="20" t="e">
        <f>VLOOKUP(D84,数据集标准分类!E:F,2,0)</f>
        <v>#REF!</v>
      </c>
      <c r="F84" s="21">
        <v>7</v>
      </c>
      <c r="G84" s="22" t="s">
        <v>2076</v>
      </c>
      <c r="H84" s="22" t="s">
        <v>2077</v>
      </c>
      <c r="I84" s="22" t="s">
        <v>5649</v>
      </c>
      <c r="J84" s="22" t="s">
        <v>2077</v>
      </c>
      <c r="K84" s="22" t="s">
        <v>2079</v>
      </c>
      <c r="L84" s="22" t="s">
        <v>2080</v>
      </c>
      <c r="M84" s="16" t="s">
        <v>5595</v>
      </c>
      <c r="N84" s="16" t="s">
        <v>5593</v>
      </c>
      <c r="O84" s="23">
        <v>15</v>
      </c>
      <c r="P84" s="24" t="e">
        <f>VLOOKUP(I84,#REF!,2,0)</f>
        <v>#REF!</v>
      </c>
      <c r="Q84" s="25"/>
      <c r="R84" s="24"/>
      <c r="S84" s="26"/>
      <c r="T84" s="24"/>
      <c r="U84" s="26"/>
      <c r="V84" s="26"/>
      <c r="W84" s="27">
        <v>82</v>
      </c>
      <c r="X84" s="28"/>
    </row>
    <row r="85" ht="31" spans="1:24">
      <c r="A85" s="16" t="s">
        <v>4174</v>
      </c>
      <c r="B85" s="17" t="s">
        <v>4175</v>
      </c>
      <c r="C85" s="30" t="s">
        <v>2625</v>
      </c>
      <c r="D85" s="19" t="e">
        <f>VLOOKUP(C85,#REF!,2,0)</f>
        <v>#REF!</v>
      </c>
      <c r="E85" s="20" t="e">
        <f>VLOOKUP(D85,数据集标准分类!E:F,2,0)</f>
        <v>#REF!</v>
      </c>
      <c r="F85" s="21">
        <v>7</v>
      </c>
      <c r="G85" s="22" t="s">
        <v>2633</v>
      </c>
      <c r="H85" s="22" t="s">
        <v>2634</v>
      </c>
      <c r="I85" s="22" t="s">
        <v>2636</v>
      </c>
      <c r="J85" s="22" t="s">
        <v>2634</v>
      </c>
      <c r="K85" s="22" t="s">
        <v>2636</v>
      </c>
      <c r="L85" s="22" t="s">
        <v>2637</v>
      </c>
      <c r="M85" s="16" t="s">
        <v>5595</v>
      </c>
      <c r="N85" s="16" t="s">
        <v>5595</v>
      </c>
      <c r="O85" s="23">
        <v>16</v>
      </c>
      <c r="P85" s="24" t="e">
        <f>VLOOKUP(I85,#REF!,2,0)</f>
        <v>#REF!</v>
      </c>
      <c r="Q85" s="25"/>
      <c r="R85" s="24"/>
      <c r="S85" s="26"/>
      <c r="T85" s="24"/>
      <c r="U85" s="26"/>
      <c r="V85" s="26"/>
      <c r="W85" s="27">
        <v>83</v>
      </c>
      <c r="X85" s="28"/>
    </row>
    <row r="86" spans="1:24">
      <c r="A86" s="16" t="s">
        <v>4174</v>
      </c>
      <c r="B86" s="17" t="s">
        <v>4175</v>
      </c>
      <c r="C86" s="30" t="s">
        <v>2625</v>
      </c>
      <c r="D86" s="19" t="e">
        <f>VLOOKUP(C86,#REF!,2,0)</f>
        <v>#REF!</v>
      </c>
      <c r="E86" s="20" t="e">
        <f>VLOOKUP(D86,数据集标准分类!E:F,2,0)</f>
        <v>#REF!</v>
      </c>
      <c r="F86" s="21">
        <v>7</v>
      </c>
      <c r="G86" s="22" t="s">
        <v>2081</v>
      </c>
      <c r="H86" s="22" t="s">
        <v>5650</v>
      </c>
      <c r="I86" s="22" t="s">
        <v>5651</v>
      </c>
      <c r="J86" s="22" t="s">
        <v>2082</v>
      </c>
      <c r="K86" s="22" t="s">
        <v>2084</v>
      </c>
      <c r="L86" s="22" t="s">
        <v>2085</v>
      </c>
      <c r="M86" s="16" t="s">
        <v>5593</v>
      </c>
      <c r="N86" s="16" t="s">
        <v>5593</v>
      </c>
      <c r="O86" s="23">
        <v>17</v>
      </c>
      <c r="P86" s="24" t="e">
        <f>VLOOKUP(I86,#REF!,2,0)</f>
        <v>#REF!</v>
      </c>
      <c r="Q86" s="25"/>
      <c r="R86" s="24"/>
      <c r="S86" s="26"/>
      <c r="T86" s="24"/>
      <c r="U86" s="26"/>
      <c r="V86" s="26"/>
      <c r="W86" s="27">
        <v>84</v>
      </c>
      <c r="X86" s="28"/>
    </row>
    <row r="87" spans="1:24">
      <c r="A87" s="16" t="s">
        <v>4174</v>
      </c>
      <c r="B87" s="17" t="s">
        <v>4175</v>
      </c>
      <c r="C87" s="30" t="s">
        <v>2625</v>
      </c>
      <c r="D87" s="19" t="e">
        <f>VLOOKUP(C87,#REF!,2,0)</f>
        <v>#REF!</v>
      </c>
      <c r="E87" s="20" t="e">
        <f>VLOOKUP(D87,数据集标准分类!E:F,2,0)</f>
        <v>#REF!</v>
      </c>
      <c r="F87" s="21">
        <v>7</v>
      </c>
      <c r="G87" s="22" t="s">
        <v>2086</v>
      </c>
      <c r="H87" s="63" t="s">
        <v>5652</v>
      </c>
      <c r="I87" s="22" t="s">
        <v>5653</v>
      </c>
      <c r="J87" s="22" t="s">
        <v>2087</v>
      </c>
      <c r="K87" s="22" t="s">
        <v>2089</v>
      </c>
      <c r="L87" s="22" t="s">
        <v>2090</v>
      </c>
      <c r="M87" s="16" t="s">
        <v>5593</v>
      </c>
      <c r="N87" s="16" t="s">
        <v>5593</v>
      </c>
      <c r="O87" s="23">
        <v>18</v>
      </c>
      <c r="P87" s="24" t="e">
        <f>VLOOKUP(I87,#REF!,2,0)</f>
        <v>#REF!</v>
      </c>
      <c r="Q87" s="25"/>
      <c r="R87" s="24"/>
      <c r="S87" s="26"/>
      <c r="T87" s="24"/>
      <c r="U87" s="26"/>
      <c r="V87" s="26"/>
      <c r="W87" s="27">
        <v>85</v>
      </c>
      <c r="X87" s="28"/>
    </row>
    <row r="88" ht="31" spans="1:24">
      <c r="A88" s="16" t="s">
        <v>4174</v>
      </c>
      <c r="B88" s="17" t="s">
        <v>4175</v>
      </c>
      <c r="C88" s="30" t="s">
        <v>2625</v>
      </c>
      <c r="D88" s="19" t="e">
        <f>VLOOKUP(C88,#REF!,2,0)</f>
        <v>#REF!</v>
      </c>
      <c r="E88" s="20" t="e">
        <f>VLOOKUP(D88,数据集标准分类!E:F,2,0)</f>
        <v>#REF!</v>
      </c>
      <c r="F88" s="21">
        <v>7</v>
      </c>
      <c r="G88" s="22" t="s">
        <v>2091</v>
      </c>
      <c r="H88" s="63" t="s">
        <v>5654</v>
      </c>
      <c r="I88" s="22" t="s">
        <v>5655</v>
      </c>
      <c r="J88" s="22" t="s">
        <v>2092</v>
      </c>
      <c r="K88" s="22" t="s">
        <v>2094</v>
      </c>
      <c r="L88" s="22" t="s">
        <v>2095</v>
      </c>
      <c r="M88" s="16" t="s">
        <v>5593</v>
      </c>
      <c r="N88" s="16" t="s">
        <v>5593</v>
      </c>
      <c r="O88" s="23">
        <v>19</v>
      </c>
      <c r="P88" s="24" t="e">
        <f>VLOOKUP(I88,#REF!,2,0)</f>
        <v>#REF!</v>
      </c>
      <c r="Q88" s="25"/>
      <c r="R88" s="24"/>
      <c r="S88" s="26"/>
      <c r="T88" s="24"/>
      <c r="U88" s="26"/>
      <c r="V88" s="26"/>
      <c r="W88" s="27">
        <v>86</v>
      </c>
      <c r="X88" s="28"/>
    </row>
    <row r="89" ht="31" spans="1:24">
      <c r="A89" s="16" t="s">
        <v>4174</v>
      </c>
      <c r="B89" s="17" t="s">
        <v>4175</v>
      </c>
      <c r="C89" s="30" t="s">
        <v>2625</v>
      </c>
      <c r="D89" s="19" t="e">
        <f>VLOOKUP(C89,#REF!,2,0)</f>
        <v>#REF!</v>
      </c>
      <c r="E89" s="20" t="e">
        <f>VLOOKUP(D89,数据集标准分类!E:F,2,0)</f>
        <v>#REF!</v>
      </c>
      <c r="F89" s="21">
        <v>7</v>
      </c>
      <c r="G89" s="22" t="s">
        <v>2096</v>
      </c>
      <c r="H89" s="22" t="s">
        <v>2097</v>
      </c>
      <c r="I89" s="22" t="s">
        <v>5656</v>
      </c>
      <c r="J89" s="22" t="s">
        <v>2097</v>
      </c>
      <c r="K89" s="22" t="s">
        <v>2099</v>
      </c>
      <c r="L89" s="22" t="s">
        <v>2100</v>
      </c>
      <c r="M89" s="16" t="s">
        <v>5595</v>
      </c>
      <c r="N89" s="16" t="s">
        <v>5593</v>
      </c>
      <c r="O89" s="23">
        <v>20</v>
      </c>
      <c r="P89" s="24" t="e">
        <f>VLOOKUP(I89,#REF!,2,0)</f>
        <v>#REF!</v>
      </c>
      <c r="Q89" s="25"/>
      <c r="R89" s="24"/>
      <c r="S89" s="26"/>
      <c r="T89" s="24"/>
      <c r="U89" s="26"/>
      <c r="V89" s="26"/>
      <c r="W89" s="27">
        <v>87</v>
      </c>
      <c r="X89" s="28"/>
    </row>
    <row r="90" ht="31" spans="1:24">
      <c r="A90" s="16" t="s">
        <v>4174</v>
      </c>
      <c r="B90" s="17" t="s">
        <v>4175</v>
      </c>
      <c r="C90" s="30" t="s">
        <v>2625</v>
      </c>
      <c r="D90" s="19" t="e">
        <f>VLOOKUP(C90,#REF!,2,0)</f>
        <v>#REF!</v>
      </c>
      <c r="E90" s="20" t="e">
        <f>VLOOKUP(D90,数据集标准分类!E:F,2,0)</f>
        <v>#REF!</v>
      </c>
      <c r="F90" s="21">
        <v>7</v>
      </c>
      <c r="G90" s="22" t="s">
        <v>503</v>
      </c>
      <c r="H90" s="22" t="s">
        <v>5591</v>
      </c>
      <c r="I90" s="22" t="s">
        <v>5592</v>
      </c>
      <c r="J90" s="22" t="s">
        <v>504</v>
      </c>
      <c r="K90" s="22" t="s">
        <v>506</v>
      </c>
      <c r="L90" s="22" t="s">
        <v>1779</v>
      </c>
      <c r="M90" s="16" t="s">
        <v>5593</v>
      </c>
      <c r="N90" s="16" t="s">
        <v>5593</v>
      </c>
      <c r="O90" s="23">
        <v>21</v>
      </c>
      <c r="P90" s="24" t="e">
        <f>VLOOKUP(I90,#REF!,2,0)</f>
        <v>#REF!</v>
      </c>
      <c r="Q90" s="25"/>
      <c r="R90" s="24"/>
      <c r="S90" s="26"/>
      <c r="T90" s="24"/>
      <c r="U90" s="26"/>
      <c r="V90" s="26"/>
      <c r="W90" s="27">
        <v>88</v>
      </c>
      <c r="X90" s="28"/>
    </row>
    <row r="91" ht="31" spans="1:24">
      <c r="A91" s="16" t="s">
        <v>4174</v>
      </c>
      <c r="B91" s="17" t="s">
        <v>4175</v>
      </c>
      <c r="C91" s="30" t="s">
        <v>2625</v>
      </c>
      <c r="D91" s="19" t="e">
        <f>VLOOKUP(C91,#REF!,2,0)</f>
        <v>#REF!</v>
      </c>
      <c r="E91" s="20" t="e">
        <f>VLOOKUP(D91,数据集标准分类!E:F,2,0)</f>
        <v>#REF!</v>
      </c>
      <c r="F91" s="21">
        <v>7</v>
      </c>
      <c r="G91" s="22" t="s">
        <v>508</v>
      </c>
      <c r="H91" s="22" t="s">
        <v>5594</v>
      </c>
      <c r="I91" s="22" t="s">
        <v>511</v>
      </c>
      <c r="J91" s="22" t="s">
        <v>509</v>
      </c>
      <c r="K91" s="22" t="s">
        <v>511</v>
      </c>
      <c r="L91" s="22" t="s">
        <v>116</v>
      </c>
      <c r="M91" s="16" t="s">
        <v>5593</v>
      </c>
      <c r="N91" s="16" t="s">
        <v>5595</v>
      </c>
      <c r="O91" s="23">
        <v>22</v>
      </c>
      <c r="P91" s="24" t="e">
        <f>VLOOKUP(I91,#REF!,2,0)</f>
        <v>#REF!</v>
      </c>
      <c r="Q91" s="25"/>
      <c r="R91" s="24"/>
      <c r="S91" s="26"/>
      <c r="T91" s="24"/>
      <c r="U91" s="26"/>
      <c r="V91" s="26"/>
      <c r="W91" s="27">
        <v>89</v>
      </c>
      <c r="X91" s="28"/>
    </row>
    <row r="92" spans="1:24">
      <c r="A92" s="16" t="s">
        <v>4174</v>
      </c>
      <c r="B92" s="17" t="s">
        <v>4175</v>
      </c>
      <c r="C92" s="30" t="s">
        <v>2625</v>
      </c>
      <c r="D92" s="19" t="e">
        <f>VLOOKUP(C92,#REF!,2,0)</f>
        <v>#REF!</v>
      </c>
      <c r="E92" s="20" t="e">
        <f>VLOOKUP(D92,数据集标准分类!E:F,2,0)</f>
        <v>#REF!</v>
      </c>
      <c r="F92" s="21">
        <v>7</v>
      </c>
      <c r="G92" s="22" t="s">
        <v>1921</v>
      </c>
      <c r="H92" s="22" t="s">
        <v>5614</v>
      </c>
      <c r="I92" s="22" t="s">
        <v>1924</v>
      </c>
      <c r="J92" s="22" t="s">
        <v>1922</v>
      </c>
      <c r="K92" s="22" t="s">
        <v>1924</v>
      </c>
      <c r="L92" s="22" t="s">
        <v>2638</v>
      </c>
      <c r="M92" s="16" t="s">
        <v>5593</v>
      </c>
      <c r="N92" s="16" t="s">
        <v>5595</v>
      </c>
      <c r="O92" s="23">
        <v>23</v>
      </c>
      <c r="P92" s="24" t="e">
        <f>VLOOKUP(I92,#REF!,2,0)</f>
        <v>#REF!</v>
      </c>
      <c r="Q92" s="25"/>
      <c r="R92" s="24"/>
      <c r="S92" s="26"/>
      <c r="T92" s="24"/>
      <c r="U92" s="26"/>
      <c r="V92" s="26"/>
      <c r="W92" s="27">
        <v>90</v>
      </c>
      <c r="X92" s="28"/>
    </row>
    <row r="93" spans="1:24">
      <c r="A93" s="16" t="s">
        <v>4174</v>
      </c>
      <c r="B93" s="17" t="s">
        <v>4175</v>
      </c>
      <c r="C93" s="30" t="s">
        <v>2625</v>
      </c>
      <c r="D93" s="19" t="e">
        <f>VLOOKUP(C93,#REF!,2,0)</f>
        <v>#REF!</v>
      </c>
      <c r="E93" s="20" t="e">
        <f>VLOOKUP(D93,数据集标准分类!E:F,2,0)</f>
        <v>#REF!</v>
      </c>
      <c r="F93" s="21">
        <v>7</v>
      </c>
      <c r="G93" s="22" t="s">
        <v>1234</v>
      </c>
      <c r="H93" s="22" t="s">
        <v>5657</v>
      </c>
      <c r="I93" s="22" t="s">
        <v>1237</v>
      </c>
      <c r="J93" s="22" t="s">
        <v>1235</v>
      </c>
      <c r="K93" s="22" t="s">
        <v>1237</v>
      </c>
      <c r="L93" s="22" t="s">
        <v>2639</v>
      </c>
      <c r="M93" s="16" t="s">
        <v>5593</v>
      </c>
      <c r="N93" s="16" t="s">
        <v>5595</v>
      </c>
      <c r="O93" s="23">
        <v>24</v>
      </c>
      <c r="P93" s="24" t="e">
        <f>VLOOKUP(I93,#REF!,2,0)</f>
        <v>#REF!</v>
      </c>
      <c r="Q93" s="25"/>
      <c r="R93" s="24"/>
      <c r="S93" s="26"/>
      <c r="T93" s="24"/>
      <c r="U93" s="26"/>
      <c r="V93" s="26"/>
      <c r="W93" s="27">
        <v>91</v>
      </c>
      <c r="X93" s="28"/>
    </row>
    <row r="94" ht="24" customHeight="1" spans="1:24">
      <c r="A94" s="16" t="s">
        <v>4174</v>
      </c>
      <c r="B94" s="17" t="s">
        <v>4175</v>
      </c>
      <c r="C94" s="30" t="s">
        <v>2625</v>
      </c>
      <c r="D94" s="19" t="e">
        <f>VLOOKUP(C94,#REF!,2,0)</f>
        <v>#REF!</v>
      </c>
      <c r="E94" s="20" t="e">
        <f>VLOOKUP(D94,数据集标准分类!E:F,2,0)</f>
        <v>#REF!</v>
      </c>
      <c r="F94" s="21">
        <v>7</v>
      </c>
      <c r="G94" s="22" t="s">
        <v>2640</v>
      </c>
      <c r="H94" s="22" t="s">
        <v>2641</v>
      </c>
      <c r="I94" s="22" t="s">
        <v>2643</v>
      </c>
      <c r="J94" s="22" t="s">
        <v>2641</v>
      </c>
      <c r="K94" s="22" t="s">
        <v>2643</v>
      </c>
      <c r="L94" s="22" t="s">
        <v>2644</v>
      </c>
      <c r="M94" s="16" t="s">
        <v>5595</v>
      </c>
      <c r="N94" s="16" t="s">
        <v>5595</v>
      </c>
      <c r="O94" s="23">
        <v>25</v>
      </c>
      <c r="P94" s="24" t="e">
        <f>VLOOKUP(I94,#REF!,2,0)</f>
        <v>#REF!</v>
      </c>
      <c r="Q94" s="25"/>
      <c r="R94" s="24"/>
      <c r="S94" s="26"/>
      <c r="T94" s="24"/>
      <c r="U94" s="26"/>
      <c r="V94" s="26"/>
      <c r="W94" s="27">
        <v>92</v>
      </c>
      <c r="X94" s="28"/>
    </row>
    <row r="95" ht="46" spans="1:24">
      <c r="A95" s="16" t="s">
        <v>4174</v>
      </c>
      <c r="B95" s="17" t="s">
        <v>4175</v>
      </c>
      <c r="C95" s="30" t="s">
        <v>2625</v>
      </c>
      <c r="D95" s="19" t="e">
        <f>VLOOKUP(C95,#REF!,2,0)</f>
        <v>#REF!</v>
      </c>
      <c r="E95" s="20" t="e">
        <f>VLOOKUP(D95,数据集标准分类!E:F,2,0)</f>
        <v>#REF!</v>
      </c>
      <c r="F95" s="21">
        <v>7</v>
      </c>
      <c r="G95" s="22" t="s">
        <v>2645</v>
      </c>
      <c r="H95" s="22" t="s">
        <v>5658</v>
      </c>
      <c r="I95" s="22" t="s">
        <v>2648</v>
      </c>
      <c r="J95" s="22" t="s">
        <v>2646</v>
      </c>
      <c r="K95" s="22" t="s">
        <v>2648</v>
      </c>
      <c r="L95" s="22" t="s">
        <v>2649</v>
      </c>
      <c r="M95" s="16" t="s">
        <v>5593</v>
      </c>
      <c r="N95" s="16" t="s">
        <v>5595</v>
      </c>
      <c r="O95" s="23">
        <v>26</v>
      </c>
      <c r="P95" s="24" t="e">
        <f>VLOOKUP(I95,#REF!,2,0)</f>
        <v>#REF!</v>
      </c>
      <c r="Q95" s="25"/>
      <c r="R95" s="24"/>
      <c r="S95" s="26"/>
      <c r="T95" s="24"/>
      <c r="U95" s="26"/>
      <c r="V95" s="26"/>
      <c r="W95" s="27">
        <v>93</v>
      </c>
      <c r="X95" s="28"/>
    </row>
    <row r="96" ht="31" spans="1:24">
      <c r="A96" s="16" t="s">
        <v>4174</v>
      </c>
      <c r="B96" s="17" t="s">
        <v>4175</v>
      </c>
      <c r="C96" s="30" t="s">
        <v>1582</v>
      </c>
      <c r="D96" s="19" t="e">
        <f>VLOOKUP(C96,#REF!,2,0)</f>
        <v>#REF!</v>
      </c>
      <c r="E96" s="20" t="e">
        <f>VLOOKUP(D96,数据集标准分类!E:F,2,0)</f>
        <v>#REF!</v>
      </c>
      <c r="F96" s="21">
        <v>8</v>
      </c>
      <c r="G96" s="22" t="s">
        <v>1583</v>
      </c>
      <c r="H96" s="64" t="s">
        <v>5659</v>
      </c>
      <c r="I96" s="64" t="s">
        <v>1586</v>
      </c>
      <c r="J96" s="22" t="s">
        <v>1584</v>
      </c>
      <c r="K96" s="22" t="s">
        <v>1586</v>
      </c>
      <c r="L96" s="22" t="s">
        <v>1587</v>
      </c>
      <c r="M96" s="16" t="s">
        <v>5593</v>
      </c>
      <c r="N96" s="16" t="s">
        <v>5595</v>
      </c>
      <c r="O96" s="23">
        <v>1</v>
      </c>
      <c r="P96" s="24" t="e">
        <f>VLOOKUP(I96,#REF!,2,0)</f>
        <v>#REF!</v>
      </c>
      <c r="Q96" s="25"/>
      <c r="R96" s="24"/>
      <c r="S96" s="26"/>
      <c r="T96" s="24"/>
      <c r="U96" s="26"/>
      <c r="V96" s="26"/>
      <c r="W96" s="27">
        <v>94</v>
      </c>
      <c r="X96" s="28"/>
    </row>
    <row r="97" ht="31" spans="1:32">
      <c r="A97" s="16" t="s">
        <v>4174</v>
      </c>
      <c r="B97" s="17" t="s">
        <v>4175</v>
      </c>
      <c r="C97" s="30" t="s">
        <v>1582</v>
      </c>
      <c r="D97" s="19" t="e">
        <f>VLOOKUP(C97,#REF!,2,0)</f>
        <v>#REF!</v>
      </c>
      <c r="E97" s="20" t="e">
        <f>VLOOKUP(D97,数据集标准分类!E:F,2,0)</f>
        <v>#REF!</v>
      </c>
      <c r="F97" s="21">
        <v>8</v>
      </c>
      <c r="G97" s="22" t="s">
        <v>1588</v>
      </c>
      <c r="H97" s="64" t="s">
        <v>5660</v>
      </c>
      <c r="I97" s="64" t="s">
        <v>1591</v>
      </c>
      <c r="J97" s="22" t="s">
        <v>1589</v>
      </c>
      <c r="K97" s="22" t="s">
        <v>1591</v>
      </c>
      <c r="L97" s="22" t="s">
        <v>1445</v>
      </c>
      <c r="M97" s="16" t="s">
        <v>5593</v>
      </c>
      <c r="N97" s="16" t="s">
        <v>5595</v>
      </c>
      <c r="O97" s="23">
        <v>2</v>
      </c>
      <c r="P97" s="24" t="e">
        <f>VLOOKUP(I97,#REF!,2,0)</f>
        <v>#REF!</v>
      </c>
      <c r="Q97" s="25"/>
      <c r="R97" s="24"/>
      <c r="S97" s="26"/>
      <c r="T97" s="24"/>
      <c r="U97" s="26"/>
      <c r="V97" s="26"/>
      <c r="W97" s="27">
        <v>95</v>
      </c>
      <c r="X97" s="28"/>
    </row>
    <row r="98" ht="46" spans="1:32">
      <c r="A98" s="16" t="s">
        <v>4174</v>
      </c>
      <c r="B98" s="17" t="s">
        <v>4175</v>
      </c>
      <c r="C98" s="30" t="s">
        <v>1582</v>
      </c>
      <c r="D98" s="19" t="e">
        <f>VLOOKUP(C98,#REF!,2,0)</f>
        <v>#REF!</v>
      </c>
      <c r="E98" s="20" t="e">
        <f>VLOOKUP(D98,数据集标准分类!E:F,2,0)</f>
        <v>#REF!</v>
      </c>
      <c r="F98" s="21">
        <v>8</v>
      </c>
      <c r="G98" s="22" t="s">
        <v>1592</v>
      </c>
      <c r="H98" s="22" t="s">
        <v>5661</v>
      </c>
      <c r="I98" s="22" t="s">
        <v>5662</v>
      </c>
      <c r="J98" s="22" t="s">
        <v>1593</v>
      </c>
      <c r="K98" s="22" t="s">
        <v>1595</v>
      </c>
      <c r="L98" s="22" t="s">
        <v>1596</v>
      </c>
      <c r="M98" s="16" t="s">
        <v>5593</v>
      </c>
      <c r="N98" s="16" t="s">
        <v>5593</v>
      </c>
      <c r="O98" s="23">
        <v>3</v>
      </c>
      <c r="P98" s="24" t="e">
        <f>VLOOKUP(I98,#REF!,2,0)</f>
        <v>#REF!</v>
      </c>
      <c r="Q98" s="25"/>
      <c r="R98" s="24"/>
      <c r="S98" s="26"/>
      <c r="T98" s="24"/>
      <c r="U98" s="26"/>
      <c r="V98" s="26"/>
      <c r="W98" s="27">
        <v>96</v>
      </c>
      <c r="X98" s="28"/>
    </row>
    <row r="99" ht="46" spans="1:32">
      <c r="A99" s="16" t="s">
        <v>4174</v>
      </c>
      <c r="B99" s="17" t="s">
        <v>4175</v>
      </c>
      <c r="C99" s="30" t="s">
        <v>1582</v>
      </c>
      <c r="D99" s="19" t="e">
        <f>VLOOKUP(C99,#REF!,2,0)</f>
        <v>#REF!</v>
      </c>
      <c r="E99" s="20" t="e">
        <f>VLOOKUP(D99,数据集标准分类!E:F,2,0)</f>
        <v>#REF!</v>
      </c>
      <c r="F99" s="21">
        <v>8</v>
      </c>
      <c r="G99" s="22" t="s">
        <v>1597</v>
      </c>
      <c r="H99" s="22" t="s">
        <v>1598</v>
      </c>
      <c r="I99" s="22" t="s">
        <v>5663</v>
      </c>
      <c r="J99" s="22" t="s">
        <v>1598</v>
      </c>
      <c r="K99" s="22" t="s">
        <v>1600</v>
      </c>
      <c r="L99" s="22" t="s">
        <v>1601</v>
      </c>
      <c r="M99" s="16" t="s">
        <v>5595</v>
      </c>
      <c r="N99" s="16" t="s">
        <v>5593</v>
      </c>
      <c r="O99" s="23">
        <v>4</v>
      </c>
      <c r="P99" s="24" t="e">
        <f>VLOOKUP(I99,#REF!,2,0)</f>
        <v>#REF!</v>
      </c>
      <c r="Q99" s="25"/>
      <c r="R99" s="24"/>
      <c r="S99" s="26"/>
      <c r="T99" s="24"/>
      <c r="U99" s="26"/>
      <c r="V99" s="26"/>
      <c r="W99" s="27">
        <v>97</v>
      </c>
      <c r="X99" s="28"/>
    </row>
    <row r="100" ht="46" spans="1:32">
      <c r="A100" s="16" t="s">
        <v>4174</v>
      </c>
      <c r="B100" s="17" t="s">
        <v>4175</v>
      </c>
      <c r="C100" s="30" t="s">
        <v>1582</v>
      </c>
      <c r="D100" s="19" t="e">
        <f>VLOOKUP(C100,#REF!,2,0)</f>
        <v>#REF!</v>
      </c>
      <c r="E100" s="20" t="e">
        <f>VLOOKUP(D100,数据集标准分类!E:F,2,0)</f>
        <v>#REF!</v>
      </c>
      <c r="F100" s="21">
        <v>8</v>
      </c>
      <c r="G100" s="22" t="s">
        <v>192</v>
      </c>
      <c r="H100" s="22" t="s">
        <v>5630</v>
      </c>
      <c r="I100" s="22" t="s">
        <v>5631</v>
      </c>
      <c r="J100" s="22" t="s">
        <v>193</v>
      </c>
      <c r="K100" s="22" t="s">
        <v>195</v>
      </c>
      <c r="L100" s="22" t="s">
        <v>385</v>
      </c>
      <c r="M100" s="16" t="s">
        <v>5593</v>
      </c>
      <c r="N100" s="16" t="s">
        <v>5593</v>
      </c>
      <c r="O100" s="23">
        <v>5</v>
      </c>
      <c r="P100" s="24" t="e">
        <f>VLOOKUP(I100,#REF!,2,0)</f>
        <v>#REF!</v>
      </c>
      <c r="Q100" s="25"/>
      <c r="R100" s="24"/>
      <c r="S100" s="26"/>
      <c r="T100" s="24"/>
      <c r="U100" s="26"/>
      <c r="V100" s="26"/>
      <c r="W100" s="27">
        <v>98</v>
      </c>
      <c r="X100" s="28"/>
    </row>
    <row r="101" spans="1:32">
      <c r="A101" s="16" t="s">
        <v>4174</v>
      </c>
      <c r="B101" s="17" t="s">
        <v>4175</v>
      </c>
      <c r="C101" s="30" t="s">
        <v>1582</v>
      </c>
      <c r="D101" s="19" t="e">
        <f>VLOOKUP(C101,#REF!,2,0)</f>
        <v>#REF!</v>
      </c>
      <c r="E101" s="20" t="e">
        <f>VLOOKUP(D101,数据集标准分类!E:F,2,0)</f>
        <v>#REF!</v>
      </c>
      <c r="F101" s="21">
        <v>8</v>
      </c>
      <c r="G101" s="22" t="s">
        <v>396</v>
      </c>
      <c r="H101" s="22" t="s">
        <v>5628</v>
      </c>
      <c r="I101" s="22" t="s">
        <v>5629</v>
      </c>
      <c r="J101" s="22" t="s">
        <v>397</v>
      </c>
      <c r="K101" s="22" t="s">
        <v>399</v>
      </c>
      <c r="L101" s="22" t="s">
        <v>1260</v>
      </c>
      <c r="M101" s="16" t="s">
        <v>5593</v>
      </c>
      <c r="N101" s="16" t="s">
        <v>5593</v>
      </c>
      <c r="O101" s="23">
        <v>6</v>
      </c>
      <c r="P101" s="24" t="e">
        <f>VLOOKUP(I101,#REF!,2,0)</f>
        <v>#REF!</v>
      </c>
      <c r="Q101" s="25"/>
      <c r="R101" s="24"/>
      <c r="S101" s="26"/>
      <c r="T101" s="24"/>
      <c r="U101" s="26"/>
      <c r="V101" s="26"/>
      <c r="W101" s="27">
        <v>99</v>
      </c>
      <c r="X101" s="28"/>
    </row>
    <row r="102" ht="61" spans="1:32">
      <c r="A102" s="16" t="s">
        <v>4174</v>
      </c>
      <c r="B102" s="17" t="s">
        <v>4175</v>
      </c>
      <c r="C102" s="30" t="s">
        <v>1582</v>
      </c>
      <c r="D102" s="19" t="e">
        <f>VLOOKUP(C102,#REF!,2,0)</f>
        <v>#REF!</v>
      </c>
      <c r="E102" s="20" t="e">
        <f>VLOOKUP(D102,数据集标准分类!E:F,2,0)</f>
        <v>#REF!</v>
      </c>
      <c r="F102" s="21">
        <v>8</v>
      </c>
      <c r="G102" s="22" t="s">
        <v>391</v>
      </c>
      <c r="H102" s="22" t="s">
        <v>5664</v>
      </c>
      <c r="I102" s="22" t="s">
        <v>394</v>
      </c>
      <c r="J102" s="22" t="s">
        <v>392</v>
      </c>
      <c r="K102" s="22" t="s">
        <v>394</v>
      </c>
      <c r="L102" s="22" t="s">
        <v>395</v>
      </c>
      <c r="M102" s="16" t="s">
        <v>5593</v>
      </c>
      <c r="N102" s="16" t="s">
        <v>5595</v>
      </c>
      <c r="O102" s="23">
        <v>7</v>
      </c>
      <c r="P102" s="24" t="e">
        <f>VLOOKUP(I102,#REF!,2,0)</f>
        <v>#REF!</v>
      </c>
      <c r="Q102" s="25"/>
      <c r="R102" s="24"/>
      <c r="S102" s="26"/>
      <c r="T102" s="24"/>
      <c r="U102" s="26"/>
      <c r="V102" s="26"/>
      <c r="W102" s="27">
        <v>100</v>
      </c>
      <c r="X102" s="28"/>
    </row>
    <row r="103" spans="1:32">
      <c r="A103" s="16" t="s">
        <v>4174</v>
      </c>
      <c r="B103" s="17" t="s">
        <v>4175</v>
      </c>
      <c r="C103" s="30" t="s">
        <v>1582</v>
      </c>
      <c r="D103" s="19" t="e">
        <f>VLOOKUP(C103,#REF!,2,0)</f>
        <v>#REF!</v>
      </c>
      <c r="E103" s="20" t="e">
        <f>VLOOKUP(D103,数据集标准分类!E:F,2,0)</f>
        <v>#REF!</v>
      </c>
      <c r="F103" s="21">
        <v>8</v>
      </c>
      <c r="G103" s="22" t="s">
        <v>1261</v>
      </c>
      <c r="H103" s="22" t="s">
        <v>5632</v>
      </c>
      <c r="I103" s="22" t="s">
        <v>1264</v>
      </c>
      <c r="J103" s="22" t="s">
        <v>1262</v>
      </c>
      <c r="K103" s="22" t="s">
        <v>1264</v>
      </c>
      <c r="L103" s="22" t="s">
        <v>1429</v>
      </c>
      <c r="M103" s="16" t="s">
        <v>5593</v>
      </c>
      <c r="N103" s="16" t="s">
        <v>5595</v>
      </c>
      <c r="O103" s="23">
        <v>8</v>
      </c>
      <c r="P103" s="24" t="e">
        <f>VLOOKUP(I103,#REF!,2,0)</f>
        <v>#REF!</v>
      </c>
      <c r="Q103" s="25"/>
      <c r="R103" s="24"/>
      <c r="S103" s="26"/>
      <c r="T103" s="24"/>
      <c r="U103" s="26"/>
      <c r="V103" s="26"/>
      <c r="W103" s="27">
        <v>101</v>
      </c>
      <c r="X103" s="28"/>
    </row>
    <row r="104" ht="31" spans="1:32">
      <c r="A104" s="16" t="s">
        <v>4174</v>
      </c>
      <c r="B104" s="17" t="s">
        <v>4175</v>
      </c>
      <c r="C104" s="30" t="s">
        <v>1582</v>
      </c>
      <c r="D104" s="19" t="e">
        <f>VLOOKUP(C104,#REF!,2,0)</f>
        <v>#REF!</v>
      </c>
      <c r="E104" s="20" t="e">
        <f>VLOOKUP(D104,数据集标准分类!E:F,2,0)</f>
        <v>#REF!</v>
      </c>
      <c r="F104" s="21">
        <v>8</v>
      </c>
      <c r="G104" s="22" t="s">
        <v>1266</v>
      </c>
      <c r="H104" s="22" t="s">
        <v>5633</v>
      </c>
      <c r="I104" s="22" t="s">
        <v>1269</v>
      </c>
      <c r="J104" s="22" t="s">
        <v>1267</v>
      </c>
      <c r="K104" s="22" t="s">
        <v>1269</v>
      </c>
      <c r="L104" s="22" t="s">
        <v>1270</v>
      </c>
      <c r="M104" s="16" t="s">
        <v>5593</v>
      </c>
      <c r="N104" s="16" t="s">
        <v>5595</v>
      </c>
      <c r="O104" s="23">
        <v>9</v>
      </c>
      <c r="P104" s="24" t="e">
        <f>VLOOKUP(I104,#REF!,2,0)</f>
        <v>#REF!</v>
      </c>
      <c r="Q104" s="25"/>
      <c r="R104" s="24"/>
      <c r="S104" s="26"/>
      <c r="T104" s="24"/>
      <c r="U104" s="26"/>
      <c r="V104" s="26"/>
      <c r="W104" s="27">
        <v>102</v>
      </c>
      <c r="X104" s="28"/>
    </row>
    <row r="105" ht="31" spans="1:32">
      <c r="A105" s="16" t="s">
        <v>4174</v>
      </c>
      <c r="B105" s="17" t="s">
        <v>4175</v>
      </c>
      <c r="C105" s="30" t="s">
        <v>1582</v>
      </c>
      <c r="D105" s="19" t="e">
        <f>VLOOKUP(C105,#REF!,2,0)</f>
        <v>#REF!</v>
      </c>
      <c r="E105" s="20" t="e">
        <f>VLOOKUP(D105,数据集标准分类!E:F,2,0)</f>
        <v>#REF!</v>
      </c>
      <c r="F105" s="21">
        <v>8</v>
      </c>
      <c r="G105" s="22" t="s">
        <v>1602</v>
      </c>
      <c r="H105" s="22" t="s">
        <v>5665</v>
      </c>
      <c r="I105" s="22" t="s">
        <v>1605</v>
      </c>
      <c r="J105" s="22" t="s">
        <v>1603</v>
      </c>
      <c r="K105" s="22" t="s">
        <v>1605</v>
      </c>
      <c r="L105" s="22" t="s">
        <v>1606</v>
      </c>
      <c r="M105" s="16" t="s">
        <v>5593</v>
      </c>
      <c r="N105" s="16" t="s">
        <v>5595</v>
      </c>
      <c r="O105" s="23">
        <v>10</v>
      </c>
      <c r="P105" s="24" t="e">
        <f>VLOOKUP(I105,#REF!,2,0)</f>
        <v>#REF!</v>
      </c>
      <c r="Q105" s="25"/>
      <c r="R105" s="24"/>
      <c r="S105" s="26"/>
      <c r="T105" s="24"/>
      <c r="U105" s="26"/>
      <c r="V105" s="26"/>
      <c r="W105" s="27">
        <v>103</v>
      </c>
      <c r="X105" s="28"/>
    </row>
    <row r="106" ht="31" spans="1:32">
      <c r="A106" s="16" t="s">
        <v>4174</v>
      </c>
      <c r="B106" s="17" t="s">
        <v>4175</v>
      </c>
      <c r="C106" s="30" t="s">
        <v>1582</v>
      </c>
      <c r="D106" s="19" t="e">
        <f>VLOOKUP(C106,#REF!,2,0)</f>
        <v>#REF!</v>
      </c>
      <c r="E106" s="20" t="e">
        <f>VLOOKUP(D106,数据集标准分类!E:F,2,0)</f>
        <v>#REF!</v>
      </c>
      <c r="F106" s="21">
        <v>8</v>
      </c>
      <c r="G106" s="22" t="s">
        <v>1435</v>
      </c>
      <c r="H106" s="22" t="s">
        <v>5666</v>
      </c>
      <c r="I106" s="22" t="s">
        <v>1438</v>
      </c>
      <c r="J106" s="22" t="s">
        <v>1436</v>
      </c>
      <c r="K106" s="22" t="s">
        <v>1438</v>
      </c>
      <c r="L106" s="22" t="s">
        <v>1439</v>
      </c>
      <c r="M106" s="16" t="s">
        <v>5593</v>
      </c>
      <c r="N106" s="16" t="s">
        <v>5595</v>
      </c>
      <c r="O106" s="23">
        <v>11</v>
      </c>
      <c r="P106" s="24" t="e">
        <f>VLOOKUP(I106,#REF!,2,0)</f>
        <v>#REF!</v>
      </c>
      <c r="Q106" s="25"/>
      <c r="R106" s="24"/>
      <c r="S106" s="26"/>
      <c r="T106" s="24"/>
      <c r="U106" s="26"/>
      <c r="V106" s="26"/>
      <c r="W106" s="27">
        <v>104</v>
      </c>
      <c r="X106" s="28"/>
    </row>
    <row r="107" ht="31" spans="1:32">
      <c r="A107" s="16" t="s">
        <v>4174</v>
      </c>
      <c r="B107" s="17" t="s">
        <v>4175</v>
      </c>
      <c r="C107" s="30" t="s">
        <v>1582</v>
      </c>
      <c r="D107" s="19" t="e">
        <f>VLOOKUP(C107,#REF!,2,0)</f>
        <v>#REF!</v>
      </c>
      <c r="E107" s="20" t="e">
        <f>VLOOKUP(D107,数据集标准分类!E:F,2,0)</f>
        <v>#REF!</v>
      </c>
      <c r="F107" s="21">
        <v>8</v>
      </c>
      <c r="G107" s="22" t="s">
        <v>1607</v>
      </c>
      <c r="H107" s="22" t="s">
        <v>5667</v>
      </c>
      <c r="I107" s="22" t="s">
        <v>5668</v>
      </c>
      <c r="J107" s="22" t="s">
        <v>1608</v>
      </c>
      <c r="K107" s="22" t="s">
        <v>1610</v>
      </c>
      <c r="L107" s="22" t="s">
        <v>1611</v>
      </c>
      <c r="M107" s="16" t="s">
        <v>5593</v>
      </c>
      <c r="N107" s="16" t="s">
        <v>5593</v>
      </c>
      <c r="O107" s="23">
        <v>12</v>
      </c>
      <c r="P107" s="24" t="e">
        <f>VLOOKUP(I107,#REF!,2,0)</f>
        <v>#REF!</v>
      </c>
      <c r="Q107" s="47"/>
      <c r="R107" s="24"/>
      <c r="S107" s="48"/>
      <c r="T107" s="24"/>
      <c r="U107" s="48"/>
      <c r="V107" s="48"/>
      <c r="W107" s="27">
        <v>105</v>
      </c>
      <c r="X107" s="28"/>
      <c r="Y107" s="5"/>
      <c r="Z107" s="5"/>
      <c r="AA107" s="5"/>
      <c r="AB107" s="5"/>
      <c r="AC107" s="5"/>
      <c r="AD107" s="5"/>
      <c r="AE107" s="5"/>
      <c r="AF107" s="5"/>
    </row>
    <row r="108" ht="31" spans="1:32">
      <c r="A108" s="16" t="s">
        <v>4174</v>
      </c>
      <c r="B108" s="17" t="s">
        <v>4175</v>
      </c>
      <c r="C108" s="30" t="s">
        <v>1582</v>
      </c>
      <c r="D108" s="19" t="e">
        <f>VLOOKUP(C108,#REF!,2,0)</f>
        <v>#REF!</v>
      </c>
      <c r="E108" s="20" t="e">
        <f>VLOOKUP(D108,数据集标准分类!E:F,2,0)</f>
        <v>#REF!</v>
      </c>
      <c r="F108" s="21">
        <v>8</v>
      </c>
      <c r="G108" s="22" t="s">
        <v>1612</v>
      </c>
      <c r="H108" s="22" t="s">
        <v>1613</v>
      </c>
      <c r="I108" s="22" t="s">
        <v>1615</v>
      </c>
      <c r="J108" s="22" t="s">
        <v>1613</v>
      </c>
      <c r="K108" s="22" t="s">
        <v>1615</v>
      </c>
      <c r="L108" s="22" t="s">
        <v>1616</v>
      </c>
      <c r="M108" s="16" t="s">
        <v>5595</v>
      </c>
      <c r="N108" s="16" t="s">
        <v>5595</v>
      </c>
      <c r="O108" s="23">
        <v>13</v>
      </c>
      <c r="P108" s="24" t="e">
        <f>VLOOKUP(I108,#REF!,2,0)</f>
        <v>#REF!</v>
      </c>
      <c r="Q108" s="25"/>
      <c r="R108" s="24"/>
      <c r="S108" s="26"/>
      <c r="T108" s="24"/>
      <c r="U108" s="26"/>
      <c r="V108" s="26"/>
      <c r="W108" s="27">
        <v>106</v>
      </c>
      <c r="X108" s="28"/>
    </row>
    <row r="109" ht="31" spans="1:32">
      <c r="A109" s="16" t="s">
        <v>4174</v>
      </c>
      <c r="B109" s="17" t="s">
        <v>4175</v>
      </c>
      <c r="C109" s="30" t="s">
        <v>1582</v>
      </c>
      <c r="D109" s="19" t="e">
        <f>VLOOKUP(C109,#REF!,2,0)</f>
        <v>#REF!</v>
      </c>
      <c r="E109" s="20" t="e">
        <f>VLOOKUP(D109,数据集标准分类!E:F,2,0)</f>
        <v>#REF!</v>
      </c>
      <c r="F109" s="21">
        <v>8</v>
      </c>
      <c r="G109" s="22" t="s">
        <v>1617</v>
      </c>
      <c r="H109" s="22" t="s">
        <v>5669</v>
      </c>
      <c r="I109" s="22" t="s">
        <v>1620</v>
      </c>
      <c r="J109" s="22" t="s">
        <v>1618</v>
      </c>
      <c r="K109" s="22" t="s">
        <v>1620</v>
      </c>
      <c r="L109" s="22" t="s">
        <v>1621</v>
      </c>
      <c r="M109" s="16" t="s">
        <v>5593</v>
      </c>
      <c r="N109" s="16" t="s">
        <v>5595</v>
      </c>
      <c r="O109" s="23">
        <v>14</v>
      </c>
      <c r="P109" s="24" t="e">
        <f>VLOOKUP(I109,#REF!,2,0)</f>
        <v>#REF!</v>
      </c>
      <c r="Q109" s="25"/>
      <c r="R109" s="24"/>
      <c r="S109" s="26"/>
      <c r="T109" s="24"/>
      <c r="U109" s="26"/>
      <c r="V109" s="26"/>
      <c r="W109" s="27">
        <v>107</v>
      </c>
      <c r="X109" s="28"/>
    </row>
    <row r="110" spans="1:32">
      <c r="A110" s="16" t="s">
        <v>4174</v>
      </c>
      <c r="B110" s="17" t="s">
        <v>4175</v>
      </c>
      <c r="C110" s="30" t="s">
        <v>1582</v>
      </c>
      <c r="D110" s="19" t="e">
        <f>VLOOKUP(C110,#REF!,2,0)</f>
        <v>#REF!</v>
      </c>
      <c r="E110" s="20" t="e">
        <f>VLOOKUP(D110,数据集标准分类!E:F,2,0)</f>
        <v>#REF!</v>
      </c>
      <c r="F110" s="21">
        <v>8</v>
      </c>
      <c r="G110" s="22" t="s">
        <v>1622</v>
      </c>
      <c r="H110" s="22" t="s">
        <v>5670</v>
      </c>
      <c r="I110" s="22" t="s">
        <v>5671</v>
      </c>
      <c r="J110" s="22" t="s">
        <v>1623</v>
      </c>
      <c r="K110" s="22" t="s">
        <v>1625</v>
      </c>
      <c r="L110" s="22" t="s">
        <v>1626</v>
      </c>
      <c r="M110" s="16" t="s">
        <v>5593</v>
      </c>
      <c r="N110" s="16" t="s">
        <v>5593</v>
      </c>
      <c r="O110" s="23">
        <v>15</v>
      </c>
      <c r="P110" s="24" t="e">
        <f>VLOOKUP(I110,#REF!,2,0)</f>
        <v>#REF!</v>
      </c>
      <c r="Q110" s="25"/>
      <c r="R110" s="24"/>
      <c r="S110" s="26"/>
      <c r="T110" s="24"/>
      <c r="U110" s="26"/>
      <c r="V110" s="26"/>
      <c r="W110" s="27">
        <v>108</v>
      </c>
      <c r="X110" s="28"/>
    </row>
    <row r="111" ht="31" spans="1:32">
      <c r="A111" s="16" t="s">
        <v>4174</v>
      </c>
      <c r="B111" s="17" t="s">
        <v>4175</v>
      </c>
      <c r="C111" s="30" t="s">
        <v>1582</v>
      </c>
      <c r="D111" s="19" t="e">
        <f>VLOOKUP(C111,#REF!,2,0)</f>
        <v>#REF!</v>
      </c>
      <c r="E111" s="20" t="e">
        <f>VLOOKUP(D111,数据集标准分类!E:F,2,0)</f>
        <v>#REF!</v>
      </c>
      <c r="F111" s="21">
        <v>8</v>
      </c>
      <c r="G111" s="22" t="s">
        <v>1627</v>
      </c>
      <c r="H111" s="22" t="s">
        <v>5672</v>
      </c>
      <c r="I111" s="22" t="s">
        <v>1630</v>
      </c>
      <c r="J111" s="22" t="s">
        <v>1628</v>
      </c>
      <c r="K111" s="22" t="s">
        <v>1630</v>
      </c>
      <c r="L111" s="22" t="s">
        <v>1631</v>
      </c>
      <c r="M111" s="16" t="s">
        <v>5593</v>
      </c>
      <c r="N111" s="16" t="s">
        <v>5595</v>
      </c>
      <c r="O111" s="23">
        <v>16</v>
      </c>
      <c r="P111" s="24" t="e">
        <f>VLOOKUP(I111,#REF!,2,0)</f>
        <v>#REF!</v>
      </c>
      <c r="Q111" s="25"/>
      <c r="R111" s="24"/>
      <c r="S111" s="26"/>
      <c r="T111" s="24"/>
      <c r="U111" s="26"/>
      <c r="V111" s="26"/>
      <c r="W111" s="27">
        <v>109</v>
      </c>
      <c r="X111" s="28"/>
    </row>
    <row r="112" ht="31" spans="1:32">
      <c r="A112" s="16" t="s">
        <v>4174</v>
      </c>
      <c r="B112" s="17" t="s">
        <v>4175</v>
      </c>
      <c r="C112" s="30" t="s">
        <v>1582</v>
      </c>
      <c r="D112" s="19" t="e">
        <f>VLOOKUP(C112,#REF!,2,0)</f>
        <v>#REF!</v>
      </c>
      <c r="E112" s="20" t="e">
        <f>VLOOKUP(D112,数据集标准分类!E:F,2,0)</f>
        <v>#REF!</v>
      </c>
      <c r="F112" s="21">
        <v>8</v>
      </c>
      <c r="G112" s="22" t="s">
        <v>1632</v>
      </c>
      <c r="H112" s="22" t="s">
        <v>5673</v>
      </c>
      <c r="I112" s="22" t="s">
        <v>1635</v>
      </c>
      <c r="J112" s="22" t="s">
        <v>1633</v>
      </c>
      <c r="K112" s="22" t="s">
        <v>1635</v>
      </c>
      <c r="L112" s="22" t="s">
        <v>1636</v>
      </c>
      <c r="M112" s="16" t="s">
        <v>5593</v>
      </c>
      <c r="N112" s="16" t="s">
        <v>5595</v>
      </c>
      <c r="O112" s="23">
        <v>17</v>
      </c>
      <c r="P112" s="24" t="e">
        <f>VLOOKUP(I112,#REF!,2,0)</f>
        <v>#REF!</v>
      </c>
      <c r="Q112" s="25"/>
      <c r="R112" s="24"/>
      <c r="S112" s="26"/>
      <c r="T112" s="24"/>
      <c r="U112" s="26"/>
      <c r="V112" s="26"/>
      <c r="W112" s="27">
        <v>110</v>
      </c>
      <c r="X112" s="28"/>
    </row>
    <row r="113" ht="46" spans="1:32">
      <c r="A113" s="16" t="s">
        <v>4174</v>
      </c>
      <c r="B113" s="17" t="s">
        <v>4175</v>
      </c>
      <c r="C113" s="30" t="s">
        <v>1582</v>
      </c>
      <c r="D113" s="19" t="e">
        <f>VLOOKUP(C113,#REF!,2,0)</f>
        <v>#REF!</v>
      </c>
      <c r="E113" s="20" t="e">
        <f>VLOOKUP(D113,数据集标准分类!E:F,2,0)</f>
        <v>#REF!</v>
      </c>
      <c r="F113" s="21">
        <v>8</v>
      </c>
      <c r="G113" s="22" t="s">
        <v>1359</v>
      </c>
      <c r="H113" s="63" t="s">
        <v>5674</v>
      </c>
      <c r="I113" s="22" t="s">
        <v>1362</v>
      </c>
      <c r="J113" s="22" t="s">
        <v>1360</v>
      </c>
      <c r="K113" s="22" t="s">
        <v>1362</v>
      </c>
      <c r="L113" s="22" t="s">
        <v>1363</v>
      </c>
      <c r="M113" s="16" t="s">
        <v>5593</v>
      </c>
      <c r="N113" s="16" t="s">
        <v>5595</v>
      </c>
      <c r="O113" s="23">
        <v>18</v>
      </c>
      <c r="P113" s="24" t="e">
        <f>VLOOKUP(I113,#REF!,2,0)</f>
        <v>#REF!</v>
      </c>
      <c r="Q113" s="25"/>
      <c r="R113" s="24"/>
      <c r="S113" s="26"/>
      <c r="T113" s="24"/>
      <c r="U113" s="26"/>
      <c r="V113" s="26"/>
      <c r="W113" s="27">
        <v>111</v>
      </c>
      <c r="X113" s="28"/>
    </row>
    <row r="114" spans="1:32">
      <c r="A114" s="16" t="s">
        <v>4174</v>
      </c>
      <c r="B114" s="17" t="s">
        <v>4175</v>
      </c>
      <c r="C114" s="30" t="s">
        <v>1582</v>
      </c>
      <c r="D114" s="19" t="e">
        <f>VLOOKUP(C114,#REF!,2,0)</f>
        <v>#REF!</v>
      </c>
      <c r="E114" s="20" t="e">
        <f>VLOOKUP(D114,数据集标准分类!E:F,2,0)</f>
        <v>#REF!</v>
      </c>
      <c r="F114" s="21">
        <v>8</v>
      </c>
      <c r="G114" s="29" t="s">
        <v>1637</v>
      </c>
      <c r="H114" s="29" t="s">
        <v>1638</v>
      </c>
      <c r="I114" s="29" t="s">
        <v>1640</v>
      </c>
      <c r="J114" s="29" t="s">
        <v>1638</v>
      </c>
      <c r="K114" s="29" t="s">
        <v>1640</v>
      </c>
      <c r="L114" s="29" t="s">
        <v>1641</v>
      </c>
      <c r="M114" s="16" t="s">
        <v>5595</v>
      </c>
      <c r="N114" s="16" t="s">
        <v>5595</v>
      </c>
      <c r="O114" s="23">
        <v>19</v>
      </c>
      <c r="P114" s="24" t="e">
        <f>VLOOKUP(I114,#REF!,2,0)</f>
        <v>#REF!</v>
      </c>
      <c r="Q114" s="25"/>
      <c r="R114" s="24"/>
      <c r="S114" s="26"/>
      <c r="T114" s="24"/>
      <c r="U114" s="26"/>
      <c r="V114" s="26"/>
      <c r="W114" s="27">
        <v>112</v>
      </c>
      <c r="X114" s="28"/>
    </row>
    <row r="115" spans="1:32">
      <c r="A115" s="16" t="s">
        <v>4174</v>
      </c>
      <c r="B115" s="17" t="s">
        <v>4175</v>
      </c>
      <c r="C115" s="30" t="s">
        <v>1582</v>
      </c>
      <c r="D115" s="19" t="e">
        <f>VLOOKUP(C115,#REF!,2,0)</f>
        <v>#REF!</v>
      </c>
      <c r="E115" s="20" t="e">
        <f>VLOOKUP(D115,数据集标准分类!E:F,2,0)</f>
        <v>#REF!</v>
      </c>
      <c r="F115" s="21">
        <v>8</v>
      </c>
      <c r="G115" s="65" t="s">
        <v>1642</v>
      </c>
      <c r="H115" s="29" t="s">
        <v>1643</v>
      </c>
      <c r="I115" s="29" t="s">
        <v>1645</v>
      </c>
      <c r="J115" s="29" t="s">
        <v>1643</v>
      </c>
      <c r="K115" s="29" t="s">
        <v>1645</v>
      </c>
      <c r="L115" s="29" t="s">
        <v>1646</v>
      </c>
      <c r="M115" s="16" t="s">
        <v>5595</v>
      </c>
      <c r="N115" s="16" t="s">
        <v>5595</v>
      </c>
      <c r="O115" s="23">
        <v>20</v>
      </c>
      <c r="P115" s="24" t="e">
        <f>VLOOKUP(I115,#REF!,2,0)</f>
        <v>#REF!</v>
      </c>
      <c r="Q115" s="25"/>
      <c r="R115" s="24"/>
      <c r="S115" s="26"/>
      <c r="T115" s="24"/>
      <c r="U115" s="26"/>
      <c r="V115" s="26"/>
      <c r="W115" s="27">
        <v>113</v>
      </c>
      <c r="X115" s="28"/>
    </row>
    <row r="116" ht="31" spans="1:32">
      <c r="A116" s="16" t="s">
        <v>4174</v>
      </c>
      <c r="B116" s="17" t="s">
        <v>4175</v>
      </c>
      <c r="C116" s="30" t="s">
        <v>1582</v>
      </c>
      <c r="D116" s="19" t="e">
        <f>VLOOKUP(C116,#REF!,2,0)</f>
        <v>#REF!</v>
      </c>
      <c r="E116" s="20" t="e">
        <f>VLOOKUP(D116,数据集标准分类!E:F,2,0)</f>
        <v>#REF!</v>
      </c>
      <c r="F116" s="21">
        <v>8</v>
      </c>
      <c r="G116" s="22" t="s">
        <v>1647</v>
      </c>
      <c r="H116" s="22" t="s">
        <v>5675</v>
      </c>
      <c r="I116" s="22" t="s">
        <v>1650</v>
      </c>
      <c r="J116" s="22" t="s">
        <v>1648</v>
      </c>
      <c r="K116" s="22" t="s">
        <v>1650</v>
      </c>
      <c r="L116" s="22" t="s">
        <v>1651</v>
      </c>
      <c r="M116" s="16" t="s">
        <v>5593</v>
      </c>
      <c r="N116" s="16" t="s">
        <v>5595</v>
      </c>
      <c r="O116" s="23">
        <v>21</v>
      </c>
      <c r="P116" s="24" t="e">
        <f>VLOOKUP(I116,#REF!,2,0)</f>
        <v>#REF!</v>
      </c>
      <c r="Q116" s="25"/>
      <c r="R116" s="24"/>
      <c r="S116" s="26"/>
      <c r="T116" s="24"/>
      <c r="U116" s="26"/>
      <c r="V116" s="26"/>
      <c r="W116" s="27">
        <v>114</v>
      </c>
      <c r="X116" s="28"/>
    </row>
    <row r="117" ht="31" spans="1:32">
      <c r="A117" s="16" t="s">
        <v>4174</v>
      </c>
      <c r="B117" s="17" t="s">
        <v>4175</v>
      </c>
      <c r="C117" s="30" t="s">
        <v>1582</v>
      </c>
      <c r="D117" s="19" t="e">
        <f>VLOOKUP(C117,#REF!,2,0)</f>
        <v>#REF!</v>
      </c>
      <c r="E117" s="20" t="e">
        <f>VLOOKUP(D117,数据集标准分类!E:F,2,0)</f>
        <v>#REF!</v>
      </c>
      <c r="F117" s="21">
        <v>8</v>
      </c>
      <c r="G117" s="22" t="s">
        <v>1652</v>
      </c>
      <c r="H117" s="22" t="s">
        <v>5676</v>
      </c>
      <c r="I117" s="22" t="s">
        <v>1655</v>
      </c>
      <c r="J117" s="22" t="s">
        <v>1653</v>
      </c>
      <c r="K117" s="22" t="s">
        <v>1655</v>
      </c>
      <c r="L117" s="22" t="s">
        <v>1656</v>
      </c>
      <c r="M117" s="16" t="s">
        <v>5593</v>
      </c>
      <c r="N117" s="16" t="s">
        <v>5595</v>
      </c>
      <c r="O117" s="23">
        <v>22</v>
      </c>
      <c r="P117" s="24" t="e">
        <f>VLOOKUP(I117,#REF!,2,0)</f>
        <v>#REF!</v>
      </c>
      <c r="Q117" s="25"/>
      <c r="R117" s="24"/>
      <c r="S117" s="26"/>
      <c r="T117" s="24"/>
      <c r="U117" s="26"/>
      <c r="V117" s="26"/>
      <c r="W117" s="27">
        <v>115</v>
      </c>
      <c r="X117" s="28"/>
    </row>
    <row r="118" ht="31" spans="1:32">
      <c r="A118" s="16" t="s">
        <v>4174</v>
      </c>
      <c r="B118" s="17" t="s">
        <v>4175</v>
      </c>
      <c r="C118" s="30" t="s">
        <v>1582</v>
      </c>
      <c r="D118" s="19" t="e">
        <f>VLOOKUP(C118,#REF!,2,0)</f>
        <v>#REF!</v>
      </c>
      <c r="E118" s="20" t="e">
        <f>VLOOKUP(D118,数据集标准分类!E:F,2,0)</f>
        <v>#REF!</v>
      </c>
      <c r="F118" s="21">
        <v>8</v>
      </c>
      <c r="G118" s="22" t="s">
        <v>1657</v>
      </c>
      <c r="H118" s="22" t="s">
        <v>5677</v>
      </c>
      <c r="I118" s="22" t="s">
        <v>1660</v>
      </c>
      <c r="J118" s="22" t="s">
        <v>1658</v>
      </c>
      <c r="K118" s="22" t="s">
        <v>1660</v>
      </c>
      <c r="L118" s="22" t="s">
        <v>1661</v>
      </c>
      <c r="M118" s="16" t="s">
        <v>5593</v>
      </c>
      <c r="N118" s="16" t="s">
        <v>5595</v>
      </c>
      <c r="O118" s="23">
        <v>23</v>
      </c>
      <c r="P118" s="24" t="e">
        <f>VLOOKUP(I118,#REF!,2,0)</f>
        <v>#REF!</v>
      </c>
      <c r="Q118" s="25"/>
      <c r="R118" s="24"/>
      <c r="S118" s="26"/>
      <c r="T118" s="24"/>
      <c r="U118" s="26"/>
      <c r="V118" s="26"/>
      <c r="W118" s="27">
        <v>116</v>
      </c>
      <c r="X118" s="28"/>
    </row>
    <row r="119" ht="31" spans="1:32">
      <c r="A119" s="16" t="s">
        <v>4174</v>
      </c>
      <c r="B119" s="17" t="s">
        <v>4175</v>
      </c>
      <c r="C119" s="30" t="s">
        <v>1582</v>
      </c>
      <c r="D119" s="19" t="e">
        <f>VLOOKUP(C119,#REF!,2,0)</f>
        <v>#REF!</v>
      </c>
      <c r="E119" s="20" t="e">
        <f>VLOOKUP(D119,数据集标准分类!E:F,2,0)</f>
        <v>#REF!</v>
      </c>
      <c r="F119" s="21">
        <v>8</v>
      </c>
      <c r="G119" s="22" t="s">
        <v>1369</v>
      </c>
      <c r="H119" s="22" t="s">
        <v>5678</v>
      </c>
      <c r="I119" s="22" t="s">
        <v>5679</v>
      </c>
      <c r="J119" s="22" t="s">
        <v>1370</v>
      </c>
      <c r="K119" s="22" t="s">
        <v>1372</v>
      </c>
      <c r="L119" s="22" t="s">
        <v>1373</v>
      </c>
      <c r="M119" s="16" t="s">
        <v>5593</v>
      </c>
      <c r="N119" s="16" t="s">
        <v>5593</v>
      </c>
      <c r="O119" s="23">
        <v>24</v>
      </c>
      <c r="P119" s="24" t="e">
        <f>VLOOKUP(I119,#REF!,2,0)</f>
        <v>#REF!</v>
      </c>
      <c r="Q119" s="25"/>
      <c r="R119" s="24"/>
      <c r="S119" s="26"/>
      <c r="T119" s="24"/>
      <c r="U119" s="26"/>
      <c r="V119" s="26"/>
      <c r="W119" s="27">
        <v>117</v>
      </c>
      <c r="X119" s="28"/>
    </row>
    <row r="120" ht="46" spans="1:32">
      <c r="A120" s="66" t="s">
        <v>4174</v>
      </c>
      <c r="B120" s="67" t="s">
        <v>4175</v>
      </c>
      <c r="C120" s="68" t="s">
        <v>1582</v>
      </c>
      <c r="D120" s="69" t="e">
        <f>VLOOKUP(C120,#REF!,2,0)</f>
        <v>#REF!</v>
      </c>
      <c r="E120" s="70" t="e">
        <f>VLOOKUP(D120,数据集标准分类!E:F,2,0)</f>
        <v>#REF!</v>
      </c>
      <c r="F120" s="71">
        <v>8</v>
      </c>
      <c r="G120" s="72" t="s">
        <v>245</v>
      </c>
      <c r="H120" s="72" t="s">
        <v>5680</v>
      </c>
      <c r="I120" s="72" t="s">
        <v>248</v>
      </c>
      <c r="J120" s="72" t="s">
        <v>246</v>
      </c>
      <c r="K120" s="72" t="s">
        <v>248</v>
      </c>
      <c r="L120" s="72" t="s">
        <v>249</v>
      </c>
      <c r="M120" s="66" t="s">
        <v>5593</v>
      </c>
      <c r="N120" s="66" t="s">
        <v>5595</v>
      </c>
      <c r="O120" s="73">
        <v>25</v>
      </c>
      <c r="P120" s="74" t="e">
        <f>VLOOKUP(I120,#REF!,2,0)</f>
        <v>#REF!</v>
      </c>
      <c r="Q120" s="75"/>
      <c r="R120" s="74"/>
      <c r="S120" s="76" t="s">
        <v>5593</v>
      </c>
      <c r="T120" s="74"/>
      <c r="U120" s="76"/>
      <c r="V120" s="76"/>
      <c r="W120" s="77">
        <v>118</v>
      </c>
      <c r="X120" s="78"/>
      <c r="Y120" s="79"/>
      <c r="Z120" s="79"/>
      <c r="AA120" s="79"/>
      <c r="AB120" s="79"/>
      <c r="AC120" s="79"/>
      <c r="AD120" s="79"/>
      <c r="AE120" s="79"/>
      <c r="AF120" s="79"/>
    </row>
    <row r="121" ht="61" spans="1:32">
      <c r="A121" s="16" t="s">
        <v>4174</v>
      </c>
      <c r="B121" s="17" t="s">
        <v>4175</v>
      </c>
      <c r="C121" s="30" t="s">
        <v>1582</v>
      </c>
      <c r="D121" s="19" t="e">
        <f>VLOOKUP(C121,#REF!,2,0)</f>
        <v>#REF!</v>
      </c>
      <c r="E121" s="20" t="e">
        <f>VLOOKUP(D121,数据集标准分类!E:F,2,0)</f>
        <v>#REF!</v>
      </c>
      <c r="F121" s="21">
        <v>8</v>
      </c>
      <c r="G121" s="22" t="s">
        <v>401</v>
      </c>
      <c r="H121" s="22" t="s">
        <v>5681</v>
      </c>
      <c r="I121" s="22" t="s">
        <v>5682</v>
      </c>
      <c r="J121" s="22" t="s">
        <v>402</v>
      </c>
      <c r="K121" s="22" t="s">
        <v>404</v>
      </c>
      <c r="L121" s="22" t="s">
        <v>405</v>
      </c>
      <c r="M121" s="16" t="s">
        <v>5593</v>
      </c>
      <c r="N121" s="16" t="s">
        <v>5593</v>
      </c>
      <c r="O121" s="23">
        <v>26</v>
      </c>
      <c r="P121" s="24" t="e">
        <f>VLOOKUP(I121,#REF!,2,0)</f>
        <v>#REF!</v>
      </c>
      <c r="Q121" s="25"/>
      <c r="R121" s="24"/>
      <c r="S121" s="26" t="s">
        <v>5593</v>
      </c>
      <c r="T121" s="24"/>
      <c r="U121" s="26"/>
      <c r="V121" s="26"/>
      <c r="W121" s="27">
        <v>119</v>
      </c>
      <c r="X121" s="28"/>
    </row>
    <row r="122" ht="48" customHeight="1" spans="1:32">
      <c r="A122" s="16" t="s">
        <v>4174</v>
      </c>
      <c r="B122" s="17" t="s">
        <v>4175</v>
      </c>
      <c r="C122" s="30" t="s">
        <v>1582</v>
      </c>
      <c r="D122" s="19" t="e">
        <f>VLOOKUP(C122,#REF!,2,0)</f>
        <v>#REF!</v>
      </c>
      <c r="E122" s="20" t="e">
        <f>VLOOKUP(D122,数据集标准分类!E:F,2,0)</f>
        <v>#REF!</v>
      </c>
      <c r="F122" s="21">
        <v>8</v>
      </c>
      <c r="G122" s="22" t="s">
        <v>406</v>
      </c>
      <c r="H122" s="22" t="s">
        <v>5683</v>
      </c>
      <c r="I122" s="22" t="s">
        <v>5684</v>
      </c>
      <c r="J122" s="22" t="s">
        <v>407</v>
      </c>
      <c r="K122" s="22" t="s">
        <v>409</v>
      </c>
      <c r="L122" s="22" t="s">
        <v>410</v>
      </c>
      <c r="M122" s="16" t="s">
        <v>5593</v>
      </c>
      <c r="N122" s="16" t="s">
        <v>5593</v>
      </c>
      <c r="O122" s="23">
        <v>27</v>
      </c>
      <c r="P122" s="24" t="e">
        <f>VLOOKUP(I122,#REF!,2,0)</f>
        <v>#REF!</v>
      </c>
      <c r="Q122" s="25"/>
      <c r="R122" s="24"/>
      <c r="S122" s="26" t="s">
        <v>5593</v>
      </c>
      <c r="T122" s="24"/>
      <c r="U122" s="26"/>
      <c r="V122" s="26"/>
      <c r="W122" s="27">
        <v>120</v>
      </c>
      <c r="X122" s="28"/>
    </row>
    <row r="123" ht="46" spans="1:32">
      <c r="A123" s="16" t="s">
        <v>4174</v>
      </c>
      <c r="B123" s="17" t="s">
        <v>4175</v>
      </c>
      <c r="C123" s="30" t="s">
        <v>1582</v>
      </c>
      <c r="D123" s="19" t="e">
        <f>VLOOKUP(C123,#REF!,2,0)</f>
        <v>#REF!</v>
      </c>
      <c r="E123" s="20" t="e">
        <f>VLOOKUP(D123,数据集标准分类!E:F,2,0)</f>
        <v>#REF!</v>
      </c>
      <c r="F123" s="21">
        <v>8</v>
      </c>
      <c r="G123" s="22" t="s">
        <v>421</v>
      </c>
      <c r="H123" s="22" t="s">
        <v>5685</v>
      </c>
      <c r="I123" s="22" t="s">
        <v>424</v>
      </c>
      <c r="J123" s="22" t="s">
        <v>422</v>
      </c>
      <c r="K123" s="22" t="s">
        <v>424</v>
      </c>
      <c r="L123" s="22" t="s">
        <v>425</v>
      </c>
      <c r="M123" s="16" t="s">
        <v>5593</v>
      </c>
      <c r="N123" s="16" t="s">
        <v>5595</v>
      </c>
      <c r="O123" s="23">
        <v>28</v>
      </c>
      <c r="P123" s="24" t="e">
        <f>VLOOKUP(I123,#REF!,2,0)</f>
        <v>#REF!</v>
      </c>
      <c r="Q123" s="25"/>
      <c r="R123" s="24"/>
      <c r="S123" s="26"/>
      <c r="T123" s="24"/>
      <c r="U123" s="26"/>
      <c r="V123" s="26"/>
      <c r="W123" s="27">
        <v>121</v>
      </c>
      <c r="X123" s="28"/>
    </row>
    <row r="124" ht="31" spans="1:32">
      <c r="A124" s="16" t="s">
        <v>4174</v>
      </c>
      <c r="B124" s="17" t="s">
        <v>4175</v>
      </c>
      <c r="C124" s="30" t="s">
        <v>2133</v>
      </c>
      <c r="D124" s="19" t="e">
        <f>VLOOKUP(C124,#REF!,2,0)</f>
        <v>#REF!</v>
      </c>
      <c r="E124" s="20" t="e">
        <f>VLOOKUP(D124,数据集标准分类!E:F,2,0)</f>
        <v>#REF!</v>
      </c>
      <c r="F124" s="21">
        <v>9</v>
      </c>
      <c r="G124" s="22" t="s">
        <v>711</v>
      </c>
      <c r="H124" s="22" t="s">
        <v>712</v>
      </c>
      <c r="I124" s="22" t="s">
        <v>713</v>
      </c>
      <c r="J124" s="22" t="s">
        <v>712</v>
      </c>
      <c r="K124" s="22" t="s">
        <v>713</v>
      </c>
      <c r="L124" s="22" t="s">
        <v>714</v>
      </c>
      <c r="M124" s="16" t="s">
        <v>5595</v>
      </c>
      <c r="N124" s="16" t="s">
        <v>5595</v>
      </c>
      <c r="O124" s="23">
        <v>1</v>
      </c>
      <c r="P124" s="24" t="e">
        <f>VLOOKUP(I124,#REF!,2,0)</f>
        <v>#REF!</v>
      </c>
      <c r="Q124" s="25"/>
      <c r="R124" s="24"/>
      <c r="S124" s="26"/>
      <c r="T124" s="24"/>
      <c r="U124" s="26"/>
      <c r="V124" s="26"/>
      <c r="W124" s="27">
        <v>122</v>
      </c>
      <c r="X124" s="28"/>
    </row>
    <row r="125" ht="61" spans="1:32">
      <c r="A125" s="16" t="s">
        <v>4174</v>
      </c>
      <c r="B125" s="17" t="s">
        <v>4175</v>
      </c>
      <c r="C125" s="30" t="s">
        <v>2133</v>
      </c>
      <c r="D125" s="19" t="e">
        <f>VLOOKUP(C125,#REF!,2,0)</f>
        <v>#REF!</v>
      </c>
      <c r="E125" s="20" t="e">
        <f>VLOOKUP(D125,数据集标准分类!E:F,2,0)</f>
        <v>#REF!</v>
      </c>
      <c r="F125" s="21">
        <v>9</v>
      </c>
      <c r="G125" s="22" t="s">
        <v>77</v>
      </c>
      <c r="H125" s="22" t="s">
        <v>5686</v>
      </c>
      <c r="I125" s="22" t="s">
        <v>80</v>
      </c>
      <c r="J125" s="22" t="s">
        <v>78</v>
      </c>
      <c r="K125" s="22" t="s">
        <v>80</v>
      </c>
      <c r="L125" s="22" t="s">
        <v>310</v>
      </c>
      <c r="M125" s="16" t="s">
        <v>5593</v>
      </c>
      <c r="N125" s="16" t="s">
        <v>5595</v>
      </c>
      <c r="O125" s="23">
        <v>2</v>
      </c>
      <c r="P125" s="24" t="e">
        <f>VLOOKUP(I125,#REF!,2,0)</f>
        <v>#REF!</v>
      </c>
      <c r="Q125" s="25"/>
      <c r="R125" s="24"/>
      <c r="S125" s="26"/>
      <c r="T125" s="24"/>
      <c r="U125" s="26"/>
      <c r="V125" s="26"/>
      <c r="W125" s="27">
        <v>123</v>
      </c>
      <c r="X125" s="28"/>
    </row>
    <row r="126" ht="61" spans="1:32">
      <c r="A126" s="16" t="s">
        <v>4174</v>
      </c>
      <c r="B126" s="17" t="s">
        <v>4175</v>
      </c>
      <c r="C126" s="30" t="s">
        <v>2133</v>
      </c>
      <c r="D126" s="19" t="e">
        <f>VLOOKUP(C126,#REF!,2,0)</f>
        <v>#REF!</v>
      </c>
      <c r="E126" s="20" t="e">
        <f>VLOOKUP(D126,数据集标准分类!E:F,2,0)</f>
        <v>#REF!</v>
      </c>
      <c r="F126" s="21">
        <v>9</v>
      </c>
      <c r="G126" s="22" t="s">
        <v>82</v>
      </c>
      <c r="H126" s="22" t="s">
        <v>5687</v>
      </c>
      <c r="I126" s="22" t="s">
        <v>85</v>
      </c>
      <c r="J126" s="22" t="s">
        <v>83</v>
      </c>
      <c r="K126" s="22" t="s">
        <v>85</v>
      </c>
      <c r="L126" s="22" t="s">
        <v>311</v>
      </c>
      <c r="M126" s="16" t="s">
        <v>5593</v>
      </c>
      <c r="N126" s="16" t="s">
        <v>5595</v>
      </c>
      <c r="O126" s="23">
        <v>3</v>
      </c>
      <c r="P126" s="24" t="e">
        <f>VLOOKUP(I126,#REF!,2,0)</f>
        <v>#REF!</v>
      </c>
      <c r="Q126" s="25"/>
      <c r="R126" s="24"/>
      <c r="S126" s="26"/>
      <c r="T126" s="24"/>
      <c r="U126" s="26"/>
      <c r="V126" s="26"/>
      <c r="W126" s="27">
        <v>124</v>
      </c>
      <c r="X126" s="28"/>
    </row>
    <row r="127" ht="31" spans="1:32">
      <c r="A127" s="16" t="s">
        <v>4174</v>
      </c>
      <c r="B127" s="17" t="s">
        <v>4175</v>
      </c>
      <c r="C127" s="30" t="s">
        <v>2133</v>
      </c>
      <c r="D127" s="19" t="e">
        <f>VLOOKUP(C127,#REF!,2,0)</f>
        <v>#REF!</v>
      </c>
      <c r="E127" s="20" t="e">
        <f>VLOOKUP(D127,数据集标准分类!E:F,2,0)</f>
        <v>#REF!</v>
      </c>
      <c r="F127" s="21">
        <v>9</v>
      </c>
      <c r="G127" s="22" t="s">
        <v>172</v>
      </c>
      <c r="H127" s="22" t="s">
        <v>5639</v>
      </c>
      <c r="I127" s="22" t="s">
        <v>5640</v>
      </c>
      <c r="J127" s="22" t="s">
        <v>173</v>
      </c>
      <c r="K127" s="22" t="s">
        <v>175</v>
      </c>
      <c r="L127" s="22" t="s">
        <v>1587</v>
      </c>
      <c r="M127" s="16" t="s">
        <v>5593</v>
      </c>
      <c r="N127" s="16" t="s">
        <v>5593</v>
      </c>
      <c r="O127" s="23">
        <v>4</v>
      </c>
      <c r="P127" s="24" t="e">
        <f>VLOOKUP(I127,#REF!,2,0)</f>
        <v>#REF!</v>
      </c>
      <c r="Q127" s="25"/>
      <c r="R127" s="24"/>
      <c r="S127" s="26"/>
      <c r="T127" s="24"/>
      <c r="U127" s="26"/>
      <c r="V127" s="26"/>
      <c r="W127" s="27">
        <v>125</v>
      </c>
      <c r="X127" s="28"/>
    </row>
    <row r="128" ht="31" spans="1:32">
      <c r="A128" s="16" t="s">
        <v>4174</v>
      </c>
      <c r="B128" s="17" t="s">
        <v>4175</v>
      </c>
      <c r="C128" s="30" t="s">
        <v>2133</v>
      </c>
      <c r="D128" s="19" t="e">
        <f>VLOOKUP(C128,#REF!,2,0)</f>
        <v>#REF!</v>
      </c>
      <c r="E128" s="20" t="e">
        <f>VLOOKUP(D128,数据集标准分类!E:F,2,0)</f>
        <v>#REF!</v>
      </c>
      <c r="F128" s="21">
        <v>9</v>
      </c>
      <c r="G128" s="22" t="s">
        <v>192</v>
      </c>
      <c r="H128" s="22" t="s">
        <v>5630</v>
      </c>
      <c r="I128" s="22" t="s">
        <v>5631</v>
      </c>
      <c r="J128" s="22" t="s">
        <v>193</v>
      </c>
      <c r="K128" s="22" t="s">
        <v>195</v>
      </c>
      <c r="L128" s="22" t="s">
        <v>1722</v>
      </c>
      <c r="M128" s="16" t="s">
        <v>5593</v>
      </c>
      <c r="N128" s="16" t="s">
        <v>5593</v>
      </c>
      <c r="O128" s="23">
        <v>5</v>
      </c>
      <c r="P128" s="24" t="e">
        <f>VLOOKUP(I128,#REF!,2,0)</f>
        <v>#REF!</v>
      </c>
      <c r="Q128" s="25"/>
      <c r="R128" s="24"/>
      <c r="S128" s="26"/>
      <c r="T128" s="24"/>
      <c r="U128" s="26"/>
      <c r="V128" s="26"/>
      <c r="W128" s="27">
        <v>126</v>
      </c>
      <c r="X128" s="28"/>
    </row>
    <row r="129" ht="46" spans="1:24">
      <c r="A129" s="16" t="s">
        <v>4174</v>
      </c>
      <c r="B129" s="17" t="s">
        <v>4175</v>
      </c>
      <c r="C129" s="30" t="s">
        <v>2133</v>
      </c>
      <c r="D129" s="19" t="e">
        <f>VLOOKUP(C129,#REF!,2,0)</f>
        <v>#REF!</v>
      </c>
      <c r="E129" s="20" t="e">
        <f>VLOOKUP(D129,数据集标准分类!E:F,2,0)</f>
        <v>#REF!</v>
      </c>
      <c r="F129" s="21">
        <v>9</v>
      </c>
      <c r="G129" s="22" t="s">
        <v>421</v>
      </c>
      <c r="H129" s="22" t="s">
        <v>5685</v>
      </c>
      <c r="I129" s="22" t="s">
        <v>424</v>
      </c>
      <c r="J129" s="22" t="s">
        <v>422</v>
      </c>
      <c r="K129" s="22" t="s">
        <v>424</v>
      </c>
      <c r="L129" s="22" t="s">
        <v>1724</v>
      </c>
      <c r="M129" s="16" t="s">
        <v>5593</v>
      </c>
      <c r="N129" s="16" t="s">
        <v>5595</v>
      </c>
      <c r="O129" s="23">
        <v>6</v>
      </c>
      <c r="P129" s="24" t="e">
        <f>VLOOKUP(I129,#REF!,2,0)</f>
        <v>#REF!</v>
      </c>
      <c r="Q129" s="25"/>
      <c r="R129" s="24"/>
      <c r="S129" s="26"/>
      <c r="T129" s="24"/>
      <c r="U129" s="26"/>
      <c r="V129" s="26"/>
      <c r="W129" s="27">
        <v>127</v>
      </c>
      <c r="X129" s="28"/>
    </row>
    <row r="130" ht="46" spans="1:24">
      <c r="A130" s="16" t="s">
        <v>4174</v>
      </c>
      <c r="B130" s="17" t="s">
        <v>4175</v>
      </c>
      <c r="C130" s="30" t="s">
        <v>2133</v>
      </c>
      <c r="D130" s="19" t="e">
        <f>VLOOKUP(C130,#REF!,2,0)</f>
        <v>#REF!</v>
      </c>
      <c r="E130" s="20" t="e">
        <f>VLOOKUP(D130,数据集标准分类!E:F,2,0)</f>
        <v>#REF!</v>
      </c>
      <c r="F130" s="21">
        <v>9</v>
      </c>
      <c r="G130" s="22" t="s">
        <v>2134</v>
      </c>
      <c r="H130" s="22" t="s">
        <v>5688</v>
      </c>
      <c r="I130" s="22" t="s">
        <v>2137</v>
      </c>
      <c r="J130" s="22" t="s">
        <v>2135</v>
      </c>
      <c r="K130" s="22" t="s">
        <v>2137</v>
      </c>
      <c r="L130" s="22" t="s">
        <v>2138</v>
      </c>
      <c r="M130" s="16" t="s">
        <v>5593</v>
      </c>
      <c r="N130" s="16" t="s">
        <v>5595</v>
      </c>
      <c r="O130" s="23">
        <v>7</v>
      </c>
      <c r="P130" s="24" t="e">
        <f>VLOOKUP(I130,#REF!,2,0)</f>
        <v>#REF!</v>
      </c>
      <c r="Q130" s="25"/>
      <c r="R130" s="24"/>
      <c r="S130" s="26"/>
      <c r="T130" s="24"/>
      <c r="U130" s="26"/>
      <c r="V130" s="26"/>
      <c r="W130" s="27">
        <v>128</v>
      </c>
      <c r="X130" s="28"/>
    </row>
    <row r="131" ht="31" spans="1:24">
      <c r="A131" s="16" t="s">
        <v>4174</v>
      </c>
      <c r="B131" s="17" t="s">
        <v>4175</v>
      </c>
      <c r="C131" s="30" t="s">
        <v>2133</v>
      </c>
      <c r="D131" s="19" t="e">
        <f>VLOOKUP(C131,#REF!,2,0)</f>
        <v>#REF!</v>
      </c>
      <c r="E131" s="20" t="e">
        <f>VLOOKUP(D131,数据集标准分类!E:F,2,0)</f>
        <v>#REF!</v>
      </c>
      <c r="F131" s="21">
        <v>9</v>
      </c>
      <c r="G131" s="22" t="s">
        <v>1192</v>
      </c>
      <c r="H131" s="22" t="s">
        <v>5638</v>
      </c>
      <c r="I131" s="22" t="s">
        <v>1195</v>
      </c>
      <c r="J131" s="22" t="s">
        <v>1193</v>
      </c>
      <c r="K131" s="22" t="s">
        <v>1195</v>
      </c>
      <c r="L131" s="22" t="s">
        <v>1196</v>
      </c>
      <c r="M131" s="16" t="s">
        <v>5593</v>
      </c>
      <c r="N131" s="16" t="s">
        <v>5595</v>
      </c>
      <c r="O131" s="23">
        <v>8</v>
      </c>
      <c r="P131" s="24" t="e">
        <f>VLOOKUP(I131,#REF!,2,0)</f>
        <v>#REF!</v>
      </c>
      <c r="Q131" s="25"/>
      <c r="R131" s="24"/>
      <c r="S131" s="26"/>
      <c r="T131" s="24"/>
      <c r="U131" s="26"/>
      <c r="V131" s="26"/>
      <c r="W131" s="27">
        <v>129</v>
      </c>
      <c r="X131" s="28"/>
    </row>
    <row r="132" spans="1:24">
      <c r="A132" s="16" t="s">
        <v>4174</v>
      </c>
      <c r="B132" s="17" t="s">
        <v>4175</v>
      </c>
      <c r="C132" s="30" t="s">
        <v>2133</v>
      </c>
      <c r="D132" s="19" t="e">
        <f>VLOOKUP(C132,#REF!,2,0)</f>
        <v>#REF!</v>
      </c>
      <c r="E132" s="20" t="e">
        <f>VLOOKUP(D132,数据集标准分类!E:F,2,0)</f>
        <v>#REF!</v>
      </c>
      <c r="F132" s="21">
        <v>9</v>
      </c>
      <c r="G132" s="22" t="s">
        <v>2139</v>
      </c>
      <c r="H132" s="22" t="s">
        <v>5689</v>
      </c>
      <c r="I132" s="22" t="s">
        <v>2142</v>
      </c>
      <c r="J132" s="22" t="s">
        <v>2140</v>
      </c>
      <c r="K132" s="22" t="s">
        <v>2142</v>
      </c>
      <c r="L132" s="22" t="s">
        <v>2143</v>
      </c>
      <c r="M132" s="16" t="s">
        <v>5593</v>
      </c>
      <c r="N132" s="16" t="s">
        <v>5595</v>
      </c>
      <c r="O132" s="23">
        <v>9</v>
      </c>
      <c r="P132" s="24" t="e">
        <f>VLOOKUP(I132,#REF!,2,0)</f>
        <v>#REF!</v>
      </c>
      <c r="Q132" s="25"/>
      <c r="R132" s="24"/>
      <c r="S132" s="26"/>
      <c r="T132" s="24"/>
      <c r="U132" s="26"/>
      <c r="V132" s="26"/>
      <c r="W132" s="27">
        <v>130</v>
      </c>
      <c r="X132" s="28"/>
    </row>
    <row r="133" ht="31" spans="1:24">
      <c r="A133" s="16" t="s">
        <v>4174</v>
      </c>
      <c r="B133" s="17" t="s">
        <v>4175</v>
      </c>
      <c r="C133" s="30" t="s">
        <v>2133</v>
      </c>
      <c r="D133" s="19" t="e">
        <f>VLOOKUP(C133,#REF!,2,0)</f>
        <v>#REF!</v>
      </c>
      <c r="E133" s="20" t="e">
        <f>VLOOKUP(D133,数据集标准分类!E:F,2,0)</f>
        <v>#REF!</v>
      </c>
      <c r="F133" s="21">
        <v>9</v>
      </c>
      <c r="G133" s="22" t="s">
        <v>508</v>
      </c>
      <c r="H133" s="22" t="s">
        <v>5594</v>
      </c>
      <c r="I133" s="22" t="s">
        <v>511</v>
      </c>
      <c r="J133" s="22" t="s">
        <v>509</v>
      </c>
      <c r="K133" s="22" t="s">
        <v>511</v>
      </c>
      <c r="L133" s="22" t="s">
        <v>116</v>
      </c>
      <c r="M133" s="16" t="s">
        <v>5593</v>
      </c>
      <c r="N133" s="16" t="s">
        <v>5595</v>
      </c>
      <c r="O133" s="23">
        <v>10</v>
      </c>
      <c r="P133" s="24" t="e">
        <f>VLOOKUP(I133,#REF!,2,0)</f>
        <v>#REF!</v>
      </c>
      <c r="Q133" s="25"/>
      <c r="R133" s="24"/>
      <c r="S133" s="26"/>
      <c r="T133" s="24"/>
      <c r="U133" s="26"/>
      <c r="V133" s="26"/>
      <c r="W133" s="27">
        <v>131</v>
      </c>
      <c r="X133" s="28"/>
    </row>
    <row r="134" ht="31" spans="1:24">
      <c r="A134" s="16" t="s">
        <v>4174</v>
      </c>
      <c r="B134" s="17" t="s">
        <v>4175</v>
      </c>
      <c r="C134" s="30" t="s">
        <v>2133</v>
      </c>
      <c r="D134" s="19" t="e">
        <f>VLOOKUP(C134,#REF!,2,0)</f>
        <v>#REF!</v>
      </c>
      <c r="E134" s="20" t="e">
        <f>VLOOKUP(D134,数据集标准分类!E:F,2,0)</f>
        <v>#REF!</v>
      </c>
      <c r="F134" s="21">
        <v>9</v>
      </c>
      <c r="G134" s="22" t="s">
        <v>2144</v>
      </c>
      <c r="H134" s="22" t="s">
        <v>2145</v>
      </c>
      <c r="I134" s="22" t="s">
        <v>2147</v>
      </c>
      <c r="J134" s="22" t="s">
        <v>2145</v>
      </c>
      <c r="K134" s="22" t="s">
        <v>2147</v>
      </c>
      <c r="L134" s="22" t="s">
        <v>2148</v>
      </c>
      <c r="M134" s="16" t="s">
        <v>5595</v>
      </c>
      <c r="N134" s="16" t="s">
        <v>5595</v>
      </c>
      <c r="O134" s="23">
        <v>11</v>
      </c>
      <c r="P134" s="24" t="e">
        <f>VLOOKUP(I134,#REF!,2,0)</f>
        <v>#REF!</v>
      </c>
      <c r="Q134" s="25"/>
      <c r="R134" s="24"/>
      <c r="S134" s="26"/>
      <c r="T134" s="24"/>
      <c r="U134" s="26"/>
      <c r="V134" s="26"/>
      <c r="W134" s="27">
        <v>132</v>
      </c>
      <c r="X134" s="28"/>
    </row>
    <row r="135" ht="31" spans="1:24">
      <c r="A135" s="16" t="s">
        <v>4174</v>
      </c>
      <c r="B135" s="17" t="s">
        <v>4175</v>
      </c>
      <c r="C135" s="30" t="s">
        <v>2133</v>
      </c>
      <c r="D135" s="19" t="e">
        <f>VLOOKUP(C135,#REF!,2,0)</f>
        <v>#REF!</v>
      </c>
      <c r="E135" s="20" t="e">
        <f>VLOOKUP(D135,数据集标准分类!E:F,2,0)</f>
        <v>#REF!</v>
      </c>
      <c r="F135" s="21">
        <v>9</v>
      </c>
      <c r="G135" s="22" t="s">
        <v>2149</v>
      </c>
      <c r="H135" s="22" t="s">
        <v>2150</v>
      </c>
      <c r="I135" s="22" t="s">
        <v>2152</v>
      </c>
      <c r="J135" s="22" t="s">
        <v>2150</v>
      </c>
      <c r="K135" s="22" t="s">
        <v>2152</v>
      </c>
      <c r="L135" s="22" t="s">
        <v>2153</v>
      </c>
      <c r="M135" s="16" t="s">
        <v>5595</v>
      </c>
      <c r="N135" s="16" t="s">
        <v>5595</v>
      </c>
      <c r="O135" s="23">
        <v>12</v>
      </c>
      <c r="P135" s="24" t="e">
        <f>VLOOKUP(I135,#REF!,2,0)</f>
        <v>#REF!</v>
      </c>
      <c r="Q135" s="25"/>
      <c r="R135" s="24"/>
      <c r="S135" s="26"/>
      <c r="T135" s="24"/>
      <c r="U135" s="26"/>
      <c r="V135" s="26"/>
      <c r="W135" s="27">
        <v>133</v>
      </c>
      <c r="X135" s="28"/>
    </row>
    <row r="136" spans="1:24">
      <c r="A136" s="16" t="s">
        <v>4174</v>
      </c>
      <c r="B136" s="17" t="s">
        <v>4175</v>
      </c>
      <c r="C136" s="30" t="s">
        <v>2133</v>
      </c>
      <c r="D136" s="19" t="e">
        <f>VLOOKUP(C136,#REF!,2,0)</f>
        <v>#REF!</v>
      </c>
      <c r="E136" s="20" t="e">
        <f>VLOOKUP(D136,数据集标准分类!E:F,2,0)</f>
        <v>#REF!</v>
      </c>
      <c r="F136" s="21">
        <v>9</v>
      </c>
      <c r="G136" s="22" t="s">
        <v>2154</v>
      </c>
      <c r="H136" s="22" t="s">
        <v>2155</v>
      </c>
      <c r="I136" s="22" t="s">
        <v>2157</v>
      </c>
      <c r="J136" s="22" t="s">
        <v>2155</v>
      </c>
      <c r="K136" s="22" t="s">
        <v>2157</v>
      </c>
      <c r="L136" s="22" t="s">
        <v>2158</v>
      </c>
      <c r="M136" s="16" t="s">
        <v>5595</v>
      </c>
      <c r="N136" s="16" t="s">
        <v>5595</v>
      </c>
      <c r="O136" s="23">
        <v>13</v>
      </c>
      <c r="P136" s="24" t="e">
        <f>VLOOKUP(I136,#REF!,2,0)</f>
        <v>#REF!</v>
      </c>
      <c r="Q136" s="25"/>
      <c r="R136" s="24"/>
      <c r="S136" s="26"/>
      <c r="T136" s="24"/>
      <c r="U136" s="26"/>
      <c r="V136" s="26"/>
      <c r="W136" s="27">
        <v>134</v>
      </c>
      <c r="X136" s="28"/>
    </row>
    <row r="137" spans="1:24">
      <c r="A137" s="16" t="s">
        <v>4174</v>
      </c>
      <c r="B137" s="17" t="s">
        <v>4175</v>
      </c>
      <c r="C137" s="30" t="s">
        <v>2133</v>
      </c>
      <c r="D137" s="19" t="e">
        <f>VLOOKUP(C137,#REF!,2,0)</f>
        <v>#REF!</v>
      </c>
      <c r="E137" s="20" t="e">
        <f>VLOOKUP(D137,数据集标准分类!E:F,2,0)</f>
        <v>#REF!</v>
      </c>
      <c r="F137" s="21">
        <v>9</v>
      </c>
      <c r="G137" s="22" t="s">
        <v>2159</v>
      </c>
      <c r="H137" s="22" t="s">
        <v>5690</v>
      </c>
      <c r="I137" s="22" t="s">
        <v>2162</v>
      </c>
      <c r="J137" s="22" t="s">
        <v>2160</v>
      </c>
      <c r="K137" s="22" t="s">
        <v>2162</v>
      </c>
      <c r="L137" s="22" t="s">
        <v>2163</v>
      </c>
      <c r="M137" s="16" t="s">
        <v>5593</v>
      </c>
      <c r="N137" s="16" t="s">
        <v>5595</v>
      </c>
      <c r="O137" s="23">
        <v>14</v>
      </c>
      <c r="P137" s="24" t="e">
        <f>VLOOKUP(I137,#REF!,2,0)</f>
        <v>#REF!</v>
      </c>
      <c r="Q137" s="25"/>
      <c r="R137" s="24"/>
      <c r="S137" s="26"/>
      <c r="T137" s="24"/>
      <c r="U137" s="26"/>
      <c r="V137" s="26"/>
      <c r="W137" s="27">
        <v>135</v>
      </c>
      <c r="X137" s="28"/>
    </row>
    <row r="138" spans="1:24">
      <c r="A138" s="16" t="s">
        <v>4174</v>
      </c>
      <c r="B138" s="17" t="s">
        <v>4175</v>
      </c>
      <c r="C138" s="30" t="s">
        <v>2133</v>
      </c>
      <c r="D138" s="19" t="e">
        <f>VLOOKUP(C138,#REF!,2,0)</f>
        <v>#REF!</v>
      </c>
      <c r="E138" s="20" t="e">
        <f>VLOOKUP(D138,数据集标准分类!E:F,2,0)</f>
        <v>#REF!</v>
      </c>
      <c r="F138" s="21">
        <v>9</v>
      </c>
      <c r="G138" s="22" t="s">
        <v>2164</v>
      </c>
      <c r="H138" s="22" t="s">
        <v>2165</v>
      </c>
      <c r="I138" s="22" t="s">
        <v>2167</v>
      </c>
      <c r="J138" s="22" t="s">
        <v>2165</v>
      </c>
      <c r="K138" s="22" t="s">
        <v>2167</v>
      </c>
      <c r="L138" s="22" t="s">
        <v>2168</v>
      </c>
      <c r="M138" s="16" t="s">
        <v>5595</v>
      </c>
      <c r="N138" s="16" t="s">
        <v>5595</v>
      </c>
      <c r="O138" s="23">
        <v>15</v>
      </c>
      <c r="P138" s="24" t="e">
        <f>VLOOKUP(I138,#REF!,2,0)</f>
        <v>#REF!</v>
      </c>
      <c r="Q138" s="25"/>
      <c r="R138" s="24"/>
      <c r="S138" s="26"/>
      <c r="T138" s="24"/>
      <c r="U138" s="26"/>
      <c r="V138" s="26"/>
      <c r="W138" s="27">
        <v>136</v>
      </c>
      <c r="X138" s="28"/>
    </row>
    <row r="139" ht="31" spans="1:24">
      <c r="A139" s="16" t="s">
        <v>4174</v>
      </c>
      <c r="B139" s="17" t="s">
        <v>4175</v>
      </c>
      <c r="C139" s="30" t="s">
        <v>2133</v>
      </c>
      <c r="D139" s="19" t="e">
        <f>VLOOKUP(C139,#REF!,2,0)</f>
        <v>#REF!</v>
      </c>
      <c r="E139" s="20" t="e">
        <f>VLOOKUP(D139,数据集标准分类!E:F,2,0)</f>
        <v>#REF!</v>
      </c>
      <c r="F139" s="21">
        <v>9</v>
      </c>
      <c r="G139" s="22" t="s">
        <v>2169</v>
      </c>
      <c r="H139" s="22" t="s">
        <v>5691</v>
      </c>
      <c r="I139" s="22" t="s">
        <v>2172</v>
      </c>
      <c r="J139" s="22" t="s">
        <v>2170</v>
      </c>
      <c r="K139" s="22" t="s">
        <v>2172</v>
      </c>
      <c r="L139" s="22" t="s">
        <v>2173</v>
      </c>
      <c r="M139" s="16" t="s">
        <v>5593</v>
      </c>
      <c r="N139" s="16" t="s">
        <v>5595</v>
      </c>
      <c r="O139" s="23">
        <v>16</v>
      </c>
      <c r="P139" s="24" t="e">
        <f>VLOOKUP(I139,#REF!,2,0)</f>
        <v>#REF!</v>
      </c>
      <c r="Q139" s="25"/>
      <c r="R139" s="24"/>
      <c r="S139" s="26"/>
      <c r="T139" s="24"/>
      <c r="U139" s="26"/>
      <c r="V139" s="26"/>
      <c r="W139" s="27">
        <v>137</v>
      </c>
      <c r="X139" s="28"/>
    </row>
    <row r="140" ht="31" spans="1:24">
      <c r="A140" s="16" t="s">
        <v>4174</v>
      </c>
      <c r="B140" s="17" t="s">
        <v>4175</v>
      </c>
      <c r="C140" s="30" t="s">
        <v>2133</v>
      </c>
      <c r="D140" s="19" t="e">
        <f>VLOOKUP(C140,#REF!,2,0)</f>
        <v>#REF!</v>
      </c>
      <c r="E140" s="20" t="e">
        <f>VLOOKUP(D140,数据集标准分类!E:F,2,0)</f>
        <v>#REF!</v>
      </c>
      <c r="F140" s="21">
        <v>9</v>
      </c>
      <c r="G140" s="29" t="s">
        <v>2174</v>
      </c>
      <c r="H140" s="29" t="s">
        <v>5692</v>
      </c>
      <c r="I140" s="29" t="s">
        <v>2177</v>
      </c>
      <c r="J140" s="22" t="s">
        <v>2175</v>
      </c>
      <c r="K140" s="22" t="s">
        <v>2177</v>
      </c>
      <c r="L140" s="22" t="s">
        <v>2178</v>
      </c>
      <c r="M140" s="16" t="s">
        <v>5593</v>
      </c>
      <c r="N140" s="16" t="s">
        <v>5595</v>
      </c>
      <c r="O140" s="23">
        <v>17</v>
      </c>
      <c r="P140" s="24" t="e">
        <f>VLOOKUP(I140,#REF!,2,0)</f>
        <v>#REF!</v>
      </c>
      <c r="Q140" s="25"/>
      <c r="R140" s="24"/>
      <c r="S140" s="26"/>
      <c r="T140" s="24"/>
      <c r="U140" s="26"/>
      <c r="V140" s="26"/>
      <c r="W140" s="27">
        <v>138</v>
      </c>
      <c r="X140" s="28"/>
    </row>
    <row r="141" ht="31" spans="1:24">
      <c r="A141" s="16" t="s">
        <v>4174</v>
      </c>
      <c r="B141" s="17" t="s">
        <v>4175</v>
      </c>
      <c r="C141" s="30" t="s">
        <v>2133</v>
      </c>
      <c r="D141" s="19" t="e">
        <f>VLOOKUP(C141,#REF!,2,0)</f>
        <v>#REF!</v>
      </c>
      <c r="E141" s="20" t="e">
        <f>VLOOKUP(D141,数据集标准分类!E:F,2,0)</f>
        <v>#REF!</v>
      </c>
      <c r="F141" s="21">
        <v>9</v>
      </c>
      <c r="G141" s="22" t="s">
        <v>2179</v>
      </c>
      <c r="H141" s="22" t="s">
        <v>5693</v>
      </c>
      <c r="I141" s="22" t="s">
        <v>2182</v>
      </c>
      <c r="J141" s="22" t="s">
        <v>2180</v>
      </c>
      <c r="K141" s="22" t="s">
        <v>2182</v>
      </c>
      <c r="L141" s="22" t="s">
        <v>2183</v>
      </c>
      <c r="M141" s="16" t="s">
        <v>5593</v>
      </c>
      <c r="N141" s="16" t="s">
        <v>5595</v>
      </c>
      <c r="O141" s="23">
        <v>18</v>
      </c>
      <c r="P141" s="24" t="e">
        <f>VLOOKUP(I141,#REF!,2,0)</f>
        <v>#REF!</v>
      </c>
      <c r="Q141" s="25"/>
      <c r="R141" s="24"/>
      <c r="S141" s="26"/>
      <c r="T141" s="24"/>
      <c r="U141" s="26"/>
      <c r="V141" s="26"/>
      <c r="W141" s="27">
        <v>139</v>
      </c>
      <c r="X141" s="28"/>
    </row>
    <row r="142" ht="31" spans="1:24">
      <c r="A142" s="16" t="s">
        <v>4174</v>
      </c>
      <c r="B142" s="17" t="s">
        <v>4175</v>
      </c>
      <c r="C142" s="30" t="s">
        <v>2133</v>
      </c>
      <c r="D142" s="19" t="e">
        <f>VLOOKUP(C142,#REF!,2,0)</f>
        <v>#REF!</v>
      </c>
      <c r="E142" s="20" t="e">
        <f>VLOOKUP(D142,数据集标准分类!E:F,2,0)</f>
        <v>#REF!</v>
      </c>
      <c r="F142" s="21">
        <v>9</v>
      </c>
      <c r="G142" s="22" t="s">
        <v>2184</v>
      </c>
      <c r="H142" s="22" t="s">
        <v>5694</v>
      </c>
      <c r="I142" s="22" t="s">
        <v>2187</v>
      </c>
      <c r="J142" s="22" t="s">
        <v>2185</v>
      </c>
      <c r="K142" s="22" t="s">
        <v>2187</v>
      </c>
      <c r="L142" s="22" t="s">
        <v>2188</v>
      </c>
      <c r="M142" s="16" t="s">
        <v>5593</v>
      </c>
      <c r="N142" s="16" t="s">
        <v>5595</v>
      </c>
      <c r="O142" s="23">
        <v>19</v>
      </c>
      <c r="P142" s="24" t="e">
        <f>VLOOKUP(I142,#REF!,2,0)</f>
        <v>#REF!</v>
      </c>
      <c r="Q142" s="25"/>
      <c r="R142" s="24"/>
      <c r="S142" s="26"/>
      <c r="T142" s="24"/>
      <c r="U142" s="26"/>
      <c r="V142" s="26"/>
      <c r="W142" s="27">
        <v>140</v>
      </c>
      <c r="X142" s="28"/>
    </row>
    <row r="143" ht="31" spans="1:24">
      <c r="A143" s="16" t="s">
        <v>4174</v>
      </c>
      <c r="B143" s="17" t="s">
        <v>4175</v>
      </c>
      <c r="C143" s="30" t="s">
        <v>2133</v>
      </c>
      <c r="D143" s="19" t="e">
        <f>VLOOKUP(C143,#REF!,2,0)</f>
        <v>#REF!</v>
      </c>
      <c r="E143" s="20" t="e">
        <f>VLOOKUP(D143,数据集标准分类!E:F,2,0)</f>
        <v>#REF!</v>
      </c>
      <c r="F143" s="21">
        <v>9</v>
      </c>
      <c r="G143" s="22" t="s">
        <v>2189</v>
      </c>
      <c r="H143" s="22" t="s">
        <v>5695</v>
      </c>
      <c r="I143" s="22" t="s">
        <v>2192</v>
      </c>
      <c r="J143" s="22" t="s">
        <v>2190</v>
      </c>
      <c r="K143" s="22" t="s">
        <v>2192</v>
      </c>
      <c r="L143" s="22" t="s">
        <v>2193</v>
      </c>
      <c r="M143" s="16" t="s">
        <v>5593</v>
      </c>
      <c r="N143" s="16" t="s">
        <v>5595</v>
      </c>
      <c r="O143" s="23">
        <v>20</v>
      </c>
      <c r="P143" s="24" t="e">
        <f>VLOOKUP(I143,#REF!,2,0)</f>
        <v>#REF!</v>
      </c>
      <c r="Q143" s="25"/>
      <c r="R143" s="24"/>
      <c r="S143" s="26"/>
      <c r="T143" s="24"/>
      <c r="U143" s="26"/>
      <c r="V143" s="26"/>
      <c r="W143" s="27">
        <v>141</v>
      </c>
      <c r="X143" s="28"/>
    </row>
    <row r="144" ht="31" spans="1:24">
      <c r="A144" s="16" t="s">
        <v>4174</v>
      </c>
      <c r="B144" s="17" t="s">
        <v>4175</v>
      </c>
      <c r="C144" s="30" t="s">
        <v>2133</v>
      </c>
      <c r="D144" s="19" t="e">
        <f>VLOOKUP(C144,#REF!,2,0)</f>
        <v>#REF!</v>
      </c>
      <c r="E144" s="20" t="e">
        <f>VLOOKUP(D144,数据集标准分类!E:F,2,0)</f>
        <v>#REF!</v>
      </c>
      <c r="F144" s="21">
        <v>9</v>
      </c>
      <c r="G144" s="29" t="s">
        <v>2194</v>
      </c>
      <c r="H144" s="29" t="s">
        <v>5696</v>
      </c>
      <c r="I144" s="29" t="s">
        <v>2197</v>
      </c>
      <c r="J144" s="22" t="s">
        <v>2195</v>
      </c>
      <c r="K144" s="22" t="s">
        <v>2197</v>
      </c>
      <c r="L144" s="22" t="s">
        <v>2198</v>
      </c>
      <c r="M144" s="16" t="s">
        <v>5593</v>
      </c>
      <c r="N144" s="16" t="s">
        <v>5595</v>
      </c>
      <c r="O144" s="23">
        <v>21</v>
      </c>
      <c r="P144" s="24" t="e">
        <f>VLOOKUP(I144,#REF!,2,0)</f>
        <v>#REF!</v>
      </c>
      <c r="Q144" s="25"/>
      <c r="R144" s="24"/>
      <c r="S144" s="26"/>
      <c r="T144" s="24"/>
      <c r="U144" s="26"/>
      <c r="V144" s="26"/>
      <c r="W144" s="27">
        <v>142</v>
      </c>
      <c r="X144" s="28"/>
    </row>
    <row r="145" ht="76" spans="1:32">
      <c r="A145" s="16" t="s">
        <v>4174</v>
      </c>
      <c r="B145" s="17" t="s">
        <v>4175</v>
      </c>
      <c r="C145" s="30" t="s">
        <v>2133</v>
      </c>
      <c r="D145" s="19" t="e">
        <f>VLOOKUP(C145,#REF!,2,0)</f>
        <v>#REF!</v>
      </c>
      <c r="E145" s="20" t="e">
        <f>VLOOKUP(D145,数据集标准分类!E:F,2,0)</f>
        <v>#REF!</v>
      </c>
      <c r="F145" s="21">
        <v>9</v>
      </c>
      <c r="G145" s="22" t="s">
        <v>715</v>
      </c>
      <c r="H145" s="22" t="s">
        <v>5697</v>
      </c>
      <c r="I145" s="22" t="s">
        <v>718</v>
      </c>
      <c r="J145" s="22" t="s">
        <v>716</v>
      </c>
      <c r="K145" s="22" t="s">
        <v>718</v>
      </c>
      <c r="L145" s="22" t="s">
        <v>719</v>
      </c>
      <c r="M145" s="16" t="s">
        <v>5593</v>
      </c>
      <c r="N145" s="16" t="s">
        <v>5595</v>
      </c>
      <c r="O145" s="23">
        <v>22</v>
      </c>
      <c r="P145" s="24" t="e">
        <f>VLOOKUP(I145,#REF!,2,0)</f>
        <v>#REF!</v>
      </c>
      <c r="Q145" s="25"/>
      <c r="R145" s="24"/>
      <c r="S145" s="26"/>
      <c r="T145" s="24"/>
      <c r="U145" s="26"/>
      <c r="V145" s="26"/>
      <c r="W145" s="27">
        <v>143</v>
      </c>
      <c r="X145" s="28"/>
    </row>
    <row r="146" ht="31" spans="1:32">
      <c r="A146" s="50" t="s">
        <v>4174</v>
      </c>
      <c r="B146" s="51" t="s">
        <v>4175</v>
      </c>
      <c r="C146" s="52" t="s">
        <v>2133</v>
      </c>
      <c r="D146" s="53" t="e">
        <f>VLOOKUP(C146,#REF!,2,0)</f>
        <v>#REF!</v>
      </c>
      <c r="E146" s="80" t="e">
        <f>VLOOKUP(D146,数据集标准分类!E:F,2,0)</f>
        <v>#REF!</v>
      </c>
      <c r="F146" s="54">
        <v>9</v>
      </c>
      <c r="G146" s="55" t="s">
        <v>2199</v>
      </c>
      <c r="H146" s="55" t="s">
        <v>5698</v>
      </c>
      <c r="I146" s="55" t="s">
        <v>5699</v>
      </c>
      <c r="J146" s="55" t="s">
        <v>2200</v>
      </c>
      <c r="K146" s="55" t="s">
        <v>2202</v>
      </c>
      <c r="L146" s="55" t="s">
        <v>2203</v>
      </c>
      <c r="M146" s="50" t="s">
        <v>5593</v>
      </c>
      <c r="N146" s="50" t="s">
        <v>5593</v>
      </c>
      <c r="O146" s="56">
        <v>23</v>
      </c>
      <c r="P146" s="57" t="e">
        <f>VLOOKUP(I146,#REF!,2,0)</f>
        <v>#REF!</v>
      </c>
      <c r="Q146" s="81"/>
      <c r="R146" s="57"/>
      <c r="S146" s="82"/>
      <c r="T146" s="57"/>
      <c r="U146" s="82"/>
      <c r="V146" s="82" t="s">
        <v>5593</v>
      </c>
      <c r="W146" s="60">
        <v>144</v>
      </c>
      <c r="X146" s="61"/>
      <c r="Y146" s="62"/>
      <c r="Z146" s="62"/>
      <c r="AA146" s="62"/>
      <c r="AB146" s="62"/>
      <c r="AC146" s="62"/>
      <c r="AD146" s="62"/>
      <c r="AE146" s="62"/>
      <c r="AF146" s="62"/>
    </row>
    <row r="147" ht="31" spans="1:32">
      <c r="A147" s="16" t="s">
        <v>4174</v>
      </c>
      <c r="B147" s="17" t="s">
        <v>4175</v>
      </c>
      <c r="C147" s="30" t="s">
        <v>2133</v>
      </c>
      <c r="D147" s="19" t="e">
        <f>VLOOKUP(C147,#REF!,2,0)</f>
        <v>#REF!</v>
      </c>
      <c r="E147" s="20" t="e">
        <f>VLOOKUP(D147,数据集标准分类!E:F,2,0)</f>
        <v>#REF!</v>
      </c>
      <c r="F147" s="21">
        <v>9</v>
      </c>
      <c r="G147" s="22" t="s">
        <v>2204</v>
      </c>
      <c r="H147" s="22" t="s">
        <v>2205</v>
      </c>
      <c r="I147" s="22" t="s">
        <v>2207</v>
      </c>
      <c r="J147" s="22" t="s">
        <v>2205</v>
      </c>
      <c r="K147" s="22" t="s">
        <v>2207</v>
      </c>
      <c r="L147" s="22" t="s">
        <v>2208</v>
      </c>
      <c r="M147" s="16" t="s">
        <v>5595</v>
      </c>
      <c r="N147" s="16" t="s">
        <v>5595</v>
      </c>
      <c r="O147" s="23">
        <v>24</v>
      </c>
      <c r="P147" s="24" t="e">
        <f>VLOOKUP(I147,#REF!,2,0)</f>
        <v>#REF!</v>
      </c>
      <c r="Q147" s="25"/>
      <c r="R147" s="24"/>
      <c r="S147" s="26"/>
      <c r="T147" s="24"/>
      <c r="U147" s="26"/>
      <c r="V147" s="26"/>
      <c r="W147" s="27">
        <v>145</v>
      </c>
      <c r="X147" s="28"/>
    </row>
    <row r="148" ht="31" spans="1:32">
      <c r="A148" s="16" t="s">
        <v>4174</v>
      </c>
      <c r="B148" s="17" t="s">
        <v>4175</v>
      </c>
      <c r="C148" s="30" t="s">
        <v>2133</v>
      </c>
      <c r="D148" s="19" t="e">
        <f>VLOOKUP(C148,#REF!,2,0)</f>
        <v>#REF!</v>
      </c>
      <c r="E148" s="20" t="e">
        <f>VLOOKUP(D148,数据集标准分类!E:F,2,0)</f>
        <v>#REF!</v>
      </c>
      <c r="F148" s="21">
        <v>9</v>
      </c>
      <c r="G148" s="22" t="s">
        <v>2209</v>
      </c>
      <c r="H148" s="22" t="s">
        <v>5700</v>
      </c>
      <c r="I148" s="22" t="s">
        <v>2212</v>
      </c>
      <c r="J148" s="22" t="s">
        <v>2210</v>
      </c>
      <c r="K148" s="22" t="s">
        <v>2212</v>
      </c>
      <c r="L148" s="22" t="s">
        <v>2213</v>
      </c>
      <c r="M148" s="16" t="s">
        <v>5593</v>
      </c>
      <c r="N148" s="16" t="s">
        <v>5595</v>
      </c>
      <c r="O148" s="23">
        <v>25</v>
      </c>
      <c r="P148" s="24" t="e">
        <f>VLOOKUP(I148,#REF!,2,0)</f>
        <v>#REF!</v>
      </c>
      <c r="Q148" s="25"/>
      <c r="R148" s="24"/>
      <c r="S148" s="26"/>
      <c r="T148" s="24"/>
      <c r="U148" s="26"/>
      <c r="V148" s="26"/>
      <c r="W148" s="27">
        <v>146</v>
      </c>
      <c r="X148" s="28"/>
    </row>
    <row r="149" ht="31" spans="1:32">
      <c r="A149" s="16" t="s">
        <v>4174</v>
      </c>
      <c r="B149" s="17" t="s">
        <v>4175</v>
      </c>
      <c r="C149" s="30" t="s">
        <v>2133</v>
      </c>
      <c r="D149" s="19" t="e">
        <f>VLOOKUP(C149,#REF!,2,0)</f>
        <v>#REF!</v>
      </c>
      <c r="E149" s="20" t="e">
        <f>VLOOKUP(D149,数据集标准分类!E:F,2,0)</f>
        <v>#REF!</v>
      </c>
      <c r="F149" s="21">
        <v>9</v>
      </c>
      <c r="G149" s="22" t="s">
        <v>764</v>
      </c>
      <c r="H149" s="22" t="s">
        <v>765</v>
      </c>
      <c r="I149" s="22" t="s">
        <v>767</v>
      </c>
      <c r="J149" s="22" t="s">
        <v>765</v>
      </c>
      <c r="K149" s="22" t="s">
        <v>767</v>
      </c>
      <c r="L149" s="22" t="s">
        <v>2214</v>
      </c>
      <c r="M149" s="16" t="s">
        <v>5595</v>
      </c>
      <c r="N149" s="16" t="s">
        <v>5595</v>
      </c>
      <c r="O149" s="23">
        <v>26</v>
      </c>
      <c r="P149" s="24" t="e">
        <f>VLOOKUP(I149,#REF!,2,0)</f>
        <v>#REF!</v>
      </c>
      <c r="Q149" s="25"/>
      <c r="R149" s="24"/>
      <c r="S149" s="26"/>
      <c r="T149" s="24"/>
      <c r="U149" s="26"/>
      <c r="V149" s="26"/>
      <c r="W149" s="27">
        <v>147</v>
      </c>
      <c r="X149" s="28"/>
    </row>
    <row r="150" ht="31" spans="1:32">
      <c r="A150" s="16" t="s">
        <v>4174</v>
      </c>
      <c r="B150" s="17" t="s">
        <v>4175</v>
      </c>
      <c r="C150" s="30" t="s">
        <v>2133</v>
      </c>
      <c r="D150" s="19" t="e">
        <f>VLOOKUP(C150,#REF!,2,0)</f>
        <v>#REF!</v>
      </c>
      <c r="E150" s="20" t="e">
        <f>VLOOKUP(D150,数据集标准分类!E:F,2,0)</f>
        <v>#REF!</v>
      </c>
      <c r="F150" s="21">
        <v>9</v>
      </c>
      <c r="G150" s="22" t="s">
        <v>759</v>
      </c>
      <c r="H150" s="22" t="s">
        <v>760</v>
      </c>
      <c r="I150" s="22" t="s">
        <v>762</v>
      </c>
      <c r="J150" s="22" t="s">
        <v>760</v>
      </c>
      <c r="K150" s="22" t="s">
        <v>762</v>
      </c>
      <c r="L150" s="22" t="s">
        <v>2215</v>
      </c>
      <c r="M150" s="16" t="s">
        <v>5595</v>
      </c>
      <c r="N150" s="16" t="s">
        <v>5595</v>
      </c>
      <c r="O150" s="23">
        <v>27</v>
      </c>
      <c r="P150" s="24" t="e">
        <f>VLOOKUP(I150,#REF!,2,0)</f>
        <v>#REF!</v>
      </c>
      <c r="Q150" s="25"/>
      <c r="R150" s="24"/>
      <c r="S150" s="26"/>
      <c r="T150" s="24"/>
      <c r="U150" s="26"/>
      <c r="V150" s="26"/>
      <c r="W150" s="27">
        <v>148</v>
      </c>
      <c r="X150" s="28"/>
    </row>
    <row r="151" ht="31" spans="1:32">
      <c r="A151" s="16" t="s">
        <v>4174</v>
      </c>
      <c r="B151" s="17" t="s">
        <v>4175</v>
      </c>
      <c r="C151" s="30" t="s">
        <v>2133</v>
      </c>
      <c r="D151" s="19" t="e">
        <f>VLOOKUP(C151,#REF!,2,0)</f>
        <v>#REF!</v>
      </c>
      <c r="E151" s="20" t="e">
        <f>VLOOKUP(D151,数据集标准分类!E:F,2,0)</f>
        <v>#REF!</v>
      </c>
      <c r="F151" s="21">
        <v>9</v>
      </c>
      <c r="G151" s="22" t="s">
        <v>744</v>
      </c>
      <c r="H151" s="22" t="s">
        <v>5701</v>
      </c>
      <c r="I151" s="22" t="s">
        <v>747</v>
      </c>
      <c r="J151" s="22" t="s">
        <v>745</v>
      </c>
      <c r="K151" s="22" t="s">
        <v>747</v>
      </c>
      <c r="L151" s="22" t="s">
        <v>2216</v>
      </c>
      <c r="M151" s="16" t="s">
        <v>5593</v>
      </c>
      <c r="N151" s="16" t="s">
        <v>5595</v>
      </c>
      <c r="O151" s="23">
        <v>28</v>
      </c>
      <c r="P151" s="24" t="e">
        <f>VLOOKUP(I151,#REF!,2,0)</f>
        <v>#REF!</v>
      </c>
      <c r="Q151" s="25"/>
      <c r="R151" s="24"/>
      <c r="S151" s="26"/>
      <c r="T151" s="24"/>
      <c r="U151" s="26"/>
      <c r="V151" s="26"/>
      <c r="W151" s="27">
        <v>149</v>
      </c>
      <c r="X151" s="28"/>
    </row>
    <row r="152" ht="31" spans="1:32">
      <c r="A152" s="16" t="s">
        <v>4174</v>
      </c>
      <c r="B152" s="17" t="s">
        <v>4175</v>
      </c>
      <c r="C152" s="30" t="s">
        <v>2133</v>
      </c>
      <c r="D152" s="19" t="e">
        <f>VLOOKUP(C152,#REF!,2,0)</f>
        <v>#REF!</v>
      </c>
      <c r="E152" s="20" t="e">
        <f>VLOOKUP(D152,数据集标准分类!E:F,2,0)</f>
        <v>#REF!</v>
      </c>
      <c r="F152" s="21">
        <v>9</v>
      </c>
      <c r="G152" s="22" t="s">
        <v>2217</v>
      </c>
      <c r="H152" s="22" t="s">
        <v>2218</v>
      </c>
      <c r="I152" s="22" t="s">
        <v>2220</v>
      </c>
      <c r="J152" s="22" t="s">
        <v>2218</v>
      </c>
      <c r="K152" s="22" t="s">
        <v>2220</v>
      </c>
      <c r="L152" s="22" t="s">
        <v>2221</v>
      </c>
      <c r="M152" s="16" t="s">
        <v>5595</v>
      </c>
      <c r="N152" s="16" t="s">
        <v>5595</v>
      </c>
      <c r="O152" s="23">
        <v>29</v>
      </c>
      <c r="P152" s="24" t="e">
        <f>VLOOKUP(I152,#REF!,2,0)</f>
        <v>#REF!</v>
      </c>
      <c r="Q152" s="25"/>
      <c r="R152" s="24"/>
      <c r="S152" s="26"/>
      <c r="T152" s="24"/>
      <c r="U152" s="26"/>
      <c r="V152" s="26"/>
      <c r="W152" s="27">
        <v>150</v>
      </c>
      <c r="X152" s="28"/>
    </row>
    <row r="153" ht="31" spans="1:32">
      <c r="A153" s="16" t="s">
        <v>4174</v>
      </c>
      <c r="B153" s="17" t="s">
        <v>4175</v>
      </c>
      <c r="C153" s="30" t="s">
        <v>2133</v>
      </c>
      <c r="D153" s="19" t="e">
        <f>VLOOKUP(C153,#REF!,2,0)</f>
        <v>#REF!</v>
      </c>
      <c r="E153" s="20" t="e">
        <f>VLOOKUP(D153,数据集标准分类!E:F,2,0)</f>
        <v>#REF!</v>
      </c>
      <c r="F153" s="21">
        <v>9</v>
      </c>
      <c r="G153" s="22" t="s">
        <v>2222</v>
      </c>
      <c r="H153" s="22" t="s">
        <v>2223</v>
      </c>
      <c r="I153" s="22" t="s">
        <v>2225</v>
      </c>
      <c r="J153" s="22" t="s">
        <v>2223</v>
      </c>
      <c r="K153" s="22" t="s">
        <v>2225</v>
      </c>
      <c r="L153" s="22" t="s">
        <v>2226</v>
      </c>
      <c r="M153" s="16" t="s">
        <v>5595</v>
      </c>
      <c r="N153" s="16" t="s">
        <v>5595</v>
      </c>
      <c r="O153" s="23">
        <v>30</v>
      </c>
      <c r="P153" s="24" t="e">
        <f>VLOOKUP(I153,#REF!,2,0)</f>
        <v>#REF!</v>
      </c>
      <c r="Q153" s="25"/>
      <c r="R153" s="24"/>
      <c r="S153" s="26"/>
      <c r="T153" s="24"/>
      <c r="U153" s="26"/>
      <c r="V153" s="26"/>
      <c r="W153" s="27">
        <v>151</v>
      </c>
      <c r="X153" s="28"/>
    </row>
    <row r="154" ht="14.4" customHeight="1" spans="1:32">
      <c r="A154" s="16" t="s">
        <v>4174</v>
      </c>
      <c r="B154" s="17" t="s">
        <v>4175</v>
      </c>
      <c r="C154" s="30" t="s">
        <v>2133</v>
      </c>
      <c r="D154" s="19" t="e">
        <f>VLOOKUP(C154,#REF!,2,0)</f>
        <v>#REF!</v>
      </c>
      <c r="E154" s="20" t="e">
        <f>VLOOKUP(D154,数据集标准分类!E:F,2,0)</f>
        <v>#REF!</v>
      </c>
      <c r="F154" s="21">
        <v>9</v>
      </c>
      <c r="G154" s="22" t="s">
        <v>1006</v>
      </c>
      <c r="H154" s="22" t="s">
        <v>5702</v>
      </c>
      <c r="I154" s="22" t="s">
        <v>1009</v>
      </c>
      <c r="J154" s="22" t="s">
        <v>1007</v>
      </c>
      <c r="K154" s="22" t="s">
        <v>1009</v>
      </c>
      <c r="L154" s="22" t="s">
        <v>2227</v>
      </c>
      <c r="M154" s="16" t="s">
        <v>5593</v>
      </c>
      <c r="N154" s="16" t="s">
        <v>5595</v>
      </c>
      <c r="O154" s="23">
        <v>31</v>
      </c>
      <c r="P154" s="24" t="e">
        <f>VLOOKUP(I154,#REF!,2,0)</f>
        <v>#REF!</v>
      </c>
      <c r="Q154" s="25"/>
      <c r="R154" s="24"/>
      <c r="S154" s="26"/>
      <c r="T154" s="24"/>
      <c r="U154" s="26"/>
      <c r="V154" s="26"/>
      <c r="W154" s="27">
        <v>152</v>
      </c>
      <c r="X154" s="28"/>
    </row>
    <row r="155" spans="1:32">
      <c r="A155" s="16" t="s">
        <v>4174</v>
      </c>
      <c r="B155" s="17" t="s">
        <v>4175</v>
      </c>
      <c r="C155" s="30" t="s">
        <v>2133</v>
      </c>
      <c r="D155" s="19" t="e">
        <f>VLOOKUP(C155,#REF!,2,0)</f>
        <v>#REF!</v>
      </c>
      <c r="E155" s="20" t="e">
        <f>VLOOKUP(D155,数据集标准分类!E:F,2,0)</f>
        <v>#REF!</v>
      </c>
      <c r="F155" s="21">
        <v>9</v>
      </c>
      <c r="G155" s="22" t="s">
        <v>2128</v>
      </c>
      <c r="H155" s="22" t="s">
        <v>5703</v>
      </c>
      <c r="I155" s="22" t="s">
        <v>5704</v>
      </c>
      <c r="J155" s="22" t="s">
        <v>2129</v>
      </c>
      <c r="K155" s="22" t="s">
        <v>2131</v>
      </c>
      <c r="L155" s="22" t="s">
        <v>2132</v>
      </c>
      <c r="M155" s="16" t="s">
        <v>5593</v>
      </c>
      <c r="N155" s="16" t="s">
        <v>5593</v>
      </c>
      <c r="O155" s="23">
        <v>32</v>
      </c>
      <c r="P155" s="24" t="e">
        <f>VLOOKUP(I155,#REF!,2,0)</f>
        <v>#REF!</v>
      </c>
      <c r="Q155" s="25"/>
      <c r="R155" s="24"/>
      <c r="S155" s="26"/>
      <c r="T155" s="24"/>
      <c r="U155" s="26"/>
      <c r="V155" s="26"/>
      <c r="W155" s="27">
        <v>153</v>
      </c>
      <c r="X155" s="28"/>
    </row>
    <row r="156" ht="31" spans="1:32">
      <c r="A156" s="16" t="s">
        <v>4174</v>
      </c>
      <c r="B156" s="17" t="s">
        <v>4175</v>
      </c>
      <c r="C156" s="30" t="s">
        <v>2009</v>
      </c>
      <c r="D156" s="19" t="e">
        <f>VLOOKUP(C156,#REF!,2,0)</f>
        <v>#REF!</v>
      </c>
      <c r="E156" s="20" t="e">
        <f>VLOOKUP(D156,数据集标准分类!E:F,2,0)</f>
        <v>#REF!</v>
      </c>
      <c r="F156" s="21">
        <v>10</v>
      </c>
      <c r="G156" s="22" t="s">
        <v>711</v>
      </c>
      <c r="H156" s="22" t="s">
        <v>712</v>
      </c>
      <c r="I156" s="22" t="s">
        <v>713</v>
      </c>
      <c r="J156" s="22" t="s">
        <v>712</v>
      </c>
      <c r="K156" s="22" t="s">
        <v>713</v>
      </c>
      <c r="L156" s="22" t="s">
        <v>714</v>
      </c>
      <c r="M156" s="16" t="s">
        <v>5595</v>
      </c>
      <c r="N156" s="16" t="s">
        <v>5595</v>
      </c>
      <c r="O156" s="23">
        <v>1</v>
      </c>
      <c r="P156" s="24" t="e">
        <f>VLOOKUP(I156,#REF!,2,0)</f>
        <v>#REF!</v>
      </c>
      <c r="Q156" s="25"/>
      <c r="R156" s="24"/>
      <c r="S156" s="26"/>
      <c r="T156" s="24"/>
      <c r="U156" s="26"/>
      <c r="V156" s="26"/>
      <c r="W156" s="27">
        <v>154</v>
      </c>
      <c r="X156" s="28"/>
    </row>
    <row r="157" ht="61" spans="1:32">
      <c r="A157" s="16" t="s">
        <v>4174</v>
      </c>
      <c r="B157" s="17" t="s">
        <v>4175</v>
      </c>
      <c r="C157" s="30" t="s">
        <v>2009</v>
      </c>
      <c r="D157" s="19" t="e">
        <f>VLOOKUP(C157,#REF!,2,0)</f>
        <v>#REF!</v>
      </c>
      <c r="E157" s="20" t="e">
        <f>VLOOKUP(D157,数据集标准分类!E:F,2,0)</f>
        <v>#REF!</v>
      </c>
      <c r="F157" s="21">
        <v>10</v>
      </c>
      <c r="G157" s="22" t="s">
        <v>77</v>
      </c>
      <c r="H157" s="22" t="s">
        <v>5686</v>
      </c>
      <c r="I157" s="22" t="s">
        <v>80</v>
      </c>
      <c r="J157" s="22" t="s">
        <v>78</v>
      </c>
      <c r="K157" s="22" t="s">
        <v>80</v>
      </c>
      <c r="L157" s="22" t="s">
        <v>310</v>
      </c>
      <c r="M157" s="16" t="s">
        <v>5593</v>
      </c>
      <c r="N157" s="16" t="s">
        <v>5595</v>
      </c>
      <c r="O157" s="23">
        <v>2</v>
      </c>
      <c r="P157" s="24" t="e">
        <f>VLOOKUP(I157,#REF!,2,0)</f>
        <v>#REF!</v>
      </c>
      <c r="Q157" s="25"/>
      <c r="R157" s="24"/>
      <c r="S157" s="26"/>
      <c r="T157" s="24"/>
      <c r="U157" s="26"/>
      <c r="V157" s="26"/>
      <c r="W157" s="27">
        <v>155</v>
      </c>
      <c r="X157" s="28"/>
    </row>
    <row r="158" ht="61" spans="1:32">
      <c r="A158" s="16" t="s">
        <v>4174</v>
      </c>
      <c r="B158" s="17" t="s">
        <v>4175</v>
      </c>
      <c r="C158" s="30" t="s">
        <v>2009</v>
      </c>
      <c r="D158" s="19" t="e">
        <f>VLOOKUP(C158,#REF!,2,0)</f>
        <v>#REF!</v>
      </c>
      <c r="E158" s="20" t="e">
        <f>VLOOKUP(D158,数据集标准分类!E:F,2,0)</f>
        <v>#REF!</v>
      </c>
      <c r="F158" s="21">
        <v>10</v>
      </c>
      <c r="G158" s="22" t="s">
        <v>82</v>
      </c>
      <c r="H158" s="22" t="s">
        <v>5687</v>
      </c>
      <c r="I158" s="22" t="s">
        <v>85</v>
      </c>
      <c r="J158" s="22" t="s">
        <v>83</v>
      </c>
      <c r="K158" s="22" t="s">
        <v>85</v>
      </c>
      <c r="L158" s="22" t="s">
        <v>311</v>
      </c>
      <c r="M158" s="16" t="s">
        <v>5593</v>
      </c>
      <c r="N158" s="16" t="s">
        <v>5595</v>
      </c>
      <c r="O158" s="23">
        <v>3</v>
      </c>
      <c r="P158" s="24" t="e">
        <f>VLOOKUP(I158,#REF!,2,0)</f>
        <v>#REF!</v>
      </c>
      <c r="Q158" s="25"/>
      <c r="R158" s="24"/>
      <c r="S158" s="26"/>
      <c r="T158" s="24"/>
      <c r="U158" s="26"/>
      <c r="V158" s="26"/>
      <c r="W158" s="27">
        <v>156</v>
      </c>
      <c r="X158" s="28"/>
    </row>
    <row r="159" ht="31" spans="1:32">
      <c r="A159" s="16" t="s">
        <v>4174</v>
      </c>
      <c r="B159" s="17" t="s">
        <v>4175</v>
      </c>
      <c r="C159" s="30" t="s">
        <v>2009</v>
      </c>
      <c r="D159" s="19" t="e">
        <f>VLOOKUP(C159,#REF!,2,0)</f>
        <v>#REF!</v>
      </c>
      <c r="E159" s="20" t="e">
        <f>VLOOKUP(D159,数据集标准分类!E:F,2,0)</f>
        <v>#REF!</v>
      </c>
      <c r="F159" s="21">
        <v>10</v>
      </c>
      <c r="G159" s="64" t="s">
        <v>1583</v>
      </c>
      <c r="H159" s="64" t="s">
        <v>5659</v>
      </c>
      <c r="I159" s="64" t="s">
        <v>1586</v>
      </c>
      <c r="J159" s="22" t="s">
        <v>1584</v>
      </c>
      <c r="K159" s="22" t="s">
        <v>1586</v>
      </c>
      <c r="L159" s="22" t="s">
        <v>1587</v>
      </c>
      <c r="M159" s="16" t="s">
        <v>5593</v>
      </c>
      <c r="N159" s="16" t="s">
        <v>5595</v>
      </c>
      <c r="O159" s="23">
        <v>4</v>
      </c>
      <c r="P159" s="24" t="e">
        <f>VLOOKUP(I159,#REF!,2,0)</f>
        <v>#REF!</v>
      </c>
      <c r="Q159" s="25"/>
      <c r="R159" s="24"/>
      <c r="S159" s="26"/>
      <c r="T159" s="24"/>
      <c r="U159" s="26"/>
      <c r="V159" s="26"/>
      <c r="W159" s="27">
        <v>157</v>
      </c>
      <c r="X159" s="28"/>
    </row>
    <row r="160" ht="31" spans="1:32">
      <c r="A160" s="16" t="s">
        <v>4174</v>
      </c>
      <c r="B160" s="17" t="s">
        <v>4175</v>
      </c>
      <c r="C160" s="30" t="s">
        <v>2009</v>
      </c>
      <c r="D160" s="19" t="e">
        <f>VLOOKUP(C160,#REF!,2,0)</f>
        <v>#REF!</v>
      </c>
      <c r="E160" s="20" t="e">
        <f>VLOOKUP(D160,数据集标准分类!E:F,2,0)</f>
        <v>#REF!</v>
      </c>
      <c r="F160" s="21">
        <v>10</v>
      </c>
      <c r="G160" s="64" t="s">
        <v>1588</v>
      </c>
      <c r="H160" s="64" t="s">
        <v>5660</v>
      </c>
      <c r="I160" s="64" t="s">
        <v>1443</v>
      </c>
      <c r="J160" s="22" t="s">
        <v>1589</v>
      </c>
      <c r="K160" s="22" t="s">
        <v>1591</v>
      </c>
      <c r="L160" s="22" t="s">
        <v>1445</v>
      </c>
      <c r="M160" s="16" t="s">
        <v>5593</v>
      </c>
      <c r="N160" s="16" t="s">
        <v>5593</v>
      </c>
      <c r="O160" s="23">
        <v>5</v>
      </c>
      <c r="P160" s="24" t="e">
        <f>VLOOKUP(I160,#REF!,2,0)</f>
        <v>#REF!</v>
      </c>
      <c r="Q160" s="25"/>
      <c r="R160" s="24"/>
      <c r="S160" s="26"/>
      <c r="T160" s="24"/>
      <c r="U160" s="26"/>
      <c r="V160" s="26"/>
      <c r="W160" s="27">
        <v>158</v>
      </c>
      <c r="X160" s="28"/>
    </row>
    <row r="161" ht="46" spans="1:24">
      <c r="A161" s="16" t="s">
        <v>4174</v>
      </c>
      <c r="B161" s="17" t="s">
        <v>4175</v>
      </c>
      <c r="C161" s="30" t="s">
        <v>2009</v>
      </c>
      <c r="D161" s="19" t="e">
        <f>VLOOKUP(C161,#REF!,2,0)</f>
        <v>#REF!</v>
      </c>
      <c r="E161" s="20" t="e">
        <f>VLOOKUP(D161,数据集标准分类!E:F,2,0)</f>
        <v>#REF!</v>
      </c>
      <c r="F161" s="21">
        <v>10</v>
      </c>
      <c r="G161" s="22" t="s">
        <v>192</v>
      </c>
      <c r="H161" s="22" t="s">
        <v>5630</v>
      </c>
      <c r="I161" s="22" t="s">
        <v>5631</v>
      </c>
      <c r="J161" s="22" t="s">
        <v>193</v>
      </c>
      <c r="K161" s="22" t="s">
        <v>195</v>
      </c>
      <c r="L161" s="22" t="s">
        <v>385</v>
      </c>
      <c r="M161" s="16" t="s">
        <v>5593</v>
      </c>
      <c r="N161" s="16" t="s">
        <v>5593</v>
      </c>
      <c r="O161" s="23">
        <v>6</v>
      </c>
      <c r="P161" s="24" t="e">
        <f>VLOOKUP(I161,#REF!,2,0)</f>
        <v>#REF!</v>
      </c>
      <c r="Q161" s="25"/>
      <c r="R161" s="24"/>
      <c r="S161" s="26"/>
      <c r="T161" s="24"/>
      <c r="U161" s="26"/>
      <c r="V161" s="26"/>
      <c r="W161" s="27">
        <v>159</v>
      </c>
      <c r="X161" s="28"/>
    </row>
    <row r="162" ht="31" spans="1:24">
      <c r="A162" s="16" t="s">
        <v>4174</v>
      </c>
      <c r="B162" s="17" t="s">
        <v>4175</v>
      </c>
      <c r="C162" s="30" t="s">
        <v>2009</v>
      </c>
      <c r="D162" s="19" t="e">
        <f>VLOOKUP(C162,#REF!,2,0)</f>
        <v>#REF!</v>
      </c>
      <c r="E162" s="20" t="e">
        <f>VLOOKUP(D162,数据集标准分类!E:F,2,0)</f>
        <v>#REF!</v>
      </c>
      <c r="F162" s="21">
        <v>10</v>
      </c>
      <c r="G162" s="22" t="s">
        <v>1602</v>
      </c>
      <c r="H162" s="22" t="s">
        <v>5665</v>
      </c>
      <c r="I162" s="22" t="s">
        <v>1605</v>
      </c>
      <c r="J162" s="22" t="s">
        <v>1603</v>
      </c>
      <c r="K162" s="22" t="s">
        <v>1605</v>
      </c>
      <c r="L162" s="22" t="s">
        <v>1606</v>
      </c>
      <c r="M162" s="16" t="s">
        <v>5593</v>
      </c>
      <c r="N162" s="16" t="s">
        <v>5595</v>
      </c>
      <c r="O162" s="23">
        <v>7</v>
      </c>
      <c r="P162" s="24" t="e">
        <f>VLOOKUP(I162,#REF!,2,0)</f>
        <v>#REF!</v>
      </c>
      <c r="Q162" s="25"/>
      <c r="R162" s="24"/>
      <c r="S162" s="26"/>
      <c r="T162" s="24"/>
      <c r="U162" s="26"/>
      <c r="V162" s="26"/>
      <c r="W162" s="27">
        <v>160</v>
      </c>
      <c r="X162" s="28"/>
    </row>
    <row r="163" ht="46" spans="1:24">
      <c r="A163" s="16" t="s">
        <v>4174</v>
      </c>
      <c r="B163" s="17" t="s">
        <v>4175</v>
      </c>
      <c r="C163" s="30" t="s">
        <v>2009</v>
      </c>
      <c r="D163" s="19" t="e">
        <f>VLOOKUP(C163,#REF!,2,0)</f>
        <v>#REF!</v>
      </c>
      <c r="E163" s="20" t="e">
        <f>VLOOKUP(D163,数据集标准分类!E:F,2,0)</f>
        <v>#REF!</v>
      </c>
      <c r="F163" s="21">
        <v>10</v>
      </c>
      <c r="G163" s="22" t="s">
        <v>421</v>
      </c>
      <c r="H163" s="22" t="s">
        <v>5685</v>
      </c>
      <c r="I163" s="22" t="s">
        <v>424</v>
      </c>
      <c r="J163" s="22" t="s">
        <v>422</v>
      </c>
      <c r="K163" s="22" t="s">
        <v>424</v>
      </c>
      <c r="L163" s="22" t="s">
        <v>425</v>
      </c>
      <c r="M163" s="16" t="s">
        <v>5593</v>
      </c>
      <c r="N163" s="16" t="s">
        <v>5595</v>
      </c>
      <c r="O163" s="23">
        <v>8</v>
      </c>
      <c r="P163" s="24" t="e">
        <f>VLOOKUP(I163,#REF!,2,0)</f>
        <v>#REF!</v>
      </c>
      <c r="Q163" s="25"/>
      <c r="R163" s="24"/>
      <c r="S163" s="26"/>
      <c r="T163" s="24"/>
      <c r="U163" s="26"/>
      <c r="V163" s="26"/>
      <c r="W163" s="27">
        <v>161</v>
      </c>
      <c r="X163" s="28"/>
    </row>
    <row r="164" ht="31" spans="1:24">
      <c r="A164" s="16" t="s">
        <v>4174</v>
      </c>
      <c r="B164" s="17" t="s">
        <v>4175</v>
      </c>
      <c r="C164" s="30" t="s">
        <v>2009</v>
      </c>
      <c r="D164" s="19" t="e">
        <f>VLOOKUP(C164,#REF!,2,0)</f>
        <v>#REF!</v>
      </c>
      <c r="E164" s="20" t="e">
        <f>VLOOKUP(D164,数据集标准分类!E:F,2,0)</f>
        <v>#REF!</v>
      </c>
      <c r="F164" s="21">
        <v>10</v>
      </c>
      <c r="G164" s="22" t="s">
        <v>2010</v>
      </c>
      <c r="H164" s="22" t="s">
        <v>5705</v>
      </c>
      <c r="I164" s="22" t="s">
        <v>2013</v>
      </c>
      <c r="J164" s="22" t="s">
        <v>2011</v>
      </c>
      <c r="K164" s="22" t="s">
        <v>2013</v>
      </c>
      <c r="L164" s="22" t="s">
        <v>2014</v>
      </c>
      <c r="M164" s="16" t="s">
        <v>5593</v>
      </c>
      <c r="N164" s="16" t="s">
        <v>5595</v>
      </c>
      <c r="O164" s="23">
        <v>9</v>
      </c>
      <c r="P164" s="24" t="e">
        <f>VLOOKUP(I164,#REF!,2,0)</f>
        <v>#REF!</v>
      </c>
      <c r="Q164" s="25"/>
      <c r="R164" s="24"/>
      <c r="S164" s="26"/>
      <c r="T164" s="24"/>
      <c r="U164" s="26"/>
      <c r="V164" s="26"/>
      <c r="W164" s="27">
        <v>162</v>
      </c>
      <c r="X164" s="28"/>
    </row>
    <row r="165" spans="1:24">
      <c r="A165" s="16" t="s">
        <v>4174</v>
      </c>
      <c r="B165" s="17" t="s">
        <v>4175</v>
      </c>
      <c r="C165" s="30" t="s">
        <v>2009</v>
      </c>
      <c r="D165" s="19" t="e">
        <f>VLOOKUP(C165,#REF!,2,0)</f>
        <v>#REF!</v>
      </c>
      <c r="E165" s="20" t="e">
        <f>VLOOKUP(D165,数据集标准分类!E:F,2,0)</f>
        <v>#REF!</v>
      </c>
      <c r="F165" s="21">
        <v>10</v>
      </c>
      <c r="G165" s="29" t="s">
        <v>2015</v>
      </c>
      <c r="H165" s="29" t="s">
        <v>2016</v>
      </c>
      <c r="I165" s="29" t="s">
        <v>5706</v>
      </c>
      <c r="J165" s="22" t="s">
        <v>2016</v>
      </c>
      <c r="K165" s="22" t="s">
        <v>2018</v>
      </c>
      <c r="L165" s="22" t="s">
        <v>2019</v>
      </c>
      <c r="M165" s="16" t="s">
        <v>5595</v>
      </c>
      <c r="N165" s="16" t="s">
        <v>5593</v>
      </c>
      <c r="O165" s="23">
        <v>10</v>
      </c>
      <c r="P165" s="24" t="e">
        <f>VLOOKUP(I165,#REF!,2,0)</f>
        <v>#REF!</v>
      </c>
      <c r="Q165" s="25"/>
      <c r="R165" s="24"/>
      <c r="S165" s="26"/>
      <c r="T165" s="24"/>
      <c r="U165" s="26"/>
      <c r="V165" s="26"/>
      <c r="W165" s="27">
        <v>163</v>
      </c>
      <c r="X165" s="28"/>
    </row>
    <row r="166" spans="1:24">
      <c r="A166" s="16" t="s">
        <v>4174</v>
      </c>
      <c r="B166" s="17" t="s">
        <v>4175</v>
      </c>
      <c r="C166" s="30" t="s">
        <v>2009</v>
      </c>
      <c r="D166" s="19" t="e">
        <f>VLOOKUP(C166,#REF!,2,0)</f>
        <v>#REF!</v>
      </c>
      <c r="E166" s="20" t="e">
        <f>VLOOKUP(D166,数据集标准分类!E:F,2,0)</f>
        <v>#REF!</v>
      </c>
      <c r="F166" s="21">
        <v>10</v>
      </c>
      <c r="G166" s="22" t="s">
        <v>1816</v>
      </c>
      <c r="H166" s="22" t="s">
        <v>5707</v>
      </c>
      <c r="I166" s="22" t="s">
        <v>1819</v>
      </c>
      <c r="J166" s="22" t="s">
        <v>1817</v>
      </c>
      <c r="K166" s="22" t="s">
        <v>1819</v>
      </c>
      <c r="L166" s="22" t="s">
        <v>1820</v>
      </c>
      <c r="M166" s="16" t="s">
        <v>5593</v>
      </c>
      <c r="N166" s="16" t="s">
        <v>5595</v>
      </c>
      <c r="O166" s="23">
        <v>11</v>
      </c>
      <c r="P166" s="24" t="e">
        <f>VLOOKUP(I166,#REF!,2,0)</f>
        <v>#REF!</v>
      </c>
      <c r="Q166" s="25"/>
      <c r="R166" s="24"/>
      <c r="S166" s="26"/>
      <c r="T166" s="24"/>
      <c r="U166" s="26"/>
      <c r="V166" s="26"/>
      <c r="W166" s="27">
        <v>164</v>
      </c>
      <c r="X166" s="28"/>
    </row>
    <row r="167" spans="1:24">
      <c r="A167" s="16" t="s">
        <v>4174</v>
      </c>
      <c r="B167" s="17" t="s">
        <v>4175</v>
      </c>
      <c r="C167" s="30" t="s">
        <v>2009</v>
      </c>
      <c r="D167" s="19" t="e">
        <f>VLOOKUP(C167,#REF!,2,0)</f>
        <v>#REF!</v>
      </c>
      <c r="E167" s="20" t="e">
        <f>VLOOKUP(D167,数据集标准分类!E:F,2,0)</f>
        <v>#REF!</v>
      </c>
      <c r="F167" s="21">
        <v>10</v>
      </c>
      <c r="G167" s="22" t="s">
        <v>2020</v>
      </c>
      <c r="H167" s="22" t="s">
        <v>5708</v>
      </c>
      <c r="I167" s="22" t="s">
        <v>2023</v>
      </c>
      <c r="J167" s="22" t="s">
        <v>2021</v>
      </c>
      <c r="K167" s="22" t="s">
        <v>2023</v>
      </c>
      <c r="L167" s="22" t="s">
        <v>2024</v>
      </c>
      <c r="M167" s="16" t="s">
        <v>5593</v>
      </c>
      <c r="N167" s="16" t="s">
        <v>5595</v>
      </c>
      <c r="O167" s="23">
        <v>12</v>
      </c>
      <c r="P167" s="24" t="e">
        <f>VLOOKUP(I167,#REF!,2,0)</f>
        <v>#REF!</v>
      </c>
      <c r="Q167" s="25"/>
      <c r="R167" s="24"/>
      <c r="S167" s="26"/>
      <c r="T167" s="24"/>
      <c r="U167" s="26"/>
      <c r="V167" s="26"/>
      <c r="W167" s="27">
        <v>165</v>
      </c>
      <c r="X167" s="28"/>
    </row>
    <row r="168" spans="1:24">
      <c r="A168" s="16" t="s">
        <v>4174</v>
      </c>
      <c r="B168" s="17" t="s">
        <v>4175</v>
      </c>
      <c r="C168" s="30" t="s">
        <v>2009</v>
      </c>
      <c r="D168" s="19" t="e">
        <f>VLOOKUP(C168,#REF!,2,0)</f>
        <v>#REF!</v>
      </c>
      <c r="E168" s="20" t="e">
        <f>VLOOKUP(D168,数据集标准分类!E:F,2,0)</f>
        <v>#REF!</v>
      </c>
      <c r="F168" s="21">
        <v>10</v>
      </c>
      <c r="G168" s="22" t="s">
        <v>2025</v>
      </c>
      <c r="H168" s="22" t="s">
        <v>5709</v>
      </c>
      <c r="I168" s="22" t="s">
        <v>2028</v>
      </c>
      <c r="J168" s="22" t="s">
        <v>2026</v>
      </c>
      <c r="K168" s="22" t="s">
        <v>2028</v>
      </c>
      <c r="L168" s="22" t="s">
        <v>2029</v>
      </c>
      <c r="M168" s="16" t="s">
        <v>5593</v>
      </c>
      <c r="N168" s="16" t="s">
        <v>5595</v>
      </c>
      <c r="O168" s="23">
        <v>13</v>
      </c>
      <c r="P168" s="24" t="e">
        <f>VLOOKUP(I168,#REF!,2,0)</f>
        <v>#REF!</v>
      </c>
      <c r="Q168" s="25"/>
      <c r="R168" s="24"/>
      <c r="S168" s="26"/>
      <c r="T168" s="24"/>
      <c r="U168" s="26"/>
      <c r="V168" s="26"/>
      <c r="W168" s="27">
        <v>166</v>
      </c>
      <c r="X168" s="28"/>
    </row>
    <row r="169" ht="31" spans="1:24">
      <c r="A169" s="16" t="s">
        <v>4174</v>
      </c>
      <c r="B169" s="17" t="s">
        <v>4175</v>
      </c>
      <c r="C169" s="30" t="s">
        <v>2009</v>
      </c>
      <c r="D169" s="19" t="e">
        <f>VLOOKUP(C169,#REF!,2,0)</f>
        <v>#REF!</v>
      </c>
      <c r="E169" s="20" t="e">
        <f>VLOOKUP(D169,数据集标准分类!E:F,2,0)</f>
        <v>#REF!</v>
      </c>
      <c r="F169" s="21">
        <v>10</v>
      </c>
      <c r="G169" s="22" t="s">
        <v>2030</v>
      </c>
      <c r="H169" s="22" t="s">
        <v>5710</v>
      </c>
      <c r="I169" s="22" t="s">
        <v>2033</v>
      </c>
      <c r="J169" s="22" t="s">
        <v>2031</v>
      </c>
      <c r="K169" s="22" t="s">
        <v>2033</v>
      </c>
      <c r="L169" s="22" t="s">
        <v>2034</v>
      </c>
      <c r="M169" s="16" t="s">
        <v>5593</v>
      </c>
      <c r="N169" s="16" t="s">
        <v>5595</v>
      </c>
      <c r="O169" s="23">
        <v>14</v>
      </c>
      <c r="P169" s="24" t="e">
        <f>VLOOKUP(I169,#REF!,2,0)</f>
        <v>#REF!</v>
      </c>
      <c r="Q169" s="25"/>
      <c r="R169" s="24"/>
      <c r="S169" s="26"/>
      <c r="T169" s="24"/>
      <c r="U169" s="26"/>
      <c r="V169" s="26"/>
      <c r="W169" s="27">
        <v>167</v>
      </c>
      <c r="X169" s="28"/>
    </row>
    <row r="170" ht="31" spans="1:24">
      <c r="A170" s="16" t="s">
        <v>4174</v>
      </c>
      <c r="B170" s="17" t="s">
        <v>4175</v>
      </c>
      <c r="C170" s="30" t="s">
        <v>2009</v>
      </c>
      <c r="D170" s="19" t="e">
        <f>VLOOKUP(C170,#REF!,2,0)</f>
        <v>#REF!</v>
      </c>
      <c r="E170" s="20" t="e">
        <f>VLOOKUP(D170,数据集标准分类!E:F,2,0)</f>
        <v>#REF!</v>
      </c>
      <c r="F170" s="21">
        <v>10</v>
      </c>
      <c r="G170" s="29" t="s">
        <v>2035</v>
      </c>
      <c r="H170" s="29" t="s">
        <v>5711</v>
      </c>
      <c r="I170" s="29" t="s">
        <v>2038</v>
      </c>
      <c r="J170" s="22" t="s">
        <v>2036</v>
      </c>
      <c r="K170" s="22" t="s">
        <v>2038</v>
      </c>
      <c r="L170" s="22" t="s">
        <v>2039</v>
      </c>
      <c r="M170" s="16" t="s">
        <v>5593</v>
      </c>
      <c r="N170" s="16" t="s">
        <v>5595</v>
      </c>
      <c r="O170" s="23">
        <v>15</v>
      </c>
      <c r="P170" s="24" t="e">
        <f>VLOOKUP(I170,#REF!,2,0)</f>
        <v>#REF!</v>
      </c>
      <c r="Q170" s="25"/>
      <c r="R170" s="24"/>
      <c r="S170" s="26"/>
      <c r="T170" s="24"/>
      <c r="U170" s="26"/>
      <c r="V170" s="26"/>
      <c r="W170" s="27">
        <v>168</v>
      </c>
      <c r="X170" s="28"/>
    </row>
    <row r="171" ht="31" spans="1:24">
      <c r="A171" s="16" t="s">
        <v>4174</v>
      </c>
      <c r="B171" s="17" t="s">
        <v>4175</v>
      </c>
      <c r="C171" s="30" t="s">
        <v>2009</v>
      </c>
      <c r="D171" s="19" t="e">
        <f>VLOOKUP(C171,#REF!,2,0)</f>
        <v>#REF!</v>
      </c>
      <c r="E171" s="20" t="e">
        <f>VLOOKUP(D171,数据集标准分类!E:F,2,0)</f>
        <v>#REF!</v>
      </c>
      <c r="F171" s="21">
        <v>10</v>
      </c>
      <c r="G171" s="29" t="s">
        <v>2040</v>
      </c>
      <c r="H171" s="29" t="s">
        <v>5712</v>
      </c>
      <c r="I171" s="29" t="s">
        <v>2043</v>
      </c>
      <c r="J171" s="22" t="s">
        <v>2041</v>
      </c>
      <c r="K171" s="22" t="s">
        <v>2043</v>
      </c>
      <c r="L171" s="22" t="s">
        <v>2044</v>
      </c>
      <c r="M171" s="16" t="s">
        <v>5593</v>
      </c>
      <c r="N171" s="16" t="s">
        <v>5595</v>
      </c>
      <c r="O171" s="23">
        <v>16</v>
      </c>
      <c r="P171" s="24" t="e">
        <f>VLOOKUP(I171,#REF!,2,0)</f>
        <v>#REF!</v>
      </c>
      <c r="Q171" s="25"/>
      <c r="R171" s="24"/>
      <c r="S171" s="26"/>
      <c r="T171" s="24"/>
      <c r="U171" s="26"/>
      <c r="V171" s="26"/>
      <c r="W171" s="27">
        <v>169</v>
      </c>
      <c r="X171" s="28"/>
    </row>
    <row r="172" ht="31" spans="1:24">
      <c r="A172" s="16" t="s">
        <v>4174</v>
      </c>
      <c r="B172" s="17" t="s">
        <v>4175</v>
      </c>
      <c r="C172" s="30" t="s">
        <v>2009</v>
      </c>
      <c r="D172" s="19" t="e">
        <f>VLOOKUP(C172,#REF!,2,0)</f>
        <v>#REF!</v>
      </c>
      <c r="E172" s="20" t="e">
        <f>VLOOKUP(D172,数据集标准分类!E:F,2,0)</f>
        <v>#REF!</v>
      </c>
      <c r="F172" s="21">
        <v>10</v>
      </c>
      <c r="G172" s="29" t="s">
        <v>2045</v>
      </c>
      <c r="H172" s="29" t="s">
        <v>5713</v>
      </c>
      <c r="I172" s="29" t="s">
        <v>2048</v>
      </c>
      <c r="J172" s="22" t="s">
        <v>2046</v>
      </c>
      <c r="K172" s="22" t="s">
        <v>2048</v>
      </c>
      <c r="L172" s="22" t="s">
        <v>2049</v>
      </c>
      <c r="M172" s="16" t="s">
        <v>5593</v>
      </c>
      <c r="N172" s="16" t="s">
        <v>5595</v>
      </c>
      <c r="O172" s="23">
        <v>17</v>
      </c>
      <c r="P172" s="24" t="e">
        <f>VLOOKUP(I172,#REF!,2,0)</f>
        <v>#REF!</v>
      </c>
      <c r="Q172" s="25"/>
      <c r="R172" s="24"/>
      <c r="S172" s="26"/>
      <c r="T172" s="24"/>
      <c r="U172" s="26"/>
      <c r="V172" s="26"/>
      <c r="W172" s="27">
        <v>170</v>
      </c>
      <c r="X172" s="28"/>
    </row>
    <row r="173" ht="31" spans="1:24">
      <c r="A173" s="16" t="s">
        <v>4174</v>
      </c>
      <c r="B173" s="17" t="s">
        <v>4175</v>
      </c>
      <c r="C173" s="30" t="s">
        <v>2009</v>
      </c>
      <c r="D173" s="19" t="e">
        <f>VLOOKUP(C173,#REF!,2,0)</f>
        <v>#REF!</v>
      </c>
      <c r="E173" s="20" t="e">
        <f>VLOOKUP(D173,数据集标准分类!E:F,2,0)</f>
        <v>#REF!</v>
      </c>
      <c r="F173" s="21">
        <v>10</v>
      </c>
      <c r="G173" s="22" t="s">
        <v>2050</v>
      </c>
      <c r="H173" s="22" t="s">
        <v>5714</v>
      </c>
      <c r="I173" s="22" t="s">
        <v>2053</v>
      </c>
      <c r="J173" s="22" t="s">
        <v>2051</v>
      </c>
      <c r="K173" s="22" t="s">
        <v>2053</v>
      </c>
      <c r="L173" s="22" t="s">
        <v>2054</v>
      </c>
      <c r="M173" s="16" t="s">
        <v>5593</v>
      </c>
      <c r="N173" s="16" t="s">
        <v>5595</v>
      </c>
      <c r="O173" s="23">
        <v>18</v>
      </c>
      <c r="P173" s="24" t="e">
        <f>VLOOKUP(I173,#REF!,2,0)</f>
        <v>#REF!</v>
      </c>
      <c r="Q173" s="25"/>
      <c r="R173" s="24"/>
      <c r="S173" s="26"/>
      <c r="T173" s="24"/>
      <c r="U173" s="26"/>
      <c r="V173" s="26"/>
      <c r="W173" s="27">
        <v>171</v>
      </c>
      <c r="X173" s="28"/>
    </row>
    <row r="174" spans="1:24">
      <c r="A174" s="16" t="s">
        <v>4174</v>
      </c>
      <c r="B174" s="17" t="s">
        <v>4175</v>
      </c>
      <c r="C174" s="30" t="s">
        <v>2009</v>
      </c>
      <c r="D174" s="19" t="e">
        <f>VLOOKUP(C174,#REF!,2,0)</f>
        <v>#REF!</v>
      </c>
      <c r="E174" s="20" t="e">
        <f>VLOOKUP(D174,数据集标准分类!E:F,2,0)</f>
        <v>#REF!</v>
      </c>
      <c r="F174" s="21">
        <v>10</v>
      </c>
      <c r="G174" s="22" t="s">
        <v>966</v>
      </c>
      <c r="H174" s="22" t="s">
        <v>5715</v>
      </c>
      <c r="I174" s="22" t="s">
        <v>969</v>
      </c>
      <c r="J174" s="22" t="s">
        <v>967</v>
      </c>
      <c r="K174" s="22" t="s">
        <v>969</v>
      </c>
      <c r="L174" s="22" t="s">
        <v>970</v>
      </c>
      <c r="M174" s="16" t="s">
        <v>5593</v>
      </c>
      <c r="N174" s="16" t="s">
        <v>5595</v>
      </c>
      <c r="O174" s="23">
        <v>19</v>
      </c>
      <c r="P174" s="24" t="e">
        <f>VLOOKUP(I174,#REF!,2,0)</f>
        <v>#REF!</v>
      </c>
      <c r="Q174" s="25"/>
      <c r="R174" s="24"/>
      <c r="S174" s="26"/>
      <c r="T174" s="24"/>
      <c r="U174" s="26"/>
      <c r="V174" s="26"/>
      <c r="W174" s="27">
        <v>172</v>
      </c>
      <c r="X174" s="28"/>
    </row>
    <row r="175" ht="31" spans="1:24">
      <c r="A175" s="16" t="s">
        <v>4174</v>
      </c>
      <c r="B175" s="17" t="s">
        <v>4175</v>
      </c>
      <c r="C175" s="30" t="s">
        <v>2009</v>
      </c>
      <c r="D175" s="19" t="e">
        <f>VLOOKUP(C175,#REF!,2,0)</f>
        <v>#REF!</v>
      </c>
      <c r="E175" s="20" t="e">
        <f>VLOOKUP(D175,数据集标准分类!E:F,2,0)</f>
        <v>#REF!</v>
      </c>
      <c r="F175" s="21">
        <v>10</v>
      </c>
      <c r="G175" s="22" t="s">
        <v>1435</v>
      </c>
      <c r="H175" s="22" t="s">
        <v>5666</v>
      </c>
      <c r="I175" s="22" t="s">
        <v>1438</v>
      </c>
      <c r="J175" s="22" t="s">
        <v>1436</v>
      </c>
      <c r="K175" s="22" t="s">
        <v>1438</v>
      </c>
      <c r="L175" s="22" t="s">
        <v>2055</v>
      </c>
      <c r="M175" s="16" t="s">
        <v>5593</v>
      </c>
      <c r="N175" s="16" t="s">
        <v>5595</v>
      </c>
      <c r="O175" s="23">
        <v>20</v>
      </c>
      <c r="P175" s="24" t="e">
        <f>VLOOKUP(I175,#REF!,2,0)</f>
        <v>#REF!</v>
      </c>
      <c r="Q175" s="25"/>
      <c r="R175" s="24"/>
      <c r="S175" s="26"/>
      <c r="T175" s="24"/>
      <c r="U175" s="26"/>
      <c r="V175" s="26"/>
      <c r="W175" s="27">
        <v>173</v>
      </c>
      <c r="X175" s="28"/>
    </row>
    <row r="176" ht="31" spans="1:24">
      <c r="A176" s="16" t="s">
        <v>4174</v>
      </c>
      <c r="B176" s="17" t="s">
        <v>4175</v>
      </c>
      <c r="C176" s="30" t="s">
        <v>2009</v>
      </c>
      <c r="D176" s="19" t="e">
        <f>VLOOKUP(C176,#REF!,2,0)</f>
        <v>#REF!</v>
      </c>
      <c r="E176" s="20" t="e">
        <f>VLOOKUP(D176,数据集标准分类!E:F,2,0)</f>
        <v>#REF!</v>
      </c>
      <c r="F176" s="21">
        <v>10</v>
      </c>
      <c r="G176" s="22" t="s">
        <v>699</v>
      </c>
      <c r="H176" s="22" t="s">
        <v>700</v>
      </c>
      <c r="I176" s="22" t="s">
        <v>701</v>
      </c>
      <c r="J176" s="22" t="s">
        <v>700</v>
      </c>
      <c r="K176" s="22" t="s">
        <v>701</v>
      </c>
      <c r="L176" s="22" t="s">
        <v>702</v>
      </c>
      <c r="M176" s="16" t="s">
        <v>5595</v>
      </c>
      <c r="N176" s="16" t="s">
        <v>5595</v>
      </c>
      <c r="O176" s="23">
        <v>21</v>
      </c>
      <c r="P176" s="24" t="e">
        <f>VLOOKUP(I176,#REF!,2,0)</f>
        <v>#REF!</v>
      </c>
      <c r="Q176" s="25"/>
      <c r="R176" s="24"/>
      <c r="S176" s="26"/>
      <c r="T176" s="24"/>
      <c r="U176" s="26"/>
      <c r="V176" s="26"/>
      <c r="W176" s="27">
        <v>174</v>
      </c>
      <c r="X176" s="28"/>
    </row>
    <row r="177" ht="31" spans="1:24">
      <c r="A177" s="16" t="s">
        <v>4174</v>
      </c>
      <c r="B177" s="17" t="s">
        <v>4175</v>
      </c>
      <c r="C177" s="30" t="s">
        <v>2009</v>
      </c>
      <c r="D177" s="19" t="e">
        <f>VLOOKUP(C177,#REF!,2,0)</f>
        <v>#REF!</v>
      </c>
      <c r="E177" s="20" t="e">
        <f>VLOOKUP(D177,数据集标准分类!E:F,2,0)</f>
        <v>#REF!</v>
      </c>
      <c r="F177" s="21">
        <v>10</v>
      </c>
      <c r="G177" s="22" t="s">
        <v>703</v>
      </c>
      <c r="H177" s="22" t="s">
        <v>704</v>
      </c>
      <c r="I177" s="22" t="s">
        <v>705</v>
      </c>
      <c r="J177" s="22" t="s">
        <v>704</v>
      </c>
      <c r="K177" s="22" t="s">
        <v>705</v>
      </c>
      <c r="L177" s="22" t="s">
        <v>706</v>
      </c>
      <c r="M177" s="16" t="s">
        <v>5595</v>
      </c>
      <c r="N177" s="16" t="s">
        <v>5595</v>
      </c>
      <c r="O177" s="23">
        <v>22</v>
      </c>
      <c r="P177" s="24" t="e">
        <f>VLOOKUP(I177,#REF!,2,0)</f>
        <v>#REF!</v>
      </c>
      <c r="Q177" s="25"/>
      <c r="R177" s="24"/>
      <c r="S177" s="26"/>
      <c r="T177" s="24"/>
      <c r="U177" s="26"/>
      <c r="V177" s="26"/>
      <c r="W177" s="27">
        <v>175</v>
      </c>
      <c r="X177" s="28"/>
    </row>
    <row r="178" ht="31" spans="1:24">
      <c r="A178" s="16" t="s">
        <v>4174</v>
      </c>
      <c r="B178" s="17" t="s">
        <v>4175</v>
      </c>
      <c r="C178" s="30" t="s">
        <v>2009</v>
      </c>
      <c r="D178" s="19" t="e">
        <f>VLOOKUP(C178,#REF!,2,0)</f>
        <v>#REF!</v>
      </c>
      <c r="E178" s="20" t="e">
        <f>VLOOKUP(D178,数据集标准分类!E:F,2,0)</f>
        <v>#REF!</v>
      </c>
      <c r="F178" s="21">
        <v>10</v>
      </c>
      <c r="G178" s="22" t="s">
        <v>684</v>
      </c>
      <c r="H178" s="22" t="s">
        <v>5716</v>
      </c>
      <c r="I178" s="22" t="s">
        <v>687</v>
      </c>
      <c r="J178" s="22" t="s">
        <v>685</v>
      </c>
      <c r="K178" s="22" t="s">
        <v>687</v>
      </c>
      <c r="L178" s="22" t="s">
        <v>688</v>
      </c>
      <c r="M178" s="16" t="s">
        <v>5593</v>
      </c>
      <c r="N178" s="16" t="s">
        <v>5595</v>
      </c>
      <c r="O178" s="23">
        <v>23</v>
      </c>
      <c r="P178" s="24" t="e">
        <f>VLOOKUP(I178,#REF!,2,0)</f>
        <v>#REF!</v>
      </c>
      <c r="Q178" s="25"/>
      <c r="R178" s="24"/>
      <c r="S178" s="26"/>
      <c r="T178" s="24"/>
      <c r="U178" s="26"/>
      <c r="V178" s="26"/>
      <c r="W178" s="27">
        <v>176</v>
      </c>
      <c r="X178" s="28"/>
    </row>
    <row r="179" ht="31" spans="1:24">
      <c r="A179" s="16" t="s">
        <v>4174</v>
      </c>
      <c r="B179" s="17" t="s">
        <v>4175</v>
      </c>
      <c r="C179" s="30" t="s">
        <v>2009</v>
      </c>
      <c r="D179" s="19" t="e">
        <f>VLOOKUP(C179,#REF!,2,0)</f>
        <v>#REF!</v>
      </c>
      <c r="E179" s="20" t="e">
        <f>VLOOKUP(D179,数据集标准分类!E:F,2,0)</f>
        <v>#REF!</v>
      </c>
      <c r="F179" s="21">
        <v>10</v>
      </c>
      <c r="G179" s="22" t="s">
        <v>1949</v>
      </c>
      <c r="H179" s="22" t="s">
        <v>1950</v>
      </c>
      <c r="I179" s="22" t="s">
        <v>1952</v>
      </c>
      <c r="J179" s="22" t="s">
        <v>1950</v>
      </c>
      <c r="K179" s="22" t="s">
        <v>1952</v>
      </c>
      <c r="L179" s="22" t="s">
        <v>2056</v>
      </c>
      <c r="M179" s="16" t="s">
        <v>5595</v>
      </c>
      <c r="N179" s="16" t="s">
        <v>5595</v>
      </c>
      <c r="O179" s="23">
        <v>24</v>
      </c>
      <c r="P179" s="24" t="e">
        <f>VLOOKUP(I179,#REF!,2,0)</f>
        <v>#REF!</v>
      </c>
      <c r="Q179" s="25"/>
      <c r="R179" s="24"/>
      <c r="S179" s="26"/>
      <c r="T179" s="24"/>
      <c r="U179" s="26"/>
      <c r="V179" s="26"/>
      <c r="W179" s="27">
        <v>177</v>
      </c>
      <c r="X179" s="28"/>
    </row>
    <row r="180" ht="31" spans="1:24">
      <c r="A180" s="16" t="s">
        <v>4174</v>
      </c>
      <c r="B180" s="17" t="s">
        <v>4175</v>
      </c>
      <c r="C180" s="30" t="s">
        <v>2009</v>
      </c>
      <c r="D180" s="19" t="e">
        <f>VLOOKUP(C180,#REF!,2,0)</f>
        <v>#REF!</v>
      </c>
      <c r="E180" s="20" t="e">
        <f>VLOOKUP(D180,数据集标准分类!E:F,2,0)</f>
        <v>#REF!</v>
      </c>
      <c r="F180" s="21">
        <v>10</v>
      </c>
      <c r="G180" s="22" t="s">
        <v>689</v>
      </c>
      <c r="H180" s="22" t="s">
        <v>690</v>
      </c>
      <c r="I180" s="22" t="s">
        <v>692</v>
      </c>
      <c r="J180" s="22" t="s">
        <v>690</v>
      </c>
      <c r="K180" s="22" t="s">
        <v>692</v>
      </c>
      <c r="L180" s="22" t="s">
        <v>693</v>
      </c>
      <c r="M180" s="16" t="s">
        <v>5595</v>
      </c>
      <c r="N180" s="16" t="s">
        <v>5595</v>
      </c>
      <c r="O180" s="23">
        <v>25</v>
      </c>
      <c r="P180" s="24" t="e">
        <f>VLOOKUP(I180,#REF!,2,0)</f>
        <v>#REF!</v>
      </c>
      <c r="Q180" s="25"/>
      <c r="R180" s="24"/>
      <c r="S180" s="26"/>
      <c r="T180" s="24"/>
      <c r="U180" s="26"/>
      <c r="V180" s="26"/>
      <c r="W180" s="27">
        <v>178</v>
      </c>
      <c r="X180" s="28"/>
    </row>
    <row r="181" ht="31" spans="1:24">
      <c r="A181" s="16" t="s">
        <v>4174</v>
      </c>
      <c r="B181" s="17" t="s">
        <v>4175</v>
      </c>
      <c r="C181" s="30" t="s">
        <v>2009</v>
      </c>
      <c r="D181" s="19" t="e">
        <f>VLOOKUP(C181,#REF!,2,0)</f>
        <v>#REF!</v>
      </c>
      <c r="E181" s="20" t="e">
        <f>VLOOKUP(D181,数据集标准分类!E:F,2,0)</f>
        <v>#REF!</v>
      </c>
      <c r="F181" s="21">
        <v>10</v>
      </c>
      <c r="G181" s="22" t="s">
        <v>694</v>
      </c>
      <c r="H181" s="22" t="s">
        <v>5717</v>
      </c>
      <c r="I181" s="22" t="s">
        <v>697</v>
      </c>
      <c r="J181" s="22" t="s">
        <v>695</v>
      </c>
      <c r="K181" s="22" t="s">
        <v>697</v>
      </c>
      <c r="L181" s="22" t="s">
        <v>2057</v>
      </c>
      <c r="M181" s="16" t="s">
        <v>5593</v>
      </c>
      <c r="N181" s="16" t="s">
        <v>5595</v>
      </c>
      <c r="O181" s="23">
        <v>26</v>
      </c>
      <c r="P181" s="24" t="e">
        <f>VLOOKUP(I181,#REF!,2,0)</f>
        <v>#REF!</v>
      </c>
      <c r="Q181" s="25"/>
      <c r="R181" s="24"/>
      <c r="S181" s="26"/>
      <c r="T181" s="24"/>
      <c r="U181" s="26"/>
      <c r="V181" s="26"/>
      <c r="W181" s="27">
        <v>179</v>
      </c>
      <c r="X181" s="28"/>
    </row>
    <row r="182" ht="76" spans="1:24">
      <c r="A182" s="16" t="s">
        <v>4174</v>
      </c>
      <c r="B182" s="17" t="s">
        <v>4175</v>
      </c>
      <c r="C182" s="30" t="s">
        <v>2009</v>
      </c>
      <c r="D182" s="19" t="e">
        <f>VLOOKUP(C182,#REF!,2,0)</f>
        <v>#REF!</v>
      </c>
      <c r="E182" s="20" t="e">
        <f>VLOOKUP(D182,数据集标准分类!E:F,2,0)</f>
        <v>#REF!</v>
      </c>
      <c r="F182" s="21">
        <v>10</v>
      </c>
      <c r="G182" s="22" t="s">
        <v>2058</v>
      </c>
      <c r="H182" s="22" t="s">
        <v>2059</v>
      </c>
      <c r="I182" s="22" t="s">
        <v>2061</v>
      </c>
      <c r="J182" s="22" t="s">
        <v>2059</v>
      </c>
      <c r="K182" s="22" t="s">
        <v>2061</v>
      </c>
      <c r="L182" s="22" t="s">
        <v>2062</v>
      </c>
      <c r="M182" s="16" t="s">
        <v>5595</v>
      </c>
      <c r="N182" s="16" t="s">
        <v>5595</v>
      </c>
      <c r="O182" s="23">
        <v>27</v>
      </c>
      <c r="P182" s="24" t="e">
        <f>VLOOKUP(I182,#REF!,2,0)</f>
        <v>#REF!</v>
      </c>
      <c r="Q182" s="25"/>
      <c r="R182" s="24"/>
      <c r="S182" s="26"/>
      <c r="T182" s="24"/>
      <c r="U182" s="26"/>
      <c r="V182" s="26"/>
      <c r="W182" s="27">
        <v>180</v>
      </c>
      <c r="X182" s="28"/>
    </row>
    <row r="183" spans="1:24">
      <c r="A183" s="16" t="s">
        <v>4174</v>
      </c>
      <c r="B183" s="17" t="s">
        <v>4175</v>
      </c>
      <c r="C183" s="30" t="s">
        <v>2009</v>
      </c>
      <c r="D183" s="19" t="e">
        <f>VLOOKUP(C183,#REF!,2,0)</f>
        <v>#REF!</v>
      </c>
      <c r="E183" s="20" t="e">
        <f>VLOOKUP(D183,数据集标准分类!E:F,2,0)</f>
        <v>#REF!</v>
      </c>
      <c r="F183" s="21">
        <v>10</v>
      </c>
      <c r="G183" s="22" t="s">
        <v>1682</v>
      </c>
      <c r="H183" s="22" t="s">
        <v>5718</v>
      </c>
      <c r="I183" s="22" t="s">
        <v>1685</v>
      </c>
      <c r="J183" s="22" t="s">
        <v>1683</v>
      </c>
      <c r="K183" s="22" t="s">
        <v>1685</v>
      </c>
      <c r="L183" s="22" t="s">
        <v>1821</v>
      </c>
      <c r="M183" s="16" t="s">
        <v>5593</v>
      </c>
      <c r="N183" s="16" t="s">
        <v>5595</v>
      </c>
      <c r="O183" s="23">
        <v>28</v>
      </c>
      <c r="P183" s="24" t="e">
        <f>VLOOKUP(I183,#REF!,2,0)</f>
        <v>#REF!</v>
      </c>
      <c r="Q183" s="25"/>
      <c r="R183" s="24"/>
      <c r="S183" s="26"/>
      <c r="T183" s="24"/>
      <c r="U183" s="26"/>
      <c r="V183" s="26"/>
      <c r="W183" s="27">
        <v>181</v>
      </c>
      <c r="X183" s="28"/>
    </row>
    <row r="184" ht="31" spans="1:24">
      <c r="A184" s="16" t="s">
        <v>4174</v>
      </c>
      <c r="B184" s="17" t="s">
        <v>4175</v>
      </c>
      <c r="C184" s="30" t="s">
        <v>2009</v>
      </c>
      <c r="D184" s="19" t="e">
        <f>VLOOKUP(C184,#REF!,2,0)</f>
        <v>#REF!</v>
      </c>
      <c r="E184" s="20" t="e">
        <f>VLOOKUP(D184,数据集标准分类!E:F,2,0)</f>
        <v>#REF!</v>
      </c>
      <c r="F184" s="21">
        <v>10</v>
      </c>
      <c r="G184" s="29" t="s">
        <v>2063</v>
      </c>
      <c r="H184" s="29" t="s">
        <v>5719</v>
      </c>
      <c r="I184" s="29" t="s">
        <v>2066</v>
      </c>
      <c r="J184" s="22" t="s">
        <v>2064</v>
      </c>
      <c r="K184" s="22" t="s">
        <v>2066</v>
      </c>
      <c r="L184" s="22" t="s">
        <v>2067</v>
      </c>
      <c r="M184" s="16" t="s">
        <v>5593</v>
      </c>
      <c r="N184" s="16" t="s">
        <v>5595</v>
      </c>
      <c r="O184" s="23">
        <v>29</v>
      </c>
      <c r="P184" s="24" t="e">
        <f>VLOOKUP(I184,#REF!,2,0)</f>
        <v>#REF!</v>
      </c>
      <c r="Q184" s="25"/>
      <c r="R184" s="24"/>
      <c r="S184" s="26"/>
      <c r="T184" s="24"/>
      <c r="U184" s="26"/>
      <c r="V184" s="26"/>
      <c r="W184" s="27">
        <v>182</v>
      </c>
      <c r="X184" s="28"/>
    </row>
    <row r="185" ht="46" spans="1:24">
      <c r="A185" s="16" t="s">
        <v>4174</v>
      </c>
      <c r="B185" s="17" t="s">
        <v>4175</v>
      </c>
      <c r="C185" s="30" t="s">
        <v>2009</v>
      </c>
      <c r="D185" s="19" t="e">
        <f>VLOOKUP(C185,#REF!,2,0)</f>
        <v>#REF!</v>
      </c>
      <c r="E185" s="20" t="e">
        <f>VLOOKUP(D185,数据集标准分类!E:F,2,0)</f>
        <v>#REF!</v>
      </c>
      <c r="F185" s="21">
        <v>10</v>
      </c>
      <c r="G185" s="22" t="s">
        <v>1592</v>
      </c>
      <c r="H185" s="22" t="s">
        <v>5661</v>
      </c>
      <c r="I185" s="22" t="s">
        <v>5662</v>
      </c>
      <c r="J185" s="22" t="s">
        <v>1593</v>
      </c>
      <c r="K185" s="22" t="s">
        <v>1595</v>
      </c>
      <c r="L185" s="22" t="s">
        <v>1596</v>
      </c>
      <c r="M185" s="16" t="s">
        <v>5593</v>
      </c>
      <c r="N185" s="16" t="s">
        <v>5593</v>
      </c>
      <c r="O185" s="23">
        <v>30</v>
      </c>
      <c r="P185" s="24" t="e">
        <f>VLOOKUP(I185,#REF!,2,0)</f>
        <v>#REF!</v>
      </c>
      <c r="Q185" s="25"/>
      <c r="R185" s="24"/>
      <c r="S185" s="26"/>
      <c r="T185" s="24"/>
      <c r="U185" s="26"/>
      <c r="V185" s="26"/>
      <c r="W185" s="27">
        <v>183</v>
      </c>
      <c r="X185" s="28"/>
    </row>
    <row r="186" ht="31" spans="1:24">
      <c r="A186" s="16" t="s">
        <v>4174</v>
      </c>
      <c r="B186" s="17" t="s">
        <v>4175</v>
      </c>
      <c r="C186" s="30" t="s">
        <v>2009</v>
      </c>
      <c r="D186" s="19" t="e">
        <f>VLOOKUP(C186,#REF!,2,0)</f>
        <v>#REF!</v>
      </c>
      <c r="E186" s="20" t="e">
        <f>VLOOKUP(D186,数据集标准分类!E:F,2,0)</f>
        <v>#REF!</v>
      </c>
      <c r="F186" s="21">
        <v>10</v>
      </c>
      <c r="G186" s="22" t="s">
        <v>1430</v>
      </c>
      <c r="H186" s="22" t="s">
        <v>5643</v>
      </c>
      <c r="I186" s="22" t="s">
        <v>5644</v>
      </c>
      <c r="J186" s="22" t="s">
        <v>1431</v>
      </c>
      <c r="K186" s="22" t="s">
        <v>1433</v>
      </c>
      <c r="L186" s="22" t="s">
        <v>2068</v>
      </c>
      <c r="M186" s="16" t="s">
        <v>5593</v>
      </c>
      <c r="N186" s="16" t="s">
        <v>5593</v>
      </c>
      <c r="O186" s="23">
        <v>31</v>
      </c>
      <c r="P186" s="24" t="e">
        <f>VLOOKUP(I186,#REF!,2,0)</f>
        <v>#REF!</v>
      </c>
      <c r="Q186" s="25"/>
      <c r="R186" s="24"/>
      <c r="S186" s="26"/>
      <c r="T186" s="24"/>
      <c r="U186" s="26"/>
      <c r="V186" s="26"/>
      <c r="W186" s="27">
        <v>184</v>
      </c>
      <c r="X186" s="28"/>
    </row>
    <row r="187" ht="46" spans="1:24">
      <c r="A187" s="16" t="s">
        <v>4174</v>
      </c>
      <c r="B187" s="17" t="s">
        <v>4175</v>
      </c>
      <c r="C187" s="30" t="s">
        <v>2009</v>
      </c>
      <c r="D187" s="19" t="e">
        <f>VLOOKUP(C187,#REF!,2,0)</f>
        <v>#REF!</v>
      </c>
      <c r="E187" s="20" t="e">
        <f>VLOOKUP(D187,数据集标准分类!E:F,2,0)</f>
        <v>#REF!</v>
      </c>
      <c r="F187" s="21">
        <v>10</v>
      </c>
      <c r="G187" s="22" t="s">
        <v>1597</v>
      </c>
      <c r="H187" s="22" t="s">
        <v>1598</v>
      </c>
      <c r="I187" s="22" t="s">
        <v>5663</v>
      </c>
      <c r="J187" s="22" t="s">
        <v>1598</v>
      </c>
      <c r="K187" s="22" t="s">
        <v>1600</v>
      </c>
      <c r="L187" s="22" t="s">
        <v>1601</v>
      </c>
      <c r="M187" s="16" t="s">
        <v>5595</v>
      </c>
      <c r="N187" s="16" t="s">
        <v>5593</v>
      </c>
      <c r="O187" s="23">
        <v>32</v>
      </c>
      <c r="P187" s="24" t="e">
        <f>VLOOKUP(I187,#REF!,2,0)</f>
        <v>#REF!</v>
      </c>
      <c r="Q187" s="25"/>
      <c r="R187" s="24"/>
      <c r="S187" s="26"/>
      <c r="T187" s="24"/>
      <c r="U187" s="26"/>
      <c r="V187" s="26"/>
      <c r="W187" s="27">
        <v>185</v>
      </c>
      <c r="X187" s="28"/>
    </row>
    <row r="188" ht="31" spans="1:24">
      <c r="A188" s="16" t="s">
        <v>4174</v>
      </c>
      <c r="B188" s="17" t="s">
        <v>4175</v>
      </c>
      <c r="C188" s="30" t="s">
        <v>2009</v>
      </c>
      <c r="D188" s="19" t="e">
        <f>VLOOKUP(C188,#REF!,2,0)</f>
        <v>#REF!</v>
      </c>
      <c r="E188" s="20" t="e">
        <f>VLOOKUP(D188,数据集标准分类!E:F,2,0)</f>
        <v>#REF!</v>
      </c>
      <c r="F188" s="21">
        <v>10</v>
      </c>
      <c r="G188" s="22" t="s">
        <v>2069</v>
      </c>
      <c r="H188" s="22" t="s">
        <v>5720</v>
      </c>
      <c r="I188" s="22" t="s">
        <v>5721</v>
      </c>
      <c r="J188" s="22" t="s">
        <v>2070</v>
      </c>
      <c r="K188" s="22" t="s">
        <v>2072</v>
      </c>
      <c r="L188" s="22" t="s">
        <v>2073</v>
      </c>
      <c r="M188" s="16" t="s">
        <v>5593</v>
      </c>
      <c r="N188" s="16" t="s">
        <v>5593</v>
      </c>
      <c r="O188" s="23">
        <v>33</v>
      </c>
      <c r="P188" s="24" t="e">
        <f>VLOOKUP(I188,#REF!,2,0)</f>
        <v>#REF!</v>
      </c>
      <c r="Q188" s="25"/>
      <c r="R188" s="24"/>
      <c r="S188" s="26"/>
      <c r="T188" s="24"/>
      <c r="U188" s="26"/>
      <c r="V188" s="26"/>
      <c r="W188" s="27">
        <v>186</v>
      </c>
      <c r="X188" s="28"/>
    </row>
    <row r="189" spans="1:24">
      <c r="A189" s="16" t="s">
        <v>4174</v>
      </c>
      <c r="B189" s="17" t="s">
        <v>4175</v>
      </c>
      <c r="C189" s="30" t="s">
        <v>2009</v>
      </c>
      <c r="D189" s="19" t="e">
        <f>VLOOKUP(C189,#REF!,2,0)</f>
        <v>#REF!</v>
      </c>
      <c r="E189" s="20" t="e">
        <f>VLOOKUP(D189,数据集标准分类!E:F,2,0)</f>
        <v>#REF!</v>
      </c>
      <c r="F189" s="21">
        <v>10</v>
      </c>
      <c r="G189" s="22" t="s">
        <v>197</v>
      </c>
      <c r="H189" s="22" t="s">
        <v>198</v>
      </c>
      <c r="I189" s="22" t="s">
        <v>5645</v>
      </c>
      <c r="J189" s="22" t="s">
        <v>198</v>
      </c>
      <c r="K189" s="22" t="s">
        <v>199</v>
      </c>
      <c r="L189" s="22" t="s">
        <v>2019</v>
      </c>
      <c r="M189" s="16" t="s">
        <v>5595</v>
      </c>
      <c r="N189" s="16" t="s">
        <v>5593</v>
      </c>
      <c r="O189" s="23">
        <v>34</v>
      </c>
      <c r="P189" s="24" t="e">
        <f>VLOOKUP(I189,#REF!,2,0)</f>
        <v>#REF!</v>
      </c>
      <c r="Q189" s="25"/>
      <c r="R189" s="24"/>
      <c r="S189" s="26"/>
      <c r="T189" s="24"/>
      <c r="U189" s="26"/>
      <c r="V189" s="26"/>
      <c r="W189" s="27">
        <v>187</v>
      </c>
      <c r="X189" s="28"/>
    </row>
    <row r="190" ht="31" spans="1:24">
      <c r="A190" s="16" t="s">
        <v>4174</v>
      </c>
      <c r="B190" s="17" t="s">
        <v>4175</v>
      </c>
      <c r="C190" s="30" t="s">
        <v>2009</v>
      </c>
      <c r="D190" s="19" t="e">
        <f>VLOOKUP(C190,#REF!,2,0)</f>
        <v>#REF!</v>
      </c>
      <c r="E190" s="20" t="e">
        <f>VLOOKUP(D190,数据集标准分类!E:F,2,0)</f>
        <v>#REF!</v>
      </c>
      <c r="F190" s="21">
        <v>10</v>
      </c>
      <c r="G190" s="22" t="s">
        <v>201</v>
      </c>
      <c r="H190" s="22" t="s">
        <v>5646</v>
      </c>
      <c r="I190" s="22" t="s">
        <v>5647</v>
      </c>
      <c r="J190" s="22" t="s">
        <v>202</v>
      </c>
      <c r="K190" s="22" t="s">
        <v>204</v>
      </c>
      <c r="L190" s="22" t="s">
        <v>2075</v>
      </c>
      <c r="M190" s="16" t="s">
        <v>5593</v>
      </c>
      <c r="N190" s="16" t="s">
        <v>5593</v>
      </c>
      <c r="O190" s="23">
        <v>35</v>
      </c>
      <c r="P190" s="24" t="e">
        <f>VLOOKUP(I190,#REF!,2,0)</f>
        <v>#REF!</v>
      </c>
      <c r="Q190" s="25"/>
      <c r="R190" s="24"/>
      <c r="S190" s="26"/>
      <c r="T190" s="24"/>
      <c r="U190" s="26"/>
      <c r="V190" s="26"/>
      <c r="W190" s="27">
        <v>188</v>
      </c>
      <c r="X190" s="28"/>
    </row>
    <row r="191" ht="31" spans="1:24">
      <c r="A191" s="16" t="s">
        <v>4174</v>
      </c>
      <c r="B191" s="17" t="s">
        <v>4175</v>
      </c>
      <c r="C191" s="30" t="s">
        <v>2009</v>
      </c>
      <c r="D191" s="19" t="e">
        <f>VLOOKUP(C191,#REF!,2,0)</f>
        <v>#REF!</v>
      </c>
      <c r="E191" s="20" t="e">
        <f>VLOOKUP(D191,数据集标准分类!E:F,2,0)</f>
        <v>#REF!</v>
      </c>
      <c r="F191" s="21">
        <v>10</v>
      </c>
      <c r="G191" s="22" t="s">
        <v>2076</v>
      </c>
      <c r="H191" s="22" t="s">
        <v>2077</v>
      </c>
      <c r="I191" s="22" t="s">
        <v>5649</v>
      </c>
      <c r="J191" s="22" t="s">
        <v>2077</v>
      </c>
      <c r="K191" s="22" t="s">
        <v>2079</v>
      </c>
      <c r="L191" s="22" t="s">
        <v>2080</v>
      </c>
      <c r="M191" s="16" t="s">
        <v>5595</v>
      </c>
      <c r="N191" s="16" t="s">
        <v>5593</v>
      </c>
      <c r="O191" s="23">
        <v>36</v>
      </c>
      <c r="P191" s="24" t="e">
        <f>VLOOKUP(I191,#REF!,2,0)</f>
        <v>#REF!</v>
      </c>
      <c r="Q191" s="25"/>
      <c r="R191" s="24"/>
      <c r="S191" s="26"/>
      <c r="T191" s="24"/>
      <c r="U191" s="26"/>
      <c r="V191" s="26"/>
      <c r="W191" s="27">
        <v>189</v>
      </c>
      <c r="X191" s="28"/>
    </row>
    <row r="192" spans="1:24">
      <c r="A192" s="16" t="s">
        <v>4174</v>
      </c>
      <c r="B192" s="17" t="s">
        <v>4175</v>
      </c>
      <c r="C192" s="30" t="s">
        <v>2009</v>
      </c>
      <c r="D192" s="19" t="e">
        <f>VLOOKUP(C192,#REF!,2,0)</f>
        <v>#REF!</v>
      </c>
      <c r="E192" s="20" t="e">
        <f>VLOOKUP(D192,数据集标准分类!E:F,2,0)</f>
        <v>#REF!</v>
      </c>
      <c r="F192" s="21">
        <v>10</v>
      </c>
      <c r="G192" s="22" t="s">
        <v>2081</v>
      </c>
      <c r="H192" s="22" t="s">
        <v>5650</v>
      </c>
      <c r="I192" s="22" t="s">
        <v>5651</v>
      </c>
      <c r="J192" s="22" t="s">
        <v>2082</v>
      </c>
      <c r="K192" s="22" t="s">
        <v>2084</v>
      </c>
      <c r="L192" s="22" t="s">
        <v>2085</v>
      </c>
      <c r="M192" s="16" t="s">
        <v>5593</v>
      </c>
      <c r="N192" s="16" t="s">
        <v>5593</v>
      </c>
      <c r="O192" s="23">
        <v>37</v>
      </c>
      <c r="P192" s="24" t="e">
        <f>VLOOKUP(I192,#REF!,2,0)</f>
        <v>#REF!</v>
      </c>
      <c r="Q192" s="25"/>
      <c r="R192" s="24"/>
      <c r="S192" s="26"/>
      <c r="T192" s="24"/>
      <c r="U192" s="26"/>
      <c r="V192" s="26"/>
      <c r="W192" s="27">
        <v>190</v>
      </c>
      <c r="X192" s="28"/>
    </row>
    <row r="193" spans="1:24">
      <c r="A193" s="16" t="s">
        <v>4174</v>
      </c>
      <c r="B193" s="17" t="s">
        <v>4175</v>
      </c>
      <c r="C193" s="30" t="s">
        <v>2009</v>
      </c>
      <c r="D193" s="19" t="e">
        <f>VLOOKUP(C193,#REF!,2,0)</f>
        <v>#REF!</v>
      </c>
      <c r="E193" s="20" t="e">
        <f>VLOOKUP(D193,数据集标准分类!E:F,2,0)</f>
        <v>#REF!</v>
      </c>
      <c r="F193" s="21">
        <v>10</v>
      </c>
      <c r="G193" s="22" t="s">
        <v>2086</v>
      </c>
      <c r="H193" s="63" t="s">
        <v>5652</v>
      </c>
      <c r="I193" s="22" t="s">
        <v>5653</v>
      </c>
      <c r="J193" s="22" t="s">
        <v>2087</v>
      </c>
      <c r="K193" s="22" t="s">
        <v>2089</v>
      </c>
      <c r="L193" s="22" t="s">
        <v>2090</v>
      </c>
      <c r="M193" s="16" t="s">
        <v>5593</v>
      </c>
      <c r="N193" s="16" t="s">
        <v>5593</v>
      </c>
      <c r="O193" s="23">
        <v>38</v>
      </c>
      <c r="P193" s="24" t="e">
        <f>VLOOKUP(I193,#REF!,2,0)</f>
        <v>#REF!</v>
      </c>
      <c r="Q193" s="25"/>
      <c r="R193" s="24"/>
      <c r="S193" s="26"/>
      <c r="T193" s="24"/>
      <c r="U193" s="26"/>
      <c r="V193" s="26"/>
      <c r="W193" s="27">
        <v>191</v>
      </c>
      <c r="X193" s="28"/>
    </row>
    <row r="194" ht="31" spans="1:24">
      <c r="A194" s="16" t="s">
        <v>4174</v>
      </c>
      <c r="B194" s="17" t="s">
        <v>4175</v>
      </c>
      <c r="C194" s="30" t="s">
        <v>2009</v>
      </c>
      <c r="D194" s="19" t="e">
        <f>VLOOKUP(C194,#REF!,2,0)</f>
        <v>#REF!</v>
      </c>
      <c r="E194" s="20" t="e">
        <f>VLOOKUP(D194,数据集标准分类!E:F,2,0)</f>
        <v>#REF!</v>
      </c>
      <c r="F194" s="21">
        <v>10</v>
      </c>
      <c r="G194" s="22" t="s">
        <v>2091</v>
      </c>
      <c r="H194" s="63" t="s">
        <v>5654</v>
      </c>
      <c r="I194" s="22" t="s">
        <v>5655</v>
      </c>
      <c r="J194" s="22" t="s">
        <v>2092</v>
      </c>
      <c r="K194" s="22" t="s">
        <v>2094</v>
      </c>
      <c r="L194" s="22" t="s">
        <v>2095</v>
      </c>
      <c r="M194" s="16" t="s">
        <v>5593</v>
      </c>
      <c r="N194" s="16" t="s">
        <v>5593</v>
      </c>
      <c r="O194" s="23">
        <v>39</v>
      </c>
      <c r="P194" s="24" t="e">
        <f>VLOOKUP(I194,#REF!,2,0)</f>
        <v>#REF!</v>
      </c>
      <c r="Q194" s="25"/>
      <c r="R194" s="24"/>
      <c r="S194" s="26"/>
      <c r="T194" s="24"/>
      <c r="U194" s="26"/>
      <c r="V194" s="26"/>
      <c r="W194" s="27">
        <v>192</v>
      </c>
      <c r="X194" s="28"/>
    </row>
    <row r="195" ht="31" spans="1:24">
      <c r="A195" s="16" t="s">
        <v>4174</v>
      </c>
      <c r="B195" s="17" t="s">
        <v>4175</v>
      </c>
      <c r="C195" s="30" t="s">
        <v>2009</v>
      </c>
      <c r="D195" s="19" t="e">
        <f>VLOOKUP(C195,#REF!,2,0)</f>
        <v>#REF!</v>
      </c>
      <c r="E195" s="20" t="e">
        <f>VLOOKUP(D195,数据集标准分类!E:F,2,0)</f>
        <v>#REF!</v>
      </c>
      <c r="F195" s="21">
        <v>10</v>
      </c>
      <c r="G195" s="22" t="s">
        <v>2096</v>
      </c>
      <c r="H195" s="22" t="s">
        <v>2097</v>
      </c>
      <c r="I195" s="22" t="s">
        <v>5656</v>
      </c>
      <c r="J195" s="22" t="s">
        <v>2097</v>
      </c>
      <c r="K195" s="22" t="s">
        <v>2099</v>
      </c>
      <c r="L195" s="22" t="s">
        <v>2100</v>
      </c>
      <c r="M195" s="16" t="s">
        <v>5595</v>
      </c>
      <c r="N195" s="16" t="s">
        <v>5593</v>
      </c>
      <c r="O195" s="23">
        <v>40</v>
      </c>
      <c r="P195" s="24" t="e">
        <f>VLOOKUP(I195,#REF!,2,0)</f>
        <v>#REF!</v>
      </c>
      <c r="Q195" s="25"/>
      <c r="R195" s="24"/>
      <c r="S195" s="26"/>
      <c r="T195" s="24"/>
      <c r="U195" s="26"/>
      <c r="V195" s="26"/>
      <c r="W195" s="27">
        <v>193</v>
      </c>
      <c r="X195" s="28"/>
    </row>
    <row r="196" ht="31" spans="1:24">
      <c r="A196" s="16" t="s">
        <v>4174</v>
      </c>
      <c r="B196" s="17" t="s">
        <v>4175</v>
      </c>
      <c r="C196" s="30" t="s">
        <v>2009</v>
      </c>
      <c r="D196" s="19" t="e">
        <f>VLOOKUP(C196,#REF!,2,0)</f>
        <v>#REF!</v>
      </c>
      <c r="E196" s="20" t="e">
        <f>VLOOKUP(D196,数据集标准分类!E:F,2,0)</f>
        <v>#REF!</v>
      </c>
      <c r="F196" s="21">
        <v>10</v>
      </c>
      <c r="G196" s="22" t="s">
        <v>1384</v>
      </c>
      <c r="H196" s="22" t="s">
        <v>5722</v>
      </c>
      <c r="I196" s="22" t="s">
        <v>5723</v>
      </c>
      <c r="J196" s="22" t="s">
        <v>1385</v>
      </c>
      <c r="K196" s="22" t="s">
        <v>1387</v>
      </c>
      <c r="L196" s="22" t="s">
        <v>1388</v>
      </c>
      <c r="M196" s="16" t="s">
        <v>5593</v>
      </c>
      <c r="N196" s="16" t="s">
        <v>5593</v>
      </c>
      <c r="O196" s="23">
        <v>41</v>
      </c>
      <c r="P196" s="24" t="e">
        <f>VLOOKUP(I196,#REF!,2,0)</f>
        <v>#REF!</v>
      </c>
      <c r="Q196" s="25"/>
      <c r="R196" s="24"/>
      <c r="S196" s="26"/>
      <c r="T196" s="24"/>
      <c r="U196" s="26"/>
      <c r="V196" s="26"/>
      <c r="W196" s="27">
        <v>194</v>
      </c>
      <c r="X196" s="28"/>
    </row>
    <row r="197" ht="31" spans="1:24">
      <c r="A197" s="16" t="s">
        <v>4174</v>
      </c>
      <c r="B197" s="17" t="s">
        <v>4175</v>
      </c>
      <c r="C197" s="30" t="s">
        <v>2009</v>
      </c>
      <c r="D197" s="19" t="e">
        <f>VLOOKUP(C197,#REF!,2,0)</f>
        <v>#REF!</v>
      </c>
      <c r="E197" s="20" t="e">
        <f>VLOOKUP(D197,数据集标准分类!E:F,2,0)</f>
        <v>#REF!</v>
      </c>
      <c r="F197" s="21">
        <v>10</v>
      </c>
      <c r="G197" s="22" t="s">
        <v>1349</v>
      </c>
      <c r="H197" s="22" t="s">
        <v>5724</v>
      </c>
      <c r="I197" s="22" t="s">
        <v>1352</v>
      </c>
      <c r="J197" s="22" t="s">
        <v>1350</v>
      </c>
      <c r="K197" s="22" t="s">
        <v>1352</v>
      </c>
      <c r="L197" s="22" t="s">
        <v>1353</v>
      </c>
      <c r="M197" s="16" t="s">
        <v>5593</v>
      </c>
      <c r="N197" s="16" t="s">
        <v>5595</v>
      </c>
      <c r="O197" s="23">
        <v>42</v>
      </c>
      <c r="P197" s="24" t="e">
        <f>VLOOKUP(I197,#REF!,2,0)</f>
        <v>#REF!</v>
      </c>
      <c r="Q197" s="25"/>
      <c r="R197" s="24"/>
      <c r="S197" s="26"/>
      <c r="T197" s="24"/>
      <c r="U197" s="26"/>
      <c r="V197" s="26"/>
      <c r="W197" s="27">
        <v>195</v>
      </c>
      <c r="X197" s="28"/>
    </row>
    <row r="198" ht="46" spans="1:24">
      <c r="A198" s="16" t="s">
        <v>4174</v>
      </c>
      <c r="B198" s="17" t="s">
        <v>4175</v>
      </c>
      <c r="C198" s="30" t="s">
        <v>2009</v>
      </c>
      <c r="D198" s="19" t="e">
        <f>VLOOKUP(C198,#REF!,2,0)</f>
        <v>#REF!</v>
      </c>
      <c r="E198" s="20" t="e">
        <f>VLOOKUP(D198,数据集标准分类!E:F,2,0)</f>
        <v>#REF!</v>
      </c>
      <c r="F198" s="21">
        <v>10</v>
      </c>
      <c r="G198" s="22" t="s">
        <v>1359</v>
      </c>
      <c r="H198" s="22" t="s">
        <v>5725</v>
      </c>
      <c r="I198" s="22" t="s">
        <v>1362</v>
      </c>
      <c r="J198" s="22" t="s">
        <v>1360</v>
      </c>
      <c r="K198" s="22" t="s">
        <v>1362</v>
      </c>
      <c r="L198" s="22" t="s">
        <v>1363</v>
      </c>
      <c r="M198" s="16" t="s">
        <v>5593</v>
      </c>
      <c r="N198" s="16" t="s">
        <v>5595</v>
      </c>
      <c r="O198" s="23">
        <v>43</v>
      </c>
      <c r="P198" s="24" t="e">
        <f>VLOOKUP(I198,#REF!,2,0)</f>
        <v>#REF!</v>
      </c>
      <c r="Q198" s="25"/>
      <c r="R198" s="24"/>
      <c r="S198" s="26"/>
      <c r="T198" s="24"/>
      <c r="U198" s="26"/>
      <c r="V198" s="26"/>
      <c r="W198" s="27">
        <v>196</v>
      </c>
      <c r="X198" s="28"/>
    </row>
    <row r="199" ht="46" spans="1:24">
      <c r="A199" s="16" t="s">
        <v>4174</v>
      </c>
      <c r="B199" s="17" t="s">
        <v>4175</v>
      </c>
      <c r="C199" s="30" t="s">
        <v>2009</v>
      </c>
      <c r="D199" s="19" t="e">
        <f>VLOOKUP(C199,#REF!,2,0)</f>
        <v>#REF!</v>
      </c>
      <c r="E199" s="20" t="e">
        <f>VLOOKUP(D199,数据集标准分类!E:F,2,0)</f>
        <v>#REF!</v>
      </c>
      <c r="F199" s="21">
        <v>10</v>
      </c>
      <c r="G199" s="22" t="s">
        <v>1364</v>
      </c>
      <c r="H199" s="22" t="s">
        <v>5726</v>
      </c>
      <c r="I199" s="22" t="s">
        <v>1367</v>
      </c>
      <c r="J199" s="22" t="s">
        <v>1365</v>
      </c>
      <c r="K199" s="22" t="s">
        <v>1367</v>
      </c>
      <c r="L199" s="22" t="s">
        <v>1368</v>
      </c>
      <c r="M199" s="16" t="s">
        <v>5593</v>
      </c>
      <c r="N199" s="16" t="s">
        <v>5595</v>
      </c>
      <c r="O199" s="23">
        <v>44</v>
      </c>
      <c r="P199" s="24" t="e">
        <f>VLOOKUP(I199,#REF!,2,0)</f>
        <v>#REF!</v>
      </c>
      <c r="Q199" s="25"/>
      <c r="R199" s="24"/>
      <c r="S199" s="26"/>
      <c r="T199" s="24"/>
      <c r="U199" s="26"/>
      <c r="V199" s="26"/>
      <c r="W199" s="27">
        <v>197</v>
      </c>
      <c r="X199" s="28"/>
    </row>
    <row r="200" ht="31" spans="1:24">
      <c r="A200" s="16" t="s">
        <v>4174</v>
      </c>
      <c r="B200" s="17" t="s">
        <v>4175</v>
      </c>
      <c r="C200" s="30" t="s">
        <v>2009</v>
      </c>
      <c r="D200" s="19" t="e">
        <f>VLOOKUP(C200,#REF!,2,0)</f>
        <v>#REF!</v>
      </c>
      <c r="E200" s="20" t="e">
        <f>VLOOKUP(D200,数据集标准分类!E:F,2,0)</f>
        <v>#REF!</v>
      </c>
      <c r="F200" s="21">
        <v>10</v>
      </c>
      <c r="G200" s="22" t="s">
        <v>1369</v>
      </c>
      <c r="H200" s="22" t="s">
        <v>5678</v>
      </c>
      <c r="I200" s="22" t="s">
        <v>5679</v>
      </c>
      <c r="J200" s="22" t="s">
        <v>1370</v>
      </c>
      <c r="K200" s="22" t="s">
        <v>1372</v>
      </c>
      <c r="L200" s="22" t="s">
        <v>1373</v>
      </c>
      <c r="M200" s="16" t="s">
        <v>5593</v>
      </c>
      <c r="N200" s="16" t="s">
        <v>5593</v>
      </c>
      <c r="O200" s="23">
        <v>45</v>
      </c>
      <c r="P200" s="24" t="e">
        <f>VLOOKUP(I200,#REF!,2,0)</f>
        <v>#REF!</v>
      </c>
      <c r="Q200" s="25"/>
      <c r="R200" s="24"/>
      <c r="S200" s="26"/>
      <c r="T200" s="24"/>
      <c r="U200" s="26"/>
      <c r="V200" s="26"/>
      <c r="W200" s="27">
        <v>198</v>
      </c>
      <c r="X200" s="28"/>
    </row>
    <row r="201" spans="1:24">
      <c r="A201" s="16" t="s">
        <v>4174</v>
      </c>
      <c r="B201" s="17" t="s">
        <v>4175</v>
      </c>
      <c r="C201" s="30" t="s">
        <v>2009</v>
      </c>
      <c r="D201" s="19" t="e">
        <f>VLOOKUP(C201,#REF!,2,0)</f>
        <v>#REF!</v>
      </c>
      <c r="E201" s="20" t="e">
        <f>VLOOKUP(D201,数据集标准分类!E:F,2,0)</f>
        <v>#REF!</v>
      </c>
      <c r="F201" s="21">
        <v>10</v>
      </c>
      <c r="G201" s="22" t="s">
        <v>2101</v>
      </c>
      <c r="H201" s="22" t="s">
        <v>5727</v>
      </c>
      <c r="I201" s="22" t="s">
        <v>2104</v>
      </c>
      <c r="J201" s="22" t="s">
        <v>2102</v>
      </c>
      <c r="K201" s="22" t="s">
        <v>2104</v>
      </c>
      <c r="L201" s="22" t="s">
        <v>2105</v>
      </c>
      <c r="M201" s="16" t="s">
        <v>5593</v>
      </c>
      <c r="N201" s="16" t="s">
        <v>5595</v>
      </c>
      <c r="O201" s="23">
        <v>46</v>
      </c>
      <c r="P201" s="24" t="e">
        <f>VLOOKUP(I201,#REF!,2,0)</f>
        <v>#REF!</v>
      </c>
      <c r="Q201" s="25"/>
      <c r="R201" s="24"/>
      <c r="S201" s="26"/>
      <c r="T201" s="24"/>
      <c r="U201" s="26"/>
      <c r="V201" s="26"/>
      <c r="W201" s="27">
        <v>199</v>
      </c>
      <c r="X201" s="28"/>
    </row>
    <row r="202" ht="24" customHeight="1" spans="1:24">
      <c r="A202" s="16" t="s">
        <v>4174</v>
      </c>
      <c r="B202" s="17" t="s">
        <v>4175</v>
      </c>
      <c r="C202" s="30" t="s">
        <v>2009</v>
      </c>
      <c r="D202" s="19" t="e">
        <f>VLOOKUP(C202,#REF!,2,0)</f>
        <v>#REF!</v>
      </c>
      <c r="E202" s="20" t="e">
        <f>VLOOKUP(D202,数据集标准分类!E:F,2,0)</f>
        <v>#REF!</v>
      </c>
      <c r="F202" s="21">
        <v>10</v>
      </c>
      <c r="G202" s="22" t="s">
        <v>1627</v>
      </c>
      <c r="H202" s="22" t="s">
        <v>5672</v>
      </c>
      <c r="I202" s="22" t="s">
        <v>1630</v>
      </c>
      <c r="J202" s="22" t="s">
        <v>1628</v>
      </c>
      <c r="K202" s="22" t="s">
        <v>1630</v>
      </c>
      <c r="L202" s="22" t="s">
        <v>1631</v>
      </c>
      <c r="M202" s="16" t="s">
        <v>5593</v>
      </c>
      <c r="N202" s="16" t="s">
        <v>5595</v>
      </c>
      <c r="O202" s="23">
        <v>47</v>
      </c>
      <c r="P202" s="24" t="e">
        <f>VLOOKUP(I202,#REF!,2,0)</f>
        <v>#REF!</v>
      </c>
      <c r="Q202" s="25"/>
      <c r="R202" s="24"/>
      <c r="S202" s="26"/>
      <c r="T202" s="24"/>
      <c r="U202" s="26"/>
      <c r="V202" s="26"/>
      <c r="W202" s="27">
        <v>200</v>
      </c>
      <c r="X202" s="28"/>
    </row>
    <row r="203" ht="61" spans="1:24">
      <c r="A203" s="16" t="s">
        <v>4174</v>
      </c>
      <c r="B203" s="17" t="s">
        <v>4175</v>
      </c>
      <c r="C203" s="30" t="s">
        <v>2009</v>
      </c>
      <c r="D203" s="19" t="e">
        <f>VLOOKUP(C203,#REF!,2,0)</f>
        <v>#REF!</v>
      </c>
      <c r="E203" s="20" t="e">
        <f>VLOOKUP(D203,数据集标准分类!E:F,2,0)</f>
        <v>#REF!</v>
      </c>
      <c r="F203" s="21">
        <v>10</v>
      </c>
      <c r="G203" s="22" t="s">
        <v>2106</v>
      </c>
      <c r="H203" s="22" t="s">
        <v>2107</v>
      </c>
      <c r="I203" s="22" t="s">
        <v>2109</v>
      </c>
      <c r="J203" s="22" t="s">
        <v>2107</v>
      </c>
      <c r="K203" s="22" t="s">
        <v>2109</v>
      </c>
      <c r="L203" s="22" t="s">
        <v>2110</v>
      </c>
      <c r="M203" s="16" t="s">
        <v>5595</v>
      </c>
      <c r="N203" s="16" t="s">
        <v>5595</v>
      </c>
      <c r="O203" s="23">
        <v>48</v>
      </c>
      <c r="P203" s="24" t="e">
        <f>VLOOKUP(I203,#REF!,2,0)</f>
        <v>#REF!</v>
      </c>
      <c r="Q203" s="25"/>
      <c r="R203" s="24"/>
      <c r="S203" s="26"/>
      <c r="T203" s="24"/>
      <c r="U203" s="26"/>
      <c r="V203" s="26"/>
      <c r="W203" s="27">
        <v>201</v>
      </c>
      <c r="X203" s="28"/>
    </row>
    <row r="204" ht="31" spans="1:24">
      <c r="A204" s="16" t="s">
        <v>4174</v>
      </c>
      <c r="B204" s="17" t="s">
        <v>4175</v>
      </c>
      <c r="C204" s="30" t="s">
        <v>2111</v>
      </c>
      <c r="D204" s="19" t="e">
        <f>VLOOKUP(C204,#REF!,2,0)</f>
        <v>#REF!</v>
      </c>
      <c r="E204" s="20" t="e">
        <f>VLOOKUP(D204,数据集标准分类!E:F,2,0)</f>
        <v>#REF!</v>
      </c>
      <c r="F204" s="21">
        <v>11</v>
      </c>
      <c r="G204" s="22" t="s">
        <v>711</v>
      </c>
      <c r="H204" s="22" t="s">
        <v>712</v>
      </c>
      <c r="I204" s="22" t="s">
        <v>713</v>
      </c>
      <c r="J204" s="22" t="s">
        <v>712</v>
      </c>
      <c r="K204" s="22" t="s">
        <v>713</v>
      </c>
      <c r="L204" s="22" t="s">
        <v>714</v>
      </c>
      <c r="M204" s="16" t="s">
        <v>5595</v>
      </c>
      <c r="N204" s="16" t="s">
        <v>5595</v>
      </c>
      <c r="O204" s="23">
        <v>1</v>
      </c>
      <c r="P204" s="24" t="e">
        <f>VLOOKUP(I204,#REF!,2,0)</f>
        <v>#REF!</v>
      </c>
      <c r="Q204" s="25"/>
      <c r="R204" s="24"/>
      <c r="S204" s="26"/>
      <c r="T204" s="24"/>
      <c r="U204" s="26"/>
      <c r="V204" s="26"/>
      <c r="W204" s="27">
        <v>202</v>
      </c>
      <c r="X204" s="28"/>
    </row>
    <row r="205" ht="61" spans="1:24">
      <c r="A205" s="16" t="s">
        <v>4174</v>
      </c>
      <c r="B205" s="17" t="s">
        <v>4175</v>
      </c>
      <c r="C205" s="30" t="s">
        <v>2111</v>
      </c>
      <c r="D205" s="19" t="e">
        <f>VLOOKUP(C205,#REF!,2,0)</f>
        <v>#REF!</v>
      </c>
      <c r="E205" s="20" t="e">
        <f>VLOOKUP(D205,数据集标准分类!E:F,2,0)</f>
        <v>#REF!</v>
      </c>
      <c r="F205" s="21">
        <v>11</v>
      </c>
      <c r="G205" s="22" t="s">
        <v>77</v>
      </c>
      <c r="H205" s="22" t="s">
        <v>5686</v>
      </c>
      <c r="I205" s="22" t="s">
        <v>80</v>
      </c>
      <c r="J205" s="22" t="s">
        <v>78</v>
      </c>
      <c r="K205" s="22" t="s">
        <v>80</v>
      </c>
      <c r="L205" s="22" t="s">
        <v>310</v>
      </c>
      <c r="M205" s="16" t="s">
        <v>5593</v>
      </c>
      <c r="N205" s="16" t="s">
        <v>5595</v>
      </c>
      <c r="O205" s="23">
        <v>2</v>
      </c>
      <c r="P205" s="24" t="e">
        <f>VLOOKUP(I205,#REF!,2,0)</f>
        <v>#REF!</v>
      </c>
      <c r="Q205" s="25"/>
      <c r="R205" s="24"/>
      <c r="S205" s="26"/>
      <c r="T205" s="24"/>
      <c r="U205" s="26"/>
      <c r="V205" s="26"/>
      <c r="W205" s="27">
        <v>203</v>
      </c>
      <c r="X205" s="28"/>
    </row>
    <row r="206" ht="61" spans="1:24">
      <c r="A206" s="16" t="s">
        <v>4174</v>
      </c>
      <c r="B206" s="17" t="s">
        <v>4175</v>
      </c>
      <c r="C206" s="30" t="s">
        <v>2111</v>
      </c>
      <c r="D206" s="19" t="e">
        <f>VLOOKUP(C206,#REF!,2,0)</f>
        <v>#REF!</v>
      </c>
      <c r="E206" s="20" t="e">
        <f>VLOOKUP(D206,数据集标准分类!E:F,2,0)</f>
        <v>#REF!</v>
      </c>
      <c r="F206" s="21">
        <v>11</v>
      </c>
      <c r="G206" s="22" t="s">
        <v>82</v>
      </c>
      <c r="H206" s="22" t="s">
        <v>5687</v>
      </c>
      <c r="I206" s="22" t="s">
        <v>85</v>
      </c>
      <c r="J206" s="22" t="s">
        <v>83</v>
      </c>
      <c r="K206" s="22" t="s">
        <v>85</v>
      </c>
      <c r="L206" s="22" t="s">
        <v>311</v>
      </c>
      <c r="M206" s="16" t="s">
        <v>5593</v>
      </c>
      <c r="N206" s="16" t="s">
        <v>5595</v>
      </c>
      <c r="O206" s="23">
        <v>3</v>
      </c>
      <c r="P206" s="24" t="e">
        <f>VLOOKUP(I206,#REF!,2,0)</f>
        <v>#REF!</v>
      </c>
      <c r="Q206" s="25"/>
      <c r="R206" s="24"/>
      <c r="S206" s="26"/>
      <c r="T206" s="24"/>
      <c r="U206" s="26"/>
      <c r="V206" s="26"/>
      <c r="W206" s="27">
        <v>204</v>
      </c>
      <c r="X206" s="28"/>
    </row>
    <row r="207" ht="31" spans="1:24">
      <c r="A207" s="16" t="s">
        <v>4174</v>
      </c>
      <c r="B207" s="17" t="s">
        <v>4175</v>
      </c>
      <c r="C207" s="30" t="s">
        <v>2111</v>
      </c>
      <c r="D207" s="19" t="e">
        <f>VLOOKUP(C207,#REF!,2,0)</f>
        <v>#REF!</v>
      </c>
      <c r="E207" s="20" t="e">
        <f>VLOOKUP(D207,数据集标准分类!E:F,2,0)</f>
        <v>#REF!</v>
      </c>
      <c r="F207" s="21">
        <v>11</v>
      </c>
      <c r="G207" s="64" t="s">
        <v>1583</v>
      </c>
      <c r="H207" s="64" t="s">
        <v>5659</v>
      </c>
      <c r="I207" s="64" t="s">
        <v>1586</v>
      </c>
      <c r="J207" s="22" t="s">
        <v>1584</v>
      </c>
      <c r="K207" s="22" t="s">
        <v>1586</v>
      </c>
      <c r="L207" s="22" t="s">
        <v>1587</v>
      </c>
      <c r="M207" s="16" t="s">
        <v>5593</v>
      </c>
      <c r="N207" s="16" t="s">
        <v>5595</v>
      </c>
      <c r="O207" s="23">
        <v>4</v>
      </c>
      <c r="P207" s="24" t="e">
        <f>VLOOKUP(I207,#REF!,2,0)</f>
        <v>#REF!</v>
      </c>
      <c r="Q207" s="25"/>
      <c r="R207" s="24"/>
      <c r="S207" s="26"/>
      <c r="T207" s="24"/>
      <c r="U207" s="26"/>
      <c r="V207" s="26"/>
      <c r="W207" s="27">
        <v>205</v>
      </c>
      <c r="X207" s="28"/>
    </row>
    <row r="208" ht="31" spans="1:24">
      <c r="A208" s="16" t="s">
        <v>4174</v>
      </c>
      <c r="B208" s="17" t="s">
        <v>4175</v>
      </c>
      <c r="C208" s="30" t="s">
        <v>2111</v>
      </c>
      <c r="D208" s="19" t="e">
        <f>VLOOKUP(C208,#REF!,2,0)</f>
        <v>#REF!</v>
      </c>
      <c r="E208" s="20" t="e">
        <f>VLOOKUP(D208,数据集标准分类!E:F,2,0)</f>
        <v>#REF!</v>
      </c>
      <c r="F208" s="21">
        <v>11</v>
      </c>
      <c r="G208" s="64" t="s">
        <v>1588</v>
      </c>
      <c r="H208" s="64" t="s">
        <v>5660</v>
      </c>
      <c r="I208" s="64" t="s">
        <v>1591</v>
      </c>
      <c r="J208" s="22" t="s">
        <v>1589</v>
      </c>
      <c r="K208" s="22" t="s">
        <v>1591</v>
      </c>
      <c r="L208" s="22" t="s">
        <v>1445</v>
      </c>
      <c r="M208" s="16" t="s">
        <v>5593</v>
      </c>
      <c r="N208" s="16" t="s">
        <v>5595</v>
      </c>
      <c r="O208" s="23">
        <v>5</v>
      </c>
      <c r="P208" s="24" t="e">
        <f>VLOOKUP(I208,#REF!,2,0)</f>
        <v>#REF!</v>
      </c>
      <c r="Q208" s="25"/>
      <c r="R208" s="24"/>
      <c r="S208" s="26"/>
      <c r="T208" s="24"/>
      <c r="U208" s="26"/>
      <c r="V208" s="26"/>
      <c r="W208" s="27">
        <v>206</v>
      </c>
      <c r="X208" s="28"/>
    </row>
    <row r="209" ht="76" spans="1:32">
      <c r="A209" s="16" t="s">
        <v>4174</v>
      </c>
      <c r="B209" s="17" t="s">
        <v>4175</v>
      </c>
      <c r="C209" s="30" t="s">
        <v>2111</v>
      </c>
      <c r="D209" s="19" t="e">
        <f>VLOOKUP(C209,#REF!,2,0)</f>
        <v>#REF!</v>
      </c>
      <c r="E209" s="20" t="e">
        <f>VLOOKUP(D209,数据集标准分类!E:F,2,0)</f>
        <v>#REF!</v>
      </c>
      <c r="F209" s="21">
        <v>11</v>
      </c>
      <c r="G209" s="22" t="s">
        <v>715</v>
      </c>
      <c r="H209" s="22" t="s">
        <v>5697</v>
      </c>
      <c r="I209" s="22" t="s">
        <v>718</v>
      </c>
      <c r="J209" s="22" t="s">
        <v>716</v>
      </c>
      <c r="K209" s="22" t="s">
        <v>718</v>
      </c>
      <c r="L209" s="22" t="s">
        <v>719</v>
      </c>
      <c r="M209" s="16" t="s">
        <v>5593</v>
      </c>
      <c r="N209" s="16" t="s">
        <v>5595</v>
      </c>
      <c r="O209" s="23">
        <v>6</v>
      </c>
      <c r="P209" s="24" t="e">
        <f>VLOOKUP(I209,#REF!,2,0)</f>
        <v>#REF!</v>
      </c>
      <c r="Q209" s="25"/>
      <c r="R209" s="24"/>
      <c r="S209" s="26"/>
      <c r="T209" s="24"/>
      <c r="U209" s="26"/>
      <c r="V209" s="26"/>
      <c r="W209" s="27">
        <v>207</v>
      </c>
      <c r="X209" s="28"/>
    </row>
    <row r="210" ht="46" spans="1:32">
      <c r="A210" s="16" t="s">
        <v>4174</v>
      </c>
      <c r="B210" s="17" t="s">
        <v>4175</v>
      </c>
      <c r="C210" s="30" t="s">
        <v>2111</v>
      </c>
      <c r="D210" s="19" t="e">
        <f>VLOOKUP(C210,#REF!,2,0)</f>
        <v>#REF!</v>
      </c>
      <c r="E210" s="20" t="e">
        <f>VLOOKUP(D210,数据集标准分类!E:F,2,0)</f>
        <v>#REF!</v>
      </c>
      <c r="F210" s="21">
        <v>11</v>
      </c>
      <c r="G210" s="22" t="s">
        <v>192</v>
      </c>
      <c r="H210" s="22" t="s">
        <v>5630</v>
      </c>
      <c r="I210" s="22" t="s">
        <v>5631</v>
      </c>
      <c r="J210" s="22" t="s">
        <v>193</v>
      </c>
      <c r="K210" s="22" t="s">
        <v>195</v>
      </c>
      <c r="L210" s="22" t="s">
        <v>385</v>
      </c>
      <c r="M210" s="16" t="s">
        <v>5593</v>
      </c>
      <c r="N210" s="16" t="s">
        <v>5593</v>
      </c>
      <c r="O210" s="23">
        <v>7</v>
      </c>
      <c r="P210" s="24" t="e">
        <f>VLOOKUP(I210,#REF!,2,0)</f>
        <v>#REF!</v>
      </c>
      <c r="Q210" s="25"/>
      <c r="R210" s="24"/>
      <c r="S210" s="26"/>
      <c r="T210" s="24"/>
      <c r="U210" s="26"/>
      <c r="V210" s="26"/>
      <c r="W210" s="27">
        <v>208</v>
      </c>
      <c r="X210" s="28"/>
    </row>
    <row r="211" ht="46" spans="1:32">
      <c r="A211" s="16" t="s">
        <v>4174</v>
      </c>
      <c r="B211" s="17" t="s">
        <v>4175</v>
      </c>
      <c r="C211" s="30" t="s">
        <v>2111</v>
      </c>
      <c r="D211" s="19" t="e">
        <f>VLOOKUP(C211,#REF!,2,0)</f>
        <v>#REF!</v>
      </c>
      <c r="E211" s="20" t="e">
        <f>VLOOKUP(D211,数据集标准分类!E:F,2,0)</f>
        <v>#REF!</v>
      </c>
      <c r="F211" s="21">
        <v>11</v>
      </c>
      <c r="G211" s="22" t="s">
        <v>421</v>
      </c>
      <c r="H211" s="22" t="s">
        <v>5685</v>
      </c>
      <c r="I211" s="22" t="s">
        <v>424</v>
      </c>
      <c r="J211" s="22" t="s">
        <v>422</v>
      </c>
      <c r="K211" s="22" t="s">
        <v>424</v>
      </c>
      <c r="L211" s="22" t="s">
        <v>425</v>
      </c>
      <c r="M211" s="16" t="s">
        <v>5593</v>
      </c>
      <c r="N211" s="16" t="s">
        <v>5595</v>
      </c>
      <c r="O211" s="23">
        <v>8</v>
      </c>
      <c r="P211" s="24" t="e">
        <f>VLOOKUP(I211,#REF!,2,0)</f>
        <v>#REF!</v>
      </c>
      <c r="Q211" s="25"/>
      <c r="R211" s="24"/>
      <c r="S211" s="26"/>
      <c r="T211" s="24"/>
      <c r="U211" s="26"/>
      <c r="V211" s="26"/>
      <c r="W211" s="27">
        <v>209</v>
      </c>
      <c r="X211" s="28"/>
    </row>
    <row r="212" ht="31" spans="1:32">
      <c r="A212" s="16" t="s">
        <v>4174</v>
      </c>
      <c r="B212" s="17" t="s">
        <v>4175</v>
      </c>
      <c r="C212" s="30" t="s">
        <v>2111</v>
      </c>
      <c r="D212" s="19" t="e">
        <f>VLOOKUP(C212,#REF!,2,0)</f>
        <v>#REF!</v>
      </c>
      <c r="E212" s="20" t="e">
        <f>VLOOKUP(D212,数据集标准分类!E:F,2,0)</f>
        <v>#REF!</v>
      </c>
      <c r="F212" s="21">
        <v>11</v>
      </c>
      <c r="G212" s="22" t="s">
        <v>2112</v>
      </c>
      <c r="H212" s="22" t="s">
        <v>5728</v>
      </c>
      <c r="I212" s="22" t="s">
        <v>2115</v>
      </c>
      <c r="J212" s="22" t="s">
        <v>2113</v>
      </c>
      <c r="K212" s="22" t="s">
        <v>2115</v>
      </c>
      <c r="L212" s="22" t="s">
        <v>2116</v>
      </c>
      <c r="M212" s="16" t="s">
        <v>5593</v>
      </c>
      <c r="N212" s="16" t="s">
        <v>5595</v>
      </c>
      <c r="O212" s="23">
        <v>9</v>
      </c>
      <c r="P212" s="24" t="e">
        <f>VLOOKUP(I212,#REF!,2,0)</f>
        <v>#REF!</v>
      </c>
      <c r="Q212" s="25"/>
      <c r="R212" s="24"/>
      <c r="S212" s="26"/>
      <c r="T212" s="24"/>
      <c r="U212" s="26"/>
      <c r="V212" s="26"/>
      <c r="W212" s="27">
        <v>210</v>
      </c>
      <c r="X212" s="28"/>
    </row>
    <row r="213" ht="31" spans="1:32">
      <c r="A213" s="16" t="s">
        <v>4174</v>
      </c>
      <c r="B213" s="17" t="s">
        <v>4175</v>
      </c>
      <c r="C213" s="30" t="s">
        <v>2111</v>
      </c>
      <c r="D213" s="19" t="e">
        <f>VLOOKUP(C213,#REF!,2,0)</f>
        <v>#REF!</v>
      </c>
      <c r="E213" s="20" t="e">
        <f>VLOOKUP(D213,数据集标准分类!E:F,2,0)</f>
        <v>#REF!</v>
      </c>
      <c r="F213" s="21">
        <v>11</v>
      </c>
      <c r="G213" s="22" t="s">
        <v>2117</v>
      </c>
      <c r="H213" s="22" t="s">
        <v>2118</v>
      </c>
      <c r="I213" s="22" t="s">
        <v>5729</v>
      </c>
      <c r="J213" s="22" t="s">
        <v>2118</v>
      </c>
      <c r="K213" s="22" t="s">
        <v>2120</v>
      </c>
      <c r="L213" s="22" t="s">
        <v>2121</v>
      </c>
      <c r="M213" s="16" t="s">
        <v>5595</v>
      </c>
      <c r="N213" s="16" t="s">
        <v>5593</v>
      </c>
      <c r="O213" s="23">
        <v>10</v>
      </c>
      <c r="P213" s="24" t="e">
        <f>VLOOKUP(I213,#REF!,2,0)</f>
        <v>#REF!</v>
      </c>
      <c r="Q213" s="25"/>
      <c r="R213" s="24"/>
      <c r="S213" s="26"/>
      <c r="T213" s="24"/>
      <c r="U213" s="26"/>
      <c r="V213" s="26"/>
      <c r="W213" s="27">
        <v>211</v>
      </c>
      <c r="X213" s="28"/>
    </row>
    <row r="214" ht="31" spans="1:32">
      <c r="A214" s="16" t="s">
        <v>4174</v>
      </c>
      <c r="B214" s="17" t="s">
        <v>4175</v>
      </c>
      <c r="C214" s="30" t="s">
        <v>2111</v>
      </c>
      <c r="D214" s="19" t="e">
        <f>VLOOKUP(C214,#REF!,2,0)</f>
        <v>#REF!</v>
      </c>
      <c r="E214" s="20" t="e">
        <f>VLOOKUP(D214,数据集标准分类!E:F,2,0)</f>
        <v>#REF!</v>
      </c>
      <c r="F214" s="21">
        <v>11</v>
      </c>
      <c r="G214" s="22" t="s">
        <v>1622</v>
      </c>
      <c r="H214" s="22" t="s">
        <v>5730</v>
      </c>
      <c r="I214" s="22" t="s">
        <v>1625</v>
      </c>
      <c r="J214" s="22" t="s">
        <v>1623</v>
      </c>
      <c r="K214" s="22" t="s">
        <v>1625</v>
      </c>
      <c r="L214" s="22" t="s">
        <v>2122</v>
      </c>
      <c r="M214" s="16" t="s">
        <v>5593</v>
      </c>
      <c r="N214" s="16" t="s">
        <v>5595</v>
      </c>
      <c r="O214" s="23">
        <v>11</v>
      </c>
      <c r="P214" s="24" t="e">
        <f>VLOOKUP(I214,#REF!,2,0)</f>
        <v>#REF!</v>
      </c>
      <c r="Q214" s="25"/>
      <c r="R214" s="24"/>
      <c r="S214" s="26"/>
      <c r="T214" s="24"/>
      <c r="U214" s="26"/>
      <c r="V214" s="26"/>
      <c r="W214" s="27">
        <v>212</v>
      </c>
      <c r="X214" s="28"/>
    </row>
    <row r="215" ht="24" customHeight="1" spans="1:32">
      <c r="A215" s="16" t="s">
        <v>4174</v>
      </c>
      <c r="B215" s="17" t="s">
        <v>4175</v>
      </c>
      <c r="C215" s="30" t="s">
        <v>2111</v>
      </c>
      <c r="D215" s="19" t="e">
        <f>VLOOKUP(C215,#REF!,2,0)</f>
        <v>#REF!</v>
      </c>
      <c r="E215" s="20" t="e">
        <f>VLOOKUP(D215,数据集标准分类!E:F,2,0)</f>
        <v>#REF!</v>
      </c>
      <c r="F215" s="21">
        <v>11</v>
      </c>
      <c r="G215" s="22" t="s">
        <v>2123</v>
      </c>
      <c r="H215" s="22" t="s">
        <v>5731</v>
      </c>
      <c r="I215" s="22" t="s">
        <v>2126</v>
      </c>
      <c r="J215" s="22" t="s">
        <v>2124</v>
      </c>
      <c r="K215" s="22" t="s">
        <v>2126</v>
      </c>
      <c r="L215" s="22" t="s">
        <v>2127</v>
      </c>
      <c r="M215" s="16" t="s">
        <v>5593</v>
      </c>
      <c r="N215" s="16" t="s">
        <v>5595</v>
      </c>
      <c r="O215" s="23">
        <v>12</v>
      </c>
      <c r="P215" s="24" t="e">
        <f>VLOOKUP(I215,#REF!,2,0)</f>
        <v>#REF!</v>
      </c>
      <c r="Q215" s="25"/>
      <c r="R215" s="24"/>
      <c r="S215" s="26"/>
      <c r="T215" s="24"/>
      <c r="U215" s="26"/>
      <c r="V215" s="26"/>
      <c r="W215" s="27">
        <v>213</v>
      </c>
      <c r="X215" s="28"/>
    </row>
    <row r="216" spans="1:32">
      <c r="A216" s="16" t="s">
        <v>4174</v>
      </c>
      <c r="B216" s="17" t="s">
        <v>4175</v>
      </c>
      <c r="C216" s="30" t="s">
        <v>2111</v>
      </c>
      <c r="D216" s="19" t="e">
        <f>VLOOKUP(C216,#REF!,2,0)</f>
        <v>#REF!</v>
      </c>
      <c r="E216" s="20" t="e">
        <f>VLOOKUP(D216,数据集标准分类!E:F,2,0)</f>
        <v>#REF!</v>
      </c>
      <c r="F216" s="21">
        <v>11</v>
      </c>
      <c r="G216" s="22" t="s">
        <v>2128</v>
      </c>
      <c r="H216" s="22" t="s">
        <v>5703</v>
      </c>
      <c r="I216" s="22" t="s">
        <v>5704</v>
      </c>
      <c r="J216" s="22" t="s">
        <v>2129</v>
      </c>
      <c r="K216" s="22" t="s">
        <v>2131</v>
      </c>
      <c r="L216" s="22" t="s">
        <v>2132</v>
      </c>
      <c r="M216" s="16" t="s">
        <v>5593</v>
      </c>
      <c r="N216" s="16" t="s">
        <v>5593</v>
      </c>
      <c r="O216" s="23">
        <v>13</v>
      </c>
      <c r="P216" s="24" t="e">
        <f>VLOOKUP(I216,#REF!,2,0)</f>
        <v>#REF!</v>
      </c>
      <c r="Q216" s="25"/>
      <c r="R216" s="24"/>
      <c r="S216" s="26"/>
      <c r="T216" s="24"/>
      <c r="U216" s="26"/>
      <c r="V216" s="26"/>
      <c r="W216" s="27">
        <v>214</v>
      </c>
      <c r="X216" s="28"/>
    </row>
    <row r="217" ht="61" spans="1:32">
      <c r="A217" s="16" t="s">
        <v>4174</v>
      </c>
      <c r="B217" s="17" t="s">
        <v>4175</v>
      </c>
      <c r="C217" s="30" t="s">
        <v>1322</v>
      </c>
      <c r="D217" s="19" t="e">
        <f>VLOOKUP(C217,#REF!,2,0)</f>
        <v>#REF!</v>
      </c>
      <c r="E217" s="20" t="e">
        <f>VLOOKUP(D217,数据集标准分类!E:F,2,0)</f>
        <v>#REF!</v>
      </c>
      <c r="F217" s="21">
        <v>12</v>
      </c>
      <c r="G217" s="22" t="s">
        <v>77</v>
      </c>
      <c r="H217" s="22" t="s">
        <v>5686</v>
      </c>
      <c r="I217" s="22" t="s">
        <v>80</v>
      </c>
      <c r="J217" s="22" t="s">
        <v>78</v>
      </c>
      <c r="K217" s="22" t="s">
        <v>80</v>
      </c>
      <c r="L217" s="22" t="s">
        <v>310</v>
      </c>
      <c r="M217" s="16" t="s">
        <v>5593</v>
      </c>
      <c r="N217" s="16" t="s">
        <v>5595</v>
      </c>
      <c r="O217" s="23">
        <v>1</v>
      </c>
      <c r="P217" s="24" t="e">
        <f>VLOOKUP(I217,#REF!,2,0)</f>
        <v>#REF!</v>
      </c>
      <c r="Q217" s="25"/>
      <c r="R217" s="24"/>
      <c r="S217" s="26"/>
      <c r="T217" s="24"/>
      <c r="U217" s="26"/>
      <c r="V217" s="26"/>
      <c r="W217" s="27">
        <v>215</v>
      </c>
      <c r="X217" s="28"/>
    </row>
    <row r="218" ht="61" spans="1:32">
      <c r="A218" s="16" t="s">
        <v>4174</v>
      </c>
      <c r="B218" s="17" t="s">
        <v>4175</v>
      </c>
      <c r="C218" s="30" t="s">
        <v>1322</v>
      </c>
      <c r="D218" s="19" t="e">
        <f>VLOOKUP(C218,#REF!,2,0)</f>
        <v>#REF!</v>
      </c>
      <c r="E218" s="20" t="e">
        <f>VLOOKUP(D218,数据集标准分类!E:F,2,0)</f>
        <v>#REF!</v>
      </c>
      <c r="F218" s="21">
        <v>12</v>
      </c>
      <c r="G218" s="22" t="s">
        <v>82</v>
      </c>
      <c r="H218" s="22" t="s">
        <v>5687</v>
      </c>
      <c r="I218" s="22" t="s">
        <v>85</v>
      </c>
      <c r="J218" s="22" t="s">
        <v>83</v>
      </c>
      <c r="K218" s="22" t="s">
        <v>85</v>
      </c>
      <c r="L218" s="22" t="s">
        <v>311</v>
      </c>
      <c r="M218" s="16" t="s">
        <v>5593</v>
      </c>
      <c r="N218" s="16" t="s">
        <v>5595</v>
      </c>
      <c r="O218" s="23">
        <v>2</v>
      </c>
      <c r="P218" s="24" t="e">
        <f>VLOOKUP(I218,#REF!,2,0)</f>
        <v>#REF!</v>
      </c>
      <c r="Q218" s="25"/>
      <c r="R218" s="24"/>
      <c r="S218" s="26"/>
      <c r="T218" s="24"/>
      <c r="U218" s="26"/>
      <c r="V218" s="26"/>
      <c r="W218" s="27">
        <v>216</v>
      </c>
      <c r="X218" s="28"/>
    </row>
    <row r="219" ht="31" spans="1:32">
      <c r="A219" s="16" t="s">
        <v>4174</v>
      </c>
      <c r="B219" s="17" t="s">
        <v>4175</v>
      </c>
      <c r="C219" s="30" t="s">
        <v>1322</v>
      </c>
      <c r="D219" s="19" t="e">
        <f>VLOOKUP(C219,#REF!,2,0)</f>
        <v>#REF!</v>
      </c>
      <c r="E219" s="20" t="e">
        <f>VLOOKUP(D219,数据集标准分类!E:F,2,0)</f>
        <v>#REF!</v>
      </c>
      <c r="F219" s="21">
        <v>12</v>
      </c>
      <c r="G219" s="22" t="s">
        <v>1323</v>
      </c>
      <c r="H219" s="22" t="s">
        <v>5732</v>
      </c>
      <c r="I219" s="22" t="s">
        <v>5733</v>
      </c>
      <c r="J219" s="22" t="s">
        <v>1324</v>
      </c>
      <c r="K219" s="22" t="s">
        <v>1326</v>
      </c>
      <c r="L219" s="22" t="s">
        <v>1327</v>
      </c>
      <c r="M219" s="16" t="s">
        <v>5593</v>
      </c>
      <c r="N219" s="16" t="s">
        <v>5593</v>
      </c>
      <c r="O219" s="23">
        <v>3</v>
      </c>
      <c r="P219" s="24" t="e">
        <f>VLOOKUP(I219,#REF!,2,0)</f>
        <v>#REF!</v>
      </c>
      <c r="Q219" s="25"/>
      <c r="R219" s="24"/>
      <c r="S219" s="26"/>
      <c r="T219" s="24"/>
      <c r="U219" s="26"/>
      <c r="V219" s="26"/>
      <c r="W219" s="27">
        <v>217</v>
      </c>
      <c r="X219" s="28"/>
    </row>
    <row r="220" ht="31" spans="1:32">
      <c r="A220" s="31" t="s">
        <v>4174</v>
      </c>
      <c r="B220" s="32" t="s">
        <v>4175</v>
      </c>
      <c r="C220" s="33" t="s">
        <v>1322</v>
      </c>
      <c r="D220" s="34" t="e">
        <f>VLOOKUP(C220,#REF!,2,0)</f>
        <v>#REF!</v>
      </c>
      <c r="E220" s="35" t="e">
        <f>VLOOKUP(D220,数据集标准分类!E:F,2,0)</f>
        <v>#REF!</v>
      </c>
      <c r="F220" s="36">
        <v>12</v>
      </c>
      <c r="G220" s="37" t="s">
        <v>172</v>
      </c>
      <c r="H220" s="37" t="s">
        <v>5639</v>
      </c>
      <c r="I220" s="37" t="s">
        <v>5640</v>
      </c>
      <c r="J220" s="37" t="s">
        <v>173</v>
      </c>
      <c r="K220" s="37" t="s">
        <v>175</v>
      </c>
      <c r="L220" s="37" t="s">
        <v>1245</v>
      </c>
      <c r="M220" s="31" t="s">
        <v>5593</v>
      </c>
      <c r="N220" s="31" t="s">
        <v>5593</v>
      </c>
      <c r="O220" s="38">
        <v>4</v>
      </c>
      <c r="P220" s="39" t="e">
        <f>VLOOKUP(I220,#REF!,2,0)</f>
        <v>#REF!</v>
      </c>
      <c r="Q220" s="40"/>
      <c r="R220" s="39"/>
      <c r="S220" s="41"/>
      <c r="T220" s="39"/>
      <c r="U220" s="41"/>
      <c r="V220" s="41"/>
      <c r="W220" s="42">
        <v>218</v>
      </c>
      <c r="X220" s="43"/>
      <c r="Y220" s="44"/>
      <c r="Z220" s="44"/>
      <c r="AA220" s="44"/>
      <c r="AB220" s="44"/>
      <c r="AC220" s="44"/>
      <c r="AD220" s="44"/>
      <c r="AE220" s="44"/>
      <c r="AF220" s="44"/>
    </row>
    <row r="221" ht="31" spans="1:32">
      <c r="A221" s="16" t="s">
        <v>4174</v>
      </c>
      <c r="B221" s="17" t="s">
        <v>4175</v>
      </c>
      <c r="C221" s="30" t="s">
        <v>1322</v>
      </c>
      <c r="D221" s="19" t="e">
        <f>VLOOKUP(C221,#REF!,2,0)</f>
        <v>#REF!</v>
      </c>
      <c r="E221" s="20" t="e">
        <f>VLOOKUP(D221,数据集标准分类!E:F,2,0)</f>
        <v>#REF!</v>
      </c>
      <c r="F221" s="21">
        <v>12</v>
      </c>
      <c r="G221" s="22" t="s">
        <v>1328</v>
      </c>
      <c r="H221" s="22" t="s">
        <v>5734</v>
      </c>
      <c r="I221" s="22" t="s">
        <v>1331</v>
      </c>
      <c r="J221" s="22" t="s">
        <v>1329</v>
      </c>
      <c r="K221" s="22" t="s">
        <v>1331</v>
      </c>
      <c r="L221" s="22" t="s">
        <v>1332</v>
      </c>
      <c r="M221" s="16" t="s">
        <v>5593</v>
      </c>
      <c r="N221" s="16" t="s">
        <v>5595</v>
      </c>
      <c r="O221" s="23">
        <v>5</v>
      </c>
      <c r="P221" s="24" t="e">
        <f>VLOOKUP(I221,#REF!,2,0)</f>
        <v>#REF!</v>
      </c>
      <c r="Q221" s="25"/>
      <c r="R221" s="24"/>
      <c r="S221" s="26"/>
      <c r="T221" s="24"/>
      <c r="U221" s="26"/>
      <c r="V221" s="26"/>
      <c r="W221" s="27">
        <v>219</v>
      </c>
      <c r="X221" s="28"/>
    </row>
    <row r="222" ht="61" spans="1:32">
      <c r="A222" s="16" t="s">
        <v>4174</v>
      </c>
      <c r="B222" s="17" t="s">
        <v>4175</v>
      </c>
      <c r="C222" s="30" t="s">
        <v>1322</v>
      </c>
      <c r="D222" s="19" t="e">
        <f>VLOOKUP(C222,#REF!,2,0)</f>
        <v>#REF!</v>
      </c>
      <c r="E222" s="20" t="e">
        <f>VLOOKUP(D222,数据集标准分类!E:F,2,0)</f>
        <v>#REF!</v>
      </c>
      <c r="F222" s="21">
        <v>12</v>
      </c>
      <c r="G222" s="29" t="s">
        <v>1333</v>
      </c>
      <c r="H222" s="29" t="s">
        <v>5735</v>
      </c>
      <c r="I222" s="29" t="s">
        <v>1336</v>
      </c>
      <c r="J222" s="22" t="s">
        <v>1334</v>
      </c>
      <c r="K222" s="22" t="s">
        <v>1336</v>
      </c>
      <c r="L222" s="22" t="s">
        <v>1337</v>
      </c>
      <c r="M222" s="16" t="s">
        <v>5593</v>
      </c>
      <c r="N222" s="16" t="s">
        <v>5595</v>
      </c>
      <c r="O222" s="23">
        <v>6</v>
      </c>
      <c r="P222" s="24" t="e">
        <f>VLOOKUP(I222,#REF!,2,0)</f>
        <v>#REF!</v>
      </c>
      <c r="Q222" s="25"/>
      <c r="R222" s="24"/>
      <c r="S222" s="26"/>
      <c r="T222" s="24"/>
      <c r="U222" s="26"/>
      <c r="V222" s="26"/>
      <c r="W222" s="27">
        <v>220</v>
      </c>
      <c r="X222" s="28"/>
    </row>
    <row r="223" ht="61" spans="1:32">
      <c r="A223" s="16" t="s">
        <v>4174</v>
      </c>
      <c r="B223" s="17" t="s">
        <v>4175</v>
      </c>
      <c r="C223" s="30" t="s">
        <v>1322</v>
      </c>
      <c r="D223" s="19" t="e">
        <f>VLOOKUP(C223,#REF!,2,0)</f>
        <v>#REF!</v>
      </c>
      <c r="E223" s="20" t="e">
        <f>VLOOKUP(D223,数据集标准分类!E:F,2,0)</f>
        <v>#REF!</v>
      </c>
      <c r="F223" s="21">
        <v>12</v>
      </c>
      <c r="G223" s="29" t="s">
        <v>1338</v>
      </c>
      <c r="H223" s="29" t="s">
        <v>5736</v>
      </c>
      <c r="I223" s="29" t="s">
        <v>1341</v>
      </c>
      <c r="J223" s="22" t="s">
        <v>1339</v>
      </c>
      <c r="K223" s="22" t="s">
        <v>1341</v>
      </c>
      <c r="L223" s="22" t="s">
        <v>1342</v>
      </c>
      <c r="M223" s="16" t="s">
        <v>5593</v>
      </c>
      <c r="N223" s="16" t="s">
        <v>5595</v>
      </c>
      <c r="O223" s="23">
        <v>7</v>
      </c>
      <c r="P223" s="24" t="e">
        <f>VLOOKUP(I223,#REF!,2,0)</f>
        <v>#REF!</v>
      </c>
      <c r="Q223" s="25"/>
      <c r="R223" s="24"/>
      <c r="S223" s="26"/>
      <c r="T223" s="24"/>
      <c r="U223" s="26"/>
      <c r="V223" s="26"/>
      <c r="W223" s="27">
        <v>221</v>
      </c>
      <c r="X223" s="28"/>
    </row>
    <row r="224" ht="31" spans="1:32">
      <c r="A224" s="16" t="s">
        <v>4174</v>
      </c>
      <c r="B224" s="17" t="s">
        <v>4175</v>
      </c>
      <c r="C224" s="30" t="s">
        <v>1322</v>
      </c>
      <c r="D224" s="19" t="e">
        <f>VLOOKUP(C224,#REF!,2,0)</f>
        <v>#REF!</v>
      </c>
      <c r="E224" s="20" t="e">
        <f>VLOOKUP(D224,数据集标准分类!E:F,2,0)</f>
        <v>#REF!</v>
      </c>
      <c r="F224" s="21">
        <v>12</v>
      </c>
      <c r="G224" s="22" t="s">
        <v>1343</v>
      </c>
      <c r="H224" s="22" t="s">
        <v>5737</v>
      </c>
      <c r="I224" s="22" t="s">
        <v>1346</v>
      </c>
      <c r="J224" s="22" t="s">
        <v>1344</v>
      </c>
      <c r="K224" s="22" t="s">
        <v>1346</v>
      </c>
      <c r="L224" s="22" t="s">
        <v>1347</v>
      </c>
      <c r="M224" s="16" t="s">
        <v>5593</v>
      </c>
      <c r="N224" s="16" t="s">
        <v>5595</v>
      </c>
      <c r="O224" s="23">
        <v>8</v>
      </c>
      <c r="P224" s="24" t="e">
        <f>VLOOKUP(I224,#REF!,2,0)</f>
        <v>#REF!</v>
      </c>
      <c r="Q224" s="25"/>
      <c r="R224" s="24"/>
      <c r="S224" s="26"/>
      <c r="T224" s="24"/>
      <c r="U224" s="26"/>
      <c r="V224" s="26"/>
      <c r="W224" s="27">
        <v>222</v>
      </c>
      <c r="X224" s="28"/>
    </row>
    <row r="225" spans="1:32">
      <c r="A225" s="16" t="s">
        <v>4174</v>
      </c>
      <c r="B225" s="17" t="s">
        <v>4175</v>
      </c>
      <c r="C225" s="30" t="s">
        <v>1322</v>
      </c>
      <c r="D225" s="19" t="e">
        <f>VLOOKUP(C225,#REF!,2,0)</f>
        <v>#REF!</v>
      </c>
      <c r="E225" s="20" t="e">
        <f>VLOOKUP(D225,数据集标准分类!E:F,2,0)</f>
        <v>#REF!</v>
      </c>
      <c r="F225" s="21">
        <v>12</v>
      </c>
      <c r="G225" s="22" t="s">
        <v>1133</v>
      </c>
      <c r="H225" s="22" t="s">
        <v>5738</v>
      </c>
      <c r="I225" s="22" t="s">
        <v>1136</v>
      </c>
      <c r="J225" s="22" t="s">
        <v>1134</v>
      </c>
      <c r="K225" s="22" t="s">
        <v>1136</v>
      </c>
      <c r="L225" s="22" t="s">
        <v>1348</v>
      </c>
      <c r="M225" s="16" t="s">
        <v>5593</v>
      </c>
      <c r="N225" s="16" t="s">
        <v>5595</v>
      </c>
      <c r="O225" s="23">
        <v>9</v>
      </c>
      <c r="P225" s="24" t="e">
        <f>VLOOKUP(I225,#REF!,2,0)</f>
        <v>#REF!</v>
      </c>
      <c r="Q225" s="47"/>
      <c r="R225" s="24"/>
      <c r="S225" s="48"/>
      <c r="T225" s="24"/>
      <c r="U225" s="48"/>
      <c r="V225" s="48"/>
      <c r="W225" s="27">
        <v>223</v>
      </c>
      <c r="X225" s="28"/>
      <c r="Y225" s="5"/>
      <c r="Z225" s="5"/>
      <c r="AA225" s="5"/>
      <c r="AB225" s="5"/>
      <c r="AC225" s="5"/>
      <c r="AD225" s="5"/>
      <c r="AE225" s="5"/>
      <c r="AF225" s="5"/>
    </row>
    <row r="226" ht="31" spans="1:32">
      <c r="A226" s="16" t="s">
        <v>4174</v>
      </c>
      <c r="B226" s="17" t="s">
        <v>4175</v>
      </c>
      <c r="C226" s="30" t="s">
        <v>1322</v>
      </c>
      <c r="D226" s="19" t="e">
        <f>VLOOKUP(C226,#REF!,2,0)</f>
        <v>#REF!</v>
      </c>
      <c r="E226" s="20" t="e">
        <f>VLOOKUP(D226,数据集标准分类!E:F,2,0)</f>
        <v>#REF!</v>
      </c>
      <c r="F226" s="21">
        <v>12</v>
      </c>
      <c r="G226" s="22" t="s">
        <v>1349</v>
      </c>
      <c r="H226" s="22" t="s">
        <v>5724</v>
      </c>
      <c r="I226" s="22" t="s">
        <v>1352</v>
      </c>
      <c r="J226" s="22" t="s">
        <v>1350</v>
      </c>
      <c r="K226" s="22" t="s">
        <v>1352</v>
      </c>
      <c r="L226" s="22" t="s">
        <v>1353</v>
      </c>
      <c r="M226" s="16" t="s">
        <v>5593</v>
      </c>
      <c r="N226" s="16" t="s">
        <v>5595</v>
      </c>
      <c r="O226" s="23">
        <v>10</v>
      </c>
      <c r="P226" s="24" t="e">
        <f>VLOOKUP(I226,#REF!,2,0)</f>
        <v>#REF!</v>
      </c>
      <c r="Q226" s="25"/>
      <c r="R226" s="24"/>
      <c r="S226" s="26"/>
      <c r="T226" s="24"/>
      <c r="U226" s="26"/>
      <c r="V226" s="26"/>
      <c r="W226" s="27">
        <v>224</v>
      </c>
      <c r="X226" s="28"/>
    </row>
    <row r="227" ht="31" spans="1:32">
      <c r="A227" s="16" t="s">
        <v>4174</v>
      </c>
      <c r="B227" s="17" t="s">
        <v>4175</v>
      </c>
      <c r="C227" s="30" t="s">
        <v>1322</v>
      </c>
      <c r="D227" s="19" t="e">
        <f>VLOOKUP(C227,#REF!,2,0)</f>
        <v>#REF!</v>
      </c>
      <c r="E227" s="20" t="e">
        <f>VLOOKUP(D227,数据集标准分类!E:F,2,0)</f>
        <v>#REF!</v>
      </c>
      <c r="F227" s="21">
        <v>12</v>
      </c>
      <c r="G227" s="22" t="s">
        <v>1354</v>
      </c>
      <c r="H227" s="22" t="s">
        <v>5739</v>
      </c>
      <c r="I227" s="22" t="s">
        <v>1357</v>
      </c>
      <c r="J227" s="22" t="s">
        <v>1355</v>
      </c>
      <c r="K227" s="22" t="s">
        <v>1357</v>
      </c>
      <c r="L227" s="22" t="s">
        <v>1358</v>
      </c>
      <c r="M227" s="16" t="s">
        <v>5593</v>
      </c>
      <c r="N227" s="16" t="s">
        <v>5595</v>
      </c>
      <c r="O227" s="23">
        <v>11</v>
      </c>
      <c r="P227" s="24" t="e">
        <f>VLOOKUP(I227,#REF!,2,0)</f>
        <v>#REF!</v>
      </c>
      <c r="Q227" s="25"/>
      <c r="R227" s="24"/>
      <c r="S227" s="26"/>
      <c r="T227" s="24"/>
      <c r="U227" s="26"/>
      <c r="V227" s="26"/>
      <c r="W227" s="27">
        <v>225</v>
      </c>
      <c r="X227" s="28"/>
    </row>
    <row r="228" ht="46" spans="1:32">
      <c r="A228" s="16" t="s">
        <v>4174</v>
      </c>
      <c r="B228" s="17" t="s">
        <v>4175</v>
      </c>
      <c r="C228" s="30" t="s">
        <v>1322</v>
      </c>
      <c r="D228" s="19" t="e">
        <f>VLOOKUP(C228,#REF!,2,0)</f>
        <v>#REF!</v>
      </c>
      <c r="E228" s="20" t="e">
        <f>VLOOKUP(D228,数据集标准分类!E:F,2,0)</f>
        <v>#REF!</v>
      </c>
      <c r="F228" s="21">
        <v>12</v>
      </c>
      <c r="G228" s="22" t="s">
        <v>1359</v>
      </c>
      <c r="H228" s="22" t="s">
        <v>5725</v>
      </c>
      <c r="I228" s="22" t="s">
        <v>1362</v>
      </c>
      <c r="J228" s="22" t="s">
        <v>1360</v>
      </c>
      <c r="K228" s="22" t="s">
        <v>1362</v>
      </c>
      <c r="L228" s="22" t="s">
        <v>1363</v>
      </c>
      <c r="M228" s="16" t="s">
        <v>5593</v>
      </c>
      <c r="N228" s="16" t="s">
        <v>5595</v>
      </c>
      <c r="O228" s="23">
        <v>12</v>
      </c>
      <c r="P228" s="24" t="e">
        <f>VLOOKUP(I228,#REF!,2,0)</f>
        <v>#REF!</v>
      </c>
      <c r="Q228" s="25"/>
      <c r="R228" s="24"/>
      <c r="S228" s="26"/>
      <c r="T228" s="24"/>
      <c r="U228" s="26"/>
      <c r="V228" s="26"/>
      <c r="W228" s="27">
        <v>226</v>
      </c>
      <c r="X228" s="28"/>
    </row>
    <row r="229" ht="46" spans="1:32">
      <c r="A229" s="16" t="s">
        <v>4174</v>
      </c>
      <c r="B229" s="17" t="s">
        <v>4175</v>
      </c>
      <c r="C229" s="30" t="s">
        <v>1322</v>
      </c>
      <c r="D229" s="19" t="e">
        <f>VLOOKUP(C229,#REF!,2,0)</f>
        <v>#REF!</v>
      </c>
      <c r="E229" s="20" t="e">
        <f>VLOOKUP(D229,数据集标准分类!E:F,2,0)</f>
        <v>#REF!</v>
      </c>
      <c r="F229" s="21">
        <v>12</v>
      </c>
      <c r="G229" s="22" t="s">
        <v>1364</v>
      </c>
      <c r="H229" s="22" t="s">
        <v>5726</v>
      </c>
      <c r="I229" s="22" t="s">
        <v>1367</v>
      </c>
      <c r="J229" s="22" t="s">
        <v>1365</v>
      </c>
      <c r="K229" s="22" t="s">
        <v>1367</v>
      </c>
      <c r="L229" s="22" t="s">
        <v>1368</v>
      </c>
      <c r="M229" s="16" t="s">
        <v>5593</v>
      </c>
      <c r="N229" s="16" t="s">
        <v>5595</v>
      </c>
      <c r="O229" s="23">
        <v>13</v>
      </c>
      <c r="P229" s="24" t="e">
        <f>VLOOKUP(I229,#REF!,2,0)</f>
        <v>#REF!</v>
      </c>
      <c r="Q229" s="25"/>
      <c r="R229" s="24"/>
      <c r="S229" s="26"/>
      <c r="T229" s="24"/>
      <c r="U229" s="26"/>
      <c r="V229" s="26"/>
      <c r="W229" s="27">
        <v>227</v>
      </c>
      <c r="X229" s="28"/>
    </row>
    <row r="230" ht="31" spans="1:32">
      <c r="A230" s="16" t="s">
        <v>4174</v>
      </c>
      <c r="B230" s="17" t="s">
        <v>4175</v>
      </c>
      <c r="C230" s="30" t="s">
        <v>1322</v>
      </c>
      <c r="D230" s="19" t="e">
        <f>VLOOKUP(C230,#REF!,2,0)</f>
        <v>#REF!</v>
      </c>
      <c r="E230" s="20" t="e">
        <f>VLOOKUP(D230,数据集标准分类!E:F,2,0)</f>
        <v>#REF!</v>
      </c>
      <c r="F230" s="21">
        <v>12</v>
      </c>
      <c r="G230" s="22" t="s">
        <v>1369</v>
      </c>
      <c r="H230" s="22" t="s">
        <v>5678</v>
      </c>
      <c r="I230" s="22" t="s">
        <v>5679</v>
      </c>
      <c r="J230" s="22" t="s">
        <v>1370</v>
      </c>
      <c r="K230" s="22" t="s">
        <v>1372</v>
      </c>
      <c r="L230" s="22" t="s">
        <v>1373</v>
      </c>
      <c r="M230" s="16" t="s">
        <v>5593</v>
      </c>
      <c r="N230" s="16" t="s">
        <v>5593</v>
      </c>
      <c r="O230" s="23">
        <v>14</v>
      </c>
      <c r="P230" s="24" t="e">
        <f>VLOOKUP(I230,#REF!,2,0)</f>
        <v>#REF!</v>
      </c>
      <c r="Q230" s="25"/>
      <c r="R230" s="24"/>
      <c r="S230" s="26"/>
      <c r="T230" s="24"/>
      <c r="U230" s="26"/>
      <c r="V230" s="26"/>
      <c r="W230" s="27">
        <v>228</v>
      </c>
      <c r="X230" s="28"/>
    </row>
    <row r="231" ht="31" spans="1:32">
      <c r="A231" s="16" t="s">
        <v>4174</v>
      </c>
      <c r="B231" s="17" t="s">
        <v>4175</v>
      </c>
      <c r="C231" s="30" t="s">
        <v>1322</v>
      </c>
      <c r="D231" s="19" t="e">
        <f>VLOOKUP(C231,#REF!,2,0)</f>
        <v>#REF!</v>
      </c>
      <c r="E231" s="20" t="e">
        <f>VLOOKUP(D231,数据集标准分类!E:F,2,0)</f>
        <v>#REF!</v>
      </c>
      <c r="F231" s="21">
        <v>12</v>
      </c>
      <c r="G231" s="22" t="s">
        <v>1374</v>
      </c>
      <c r="H231" s="22" t="s">
        <v>5740</v>
      </c>
      <c r="I231" s="22" t="s">
        <v>1377</v>
      </c>
      <c r="J231" s="22" t="s">
        <v>1375</v>
      </c>
      <c r="K231" s="22" t="s">
        <v>1377</v>
      </c>
      <c r="L231" s="22" t="s">
        <v>1378</v>
      </c>
      <c r="M231" s="16" t="s">
        <v>5593</v>
      </c>
      <c r="N231" s="16" t="s">
        <v>5595</v>
      </c>
      <c r="O231" s="23">
        <v>15</v>
      </c>
      <c r="P231" s="24" t="e">
        <f>VLOOKUP(I231,#REF!,2,0)</f>
        <v>#REF!</v>
      </c>
      <c r="Q231" s="25"/>
      <c r="R231" s="24"/>
      <c r="S231" s="26"/>
      <c r="T231" s="24"/>
      <c r="U231" s="26"/>
      <c r="V231" s="26"/>
      <c r="W231" s="27">
        <v>229</v>
      </c>
      <c r="X231" s="28"/>
    </row>
    <row r="232" spans="1:32">
      <c r="A232" s="16" t="s">
        <v>4174</v>
      </c>
      <c r="B232" s="17" t="s">
        <v>4175</v>
      </c>
      <c r="C232" s="30" t="s">
        <v>1322</v>
      </c>
      <c r="D232" s="19" t="e">
        <f>VLOOKUP(C232,#REF!,2,0)</f>
        <v>#REF!</v>
      </c>
      <c r="E232" s="20" t="e">
        <f>VLOOKUP(D232,数据集标准分类!E:F,2,0)</f>
        <v>#REF!</v>
      </c>
      <c r="F232" s="21">
        <v>12</v>
      </c>
      <c r="G232" s="22" t="s">
        <v>1379</v>
      </c>
      <c r="H232" s="22" t="s">
        <v>5741</v>
      </c>
      <c r="I232" s="22" t="s">
        <v>1382</v>
      </c>
      <c r="J232" s="22" t="s">
        <v>1380</v>
      </c>
      <c r="K232" s="22" t="s">
        <v>1382</v>
      </c>
      <c r="L232" s="22" t="s">
        <v>1383</v>
      </c>
      <c r="M232" s="16" t="s">
        <v>5593</v>
      </c>
      <c r="N232" s="16" t="s">
        <v>5595</v>
      </c>
      <c r="O232" s="23">
        <v>16</v>
      </c>
      <c r="P232" s="24" t="e">
        <f>VLOOKUP(I232,#REF!,2,0)</f>
        <v>#REF!</v>
      </c>
      <c r="Q232" s="25"/>
      <c r="R232" s="24"/>
      <c r="S232" s="26"/>
      <c r="T232" s="24"/>
      <c r="U232" s="26"/>
      <c r="V232" s="26"/>
      <c r="W232" s="27">
        <v>230</v>
      </c>
      <c r="X232" s="28"/>
    </row>
    <row r="233" ht="31" spans="1:32">
      <c r="A233" s="16" t="s">
        <v>4174</v>
      </c>
      <c r="B233" s="17" t="s">
        <v>4175</v>
      </c>
      <c r="C233" s="30" t="s">
        <v>1322</v>
      </c>
      <c r="D233" s="19" t="e">
        <f>VLOOKUP(C233,#REF!,2,0)</f>
        <v>#REF!</v>
      </c>
      <c r="E233" s="20" t="e">
        <f>VLOOKUP(D233,数据集标准分类!E:F,2,0)</f>
        <v>#REF!</v>
      </c>
      <c r="F233" s="21">
        <v>12</v>
      </c>
      <c r="G233" s="22" t="s">
        <v>1384</v>
      </c>
      <c r="H233" s="22" t="s">
        <v>5722</v>
      </c>
      <c r="I233" s="22" t="s">
        <v>5723</v>
      </c>
      <c r="J233" s="22" t="s">
        <v>1385</v>
      </c>
      <c r="K233" s="22" t="s">
        <v>1387</v>
      </c>
      <c r="L233" s="22" t="s">
        <v>1388</v>
      </c>
      <c r="M233" s="16" t="s">
        <v>5593</v>
      </c>
      <c r="N233" s="16" t="s">
        <v>5593</v>
      </c>
      <c r="O233" s="23">
        <v>17</v>
      </c>
      <c r="P233" s="24" t="e">
        <f>VLOOKUP(I233,#REF!,2,0)</f>
        <v>#REF!</v>
      </c>
      <c r="Q233" s="25"/>
      <c r="R233" s="24"/>
      <c r="S233" s="26"/>
      <c r="T233" s="24"/>
      <c r="U233" s="26"/>
      <c r="V233" s="26"/>
      <c r="W233" s="27">
        <v>231</v>
      </c>
      <c r="X233" s="28"/>
    </row>
    <row r="234" ht="24" customHeight="1" spans="1:32">
      <c r="A234" s="16" t="s">
        <v>4174</v>
      </c>
      <c r="B234" s="17" t="s">
        <v>4175</v>
      </c>
      <c r="C234" s="30" t="s">
        <v>1322</v>
      </c>
      <c r="D234" s="19" t="e">
        <f>VLOOKUP(C234,#REF!,2,0)</f>
        <v>#REF!</v>
      </c>
      <c r="E234" s="20" t="e">
        <f>VLOOKUP(D234,数据集标准分类!E:F,2,0)</f>
        <v>#REF!</v>
      </c>
      <c r="F234" s="21">
        <v>12</v>
      </c>
      <c r="G234" s="22" t="s">
        <v>1389</v>
      </c>
      <c r="H234" s="22" t="s">
        <v>5742</v>
      </c>
      <c r="I234" s="22" t="s">
        <v>1392</v>
      </c>
      <c r="J234" s="22" t="s">
        <v>1390</v>
      </c>
      <c r="K234" s="22" t="s">
        <v>1392</v>
      </c>
      <c r="L234" s="22" t="s">
        <v>1393</v>
      </c>
      <c r="M234" s="16" t="s">
        <v>5593</v>
      </c>
      <c r="N234" s="16" t="s">
        <v>5595</v>
      </c>
      <c r="O234" s="23">
        <v>18</v>
      </c>
      <c r="P234" s="24" t="e">
        <f>VLOOKUP(I234,#REF!,2,0)</f>
        <v>#REF!</v>
      </c>
      <c r="Q234" s="25"/>
      <c r="R234" s="24"/>
      <c r="S234" s="26"/>
      <c r="T234" s="24"/>
      <c r="U234" s="26"/>
      <c r="V234" s="26"/>
      <c r="W234" s="27">
        <v>232</v>
      </c>
      <c r="X234" s="28"/>
    </row>
    <row r="235" ht="31" spans="1:32">
      <c r="A235" s="16" t="s">
        <v>4174</v>
      </c>
      <c r="B235" s="17" t="s">
        <v>4175</v>
      </c>
      <c r="C235" s="30" t="s">
        <v>1322</v>
      </c>
      <c r="D235" s="19" t="e">
        <f>VLOOKUP(C235,#REF!,2,0)</f>
        <v>#REF!</v>
      </c>
      <c r="E235" s="20" t="e">
        <f>VLOOKUP(D235,数据集标准分类!E:F,2,0)</f>
        <v>#REF!</v>
      </c>
      <c r="F235" s="21">
        <v>12</v>
      </c>
      <c r="G235" s="22" t="s">
        <v>1394</v>
      </c>
      <c r="H235" s="22" t="s">
        <v>5636</v>
      </c>
      <c r="I235" s="22" t="s">
        <v>5637</v>
      </c>
      <c r="J235" s="22" t="s">
        <v>1395</v>
      </c>
      <c r="K235" s="22" t="s">
        <v>1397</v>
      </c>
      <c r="L235" s="22" t="s">
        <v>1398</v>
      </c>
      <c r="M235" s="16" t="s">
        <v>5593</v>
      </c>
      <c r="N235" s="16" t="s">
        <v>5593</v>
      </c>
      <c r="O235" s="23">
        <v>19</v>
      </c>
      <c r="P235" s="24" t="e">
        <f>VLOOKUP(I235,#REF!,2,0)</f>
        <v>#REF!</v>
      </c>
      <c r="Q235" s="25"/>
      <c r="R235" s="24"/>
      <c r="S235" s="26"/>
      <c r="T235" s="24"/>
      <c r="U235" s="26"/>
      <c r="V235" s="26"/>
      <c r="W235" s="27">
        <v>233</v>
      </c>
      <c r="X235" s="28"/>
    </row>
    <row r="236" ht="31" spans="1:32">
      <c r="A236" s="16" t="s">
        <v>4174</v>
      </c>
      <c r="B236" s="17" t="s">
        <v>4175</v>
      </c>
      <c r="C236" s="30" t="s">
        <v>3814</v>
      </c>
      <c r="D236" s="19" t="e">
        <f>VLOOKUP(C236,#REF!,2,0)</f>
        <v>#REF!</v>
      </c>
      <c r="E236" s="20" t="e">
        <f>VLOOKUP(D236,#REF!,2,0)</f>
        <v>#REF!</v>
      </c>
      <c r="F236" s="21">
        <v>13</v>
      </c>
      <c r="G236" s="22" t="s">
        <v>1791</v>
      </c>
      <c r="H236" s="22" t="s">
        <v>5743</v>
      </c>
      <c r="I236" s="22" t="s">
        <v>5744</v>
      </c>
      <c r="J236" s="22" t="s">
        <v>1792</v>
      </c>
      <c r="K236" s="22" t="s">
        <v>1794</v>
      </c>
      <c r="L236" s="22" t="s">
        <v>1795</v>
      </c>
      <c r="M236" s="16" t="s">
        <v>5593</v>
      </c>
      <c r="N236" s="16" t="s">
        <v>5593</v>
      </c>
      <c r="O236" s="23">
        <v>1</v>
      </c>
      <c r="P236" s="24" t="e">
        <f>VLOOKUP(I236,#REF!,2,0)</f>
        <v>#REF!</v>
      </c>
      <c r="Q236" s="25"/>
      <c r="R236" s="24"/>
      <c r="S236" s="26"/>
      <c r="T236" s="24"/>
      <c r="U236" s="26"/>
      <c r="V236" s="26"/>
      <c r="W236" s="27">
        <v>234</v>
      </c>
      <c r="X236" s="28"/>
    </row>
    <row r="237" ht="31" spans="1:32">
      <c r="A237" s="16" t="s">
        <v>4174</v>
      </c>
      <c r="B237" s="17" t="s">
        <v>4175</v>
      </c>
      <c r="C237" s="30" t="s">
        <v>3814</v>
      </c>
      <c r="D237" s="19" t="e">
        <f>VLOOKUP(C237,#REF!,2,0)</f>
        <v>#REF!</v>
      </c>
      <c r="E237" s="20" t="e">
        <f>VLOOKUP(D237,数据集标准分类!E:F,2,0)</f>
        <v>#REF!</v>
      </c>
      <c r="F237" s="21">
        <v>13</v>
      </c>
      <c r="G237" s="22" t="s">
        <v>3815</v>
      </c>
      <c r="H237" s="22" t="s">
        <v>5745</v>
      </c>
      <c r="I237" s="22" t="s">
        <v>3818</v>
      </c>
      <c r="J237" s="22" t="s">
        <v>3816</v>
      </c>
      <c r="K237" s="22" t="s">
        <v>3818</v>
      </c>
      <c r="L237" s="22" t="s">
        <v>3819</v>
      </c>
      <c r="M237" s="16" t="s">
        <v>5593</v>
      </c>
      <c r="N237" s="16" t="s">
        <v>5595</v>
      </c>
      <c r="O237" s="23">
        <v>2</v>
      </c>
      <c r="P237" s="24" t="e">
        <f>VLOOKUP(I237,#REF!,2,0)</f>
        <v>#REF!</v>
      </c>
      <c r="Q237" s="25"/>
      <c r="R237" s="24"/>
      <c r="S237" s="26"/>
      <c r="T237" s="24"/>
      <c r="U237" s="26"/>
      <c r="V237" s="26"/>
      <c r="W237" s="27">
        <v>235</v>
      </c>
      <c r="X237" s="28"/>
    </row>
    <row r="238" ht="46" spans="1:32">
      <c r="A238" s="16" t="s">
        <v>4174</v>
      </c>
      <c r="B238" s="17" t="s">
        <v>4175</v>
      </c>
      <c r="C238" s="30" t="s">
        <v>3814</v>
      </c>
      <c r="D238" s="19" t="e">
        <f>VLOOKUP(C238,#REF!,2,0)</f>
        <v>#REF!</v>
      </c>
      <c r="E238" s="20" t="e">
        <f>VLOOKUP(D238,数据集标准分类!E:F,2,0)</f>
        <v>#REF!</v>
      </c>
      <c r="F238" s="21">
        <v>13</v>
      </c>
      <c r="G238" s="22" t="s">
        <v>3820</v>
      </c>
      <c r="H238" s="22" t="s">
        <v>3821</v>
      </c>
      <c r="I238" s="22" t="s">
        <v>3823</v>
      </c>
      <c r="J238" s="22" t="s">
        <v>3821</v>
      </c>
      <c r="K238" s="22" t="s">
        <v>3823</v>
      </c>
      <c r="L238" s="22" t="s">
        <v>3824</v>
      </c>
      <c r="M238" s="16" t="s">
        <v>5595</v>
      </c>
      <c r="N238" s="16" t="s">
        <v>5595</v>
      </c>
      <c r="O238" s="23">
        <v>3</v>
      </c>
      <c r="P238" s="24" t="e">
        <f>VLOOKUP(I238,#REF!,2,0)</f>
        <v>#REF!</v>
      </c>
      <c r="Q238" s="25"/>
      <c r="R238" s="24"/>
      <c r="S238" s="26"/>
      <c r="T238" s="24"/>
      <c r="U238" s="26"/>
      <c r="V238" s="26"/>
      <c r="W238" s="27">
        <v>236</v>
      </c>
      <c r="X238" s="28"/>
    </row>
    <row r="239" ht="31" spans="1:32">
      <c r="A239" s="16" t="s">
        <v>4174</v>
      </c>
      <c r="B239" s="17" t="s">
        <v>4175</v>
      </c>
      <c r="C239" s="30" t="s">
        <v>3814</v>
      </c>
      <c r="D239" s="19" t="e">
        <f>VLOOKUP(C239,#REF!,2,0)</f>
        <v>#REF!</v>
      </c>
      <c r="E239" s="20" t="e">
        <f>VLOOKUP(D239,数据集标准分类!E:F,2,0)</f>
        <v>#REF!</v>
      </c>
      <c r="F239" s="21">
        <v>13</v>
      </c>
      <c r="G239" s="22" t="s">
        <v>3825</v>
      </c>
      <c r="H239" s="22" t="s">
        <v>5746</v>
      </c>
      <c r="I239" s="22" t="s">
        <v>3828</v>
      </c>
      <c r="J239" s="22" t="s">
        <v>3826</v>
      </c>
      <c r="K239" s="22" t="s">
        <v>3828</v>
      </c>
      <c r="L239" s="22" t="s">
        <v>3829</v>
      </c>
      <c r="M239" s="16" t="s">
        <v>5593</v>
      </c>
      <c r="N239" s="16" t="s">
        <v>5595</v>
      </c>
      <c r="O239" s="23">
        <v>4</v>
      </c>
      <c r="P239" s="24" t="e">
        <f>VLOOKUP(I239,#REF!,2,0)</f>
        <v>#REF!</v>
      </c>
      <c r="Q239" s="25"/>
      <c r="R239" s="24"/>
      <c r="S239" s="26"/>
      <c r="T239" s="24"/>
      <c r="U239" s="26"/>
      <c r="V239" s="26"/>
      <c r="W239" s="27">
        <v>237</v>
      </c>
      <c r="X239" s="28"/>
    </row>
    <row r="240" spans="1:32">
      <c r="A240" s="16" t="s">
        <v>4174</v>
      </c>
      <c r="B240" s="17" t="s">
        <v>4175</v>
      </c>
      <c r="C240" s="30" t="s">
        <v>3814</v>
      </c>
      <c r="D240" s="19" t="e">
        <f>VLOOKUP(C240,#REF!,2,0)</f>
        <v>#REF!</v>
      </c>
      <c r="E240" s="20" t="e">
        <f>VLOOKUP(D240,数据集标准分类!E:F,2,0)</f>
        <v>#REF!</v>
      </c>
      <c r="F240" s="21">
        <v>13</v>
      </c>
      <c r="G240" s="22" t="s">
        <v>3830</v>
      </c>
      <c r="H240" s="22" t="s">
        <v>5747</v>
      </c>
      <c r="I240" s="22" t="s">
        <v>3833</v>
      </c>
      <c r="J240" s="22" t="s">
        <v>3831</v>
      </c>
      <c r="K240" s="22" t="s">
        <v>3833</v>
      </c>
      <c r="L240" s="22" t="s">
        <v>3834</v>
      </c>
      <c r="M240" s="16" t="s">
        <v>5593</v>
      </c>
      <c r="N240" s="16" t="s">
        <v>5595</v>
      </c>
      <c r="O240" s="23">
        <v>5</v>
      </c>
      <c r="P240" s="24" t="e">
        <f>VLOOKUP(I240,#REF!,2,0)</f>
        <v>#REF!</v>
      </c>
      <c r="Q240" s="25"/>
      <c r="R240" s="24"/>
      <c r="S240" s="26"/>
      <c r="T240" s="24"/>
      <c r="U240" s="26"/>
      <c r="V240" s="26"/>
      <c r="W240" s="27">
        <v>238</v>
      </c>
      <c r="X240" s="28"/>
    </row>
    <row r="241" ht="46" spans="1:24">
      <c r="A241" s="16" t="s">
        <v>4174</v>
      </c>
      <c r="B241" s="17" t="s">
        <v>4175</v>
      </c>
      <c r="C241" s="30" t="s">
        <v>3814</v>
      </c>
      <c r="D241" s="19" t="e">
        <f>VLOOKUP(C241,#REF!,2,0)</f>
        <v>#REF!</v>
      </c>
      <c r="E241" s="20" t="e">
        <f>VLOOKUP(D241,数据集标准分类!E:F,2,0)</f>
        <v>#REF!</v>
      </c>
      <c r="F241" s="21">
        <v>13</v>
      </c>
      <c r="G241" s="22" t="s">
        <v>3835</v>
      </c>
      <c r="H241" s="22" t="s">
        <v>5748</v>
      </c>
      <c r="I241" s="22" t="s">
        <v>3837</v>
      </c>
      <c r="J241" s="22" t="s">
        <v>3836</v>
      </c>
      <c r="K241" s="22" t="s">
        <v>3837</v>
      </c>
      <c r="L241" s="22" t="s">
        <v>3838</v>
      </c>
      <c r="M241" s="16" t="s">
        <v>5593</v>
      </c>
      <c r="N241" s="16" t="s">
        <v>5595</v>
      </c>
      <c r="O241" s="23">
        <v>6</v>
      </c>
      <c r="P241" s="24" t="e">
        <f>VLOOKUP(I241,#REF!,2,0)</f>
        <v>#REF!</v>
      </c>
      <c r="Q241" s="25"/>
      <c r="R241" s="24"/>
      <c r="S241" s="26"/>
      <c r="T241" s="24"/>
      <c r="U241" s="26"/>
      <c r="V241" s="26"/>
      <c r="W241" s="27">
        <v>239</v>
      </c>
      <c r="X241" s="28"/>
    </row>
    <row r="242" ht="31" spans="1:24">
      <c r="A242" s="16" t="s">
        <v>4174</v>
      </c>
      <c r="B242" s="17" t="s">
        <v>4175</v>
      </c>
      <c r="C242" s="30" t="s">
        <v>3814</v>
      </c>
      <c r="D242" s="19" t="e">
        <f>VLOOKUP(C242,#REF!,2,0)</f>
        <v>#REF!</v>
      </c>
      <c r="E242" s="20" t="e">
        <f>VLOOKUP(D242,数据集标准分类!E:F,2,0)</f>
        <v>#REF!</v>
      </c>
      <c r="F242" s="21">
        <v>13</v>
      </c>
      <c r="G242" s="22" t="s">
        <v>3839</v>
      </c>
      <c r="H242" s="22" t="s">
        <v>5749</v>
      </c>
      <c r="I242" s="22" t="s">
        <v>5750</v>
      </c>
      <c r="J242" s="22" t="s">
        <v>3840</v>
      </c>
      <c r="K242" s="22" t="s">
        <v>3842</v>
      </c>
      <c r="L242" s="22" t="s">
        <v>3843</v>
      </c>
      <c r="M242" s="16" t="s">
        <v>5593</v>
      </c>
      <c r="N242" s="16" t="s">
        <v>5593</v>
      </c>
      <c r="O242" s="23">
        <v>7</v>
      </c>
      <c r="P242" s="24" t="e">
        <f>VLOOKUP(I242,#REF!,2,0)</f>
        <v>#REF!</v>
      </c>
      <c r="Q242" s="25"/>
      <c r="R242" s="24"/>
      <c r="S242" s="26"/>
      <c r="T242" s="24"/>
      <c r="U242" s="26"/>
      <c r="V242" s="26"/>
      <c r="W242" s="27">
        <v>240</v>
      </c>
      <c r="X242" s="28"/>
    </row>
    <row r="243" ht="31" spans="1:24">
      <c r="A243" s="16" t="s">
        <v>4174</v>
      </c>
      <c r="B243" s="17" t="s">
        <v>4175</v>
      </c>
      <c r="C243" s="30" t="s">
        <v>3814</v>
      </c>
      <c r="D243" s="19" t="e">
        <f>VLOOKUP(C243,#REF!,2,0)</f>
        <v>#REF!</v>
      </c>
      <c r="E243" s="20" t="e">
        <f>VLOOKUP(D243,数据集标准分类!E:F,2,0)</f>
        <v>#REF!</v>
      </c>
      <c r="F243" s="21">
        <v>13</v>
      </c>
      <c r="G243" s="22" t="s">
        <v>3844</v>
      </c>
      <c r="H243" s="22" t="s">
        <v>5751</v>
      </c>
      <c r="I243" s="22" t="s">
        <v>3847</v>
      </c>
      <c r="J243" s="22" t="s">
        <v>3845</v>
      </c>
      <c r="K243" s="22" t="s">
        <v>3847</v>
      </c>
      <c r="L243" s="22" t="s">
        <v>3848</v>
      </c>
      <c r="M243" s="16" t="s">
        <v>5593</v>
      </c>
      <c r="N243" s="16" t="s">
        <v>5595</v>
      </c>
      <c r="O243" s="23">
        <v>8</v>
      </c>
      <c r="P243" s="24" t="e">
        <f>VLOOKUP(I243,#REF!,2,0)</f>
        <v>#REF!</v>
      </c>
      <c r="Q243" s="25"/>
      <c r="R243" s="24"/>
      <c r="S243" s="26"/>
      <c r="T243" s="24"/>
      <c r="U243" s="26"/>
      <c r="V243" s="26"/>
      <c r="W243" s="27">
        <v>241</v>
      </c>
      <c r="X243" s="28"/>
    </row>
    <row r="244" ht="31" spans="1:24">
      <c r="A244" s="16" t="s">
        <v>4174</v>
      </c>
      <c r="B244" s="17" t="s">
        <v>4175</v>
      </c>
      <c r="C244" s="30" t="s">
        <v>3814</v>
      </c>
      <c r="D244" s="19" t="e">
        <f>VLOOKUP(C244,#REF!,2,0)</f>
        <v>#REF!</v>
      </c>
      <c r="E244" s="20" t="e">
        <f>VLOOKUP(D244,数据集标准分类!E:F,2,0)</f>
        <v>#REF!</v>
      </c>
      <c r="F244" s="21">
        <v>13</v>
      </c>
      <c r="G244" s="64" t="s">
        <v>711</v>
      </c>
      <c r="H244" s="64" t="s">
        <v>5752</v>
      </c>
      <c r="I244" s="64" t="s">
        <v>5753</v>
      </c>
      <c r="J244" s="22" t="s">
        <v>712</v>
      </c>
      <c r="K244" s="22" t="s">
        <v>713</v>
      </c>
      <c r="L244" s="22" t="s">
        <v>3849</v>
      </c>
      <c r="M244" s="16" t="s">
        <v>5593</v>
      </c>
      <c r="N244" s="16" t="s">
        <v>5593</v>
      </c>
      <c r="O244" s="23">
        <v>9</v>
      </c>
      <c r="P244" s="24" t="e">
        <f>VLOOKUP(I244,#REF!,2,0)</f>
        <v>#REF!</v>
      </c>
      <c r="Q244" s="25"/>
      <c r="R244" s="24"/>
      <c r="S244" s="26"/>
      <c r="T244" s="24"/>
      <c r="U244" s="26"/>
      <c r="V244" s="26"/>
      <c r="W244" s="27">
        <v>242</v>
      </c>
      <c r="X244" s="28"/>
    </row>
    <row r="245" ht="31" spans="1:24">
      <c r="A245" s="16" t="s">
        <v>4174</v>
      </c>
      <c r="B245" s="17" t="s">
        <v>4175</v>
      </c>
      <c r="C245" s="30" t="s">
        <v>3814</v>
      </c>
      <c r="D245" s="19" t="e">
        <f>VLOOKUP(C245,#REF!,2,0)</f>
        <v>#REF!</v>
      </c>
      <c r="E245" s="20" t="e">
        <f>VLOOKUP(D245,数据集标准分类!E:F,2,0)</f>
        <v>#REF!</v>
      </c>
      <c r="F245" s="21">
        <v>13</v>
      </c>
      <c r="G245" s="29" t="s">
        <v>707</v>
      </c>
      <c r="H245" s="29" t="s">
        <v>708</v>
      </c>
      <c r="I245" s="29" t="s">
        <v>709</v>
      </c>
      <c r="J245" s="22" t="s">
        <v>708</v>
      </c>
      <c r="K245" s="22" t="s">
        <v>709</v>
      </c>
      <c r="L245" s="22" t="s">
        <v>3850</v>
      </c>
      <c r="M245" s="16" t="s">
        <v>5595</v>
      </c>
      <c r="N245" s="16" t="s">
        <v>5595</v>
      </c>
      <c r="O245" s="23">
        <v>10</v>
      </c>
      <c r="P245" s="24" t="e">
        <f>VLOOKUP(I245,#REF!,2,0)</f>
        <v>#REF!</v>
      </c>
      <c r="Q245" s="25"/>
      <c r="R245" s="24"/>
      <c r="S245" s="26"/>
      <c r="T245" s="24"/>
      <c r="U245" s="26"/>
      <c r="V245" s="26"/>
      <c r="W245" s="27">
        <v>243</v>
      </c>
      <c r="X245" s="28"/>
    </row>
    <row r="246" ht="31" spans="1:24">
      <c r="A246" s="16" t="s">
        <v>4174</v>
      </c>
      <c r="B246" s="17" t="s">
        <v>4175</v>
      </c>
      <c r="C246" s="30" t="s">
        <v>3814</v>
      </c>
      <c r="D246" s="19" t="e">
        <f>VLOOKUP(C246,#REF!,2,0)</f>
        <v>#REF!</v>
      </c>
      <c r="E246" s="20" t="e">
        <f>VLOOKUP(D246,数据集标准分类!E:F,2,0)</f>
        <v>#REF!</v>
      </c>
      <c r="F246" s="21">
        <v>13</v>
      </c>
      <c r="G246" s="64" t="s">
        <v>3851</v>
      </c>
      <c r="H246" s="64" t="s">
        <v>5754</v>
      </c>
      <c r="I246" s="29" t="s">
        <v>3854</v>
      </c>
      <c r="J246" s="22" t="s">
        <v>3852</v>
      </c>
      <c r="K246" s="22" t="s">
        <v>3854</v>
      </c>
      <c r="L246" s="22" t="s">
        <v>3855</v>
      </c>
      <c r="M246" s="16" t="s">
        <v>5593</v>
      </c>
      <c r="N246" s="16" t="s">
        <v>5595</v>
      </c>
      <c r="O246" s="23">
        <v>11</v>
      </c>
      <c r="P246" s="24" t="e">
        <f>VLOOKUP(I246,#REF!,2,0)</f>
        <v>#REF!</v>
      </c>
      <c r="Q246" s="25"/>
      <c r="R246" s="24"/>
      <c r="S246" s="26"/>
      <c r="T246" s="24"/>
      <c r="U246" s="26"/>
      <c r="V246" s="26"/>
      <c r="W246" s="27">
        <v>244</v>
      </c>
      <c r="X246" s="28"/>
    </row>
    <row r="247" ht="31" spans="1:24">
      <c r="A247" s="16" t="s">
        <v>4174</v>
      </c>
      <c r="B247" s="17" t="s">
        <v>4175</v>
      </c>
      <c r="C247" s="30" t="s">
        <v>3814</v>
      </c>
      <c r="D247" s="19" t="e">
        <f>VLOOKUP(C247,#REF!,2,0)</f>
        <v>#REF!</v>
      </c>
      <c r="E247" s="20" t="e">
        <f>VLOOKUP(D247,数据集标准分类!E:F,2,0)</f>
        <v>#REF!</v>
      </c>
      <c r="F247" s="21">
        <v>13</v>
      </c>
      <c r="G247" s="22" t="s">
        <v>2123</v>
      </c>
      <c r="H247" s="22" t="s">
        <v>5731</v>
      </c>
      <c r="I247" s="22" t="s">
        <v>2126</v>
      </c>
      <c r="J247" s="22" t="s">
        <v>2124</v>
      </c>
      <c r="K247" s="22" t="s">
        <v>2126</v>
      </c>
      <c r="L247" s="22" t="s">
        <v>3856</v>
      </c>
      <c r="M247" s="16" t="s">
        <v>5593</v>
      </c>
      <c r="N247" s="16" t="s">
        <v>5595</v>
      </c>
      <c r="O247" s="23">
        <v>12</v>
      </c>
      <c r="P247" s="24" t="e">
        <f>VLOOKUP(I247,#REF!,2,0)</f>
        <v>#REF!</v>
      </c>
      <c r="Q247" s="25"/>
      <c r="R247" s="24"/>
      <c r="S247" s="26"/>
      <c r="T247" s="24"/>
      <c r="U247" s="26"/>
      <c r="V247" s="26"/>
      <c r="W247" s="27">
        <v>245</v>
      </c>
      <c r="X247" s="28"/>
    </row>
    <row r="248" ht="31" spans="1:24">
      <c r="A248" s="16" t="s">
        <v>4174</v>
      </c>
      <c r="B248" s="17" t="s">
        <v>4175</v>
      </c>
      <c r="C248" s="30" t="s">
        <v>3814</v>
      </c>
      <c r="D248" s="19" t="e">
        <f>VLOOKUP(C248,#REF!,2,0)</f>
        <v>#REF!</v>
      </c>
      <c r="E248" s="20" t="e">
        <f>VLOOKUP(D248,数据集标准分类!E:F,2,0)</f>
        <v>#REF!</v>
      </c>
      <c r="F248" s="21">
        <v>13</v>
      </c>
      <c r="G248" s="22" t="s">
        <v>918</v>
      </c>
      <c r="H248" s="22" t="s">
        <v>5599</v>
      </c>
      <c r="I248" s="22" t="s">
        <v>921</v>
      </c>
      <c r="J248" s="22" t="s">
        <v>919</v>
      </c>
      <c r="K248" s="22" t="s">
        <v>921</v>
      </c>
      <c r="L248" s="22" t="s">
        <v>922</v>
      </c>
      <c r="M248" s="16" t="s">
        <v>5593</v>
      </c>
      <c r="N248" s="16" t="s">
        <v>5595</v>
      </c>
      <c r="O248" s="23">
        <v>13</v>
      </c>
      <c r="P248" s="24" t="e">
        <f>VLOOKUP(I248,#REF!,2,0)</f>
        <v>#REF!</v>
      </c>
      <c r="Q248" s="25"/>
      <c r="R248" s="24"/>
      <c r="S248" s="26"/>
      <c r="T248" s="24"/>
      <c r="U248" s="26"/>
      <c r="V248" s="26"/>
      <c r="W248" s="27">
        <v>246</v>
      </c>
      <c r="X248" s="28"/>
    </row>
    <row r="249" ht="31" spans="1:24">
      <c r="A249" s="16" t="s">
        <v>4174</v>
      </c>
      <c r="B249" s="17" t="s">
        <v>4175</v>
      </c>
      <c r="C249" s="30" t="s">
        <v>3814</v>
      </c>
      <c r="D249" s="19" t="e">
        <f>VLOOKUP(C249,#REF!,2,0)</f>
        <v>#REF!</v>
      </c>
      <c r="E249" s="20" t="e">
        <f>VLOOKUP(D249,数据集标准分类!E:F,2,0)</f>
        <v>#REF!</v>
      </c>
      <c r="F249" s="21">
        <v>13</v>
      </c>
      <c r="G249" s="22" t="s">
        <v>97</v>
      </c>
      <c r="H249" s="22" t="s">
        <v>5755</v>
      </c>
      <c r="I249" s="22" t="s">
        <v>100</v>
      </c>
      <c r="J249" s="22" t="s">
        <v>98</v>
      </c>
      <c r="K249" s="22" t="s">
        <v>100</v>
      </c>
      <c r="L249" s="22" t="s">
        <v>106</v>
      </c>
      <c r="M249" s="16" t="s">
        <v>5593</v>
      </c>
      <c r="N249" s="16" t="s">
        <v>5595</v>
      </c>
      <c r="O249" s="23">
        <v>14</v>
      </c>
      <c r="P249" s="24" t="e">
        <f>VLOOKUP(I249,#REF!,2,0)</f>
        <v>#REF!</v>
      </c>
      <c r="Q249" s="25"/>
      <c r="R249" s="24"/>
      <c r="S249" s="26"/>
      <c r="T249" s="24"/>
      <c r="U249" s="26"/>
      <c r="V249" s="26"/>
      <c r="W249" s="27">
        <v>247</v>
      </c>
      <c r="X249" s="28"/>
    </row>
    <row r="250" ht="31" spans="1:24">
      <c r="A250" s="16" t="s">
        <v>4174</v>
      </c>
      <c r="B250" s="17" t="s">
        <v>4175</v>
      </c>
      <c r="C250" s="30" t="s">
        <v>3814</v>
      </c>
      <c r="D250" s="19" t="e">
        <f>VLOOKUP(C250,#REF!,2,0)</f>
        <v>#REF!</v>
      </c>
      <c r="E250" s="20" t="e">
        <f>VLOOKUP(D250,数据集标准分类!E:F,2,0)</f>
        <v>#REF!</v>
      </c>
      <c r="F250" s="21">
        <v>13</v>
      </c>
      <c r="G250" s="22" t="s">
        <v>102</v>
      </c>
      <c r="H250" s="22" t="s">
        <v>5756</v>
      </c>
      <c r="I250" s="22" t="s">
        <v>105</v>
      </c>
      <c r="J250" s="22" t="s">
        <v>103</v>
      </c>
      <c r="K250" s="22" t="s">
        <v>105</v>
      </c>
      <c r="L250" s="22" t="s">
        <v>3857</v>
      </c>
      <c r="M250" s="16" t="s">
        <v>5593</v>
      </c>
      <c r="N250" s="16" t="s">
        <v>5595</v>
      </c>
      <c r="O250" s="23">
        <v>15</v>
      </c>
      <c r="P250" s="24" t="e">
        <f>VLOOKUP(I250,#REF!,2,0)</f>
        <v>#REF!</v>
      </c>
      <c r="Q250" s="25"/>
      <c r="R250" s="24"/>
      <c r="S250" s="26"/>
      <c r="T250" s="24"/>
      <c r="U250" s="26"/>
      <c r="V250" s="26"/>
      <c r="W250" s="27">
        <v>248</v>
      </c>
      <c r="X250" s="28"/>
    </row>
    <row r="251" ht="31" spans="1:24">
      <c r="A251" s="16" t="s">
        <v>4174</v>
      </c>
      <c r="B251" s="17" t="s">
        <v>4175</v>
      </c>
      <c r="C251" s="30" t="s">
        <v>3814</v>
      </c>
      <c r="D251" s="19" t="e">
        <f>VLOOKUP(C251,#REF!,2,0)</f>
        <v>#REF!</v>
      </c>
      <c r="E251" s="20" t="e">
        <f>VLOOKUP(D251,数据集标准分类!E:F,2,0)</f>
        <v>#REF!</v>
      </c>
      <c r="F251" s="21">
        <v>13</v>
      </c>
      <c r="G251" s="22" t="s">
        <v>699</v>
      </c>
      <c r="H251" s="22" t="s">
        <v>700</v>
      </c>
      <c r="I251" s="22" t="s">
        <v>701</v>
      </c>
      <c r="J251" s="22" t="s">
        <v>700</v>
      </c>
      <c r="K251" s="22" t="s">
        <v>701</v>
      </c>
      <c r="L251" s="22" t="s">
        <v>702</v>
      </c>
      <c r="M251" s="16" t="s">
        <v>5595</v>
      </c>
      <c r="N251" s="16" t="s">
        <v>5595</v>
      </c>
      <c r="O251" s="23">
        <v>16</v>
      </c>
      <c r="P251" s="24" t="e">
        <f>VLOOKUP(I251,#REF!,2,0)</f>
        <v>#REF!</v>
      </c>
      <c r="Q251" s="25"/>
      <c r="R251" s="24"/>
      <c r="S251" s="26"/>
      <c r="T251" s="24"/>
      <c r="U251" s="26"/>
      <c r="V251" s="26"/>
      <c r="W251" s="27">
        <v>249</v>
      </c>
      <c r="X251" s="28"/>
    </row>
    <row r="252" ht="31" spans="1:24">
      <c r="A252" s="16" t="s">
        <v>4174</v>
      </c>
      <c r="B252" s="17" t="s">
        <v>4175</v>
      </c>
      <c r="C252" s="30" t="s">
        <v>3814</v>
      </c>
      <c r="D252" s="19" t="e">
        <f>VLOOKUP(C252,#REF!,2,0)</f>
        <v>#REF!</v>
      </c>
      <c r="E252" s="20" t="e">
        <f>VLOOKUP(D252,数据集标准分类!E:F,2,0)</f>
        <v>#REF!</v>
      </c>
      <c r="F252" s="21">
        <v>13</v>
      </c>
      <c r="G252" s="22" t="s">
        <v>703</v>
      </c>
      <c r="H252" s="22" t="s">
        <v>704</v>
      </c>
      <c r="I252" s="22" t="s">
        <v>705</v>
      </c>
      <c r="J252" s="22" t="s">
        <v>704</v>
      </c>
      <c r="K252" s="22" t="s">
        <v>705</v>
      </c>
      <c r="L252" s="22" t="s">
        <v>706</v>
      </c>
      <c r="M252" s="16" t="s">
        <v>5595</v>
      </c>
      <c r="N252" s="16" t="s">
        <v>5595</v>
      </c>
      <c r="O252" s="23">
        <v>17</v>
      </c>
      <c r="P252" s="24" t="e">
        <f>VLOOKUP(I252,#REF!,2,0)</f>
        <v>#REF!</v>
      </c>
      <c r="Q252" s="25"/>
      <c r="R252" s="24"/>
      <c r="S252" s="26"/>
      <c r="T252" s="24"/>
      <c r="U252" s="26"/>
      <c r="V252" s="26"/>
      <c r="W252" s="27">
        <v>250</v>
      </c>
      <c r="X252" s="28"/>
    </row>
    <row r="253" ht="31" spans="1:24">
      <c r="A253" s="16" t="s">
        <v>4174</v>
      </c>
      <c r="B253" s="17" t="s">
        <v>4175</v>
      </c>
      <c r="C253" s="30" t="s">
        <v>3814</v>
      </c>
      <c r="D253" s="19" t="e">
        <f>VLOOKUP(C253,#REF!,2,0)</f>
        <v>#REF!</v>
      </c>
      <c r="E253" s="20" t="e">
        <f>VLOOKUP(D253,数据集标准分类!E:F,2,0)</f>
        <v>#REF!</v>
      </c>
      <c r="F253" s="21">
        <v>13</v>
      </c>
      <c r="G253" s="22" t="s">
        <v>684</v>
      </c>
      <c r="H253" s="22" t="s">
        <v>5716</v>
      </c>
      <c r="I253" s="22" t="s">
        <v>687</v>
      </c>
      <c r="J253" s="22" t="s">
        <v>685</v>
      </c>
      <c r="K253" s="22" t="s">
        <v>687</v>
      </c>
      <c r="L253" s="22" t="s">
        <v>688</v>
      </c>
      <c r="M253" s="16" t="s">
        <v>5593</v>
      </c>
      <c r="N253" s="16" t="s">
        <v>5595</v>
      </c>
      <c r="O253" s="23">
        <v>18</v>
      </c>
      <c r="P253" s="24" t="e">
        <f>VLOOKUP(I253,#REF!,2,0)</f>
        <v>#REF!</v>
      </c>
      <c r="Q253" s="25"/>
      <c r="R253" s="24"/>
      <c r="S253" s="26"/>
      <c r="T253" s="24"/>
      <c r="U253" s="26"/>
      <c r="V253" s="26"/>
      <c r="W253" s="27">
        <v>251</v>
      </c>
      <c r="X253" s="28"/>
    </row>
    <row r="254" ht="31" spans="1:24">
      <c r="A254" s="16" t="s">
        <v>4174</v>
      </c>
      <c r="B254" s="17" t="s">
        <v>4175</v>
      </c>
      <c r="C254" s="30" t="s">
        <v>3814</v>
      </c>
      <c r="D254" s="19" t="e">
        <f>VLOOKUP(C254,#REF!,2,0)</f>
        <v>#REF!</v>
      </c>
      <c r="E254" s="20" t="e">
        <f>VLOOKUP(D254,数据集标准分类!E:F,2,0)</f>
        <v>#REF!</v>
      </c>
      <c r="F254" s="21">
        <v>13</v>
      </c>
      <c r="G254" s="22" t="s">
        <v>689</v>
      </c>
      <c r="H254" s="22" t="s">
        <v>690</v>
      </c>
      <c r="I254" s="22" t="s">
        <v>692</v>
      </c>
      <c r="J254" s="22" t="s">
        <v>690</v>
      </c>
      <c r="K254" s="22" t="s">
        <v>692</v>
      </c>
      <c r="L254" s="22" t="s">
        <v>693</v>
      </c>
      <c r="M254" s="16" t="s">
        <v>5595</v>
      </c>
      <c r="N254" s="16" t="s">
        <v>5595</v>
      </c>
      <c r="O254" s="23">
        <v>19</v>
      </c>
      <c r="P254" s="24" t="e">
        <f>VLOOKUP(I254,#REF!,2,0)</f>
        <v>#REF!</v>
      </c>
      <c r="Q254" s="25"/>
      <c r="R254" s="24"/>
      <c r="S254" s="26"/>
      <c r="T254" s="24"/>
      <c r="U254" s="26"/>
      <c r="V254" s="26"/>
      <c r="W254" s="27">
        <v>252</v>
      </c>
      <c r="X254" s="28"/>
    </row>
    <row r="255" ht="31" spans="1:24">
      <c r="A255" s="16" t="s">
        <v>4174</v>
      </c>
      <c r="B255" s="17" t="s">
        <v>4175</v>
      </c>
      <c r="C255" s="30" t="s">
        <v>3814</v>
      </c>
      <c r="D255" s="19" t="e">
        <f>VLOOKUP(C255,#REF!,2,0)</f>
        <v>#REF!</v>
      </c>
      <c r="E255" s="20" t="e">
        <f>VLOOKUP(D255,数据集标准分类!E:F,2,0)</f>
        <v>#REF!</v>
      </c>
      <c r="F255" s="21">
        <v>13</v>
      </c>
      <c r="G255" s="22" t="s">
        <v>694</v>
      </c>
      <c r="H255" s="22" t="s">
        <v>5717</v>
      </c>
      <c r="I255" s="22" t="s">
        <v>697</v>
      </c>
      <c r="J255" s="22" t="s">
        <v>695</v>
      </c>
      <c r="K255" s="22" t="s">
        <v>697</v>
      </c>
      <c r="L255" s="22" t="s">
        <v>2057</v>
      </c>
      <c r="M255" s="16" t="s">
        <v>5593</v>
      </c>
      <c r="N255" s="16" t="s">
        <v>5595</v>
      </c>
      <c r="O255" s="23">
        <v>20</v>
      </c>
      <c r="P255" s="24" t="e">
        <f>VLOOKUP(I255,#REF!,2,0)</f>
        <v>#REF!</v>
      </c>
      <c r="Q255" s="25"/>
      <c r="R255" s="24"/>
      <c r="S255" s="26"/>
      <c r="T255" s="24"/>
      <c r="U255" s="26"/>
      <c r="V255" s="26"/>
      <c r="W255" s="27">
        <v>253</v>
      </c>
      <c r="X255" s="28"/>
    </row>
    <row r="256" ht="46" spans="1:24">
      <c r="A256" s="16" t="s">
        <v>4174</v>
      </c>
      <c r="B256" s="17" t="s">
        <v>4175</v>
      </c>
      <c r="C256" s="30" t="s">
        <v>3814</v>
      </c>
      <c r="D256" s="19" t="e">
        <f>VLOOKUP(C256,#REF!,2,0)</f>
        <v>#REF!</v>
      </c>
      <c r="E256" s="20" t="e">
        <f>VLOOKUP(D256,数据集标准分类!E:F,2,0)</f>
        <v>#REF!</v>
      </c>
      <c r="F256" s="21">
        <v>13</v>
      </c>
      <c r="G256" s="22" t="s">
        <v>1964</v>
      </c>
      <c r="H256" s="22" t="s">
        <v>5757</v>
      </c>
      <c r="I256" s="22" t="s">
        <v>1967</v>
      </c>
      <c r="J256" s="22" t="s">
        <v>1965</v>
      </c>
      <c r="K256" s="22" t="s">
        <v>1967</v>
      </c>
      <c r="L256" s="22" t="s">
        <v>3858</v>
      </c>
      <c r="M256" s="16" t="s">
        <v>5593</v>
      </c>
      <c r="N256" s="16" t="s">
        <v>5595</v>
      </c>
      <c r="O256" s="23">
        <v>21</v>
      </c>
      <c r="P256" s="24" t="e">
        <f>VLOOKUP(I256,#REF!,2,0)</f>
        <v>#REF!</v>
      </c>
      <c r="Q256" s="25"/>
      <c r="R256" s="24"/>
      <c r="S256" s="26"/>
      <c r="T256" s="24"/>
      <c r="U256" s="26"/>
      <c r="V256" s="26"/>
      <c r="W256" s="27">
        <v>254</v>
      </c>
      <c r="X256" s="28"/>
    </row>
    <row r="257" ht="31" spans="1:24">
      <c r="A257" s="16" t="s">
        <v>4174</v>
      </c>
      <c r="B257" s="17" t="s">
        <v>4175</v>
      </c>
      <c r="C257" s="30" t="s">
        <v>3814</v>
      </c>
      <c r="D257" s="19" t="e">
        <f>VLOOKUP(C257,#REF!,2,0)</f>
        <v>#REF!</v>
      </c>
      <c r="E257" s="20" t="e">
        <f>VLOOKUP(D257,数据集标准分类!E:F,2,0)</f>
        <v>#REF!</v>
      </c>
      <c r="F257" s="21">
        <v>13</v>
      </c>
      <c r="G257" s="22" t="s">
        <v>3225</v>
      </c>
      <c r="H257" s="22" t="s">
        <v>5758</v>
      </c>
      <c r="I257" s="22" t="s">
        <v>3227</v>
      </c>
      <c r="J257" s="22" t="s">
        <v>3226</v>
      </c>
      <c r="K257" s="22" t="s">
        <v>3227</v>
      </c>
      <c r="L257" s="22" t="s">
        <v>3228</v>
      </c>
      <c r="M257" s="16" t="s">
        <v>5593</v>
      </c>
      <c r="N257" s="16" t="s">
        <v>5595</v>
      </c>
      <c r="O257" s="23">
        <v>22</v>
      </c>
      <c r="P257" s="24" t="e">
        <f>VLOOKUP(I257,#REF!,2,0)</f>
        <v>#REF!</v>
      </c>
      <c r="Q257" s="25"/>
      <c r="R257" s="24"/>
      <c r="S257" s="26"/>
      <c r="T257" s="24"/>
      <c r="U257" s="26"/>
      <c r="V257" s="26"/>
      <c r="W257" s="27">
        <v>255</v>
      </c>
      <c r="X257" s="28"/>
    </row>
    <row r="258" ht="31" spans="1:24">
      <c r="A258" s="16" t="s">
        <v>4174</v>
      </c>
      <c r="B258" s="17" t="s">
        <v>4175</v>
      </c>
      <c r="C258" s="30" t="s">
        <v>3814</v>
      </c>
      <c r="D258" s="19" t="e">
        <f>VLOOKUP(C258,#REF!,2,0)</f>
        <v>#REF!</v>
      </c>
      <c r="E258" s="20" t="e">
        <f>VLOOKUP(D258,数据集标准分类!E:F,2,0)</f>
        <v>#REF!</v>
      </c>
      <c r="F258" s="21">
        <v>13</v>
      </c>
      <c r="G258" s="22" t="s">
        <v>1828</v>
      </c>
      <c r="H258" s="22" t="s">
        <v>5759</v>
      </c>
      <c r="I258" s="22" t="s">
        <v>1831</v>
      </c>
      <c r="J258" s="22" t="s">
        <v>1829</v>
      </c>
      <c r="K258" s="22" t="s">
        <v>1831</v>
      </c>
      <c r="L258" s="22" t="s">
        <v>1832</v>
      </c>
      <c r="M258" s="16" t="s">
        <v>5593</v>
      </c>
      <c r="N258" s="16" t="s">
        <v>5595</v>
      </c>
      <c r="O258" s="23">
        <v>23</v>
      </c>
      <c r="P258" s="24" t="e">
        <f>VLOOKUP(I258,#REF!,2,0)</f>
        <v>#REF!</v>
      </c>
      <c r="Q258" s="25"/>
      <c r="R258" s="24"/>
      <c r="S258" s="26"/>
      <c r="T258" s="24"/>
      <c r="U258" s="26"/>
      <c r="V258" s="26"/>
      <c r="W258" s="27">
        <v>256</v>
      </c>
      <c r="X258" s="28"/>
    </row>
    <row r="259" ht="31" spans="1:24">
      <c r="A259" s="16" t="s">
        <v>4174</v>
      </c>
      <c r="B259" s="17" t="s">
        <v>4175</v>
      </c>
      <c r="C259" s="30" t="s">
        <v>3814</v>
      </c>
      <c r="D259" s="19" t="e">
        <f>VLOOKUP(C259,#REF!,2,0)</f>
        <v>#REF!</v>
      </c>
      <c r="E259" s="20" t="e">
        <f>VLOOKUP(D259,数据集标准分类!E:F,2,0)</f>
        <v>#REF!</v>
      </c>
      <c r="F259" s="21">
        <v>13</v>
      </c>
      <c r="G259" s="22" t="s">
        <v>3859</v>
      </c>
      <c r="H259" s="22" t="s">
        <v>5760</v>
      </c>
      <c r="I259" s="22" t="s">
        <v>3862</v>
      </c>
      <c r="J259" s="22" t="s">
        <v>3860</v>
      </c>
      <c r="K259" s="22" t="s">
        <v>3862</v>
      </c>
      <c r="L259" s="22" t="s">
        <v>3863</v>
      </c>
      <c r="M259" s="16" t="s">
        <v>5593</v>
      </c>
      <c r="N259" s="16" t="s">
        <v>5595</v>
      </c>
      <c r="O259" s="23">
        <v>24</v>
      </c>
      <c r="P259" s="24" t="e">
        <f>VLOOKUP(I259,#REF!,2,0)</f>
        <v>#REF!</v>
      </c>
      <c r="Q259" s="25"/>
      <c r="R259" s="24"/>
      <c r="S259" s="26"/>
      <c r="T259" s="24"/>
      <c r="U259" s="26"/>
      <c r="V259" s="26"/>
      <c r="W259" s="27">
        <v>257</v>
      </c>
      <c r="X259" s="28"/>
    </row>
    <row r="260" ht="31" spans="1:24">
      <c r="A260" s="16" t="s">
        <v>4174</v>
      </c>
      <c r="B260" s="17" t="s">
        <v>4175</v>
      </c>
      <c r="C260" s="30" t="s">
        <v>3814</v>
      </c>
      <c r="D260" s="19" t="e">
        <f>VLOOKUP(C260,#REF!,2,0)</f>
        <v>#REF!</v>
      </c>
      <c r="E260" s="20" t="e">
        <f>VLOOKUP(D260,数据集标准分类!E:F,2,0)</f>
        <v>#REF!</v>
      </c>
      <c r="F260" s="21">
        <v>13</v>
      </c>
      <c r="G260" s="22" t="s">
        <v>3864</v>
      </c>
      <c r="H260" s="22" t="s">
        <v>5761</v>
      </c>
      <c r="I260" s="22" t="s">
        <v>3867</v>
      </c>
      <c r="J260" s="22" t="s">
        <v>3865</v>
      </c>
      <c r="K260" s="22" t="s">
        <v>3867</v>
      </c>
      <c r="L260" s="22" t="s">
        <v>3868</v>
      </c>
      <c r="M260" s="16" t="s">
        <v>5593</v>
      </c>
      <c r="N260" s="16" t="s">
        <v>5595</v>
      </c>
      <c r="O260" s="23">
        <v>25</v>
      </c>
      <c r="P260" s="24" t="e">
        <f>VLOOKUP(I260,#REF!,2,0)</f>
        <v>#REF!</v>
      </c>
      <c r="Q260" s="25"/>
      <c r="R260" s="24"/>
      <c r="S260" s="26"/>
      <c r="T260" s="24"/>
      <c r="U260" s="26"/>
      <c r="V260" s="26"/>
      <c r="W260" s="27">
        <v>258</v>
      </c>
      <c r="X260" s="28"/>
    </row>
    <row r="261" ht="31" spans="1:24">
      <c r="A261" s="16" t="s">
        <v>4174</v>
      </c>
      <c r="B261" s="17" t="s">
        <v>4175</v>
      </c>
      <c r="C261" s="30" t="s">
        <v>3814</v>
      </c>
      <c r="D261" s="19" t="e">
        <f>VLOOKUP(C261,#REF!,2,0)</f>
        <v>#REF!</v>
      </c>
      <c r="E261" s="20" t="e">
        <f>VLOOKUP(D261,数据集标准分类!E:F,2,0)</f>
        <v>#REF!</v>
      </c>
      <c r="F261" s="21">
        <v>13</v>
      </c>
      <c r="G261" s="22" t="s">
        <v>3869</v>
      </c>
      <c r="H261" s="22" t="s">
        <v>5762</v>
      </c>
      <c r="I261" s="22" t="s">
        <v>3872</v>
      </c>
      <c r="J261" s="22" t="s">
        <v>3870</v>
      </c>
      <c r="K261" s="22" t="s">
        <v>3872</v>
      </c>
      <c r="L261" s="22" t="s">
        <v>3873</v>
      </c>
      <c r="M261" s="16" t="s">
        <v>5593</v>
      </c>
      <c r="N261" s="16" t="s">
        <v>5595</v>
      </c>
      <c r="O261" s="23">
        <v>26</v>
      </c>
      <c r="P261" s="24" t="e">
        <f>VLOOKUP(I261,#REF!,2,0)</f>
        <v>#REF!</v>
      </c>
      <c r="Q261" s="25"/>
      <c r="R261" s="24"/>
      <c r="S261" s="26"/>
      <c r="T261" s="24"/>
      <c r="U261" s="26"/>
      <c r="V261" s="26"/>
      <c r="W261" s="27">
        <v>259</v>
      </c>
      <c r="X261" s="28"/>
    </row>
    <row r="262" ht="46" spans="1:24">
      <c r="A262" s="16" t="s">
        <v>4174</v>
      </c>
      <c r="B262" s="17" t="s">
        <v>4175</v>
      </c>
      <c r="C262" s="30" t="s">
        <v>3814</v>
      </c>
      <c r="D262" s="19" t="e">
        <f>VLOOKUP(C262,#REF!,2,0)</f>
        <v>#REF!</v>
      </c>
      <c r="E262" s="20" t="e">
        <f>VLOOKUP(D262,数据集标准分类!E:F,2,0)</f>
        <v>#REF!</v>
      </c>
      <c r="F262" s="21">
        <v>13</v>
      </c>
      <c r="G262" s="22" t="s">
        <v>3874</v>
      </c>
      <c r="H262" s="22" t="s">
        <v>3875</v>
      </c>
      <c r="I262" s="22" t="s">
        <v>3877</v>
      </c>
      <c r="J262" s="22" t="s">
        <v>3875</v>
      </c>
      <c r="K262" s="22" t="s">
        <v>3877</v>
      </c>
      <c r="L262" s="22" t="s">
        <v>3878</v>
      </c>
      <c r="M262" s="16" t="s">
        <v>5595</v>
      </c>
      <c r="N262" s="16" t="s">
        <v>5595</v>
      </c>
      <c r="O262" s="23">
        <v>27</v>
      </c>
      <c r="P262" s="24" t="e">
        <f>VLOOKUP(I262,#REF!,2,0)</f>
        <v>#REF!</v>
      </c>
      <c r="Q262" s="25"/>
      <c r="R262" s="24"/>
      <c r="S262" s="26"/>
      <c r="T262" s="24"/>
      <c r="U262" s="26"/>
      <c r="V262" s="26"/>
      <c r="W262" s="27">
        <v>260</v>
      </c>
      <c r="X262" s="28"/>
    </row>
    <row r="263" ht="46" spans="1:24">
      <c r="A263" s="16" t="s">
        <v>4174</v>
      </c>
      <c r="B263" s="17" t="s">
        <v>4175</v>
      </c>
      <c r="C263" s="30" t="s">
        <v>3814</v>
      </c>
      <c r="D263" s="19" t="e">
        <f>VLOOKUP(C263,#REF!,2,0)</f>
        <v>#REF!</v>
      </c>
      <c r="E263" s="20" t="e">
        <f>VLOOKUP(D263,数据集标准分类!E:F,2,0)</f>
        <v>#REF!</v>
      </c>
      <c r="F263" s="21">
        <v>13</v>
      </c>
      <c r="G263" s="22" t="s">
        <v>3879</v>
      </c>
      <c r="H263" s="22" t="s">
        <v>5763</v>
      </c>
      <c r="I263" s="22" t="s">
        <v>3882</v>
      </c>
      <c r="J263" s="22" t="s">
        <v>3880</v>
      </c>
      <c r="K263" s="22" t="s">
        <v>3882</v>
      </c>
      <c r="L263" s="22" t="s">
        <v>3883</v>
      </c>
      <c r="M263" s="16" t="s">
        <v>5593</v>
      </c>
      <c r="N263" s="16" t="s">
        <v>5595</v>
      </c>
      <c r="O263" s="23">
        <v>28</v>
      </c>
      <c r="P263" s="24" t="e">
        <f>VLOOKUP(I263,#REF!,2,0)</f>
        <v>#REF!</v>
      </c>
      <c r="Q263" s="25"/>
      <c r="R263" s="24"/>
      <c r="S263" s="26"/>
      <c r="T263" s="24"/>
      <c r="U263" s="26"/>
      <c r="V263" s="26"/>
      <c r="W263" s="27">
        <v>261</v>
      </c>
      <c r="X263" s="28"/>
    </row>
    <row r="264" ht="31" spans="1:24">
      <c r="A264" s="16" t="s">
        <v>4174</v>
      </c>
      <c r="B264" s="17" t="s">
        <v>4175</v>
      </c>
      <c r="C264" s="30" t="s">
        <v>3814</v>
      </c>
      <c r="D264" s="19" t="e">
        <f>VLOOKUP(C264,#REF!,2,0)</f>
        <v>#REF!</v>
      </c>
      <c r="E264" s="20" t="e">
        <f>VLOOKUP(D264,数据集标准分类!E:F,2,0)</f>
        <v>#REF!</v>
      </c>
      <c r="F264" s="21">
        <v>13</v>
      </c>
      <c r="G264" s="22" t="s">
        <v>1959</v>
      </c>
      <c r="H264" s="22" t="s">
        <v>5764</v>
      </c>
      <c r="I264" s="22" t="s">
        <v>1962</v>
      </c>
      <c r="J264" s="22" t="s">
        <v>1960</v>
      </c>
      <c r="K264" s="22" t="s">
        <v>1962</v>
      </c>
      <c r="L264" s="22" t="s">
        <v>3884</v>
      </c>
      <c r="M264" s="16" t="s">
        <v>5593</v>
      </c>
      <c r="N264" s="16" t="s">
        <v>5595</v>
      </c>
      <c r="O264" s="23">
        <v>29</v>
      </c>
      <c r="P264" s="24" t="e">
        <f>VLOOKUP(I264,#REF!,2,0)</f>
        <v>#REF!</v>
      </c>
      <c r="Q264" s="25"/>
      <c r="R264" s="24"/>
      <c r="S264" s="26"/>
      <c r="T264" s="24"/>
      <c r="U264" s="26"/>
      <c r="V264" s="26"/>
      <c r="W264" s="27">
        <v>262</v>
      </c>
      <c r="X264" s="28"/>
    </row>
    <row r="265" spans="1:24">
      <c r="A265" s="16" t="s">
        <v>4174</v>
      </c>
      <c r="B265" s="17" t="s">
        <v>4175</v>
      </c>
      <c r="C265" s="30" t="s">
        <v>3814</v>
      </c>
      <c r="D265" s="19" t="e">
        <f>VLOOKUP(C265,#REF!,2,0)</f>
        <v>#REF!</v>
      </c>
      <c r="E265" s="20" t="e">
        <f>VLOOKUP(D265,数据集标准分类!E:F,2,0)</f>
        <v>#REF!</v>
      </c>
      <c r="F265" s="21">
        <v>13</v>
      </c>
      <c r="G265" s="22" t="s">
        <v>3885</v>
      </c>
      <c r="H265" s="22" t="s">
        <v>5765</v>
      </c>
      <c r="I265" s="22" t="s">
        <v>3888</v>
      </c>
      <c r="J265" s="22" t="s">
        <v>3886</v>
      </c>
      <c r="K265" s="22" t="s">
        <v>3888</v>
      </c>
      <c r="L265" s="22" t="s">
        <v>3889</v>
      </c>
      <c r="M265" s="16" t="s">
        <v>5593</v>
      </c>
      <c r="N265" s="16" t="s">
        <v>5595</v>
      </c>
      <c r="O265" s="23">
        <v>30</v>
      </c>
      <c r="P265" s="24" t="e">
        <f>VLOOKUP(I265,#REF!,2,0)</f>
        <v>#REF!</v>
      </c>
      <c r="Q265" s="25"/>
      <c r="R265" s="24"/>
      <c r="S265" s="26"/>
      <c r="T265" s="24"/>
      <c r="U265" s="26"/>
      <c r="V265" s="26"/>
      <c r="W265" s="27">
        <v>263</v>
      </c>
      <c r="X265" s="28"/>
    </row>
    <row r="266" ht="31" spans="1:24">
      <c r="A266" s="16" t="s">
        <v>4174</v>
      </c>
      <c r="B266" s="17" t="s">
        <v>4175</v>
      </c>
      <c r="C266" s="30" t="s">
        <v>3814</v>
      </c>
      <c r="D266" s="19" t="e">
        <f>VLOOKUP(C266,#REF!,2,0)</f>
        <v>#REF!</v>
      </c>
      <c r="E266" s="20" t="e">
        <f>VLOOKUP(D266,数据集标准分类!E:F,2,0)</f>
        <v>#REF!</v>
      </c>
      <c r="F266" s="21">
        <v>13</v>
      </c>
      <c r="G266" s="22" t="s">
        <v>3890</v>
      </c>
      <c r="H266" s="22" t="s">
        <v>5766</v>
      </c>
      <c r="I266" s="22" t="s">
        <v>3893</v>
      </c>
      <c r="J266" s="22" t="s">
        <v>3891</v>
      </c>
      <c r="K266" s="22" t="s">
        <v>3893</v>
      </c>
      <c r="L266" s="22" t="s">
        <v>3894</v>
      </c>
      <c r="M266" s="16" t="s">
        <v>5593</v>
      </c>
      <c r="N266" s="16" t="s">
        <v>5595</v>
      </c>
      <c r="O266" s="23">
        <v>31</v>
      </c>
      <c r="P266" s="24" t="e">
        <f>VLOOKUP(I266,#REF!,2,0)</f>
        <v>#REF!</v>
      </c>
      <c r="Q266" s="25"/>
      <c r="R266" s="24"/>
      <c r="S266" s="26"/>
      <c r="T266" s="24"/>
      <c r="U266" s="26"/>
      <c r="V266" s="26"/>
      <c r="W266" s="27">
        <v>264</v>
      </c>
      <c r="X266" s="28"/>
    </row>
    <row r="267" ht="31" spans="1:24">
      <c r="A267" s="16" t="s">
        <v>4174</v>
      </c>
      <c r="B267" s="17" t="s">
        <v>4175</v>
      </c>
      <c r="C267" s="30" t="s">
        <v>3814</v>
      </c>
      <c r="D267" s="19" t="e">
        <f>VLOOKUP(C267,#REF!,2,0)</f>
        <v>#REF!</v>
      </c>
      <c r="E267" s="20" t="e">
        <f>VLOOKUP(D267,数据集标准分类!E:F,2,0)</f>
        <v>#REF!</v>
      </c>
      <c r="F267" s="21">
        <v>13</v>
      </c>
      <c r="G267" s="22" t="s">
        <v>3895</v>
      </c>
      <c r="H267" s="22" t="s">
        <v>5767</v>
      </c>
      <c r="I267" s="22" t="s">
        <v>5768</v>
      </c>
      <c r="J267" s="22" t="s">
        <v>3896</v>
      </c>
      <c r="K267" s="22" t="s">
        <v>3898</v>
      </c>
      <c r="L267" s="22" t="s">
        <v>3899</v>
      </c>
      <c r="M267" s="16" t="s">
        <v>5593</v>
      </c>
      <c r="N267" s="16" t="s">
        <v>5593</v>
      </c>
      <c r="O267" s="23">
        <v>32</v>
      </c>
      <c r="P267" s="24" t="e">
        <f>VLOOKUP(I267,#REF!,2,0)</f>
        <v>#REF!</v>
      </c>
      <c r="Q267" s="25"/>
      <c r="R267" s="24"/>
      <c r="S267" s="26"/>
      <c r="T267" s="24"/>
      <c r="U267" s="26"/>
      <c r="V267" s="26"/>
      <c r="W267" s="27">
        <v>265</v>
      </c>
      <c r="X267" s="28"/>
    </row>
    <row r="268" ht="31" spans="1:24">
      <c r="A268" s="16" t="s">
        <v>4174</v>
      </c>
      <c r="B268" s="17" t="s">
        <v>4175</v>
      </c>
      <c r="C268" s="30" t="s">
        <v>3814</v>
      </c>
      <c r="D268" s="19" t="e">
        <f>VLOOKUP(C268,#REF!,2,0)</f>
        <v>#REF!</v>
      </c>
      <c r="E268" s="20" t="e">
        <f>VLOOKUP(D268,数据集标准分类!E:F,2,0)</f>
        <v>#REF!</v>
      </c>
      <c r="F268" s="21">
        <v>13</v>
      </c>
      <c r="G268" s="22" t="s">
        <v>3900</v>
      </c>
      <c r="H268" s="22" t="s">
        <v>5769</v>
      </c>
      <c r="I268" s="22" t="s">
        <v>3903</v>
      </c>
      <c r="J268" s="22" t="s">
        <v>3901</v>
      </c>
      <c r="K268" s="22" t="s">
        <v>3903</v>
      </c>
      <c r="L268" s="22" t="s">
        <v>3904</v>
      </c>
      <c r="M268" s="16" t="s">
        <v>5593</v>
      </c>
      <c r="N268" s="16" t="s">
        <v>5595</v>
      </c>
      <c r="O268" s="23">
        <v>33</v>
      </c>
      <c r="P268" s="24" t="e">
        <f>VLOOKUP(I268,#REF!,2,0)</f>
        <v>#REF!</v>
      </c>
      <c r="Q268" s="25"/>
      <c r="R268" s="24"/>
      <c r="S268" s="26"/>
      <c r="T268" s="24"/>
      <c r="U268" s="26"/>
      <c r="V268" s="26"/>
      <c r="W268" s="27">
        <v>266</v>
      </c>
      <c r="X268" s="28"/>
    </row>
    <row r="269" spans="1:24">
      <c r="A269" s="16" t="s">
        <v>4174</v>
      </c>
      <c r="B269" s="17" t="s">
        <v>4175</v>
      </c>
      <c r="C269" s="30" t="s">
        <v>3814</v>
      </c>
      <c r="D269" s="19" t="e">
        <f>VLOOKUP(C269,#REF!,2,0)</f>
        <v>#REF!</v>
      </c>
      <c r="E269" s="20" t="e">
        <f>VLOOKUP(D269,数据集标准分类!E:F,2,0)</f>
        <v>#REF!</v>
      </c>
      <c r="F269" s="21">
        <v>13</v>
      </c>
      <c r="G269" s="22" t="s">
        <v>3905</v>
      </c>
      <c r="H269" s="22" t="s">
        <v>3906</v>
      </c>
      <c r="I269" s="22" t="s">
        <v>3908</v>
      </c>
      <c r="J269" s="22" t="s">
        <v>3906</v>
      </c>
      <c r="K269" s="22" t="s">
        <v>3908</v>
      </c>
      <c r="L269" s="22" t="s">
        <v>3909</v>
      </c>
      <c r="M269" s="16" t="s">
        <v>5595</v>
      </c>
      <c r="N269" s="16" t="s">
        <v>5595</v>
      </c>
      <c r="O269" s="23">
        <v>34</v>
      </c>
      <c r="P269" s="24" t="e">
        <f>VLOOKUP(I269,#REF!,2,0)</f>
        <v>#REF!</v>
      </c>
      <c r="Q269" s="25"/>
      <c r="R269" s="24"/>
      <c r="S269" s="26"/>
      <c r="T269" s="24"/>
      <c r="U269" s="26"/>
      <c r="V269" s="26"/>
      <c r="W269" s="27">
        <v>267</v>
      </c>
      <c r="X269" s="28"/>
    </row>
    <row r="270" spans="1:24">
      <c r="A270" s="16" t="s">
        <v>4174</v>
      </c>
      <c r="B270" s="17" t="s">
        <v>4175</v>
      </c>
      <c r="C270" s="30" t="s">
        <v>3814</v>
      </c>
      <c r="D270" s="19" t="e">
        <f>VLOOKUP(C270,#REF!,2,0)</f>
        <v>#REF!</v>
      </c>
      <c r="E270" s="20" t="e">
        <f>VLOOKUP(D270,数据集标准分类!E:F,2,0)</f>
        <v>#REF!</v>
      </c>
      <c r="F270" s="21">
        <v>13</v>
      </c>
      <c r="G270" s="22" t="s">
        <v>3910</v>
      </c>
      <c r="H270" s="22" t="s">
        <v>5770</v>
      </c>
      <c r="I270" s="22" t="s">
        <v>5771</v>
      </c>
      <c r="J270" s="22" t="s">
        <v>3911</v>
      </c>
      <c r="K270" s="22" t="s">
        <v>3913</v>
      </c>
      <c r="L270" s="22" t="s">
        <v>3914</v>
      </c>
      <c r="M270" s="16" t="s">
        <v>5593</v>
      </c>
      <c r="N270" s="16" t="s">
        <v>5593</v>
      </c>
      <c r="O270" s="23">
        <v>35</v>
      </c>
      <c r="P270" s="24" t="e">
        <f>VLOOKUP(I270,#REF!,2,0)</f>
        <v>#REF!</v>
      </c>
      <c r="Q270" s="25"/>
      <c r="R270" s="24"/>
      <c r="S270" s="26"/>
      <c r="T270" s="24"/>
      <c r="U270" s="26"/>
      <c r="V270" s="26"/>
      <c r="W270" s="27">
        <v>268</v>
      </c>
      <c r="X270" s="28"/>
    </row>
    <row r="271" spans="1:24">
      <c r="A271" s="16" t="s">
        <v>4174</v>
      </c>
      <c r="B271" s="17" t="s">
        <v>4175</v>
      </c>
      <c r="C271" s="30" t="s">
        <v>3814</v>
      </c>
      <c r="D271" s="19" t="e">
        <f>VLOOKUP(C271,#REF!,2,0)</f>
        <v>#REF!</v>
      </c>
      <c r="E271" s="20" t="e">
        <f>VLOOKUP(D271,数据集标准分类!E:F,2,0)</f>
        <v>#REF!</v>
      </c>
      <c r="F271" s="21">
        <v>13</v>
      </c>
      <c r="G271" s="22" t="s">
        <v>3915</v>
      </c>
      <c r="H271" s="22" t="s">
        <v>5772</v>
      </c>
      <c r="I271" s="22" t="s">
        <v>5773</v>
      </c>
      <c r="J271" s="22" t="s">
        <v>3916</v>
      </c>
      <c r="K271" s="22" t="s">
        <v>3918</v>
      </c>
      <c r="L271" s="22" t="s">
        <v>3919</v>
      </c>
      <c r="M271" s="16" t="s">
        <v>5593</v>
      </c>
      <c r="N271" s="16" t="s">
        <v>5593</v>
      </c>
      <c r="O271" s="23">
        <v>36</v>
      </c>
      <c r="P271" s="24" t="e">
        <f>VLOOKUP(I271,#REF!,2,0)</f>
        <v>#REF!</v>
      </c>
      <c r="Q271" s="25"/>
      <c r="R271" s="24"/>
      <c r="S271" s="26"/>
      <c r="T271" s="24"/>
      <c r="U271" s="26"/>
      <c r="V271" s="26"/>
      <c r="W271" s="27">
        <v>269</v>
      </c>
      <c r="X271" s="28"/>
    </row>
    <row r="272" ht="31" spans="1:24">
      <c r="A272" s="16" t="s">
        <v>4174</v>
      </c>
      <c r="B272" s="17" t="s">
        <v>4175</v>
      </c>
      <c r="C272" s="30" t="s">
        <v>3814</v>
      </c>
      <c r="D272" s="19" t="e">
        <f>VLOOKUP(C272,#REF!,2,0)</f>
        <v>#REF!</v>
      </c>
      <c r="E272" s="20" t="e">
        <f>VLOOKUP(D272,数据集标准分类!E:F,2,0)</f>
        <v>#REF!</v>
      </c>
      <c r="F272" s="21">
        <v>13</v>
      </c>
      <c r="G272" s="22" t="s">
        <v>3920</v>
      </c>
      <c r="H272" s="22" t="s">
        <v>5774</v>
      </c>
      <c r="I272" s="22" t="s">
        <v>5775</v>
      </c>
      <c r="J272" s="22" t="s">
        <v>3921</v>
      </c>
      <c r="K272" s="22" t="s">
        <v>3923</v>
      </c>
      <c r="L272" s="22" t="s">
        <v>3924</v>
      </c>
      <c r="M272" s="16" t="s">
        <v>5593</v>
      </c>
      <c r="N272" s="16" t="s">
        <v>5593</v>
      </c>
      <c r="O272" s="23">
        <v>37</v>
      </c>
      <c r="P272" s="24" t="e">
        <f>VLOOKUP(I272,#REF!,2,0)</f>
        <v>#REF!</v>
      </c>
      <c r="Q272" s="25"/>
      <c r="R272" s="24"/>
      <c r="S272" s="26"/>
      <c r="T272" s="24"/>
      <c r="U272" s="26"/>
      <c r="V272" s="26"/>
      <c r="W272" s="27">
        <v>270</v>
      </c>
      <c r="X272" s="28"/>
    </row>
    <row r="273" ht="31" spans="1:24">
      <c r="A273" s="16" t="s">
        <v>4174</v>
      </c>
      <c r="B273" s="17" t="s">
        <v>4175</v>
      </c>
      <c r="C273" s="30" t="s">
        <v>3814</v>
      </c>
      <c r="D273" s="19" t="e">
        <f>VLOOKUP(C273,#REF!,2,0)</f>
        <v>#REF!</v>
      </c>
      <c r="E273" s="20" t="e">
        <f>VLOOKUP(D273,数据集标准分类!E:F,2,0)</f>
        <v>#REF!</v>
      </c>
      <c r="F273" s="21">
        <v>13</v>
      </c>
      <c r="G273" s="22" t="s">
        <v>3925</v>
      </c>
      <c r="H273" s="22" t="s">
        <v>3926</v>
      </c>
      <c r="I273" s="22" t="s">
        <v>3928</v>
      </c>
      <c r="J273" s="22" t="s">
        <v>3926</v>
      </c>
      <c r="K273" s="22" t="s">
        <v>3928</v>
      </c>
      <c r="L273" s="22" t="s">
        <v>3929</v>
      </c>
      <c r="M273" s="16" t="s">
        <v>5595</v>
      </c>
      <c r="N273" s="16" t="s">
        <v>5595</v>
      </c>
      <c r="O273" s="23">
        <v>38</v>
      </c>
      <c r="P273" s="24" t="e">
        <f>VLOOKUP(I273,#REF!,2,0)</f>
        <v>#REF!</v>
      </c>
      <c r="Q273" s="25"/>
      <c r="R273" s="24"/>
      <c r="S273" s="26"/>
      <c r="T273" s="24"/>
      <c r="U273" s="26"/>
      <c r="V273" s="26"/>
      <c r="W273" s="27">
        <v>271</v>
      </c>
      <c r="X273" s="28"/>
    </row>
    <row r="274" ht="46" spans="1:24">
      <c r="A274" s="16" t="s">
        <v>4174</v>
      </c>
      <c r="B274" s="17" t="s">
        <v>4175</v>
      </c>
      <c r="C274" s="30" t="s">
        <v>3814</v>
      </c>
      <c r="D274" s="19" t="e">
        <f>VLOOKUP(C274,#REF!,2,0)</f>
        <v>#REF!</v>
      </c>
      <c r="E274" s="20" t="e">
        <f>VLOOKUP(D274,数据集标准分类!E:F,2,0)</f>
        <v>#REF!</v>
      </c>
      <c r="F274" s="21">
        <v>13</v>
      </c>
      <c r="G274" s="22" t="s">
        <v>1480</v>
      </c>
      <c r="H274" s="22" t="s">
        <v>1481</v>
      </c>
      <c r="I274" s="22" t="s">
        <v>1483</v>
      </c>
      <c r="J274" s="22" t="s">
        <v>1481</v>
      </c>
      <c r="K274" s="22" t="s">
        <v>1483</v>
      </c>
      <c r="L274" s="22" t="s">
        <v>3930</v>
      </c>
      <c r="M274" s="16" t="s">
        <v>5595</v>
      </c>
      <c r="N274" s="16" t="s">
        <v>5595</v>
      </c>
      <c r="O274" s="23">
        <v>39</v>
      </c>
      <c r="P274" s="24" t="e">
        <f>VLOOKUP(I274,#REF!,2,0)</f>
        <v>#REF!</v>
      </c>
      <c r="Q274" s="25"/>
      <c r="R274" s="24"/>
      <c r="S274" s="26"/>
      <c r="T274" s="24"/>
      <c r="U274" s="26"/>
      <c r="V274" s="26"/>
      <c r="W274" s="27">
        <v>272</v>
      </c>
      <c r="X274" s="28"/>
    </row>
    <row r="275" ht="24" customHeight="1" spans="1:24">
      <c r="A275" s="16" t="s">
        <v>4174</v>
      </c>
      <c r="B275" s="17" t="s">
        <v>4175</v>
      </c>
      <c r="C275" s="30" t="s">
        <v>3814</v>
      </c>
      <c r="D275" s="19" t="e">
        <f>VLOOKUP(C275,#REF!,2,0)</f>
        <v>#REF!</v>
      </c>
      <c r="E275" s="20" t="e">
        <f>VLOOKUP(D275,数据集标准分类!E:F,2,0)</f>
        <v>#REF!</v>
      </c>
      <c r="F275" s="21">
        <v>13</v>
      </c>
      <c r="G275" s="22" t="s">
        <v>3931</v>
      </c>
      <c r="H275" s="22" t="s">
        <v>5776</v>
      </c>
      <c r="I275" s="22" t="s">
        <v>3934</v>
      </c>
      <c r="J275" s="22" t="s">
        <v>3932</v>
      </c>
      <c r="K275" s="22" t="s">
        <v>3934</v>
      </c>
      <c r="L275" s="22" t="s">
        <v>3935</v>
      </c>
      <c r="M275" s="16" t="s">
        <v>5593</v>
      </c>
      <c r="N275" s="16" t="s">
        <v>5595</v>
      </c>
      <c r="O275" s="23">
        <v>40</v>
      </c>
      <c r="P275" s="24" t="e">
        <f>VLOOKUP(I275,#REF!,2,0)</f>
        <v>#REF!</v>
      </c>
      <c r="Q275" s="25"/>
      <c r="R275" s="24"/>
      <c r="S275" s="26"/>
      <c r="T275" s="24"/>
      <c r="U275" s="26"/>
      <c r="V275" s="26"/>
      <c r="W275" s="27">
        <v>273</v>
      </c>
      <c r="X275" s="28"/>
    </row>
    <row r="276" spans="1:24">
      <c r="A276" s="16" t="s">
        <v>4174</v>
      </c>
      <c r="B276" s="17" t="s">
        <v>4175</v>
      </c>
      <c r="C276" s="30" t="s">
        <v>3814</v>
      </c>
      <c r="D276" s="19" t="e">
        <f>VLOOKUP(C276,#REF!,2,0)</f>
        <v>#REF!</v>
      </c>
      <c r="E276" s="20" t="e">
        <f>VLOOKUP(D276,数据集标准分类!E:F,2,0)</f>
        <v>#REF!</v>
      </c>
      <c r="F276" s="21">
        <v>13</v>
      </c>
      <c r="G276" s="22" t="s">
        <v>3936</v>
      </c>
      <c r="H276" s="22" t="s">
        <v>5777</v>
      </c>
      <c r="I276" s="22" t="s">
        <v>3939</v>
      </c>
      <c r="J276" s="22" t="s">
        <v>3937</v>
      </c>
      <c r="K276" s="22" t="s">
        <v>3939</v>
      </c>
      <c r="L276" s="22" t="s">
        <v>3940</v>
      </c>
      <c r="M276" s="16" t="s">
        <v>5593</v>
      </c>
      <c r="N276" s="16" t="s">
        <v>5595</v>
      </c>
      <c r="O276" s="23">
        <v>41</v>
      </c>
      <c r="P276" s="24" t="e">
        <f>VLOOKUP(I276,#REF!,2,0)</f>
        <v>#REF!</v>
      </c>
      <c r="Q276" s="25"/>
      <c r="R276" s="24"/>
      <c r="S276" s="26"/>
      <c r="T276" s="24"/>
      <c r="U276" s="26"/>
      <c r="V276" s="26"/>
      <c r="W276" s="27">
        <v>274</v>
      </c>
      <c r="X276" s="28"/>
    </row>
    <row r="277" ht="31" spans="1:24">
      <c r="A277" s="16" t="s">
        <v>4174</v>
      </c>
      <c r="B277" s="17" t="s">
        <v>4175</v>
      </c>
      <c r="C277" s="30" t="s">
        <v>3941</v>
      </c>
      <c r="D277" s="19" t="e">
        <f>VLOOKUP(C277,#REF!,2,0)</f>
        <v>#REF!</v>
      </c>
      <c r="E277" s="20" t="e">
        <f>VLOOKUP(D277,数据集标准分类!E:F,2,0)</f>
        <v>#REF!</v>
      </c>
      <c r="F277" s="21">
        <v>14</v>
      </c>
      <c r="G277" s="22" t="s">
        <v>3815</v>
      </c>
      <c r="H277" s="22" t="s">
        <v>5745</v>
      </c>
      <c r="I277" s="22" t="s">
        <v>3818</v>
      </c>
      <c r="J277" s="22" t="s">
        <v>3816</v>
      </c>
      <c r="K277" s="22" t="s">
        <v>3818</v>
      </c>
      <c r="L277" s="22" t="s">
        <v>3819</v>
      </c>
      <c r="M277" s="16" t="s">
        <v>5593</v>
      </c>
      <c r="N277" s="16" t="s">
        <v>5595</v>
      </c>
      <c r="O277" s="23">
        <v>1</v>
      </c>
      <c r="P277" s="24" t="e">
        <f>VLOOKUP(I277,#REF!,2,0)</f>
        <v>#REF!</v>
      </c>
      <c r="Q277" s="25"/>
      <c r="R277" s="24"/>
      <c r="S277" s="26"/>
      <c r="T277" s="24"/>
      <c r="U277" s="26"/>
      <c r="V277" s="26"/>
      <c r="W277" s="27">
        <v>275</v>
      </c>
      <c r="X277" s="28"/>
    </row>
    <row r="278" ht="46" spans="1:24">
      <c r="A278" s="16" t="s">
        <v>4174</v>
      </c>
      <c r="B278" s="17" t="s">
        <v>4175</v>
      </c>
      <c r="C278" s="30" t="s">
        <v>3941</v>
      </c>
      <c r="D278" s="19" t="e">
        <f>VLOOKUP(C278,#REF!,2,0)</f>
        <v>#REF!</v>
      </c>
      <c r="E278" s="20" t="e">
        <f>VLOOKUP(D278,数据集标准分类!E:F,2,0)</f>
        <v>#REF!</v>
      </c>
      <c r="F278" s="21">
        <v>14</v>
      </c>
      <c r="G278" s="22" t="s">
        <v>3820</v>
      </c>
      <c r="H278" s="22" t="s">
        <v>3821</v>
      </c>
      <c r="I278" s="22" t="s">
        <v>3823</v>
      </c>
      <c r="J278" s="22" t="s">
        <v>3821</v>
      </c>
      <c r="K278" s="22" t="s">
        <v>3823</v>
      </c>
      <c r="L278" s="22" t="s">
        <v>3824</v>
      </c>
      <c r="M278" s="16" t="s">
        <v>5595</v>
      </c>
      <c r="N278" s="16" t="s">
        <v>5595</v>
      </c>
      <c r="O278" s="23">
        <v>2</v>
      </c>
      <c r="P278" s="24" t="e">
        <f>VLOOKUP(I278,#REF!,2,0)</f>
        <v>#REF!</v>
      </c>
      <c r="Q278" s="25"/>
      <c r="R278" s="24"/>
      <c r="S278" s="26"/>
      <c r="T278" s="24"/>
      <c r="U278" s="26"/>
      <c r="V278" s="26"/>
      <c r="W278" s="27">
        <v>276</v>
      </c>
      <c r="X278" s="28"/>
    </row>
    <row r="279" ht="46" spans="1:24">
      <c r="A279" s="16" t="s">
        <v>4174</v>
      </c>
      <c r="B279" s="17" t="s">
        <v>4175</v>
      </c>
      <c r="C279" s="30" t="s">
        <v>3941</v>
      </c>
      <c r="D279" s="19" t="e">
        <f>VLOOKUP(C279,#REF!,2,0)</f>
        <v>#REF!</v>
      </c>
      <c r="E279" s="20" t="e">
        <f>VLOOKUP(D279,数据集标准分类!E:F,2,0)</f>
        <v>#REF!</v>
      </c>
      <c r="F279" s="21">
        <v>14</v>
      </c>
      <c r="G279" s="22" t="s">
        <v>3835</v>
      </c>
      <c r="H279" s="22" t="s">
        <v>5748</v>
      </c>
      <c r="I279" s="22" t="s">
        <v>3837</v>
      </c>
      <c r="J279" s="22" t="s">
        <v>3836</v>
      </c>
      <c r="K279" s="22" t="s">
        <v>3837</v>
      </c>
      <c r="L279" s="22" t="s">
        <v>3838</v>
      </c>
      <c r="M279" s="16" t="s">
        <v>5593</v>
      </c>
      <c r="N279" s="16" t="s">
        <v>5595</v>
      </c>
      <c r="O279" s="23">
        <v>3</v>
      </c>
      <c r="P279" s="24" t="e">
        <f>VLOOKUP(I279,#REF!,2,0)</f>
        <v>#REF!</v>
      </c>
      <c r="Q279" s="25"/>
      <c r="R279" s="24"/>
      <c r="S279" s="26"/>
      <c r="T279" s="24"/>
      <c r="U279" s="26"/>
      <c r="V279" s="26"/>
      <c r="W279" s="27">
        <v>277</v>
      </c>
      <c r="X279" s="28"/>
    </row>
    <row r="280" ht="31" spans="1:24">
      <c r="A280" s="16" t="s">
        <v>4174</v>
      </c>
      <c r="B280" s="17" t="s">
        <v>4175</v>
      </c>
      <c r="C280" s="30" t="s">
        <v>3941</v>
      </c>
      <c r="D280" s="19" t="e">
        <f>VLOOKUP(C280,#REF!,2,0)</f>
        <v>#REF!</v>
      </c>
      <c r="E280" s="20" t="e">
        <f>VLOOKUP(D280,数据集标准分类!E:F,2,0)</f>
        <v>#REF!</v>
      </c>
      <c r="F280" s="21">
        <v>14</v>
      </c>
      <c r="G280" s="22" t="s">
        <v>3942</v>
      </c>
      <c r="H280" s="22" t="s">
        <v>5778</v>
      </c>
      <c r="I280" s="22" t="s">
        <v>5779</v>
      </c>
      <c r="J280" s="22" t="s">
        <v>3943</v>
      </c>
      <c r="K280" s="22" t="s">
        <v>3945</v>
      </c>
      <c r="L280" s="22" t="s">
        <v>3946</v>
      </c>
      <c r="M280" s="16" t="s">
        <v>5593</v>
      </c>
      <c r="N280" s="16" t="s">
        <v>5593</v>
      </c>
      <c r="O280" s="23">
        <v>4</v>
      </c>
      <c r="P280" s="24" t="e">
        <f>VLOOKUP(I280,#REF!,2,0)</f>
        <v>#REF!</v>
      </c>
      <c r="Q280" s="25"/>
      <c r="R280" s="24"/>
      <c r="S280" s="26"/>
      <c r="T280" s="24"/>
      <c r="U280" s="26"/>
      <c r="V280" s="26"/>
      <c r="W280" s="27">
        <v>278</v>
      </c>
      <c r="X280" s="28"/>
    </row>
    <row r="281" ht="31" spans="1:24">
      <c r="A281" s="16" t="s">
        <v>4174</v>
      </c>
      <c r="B281" s="17" t="s">
        <v>4175</v>
      </c>
      <c r="C281" s="30" t="s">
        <v>3941</v>
      </c>
      <c r="D281" s="19" t="e">
        <f>VLOOKUP(C281,#REF!,2,0)</f>
        <v>#REF!</v>
      </c>
      <c r="E281" s="20" t="e">
        <f>VLOOKUP(D281,数据集标准分类!E:F,2,0)</f>
        <v>#REF!</v>
      </c>
      <c r="F281" s="21">
        <v>14</v>
      </c>
      <c r="G281" s="22" t="s">
        <v>3947</v>
      </c>
      <c r="H281" s="22" t="s">
        <v>5780</v>
      </c>
      <c r="I281" s="22" t="s">
        <v>5781</v>
      </c>
      <c r="J281" s="22" t="s">
        <v>3948</v>
      </c>
      <c r="K281" s="22" t="s">
        <v>3950</v>
      </c>
      <c r="L281" s="22" t="s">
        <v>3951</v>
      </c>
      <c r="M281" s="16" t="s">
        <v>5593</v>
      </c>
      <c r="N281" s="16" t="s">
        <v>5593</v>
      </c>
      <c r="O281" s="23">
        <v>5</v>
      </c>
      <c r="P281" s="24" t="e">
        <f>VLOOKUP(I281,#REF!,2,0)</f>
        <v>#REF!</v>
      </c>
      <c r="Q281" s="25"/>
      <c r="R281" s="24"/>
      <c r="S281" s="26"/>
      <c r="T281" s="24"/>
      <c r="U281" s="26"/>
      <c r="V281" s="26"/>
      <c r="W281" s="27">
        <v>279</v>
      </c>
      <c r="X281" s="28"/>
    </row>
    <row r="282" spans="1:24">
      <c r="A282" s="16" t="s">
        <v>4174</v>
      </c>
      <c r="B282" s="17" t="s">
        <v>4175</v>
      </c>
      <c r="C282" s="30" t="s">
        <v>3941</v>
      </c>
      <c r="D282" s="19" t="e">
        <f>VLOOKUP(C282,#REF!,2,0)</f>
        <v>#REF!</v>
      </c>
      <c r="E282" s="20" t="e">
        <f>VLOOKUP(D282,数据集标准分类!E:F,2,0)</f>
        <v>#REF!</v>
      </c>
      <c r="F282" s="21">
        <v>14</v>
      </c>
      <c r="G282" s="22" t="s">
        <v>3952</v>
      </c>
      <c r="H282" s="22" t="s">
        <v>5782</v>
      </c>
      <c r="I282" s="22" t="s">
        <v>3955</v>
      </c>
      <c r="J282" s="22" t="s">
        <v>3953</v>
      </c>
      <c r="K282" s="22" t="s">
        <v>3955</v>
      </c>
      <c r="L282" s="22" t="s">
        <v>3956</v>
      </c>
      <c r="M282" s="16" t="s">
        <v>5593</v>
      </c>
      <c r="N282" s="16" t="s">
        <v>5595</v>
      </c>
      <c r="O282" s="23">
        <v>6</v>
      </c>
      <c r="P282" s="24" t="e">
        <f>VLOOKUP(I282,#REF!,2,0)</f>
        <v>#REF!</v>
      </c>
      <c r="Q282" s="25"/>
      <c r="R282" s="24"/>
      <c r="S282" s="26"/>
      <c r="T282" s="24"/>
      <c r="U282" s="26"/>
      <c r="V282" s="26"/>
      <c r="W282" s="27">
        <v>280</v>
      </c>
      <c r="X282" s="28"/>
    </row>
    <row r="283" ht="31" spans="1:24">
      <c r="A283" s="16" t="s">
        <v>4174</v>
      </c>
      <c r="B283" s="17" t="s">
        <v>4175</v>
      </c>
      <c r="C283" s="30" t="s">
        <v>3941</v>
      </c>
      <c r="D283" s="19" t="e">
        <f>VLOOKUP(C283,#REF!,2,0)</f>
        <v>#REF!</v>
      </c>
      <c r="E283" s="20" t="e">
        <f>VLOOKUP(D283,数据集标准分类!E:F,2,0)</f>
        <v>#REF!</v>
      </c>
      <c r="F283" s="21">
        <v>14</v>
      </c>
      <c r="G283" s="22" t="s">
        <v>3957</v>
      </c>
      <c r="H283" s="22" t="s">
        <v>3958</v>
      </c>
      <c r="I283" s="22" t="s">
        <v>3960</v>
      </c>
      <c r="J283" s="22" t="s">
        <v>3958</v>
      </c>
      <c r="K283" s="22" t="s">
        <v>3960</v>
      </c>
      <c r="L283" s="22" t="s">
        <v>3961</v>
      </c>
      <c r="M283" s="16" t="s">
        <v>5595</v>
      </c>
      <c r="N283" s="16" t="s">
        <v>5595</v>
      </c>
      <c r="O283" s="23">
        <v>7</v>
      </c>
      <c r="P283" s="24" t="e">
        <f>VLOOKUP(I283,#REF!,2,0)</f>
        <v>#REF!</v>
      </c>
      <c r="Q283" s="25"/>
      <c r="R283" s="24"/>
      <c r="S283" s="26"/>
      <c r="T283" s="24"/>
      <c r="U283" s="26"/>
      <c r="V283" s="26"/>
      <c r="W283" s="27">
        <v>281</v>
      </c>
      <c r="X283" s="28"/>
    </row>
    <row r="284" ht="31" spans="1:24">
      <c r="A284" s="16" t="s">
        <v>4174</v>
      </c>
      <c r="B284" s="17" t="s">
        <v>4175</v>
      </c>
      <c r="C284" s="30" t="s">
        <v>3941</v>
      </c>
      <c r="D284" s="19" t="e">
        <f>VLOOKUP(C284,#REF!,2,0)</f>
        <v>#REF!</v>
      </c>
      <c r="E284" s="20" t="e">
        <f>VLOOKUP(D284,数据集标准分类!E:F,2,0)</f>
        <v>#REF!</v>
      </c>
      <c r="F284" s="21">
        <v>14</v>
      </c>
      <c r="G284" s="29" t="s">
        <v>3962</v>
      </c>
      <c r="H284" s="29" t="s">
        <v>5783</v>
      </c>
      <c r="I284" s="29" t="s">
        <v>5784</v>
      </c>
      <c r="J284" s="22" t="s">
        <v>3963</v>
      </c>
      <c r="K284" s="22" t="s">
        <v>3965</v>
      </c>
      <c r="L284" s="22" t="s">
        <v>3966</v>
      </c>
      <c r="M284" s="16" t="s">
        <v>5593</v>
      </c>
      <c r="N284" s="16" t="s">
        <v>5593</v>
      </c>
      <c r="O284" s="23">
        <v>8</v>
      </c>
      <c r="P284" s="24" t="e">
        <f>VLOOKUP(I284,#REF!,2,0)</f>
        <v>#REF!</v>
      </c>
      <c r="Q284" s="25"/>
      <c r="R284" s="24"/>
      <c r="S284" s="26"/>
      <c r="T284" s="24"/>
      <c r="U284" s="26"/>
      <c r="V284" s="26"/>
      <c r="W284" s="27">
        <v>282</v>
      </c>
      <c r="X284" s="28"/>
    </row>
    <row r="285" ht="61" spans="1:24">
      <c r="A285" s="16" t="s">
        <v>4174</v>
      </c>
      <c r="B285" s="17" t="s">
        <v>4175</v>
      </c>
      <c r="C285" s="30" t="s">
        <v>3941</v>
      </c>
      <c r="D285" s="19" t="e">
        <f>VLOOKUP(C285,#REF!,2,0)</f>
        <v>#REF!</v>
      </c>
      <c r="E285" s="20" t="e">
        <f>VLOOKUP(D285,数据集标准分类!E:F,2,0)</f>
        <v>#REF!</v>
      </c>
      <c r="F285" s="21">
        <v>14</v>
      </c>
      <c r="G285" s="22" t="s">
        <v>3967</v>
      </c>
      <c r="H285" s="22" t="s">
        <v>5785</v>
      </c>
      <c r="I285" s="22" t="s">
        <v>5786</v>
      </c>
      <c r="J285" s="22" t="s">
        <v>3968</v>
      </c>
      <c r="K285" s="22" t="s">
        <v>3970</v>
      </c>
      <c r="L285" s="22" t="s">
        <v>3971</v>
      </c>
      <c r="M285" s="16" t="s">
        <v>5593</v>
      </c>
      <c r="N285" s="16" t="s">
        <v>5593</v>
      </c>
      <c r="O285" s="23">
        <v>9</v>
      </c>
      <c r="P285" s="24" t="e">
        <f>VLOOKUP(I285,#REF!,2,0)</f>
        <v>#REF!</v>
      </c>
      <c r="Q285" s="25"/>
      <c r="R285" s="24"/>
      <c r="S285" s="26"/>
      <c r="T285" s="24"/>
      <c r="U285" s="26"/>
      <c r="V285" s="26"/>
      <c r="W285" s="27">
        <v>283</v>
      </c>
      <c r="X285" s="28"/>
    </row>
    <row r="286" ht="31" spans="1:24">
      <c r="A286" s="16" t="s">
        <v>4174</v>
      </c>
      <c r="B286" s="17" t="s">
        <v>4175</v>
      </c>
      <c r="C286" s="30" t="s">
        <v>3941</v>
      </c>
      <c r="D286" s="19" t="e">
        <f>VLOOKUP(C286,#REF!,2,0)</f>
        <v>#REF!</v>
      </c>
      <c r="E286" s="20" t="e">
        <f>VLOOKUP(D286,数据集标准分类!E:F,2,0)</f>
        <v>#REF!</v>
      </c>
      <c r="F286" s="21">
        <v>14</v>
      </c>
      <c r="G286" s="22" t="s">
        <v>3972</v>
      </c>
      <c r="H286" s="22" t="s">
        <v>5787</v>
      </c>
      <c r="I286" s="22" t="s">
        <v>5788</v>
      </c>
      <c r="J286" s="22" t="s">
        <v>3973</v>
      </c>
      <c r="K286" s="22" t="s">
        <v>3975</v>
      </c>
      <c r="L286" s="22" t="s">
        <v>3976</v>
      </c>
      <c r="M286" s="16" t="s">
        <v>5593</v>
      </c>
      <c r="N286" s="16" t="s">
        <v>5593</v>
      </c>
      <c r="O286" s="23">
        <v>10</v>
      </c>
      <c r="P286" s="24" t="e">
        <f>VLOOKUP(I286,#REF!,2,0)</f>
        <v>#REF!</v>
      </c>
      <c r="Q286" s="25"/>
      <c r="R286" s="24"/>
      <c r="S286" s="26"/>
      <c r="T286" s="24"/>
      <c r="U286" s="26"/>
      <c r="V286" s="26"/>
      <c r="W286" s="27">
        <v>284</v>
      </c>
      <c r="X286" s="28"/>
    </row>
    <row r="287" ht="46" spans="1:24">
      <c r="A287" s="16" t="s">
        <v>4174</v>
      </c>
      <c r="B287" s="17" t="s">
        <v>4175</v>
      </c>
      <c r="C287" s="30" t="s">
        <v>3941</v>
      </c>
      <c r="D287" s="19" t="e">
        <f>VLOOKUP(C287,#REF!,2,0)</f>
        <v>#REF!</v>
      </c>
      <c r="E287" s="20" t="e">
        <f>VLOOKUP(D287,数据集标准分类!E:F,2,0)</f>
        <v>#REF!</v>
      </c>
      <c r="F287" s="21">
        <v>14</v>
      </c>
      <c r="G287" s="22" t="s">
        <v>3977</v>
      </c>
      <c r="H287" s="22" t="s">
        <v>5789</v>
      </c>
      <c r="I287" s="22" t="s">
        <v>5790</v>
      </c>
      <c r="J287" s="22" t="s">
        <v>3978</v>
      </c>
      <c r="K287" s="22" t="s">
        <v>3980</v>
      </c>
      <c r="L287" s="22" t="s">
        <v>3981</v>
      </c>
      <c r="M287" s="16" t="s">
        <v>5593</v>
      </c>
      <c r="N287" s="16" t="s">
        <v>5593</v>
      </c>
      <c r="O287" s="23">
        <v>11</v>
      </c>
      <c r="P287" s="24" t="e">
        <f>VLOOKUP(I287,#REF!,2,0)</f>
        <v>#REF!</v>
      </c>
      <c r="Q287" s="25"/>
      <c r="R287" s="24"/>
      <c r="S287" s="26"/>
      <c r="T287" s="24"/>
      <c r="U287" s="26"/>
      <c r="V287" s="26"/>
      <c r="W287" s="27">
        <v>285</v>
      </c>
      <c r="X287" s="28"/>
    </row>
    <row r="288" ht="31" spans="1:24">
      <c r="A288" s="16" t="s">
        <v>4174</v>
      </c>
      <c r="B288" s="17" t="s">
        <v>4175</v>
      </c>
      <c r="C288" s="30" t="s">
        <v>3941</v>
      </c>
      <c r="D288" s="19" t="e">
        <f>VLOOKUP(C288,#REF!,2,0)</f>
        <v>#REF!</v>
      </c>
      <c r="E288" s="20" t="e">
        <f>VLOOKUP(D288,数据集标准分类!E:F,2,0)</f>
        <v>#REF!</v>
      </c>
      <c r="F288" s="21">
        <v>14</v>
      </c>
      <c r="G288" s="22" t="s">
        <v>3982</v>
      </c>
      <c r="H288" s="22" t="s">
        <v>3983</v>
      </c>
      <c r="I288" s="22" t="s">
        <v>5791</v>
      </c>
      <c r="J288" s="22" t="s">
        <v>3983</v>
      </c>
      <c r="K288" s="22" t="s">
        <v>3985</v>
      </c>
      <c r="L288" s="22" t="s">
        <v>3986</v>
      </c>
      <c r="M288" s="16" t="s">
        <v>5595</v>
      </c>
      <c r="N288" s="16" t="s">
        <v>5593</v>
      </c>
      <c r="O288" s="23">
        <v>12</v>
      </c>
      <c r="P288" s="24" t="e">
        <f>VLOOKUP(I288,#REF!,2,0)</f>
        <v>#REF!</v>
      </c>
      <c r="Q288" s="25"/>
      <c r="R288" s="24"/>
      <c r="S288" s="26"/>
      <c r="T288" s="24"/>
      <c r="U288" s="26"/>
      <c r="V288" s="26"/>
      <c r="W288" s="27">
        <v>286</v>
      </c>
      <c r="X288" s="28"/>
    </row>
    <row r="289" ht="46" spans="1:24">
      <c r="A289" s="16" t="s">
        <v>4174</v>
      </c>
      <c r="B289" s="17" t="s">
        <v>4175</v>
      </c>
      <c r="C289" s="30" t="s">
        <v>3941</v>
      </c>
      <c r="D289" s="19" t="e">
        <f>VLOOKUP(C289,#REF!,2,0)</f>
        <v>#REF!</v>
      </c>
      <c r="E289" s="20" t="e">
        <f>VLOOKUP(D289,数据集标准分类!E:F,2,0)</f>
        <v>#REF!</v>
      </c>
      <c r="F289" s="21">
        <v>14</v>
      </c>
      <c r="G289" s="22" t="s">
        <v>3987</v>
      </c>
      <c r="H289" s="22" t="s">
        <v>5792</v>
      </c>
      <c r="I289" s="22" t="s">
        <v>5793</v>
      </c>
      <c r="J289" s="22" t="s">
        <v>3988</v>
      </c>
      <c r="K289" s="22" t="s">
        <v>3990</v>
      </c>
      <c r="L289" s="22" t="s">
        <v>3991</v>
      </c>
      <c r="M289" s="16" t="s">
        <v>5593</v>
      </c>
      <c r="N289" s="16" t="s">
        <v>5593</v>
      </c>
      <c r="O289" s="23">
        <v>13</v>
      </c>
      <c r="P289" s="24" t="e">
        <f>VLOOKUP(I289,#REF!,2,0)</f>
        <v>#REF!</v>
      </c>
      <c r="Q289" s="25"/>
      <c r="R289" s="24"/>
      <c r="S289" s="26"/>
      <c r="T289" s="24"/>
      <c r="U289" s="26"/>
      <c r="V289" s="26"/>
      <c r="W289" s="27">
        <v>287</v>
      </c>
      <c r="X289" s="28"/>
    </row>
    <row r="290" ht="31" spans="1:24">
      <c r="A290" s="16" t="s">
        <v>4174</v>
      </c>
      <c r="B290" s="17" t="s">
        <v>4175</v>
      </c>
      <c r="C290" s="30" t="s">
        <v>3941</v>
      </c>
      <c r="D290" s="19" t="e">
        <f>VLOOKUP(C290,#REF!,2,0)</f>
        <v>#REF!</v>
      </c>
      <c r="E290" s="20" t="e">
        <f>VLOOKUP(D290,数据集标准分类!E:F,2,0)</f>
        <v>#REF!</v>
      </c>
      <c r="F290" s="21">
        <v>14</v>
      </c>
      <c r="G290" s="22" t="s">
        <v>3992</v>
      </c>
      <c r="H290" s="22" t="s">
        <v>5794</v>
      </c>
      <c r="I290" s="22" t="s">
        <v>5795</v>
      </c>
      <c r="J290" s="22" t="s">
        <v>3993</v>
      </c>
      <c r="K290" s="22" t="s">
        <v>3995</v>
      </c>
      <c r="L290" s="22" t="s">
        <v>3996</v>
      </c>
      <c r="M290" s="16" t="s">
        <v>5593</v>
      </c>
      <c r="N290" s="16" t="s">
        <v>5593</v>
      </c>
      <c r="O290" s="23">
        <v>14</v>
      </c>
      <c r="P290" s="24" t="e">
        <f>VLOOKUP(I290,#REF!,2,0)</f>
        <v>#REF!</v>
      </c>
      <c r="Q290" s="25"/>
      <c r="R290" s="24"/>
      <c r="S290" s="26"/>
      <c r="T290" s="24"/>
      <c r="U290" s="26"/>
      <c r="V290" s="26"/>
      <c r="W290" s="27">
        <v>288</v>
      </c>
      <c r="X290" s="28"/>
    </row>
    <row r="291" ht="46" spans="1:24">
      <c r="A291" s="16" t="s">
        <v>4174</v>
      </c>
      <c r="B291" s="17" t="s">
        <v>4175</v>
      </c>
      <c r="C291" s="30" t="s">
        <v>3941</v>
      </c>
      <c r="D291" s="19" t="e">
        <f>VLOOKUP(C291,#REF!,2,0)</f>
        <v>#REF!</v>
      </c>
      <c r="E291" s="20" t="e">
        <f>VLOOKUP(D291,数据集标准分类!E:F,2,0)</f>
        <v>#REF!</v>
      </c>
      <c r="F291" s="21">
        <v>14</v>
      </c>
      <c r="G291" s="22" t="s">
        <v>3997</v>
      </c>
      <c r="H291" s="22" t="s">
        <v>5796</v>
      </c>
      <c r="I291" s="22" t="s">
        <v>4000</v>
      </c>
      <c r="J291" s="22" t="s">
        <v>3998</v>
      </c>
      <c r="K291" s="22" t="s">
        <v>4000</v>
      </c>
      <c r="L291" s="22" t="s">
        <v>4001</v>
      </c>
      <c r="M291" s="16" t="s">
        <v>5593</v>
      </c>
      <c r="N291" s="16" t="s">
        <v>5595</v>
      </c>
      <c r="O291" s="23">
        <v>15</v>
      </c>
      <c r="P291" s="24" t="e">
        <f>VLOOKUP(I291,#REF!,2,0)</f>
        <v>#REF!</v>
      </c>
      <c r="Q291" s="25"/>
      <c r="R291" s="24"/>
      <c r="S291" s="26"/>
      <c r="T291" s="24"/>
      <c r="U291" s="26"/>
      <c r="V291" s="26"/>
      <c r="W291" s="27">
        <v>289</v>
      </c>
      <c r="X291" s="28"/>
    </row>
    <row r="292" ht="31" spans="1:24">
      <c r="A292" s="16" t="s">
        <v>4174</v>
      </c>
      <c r="B292" s="17" t="s">
        <v>4175</v>
      </c>
      <c r="C292" s="30" t="s">
        <v>3941</v>
      </c>
      <c r="D292" s="19" t="e">
        <f>VLOOKUP(C292,#REF!,2,0)</f>
        <v>#REF!</v>
      </c>
      <c r="E292" s="20" t="e">
        <f>VLOOKUP(D292,数据集标准分类!E:F,2,0)</f>
        <v>#REF!</v>
      </c>
      <c r="F292" s="21">
        <v>14</v>
      </c>
      <c r="G292" s="22" t="s">
        <v>1828</v>
      </c>
      <c r="H292" s="22" t="s">
        <v>5759</v>
      </c>
      <c r="I292" s="22" t="s">
        <v>1831</v>
      </c>
      <c r="J292" s="22" t="s">
        <v>1829</v>
      </c>
      <c r="K292" s="22" t="s">
        <v>1831</v>
      </c>
      <c r="L292" s="22" t="s">
        <v>4002</v>
      </c>
      <c r="M292" s="16" t="s">
        <v>5593</v>
      </c>
      <c r="N292" s="16" t="s">
        <v>5595</v>
      </c>
      <c r="O292" s="23">
        <v>16</v>
      </c>
      <c r="P292" s="24" t="e">
        <f>VLOOKUP(I292,#REF!,2,0)</f>
        <v>#REF!</v>
      </c>
      <c r="Q292" s="25"/>
      <c r="R292" s="24"/>
      <c r="S292" s="26"/>
      <c r="T292" s="24"/>
      <c r="U292" s="26"/>
      <c r="V292" s="26"/>
      <c r="W292" s="27">
        <v>290</v>
      </c>
      <c r="X292" s="28"/>
    </row>
    <row r="293" ht="31" spans="1:24">
      <c r="A293" s="16" t="s">
        <v>4174</v>
      </c>
      <c r="B293" s="17" t="s">
        <v>4175</v>
      </c>
      <c r="C293" s="30" t="s">
        <v>3941</v>
      </c>
      <c r="D293" s="19" t="e">
        <f>VLOOKUP(C293,#REF!,2,0)</f>
        <v>#REF!</v>
      </c>
      <c r="E293" s="20" t="e">
        <f>VLOOKUP(D293,数据集标准分类!E:F,2,0)</f>
        <v>#REF!</v>
      </c>
      <c r="F293" s="21">
        <v>14</v>
      </c>
      <c r="G293" s="22" t="s">
        <v>4003</v>
      </c>
      <c r="H293" s="22" t="s">
        <v>5797</v>
      </c>
      <c r="I293" s="22" t="s">
        <v>5798</v>
      </c>
      <c r="J293" s="22" t="s">
        <v>4004</v>
      </c>
      <c r="K293" s="22" t="s">
        <v>4006</v>
      </c>
      <c r="L293" s="22" t="s">
        <v>4007</v>
      </c>
      <c r="M293" s="16" t="s">
        <v>5593</v>
      </c>
      <c r="N293" s="16" t="s">
        <v>5593</v>
      </c>
      <c r="O293" s="23">
        <v>17</v>
      </c>
      <c r="P293" s="24" t="e">
        <f>VLOOKUP(I293,#REF!,2,0)</f>
        <v>#REF!</v>
      </c>
      <c r="Q293" s="25"/>
      <c r="R293" s="24"/>
      <c r="S293" s="26"/>
      <c r="T293" s="24"/>
      <c r="U293" s="26"/>
      <c r="V293" s="26"/>
      <c r="W293" s="27">
        <v>291</v>
      </c>
      <c r="X293" s="28"/>
    </row>
    <row r="294" ht="31" spans="1:24">
      <c r="A294" s="16" t="s">
        <v>4174</v>
      </c>
      <c r="B294" s="17" t="s">
        <v>4175</v>
      </c>
      <c r="C294" s="30" t="s">
        <v>3941</v>
      </c>
      <c r="D294" s="19" t="e">
        <f>VLOOKUP(C294,#REF!,2,0)</f>
        <v>#REF!</v>
      </c>
      <c r="E294" s="20" t="e">
        <f>VLOOKUP(D294,数据集标准分类!E:F,2,0)</f>
        <v>#REF!</v>
      </c>
      <c r="F294" s="21">
        <v>14</v>
      </c>
      <c r="G294" s="22" t="s">
        <v>4008</v>
      </c>
      <c r="H294" s="22" t="s">
        <v>4009</v>
      </c>
      <c r="I294" s="22" t="s">
        <v>4011</v>
      </c>
      <c r="J294" s="22" t="s">
        <v>4009</v>
      </c>
      <c r="K294" s="22" t="s">
        <v>4011</v>
      </c>
      <c r="L294" s="22" t="s">
        <v>4012</v>
      </c>
      <c r="M294" s="16" t="s">
        <v>5595</v>
      </c>
      <c r="N294" s="16" t="s">
        <v>5595</v>
      </c>
      <c r="O294" s="23">
        <v>18</v>
      </c>
      <c r="P294" s="24" t="e">
        <f>VLOOKUP(I294,#REF!,2,0)</f>
        <v>#REF!</v>
      </c>
      <c r="Q294" s="25"/>
      <c r="R294" s="24"/>
      <c r="S294" s="26"/>
      <c r="T294" s="24"/>
      <c r="U294" s="26"/>
      <c r="V294" s="26"/>
      <c r="W294" s="27">
        <v>292</v>
      </c>
      <c r="X294" s="28"/>
    </row>
    <row r="295" ht="46" spans="1:24">
      <c r="A295" s="16" t="s">
        <v>4174</v>
      </c>
      <c r="B295" s="17" t="s">
        <v>4175</v>
      </c>
      <c r="C295" s="30" t="s">
        <v>3941</v>
      </c>
      <c r="D295" s="19" t="e">
        <f>VLOOKUP(C295,#REF!,2,0)</f>
        <v>#REF!</v>
      </c>
      <c r="E295" s="20" t="e">
        <f>VLOOKUP(D295,数据集标准分类!E:F,2,0)</f>
        <v>#REF!</v>
      </c>
      <c r="F295" s="21">
        <v>14</v>
      </c>
      <c r="G295" s="22" t="s">
        <v>1833</v>
      </c>
      <c r="H295" s="22" t="s">
        <v>5799</v>
      </c>
      <c r="I295" s="22" t="s">
        <v>1836</v>
      </c>
      <c r="J295" s="22" t="s">
        <v>1834</v>
      </c>
      <c r="K295" s="22" t="s">
        <v>1836</v>
      </c>
      <c r="L295" s="22" t="s">
        <v>4013</v>
      </c>
      <c r="M295" s="16" t="s">
        <v>5593</v>
      </c>
      <c r="N295" s="16" t="s">
        <v>5595</v>
      </c>
      <c r="O295" s="23">
        <v>19</v>
      </c>
      <c r="P295" s="24" t="e">
        <f>VLOOKUP(I295,#REF!,2,0)</f>
        <v>#REF!</v>
      </c>
      <c r="Q295" s="25"/>
      <c r="R295" s="24"/>
      <c r="S295" s="26"/>
      <c r="T295" s="24"/>
      <c r="U295" s="26"/>
      <c r="V295" s="26"/>
      <c r="W295" s="27">
        <v>293</v>
      </c>
      <c r="X295" s="28"/>
    </row>
    <row r="296" ht="31" spans="1:24">
      <c r="A296" s="16" t="s">
        <v>4174</v>
      </c>
      <c r="B296" s="17" t="s">
        <v>4175</v>
      </c>
      <c r="C296" s="30" t="s">
        <v>3941</v>
      </c>
      <c r="D296" s="19" t="e">
        <f>VLOOKUP(C296,#REF!,2,0)</f>
        <v>#REF!</v>
      </c>
      <c r="E296" s="20" t="e">
        <f>VLOOKUP(D296,数据集标准分类!E:F,2,0)</f>
        <v>#REF!</v>
      </c>
      <c r="F296" s="21">
        <v>14</v>
      </c>
      <c r="G296" s="22" t="s">
        <v>1796</v>
      </c>
      <c r="H296" s="22" t="s">
        <v>5800</v>
      </c>
      <c r="I296" s="22" t="s">
        <v>5801</v>
      </c>
      <c r="J296" s="22" t="s">
        <v>1797</v>
      </c>
      <c r="K296" s="22" t="s">
        <v>1799</v>
      </c>
      <c r="L296" s="22" t="s">
        <v>1800</v>
      </c>
      <c r="M296" s="16" t="s">
        <v>5593</v>
      </c>
      <c r="N296" s="16" t="s">
        <v>5593</v>
      </c>
      <c r="O296" s="23">
        <v>20</v>
      </c>
      <c r="P296" s="24" t="e">
        <f>VLOOKUP(I296,#REF!,2,0)</f>
        <v>#REF!</v>
      </c>
      <c r="Q296" s="25"/>
      <c r="R296" s="24"/>
      <c r="S296" s="26"/>
      <c r="T296" s="24"/>
      <c r="U296" s="26"/>
      <c r="V296" s="26"/>
      <c r="W296" s="27">
        <v>294</v>
      </c>
      <c r="X296" s="28"/>
    </row>
    <row r="297" spans="1:24">
      <c r="A297" s="16" t="s">
        <v>4174</v>
      </c>
      <c r="B297" s="17" t="s">
        <v>4175</v>
      </c>
      <c r="C297" s="30" t="s">
        <v>3941</v>
      </c>
      <c r="D297" s="19" t="e">
        <f>VLOOKUP(C297,#REF!,2,0)</f>
        <v>#REF!</v>
      </c>
      <c r="E297" s="20" t="e">
        <f>VLOOKUP(D297,数据集标准分类!E:F,2,0)</f>
        <v>#REF!</v>
      </c>
      <c r="F297" s="21">
        <v>14</v>
      </c>
      <c r="G297" s="22" t="s">
        <v>4014</v>
      </c>
      <c r="H297" s="22" t="s">
        <v>5802</v>
      </c>
      <c r="I297" s="22" t="s">
        <v>4017</v>
      </c>
      <c r="J297" s="22" t="s">
        <v>4015</v>
      </c>
      <c r="K297" s="22" t="s">
        <v>4017</v>
      </c>
      <c r="L297" s="22" t="s">
        <v>4018</v>
      </c>
      <c r="M297" s="16" t="s">
        <v>5593</v>
      </c>
      <c r="N297" s="16" t="s">
        <v>5595</v>
      </c>
      <c r="O297" s="23">
        <v>21</v>
      </c>
      <c r="P297" s="24" t="e">
        <f>VLOOKUP(I297,#REF!,2,0)</f>
        <v>#REF!</v>
      </c>
      <c r="Q297" s="25"/>
      <c r="R297" s="24"/>
      <c r="S297" s="26"/>
      <c r="T297" s="24"/>
      <c r="U297" s="26"/>
      <c r="V297" s="26"/>
      <c r="W297" s="27">
        <v>295</v>
      </c>
      <c r="X297" s="28"/>
    </row>
    <row r="298" spans="1:24">
      <c r="A298" s="16" t="s">
        <v>4174</v>
      </c>
      <c r="B298" s="17" t="s">
        <v>4175</v>
      </c>
      <c r="C298" s="30" t="s">
        <v>3941</v>
      </c>
      <c r="D298" s="19" t="e">
        <f>VLOOKUP(C298,#REF!,2,0)</f>
        <v>#REF!</v>
      </c>
      <c r="E298" s="20" t="e">
        <f>VLOOKUP(D298,数据集标准分类!E:F,2,0)</f>
        <v>#REF!</v>
      </c>
      <c r="F298" s="21">
        <v>14</v>
      </c>
      <c r="G298" s="22" t="s">
        <v>4019</v>
      </c>
      <c r="H298" s="22" t="s">
        <v>5803</v>
      </c>
      <c r="I298" s="22" t="s">
        <v>4022</v>
      </c>
      <c r="J298" s="22" t="s">
        <v>4020</v>
      </c>
      <c r="K298" s="22" t="s">
        <v>4022</v>
      </c>
      <c r="L298" s="22" t="s">
        <v>4023</v>
      </c>
      <c r="M298" s="16" t="s">
        <v>5593</v>
      </c>
      <c r="N298" s="16" t="s">
        <v>5595</v>
      </c>
      <c r="O298" s="23">
        <v>22</v>
      </c>
      <c r="P298" s="24" t="e">
        <f>VLOOKUP(I298,#REF!,2,0)</f>
        <v>#REF!</v>
      </c>
      <c r="Q298" s="25"/>
      <c r="R298" s="24"/>
      <c r="S298" s="26"/>
      <c r="T298" s="24"/>
      <c r="U298" s="26"/>
      <c r="V298" s="26"/>
      <c r="W298" s="27">
        <v>296</v>
      </c>
      <c r="X298" s="28"/>
    </row>
    <row r="299" ht="31" spans="1:24">
      <c r="A299" s="16" t="s">
        <v>4174</v>
      </c>
      <c r="B299" s="17" t="s">
        <v>4175</v>
      </c>
      <c r="C299" s="30" t="s">
        <v>3941</v>
      </c>
      <c r="D299" s="19" t="e">
        <f>VLOOKUP(C299,#REF!,2,0)</f>
        <v>#REF!</v>
      </c>
      <c r="E299" s="20" t="e">
        <f>VLOOKUP(D299,数据集标准分类!E:F,2,0)</f>
        <v>#REF!</v>
      </c>
      <c r="F299" s="21">
        <v>14</v>
      </c>
      <c r="G299" s="22" t="s">
        <v>1801</v>
      </c>
      <c r="H299" s="22" t="s">
        <v>5804</v>
      </c>
      <c r="I299" s="22" t="s">
        <v>1804</v>
      </c>
      <c r="J299" s="22" t="s">
        <v>1802</v>
      </c>
      <c r="K299" s="22" t="s">
        <v>1804</v>
      </c>
      <c r="L299" s="22" t="s">
        <v>1805</v>
      </c>
      <c r="M299" s="16" t="s">
        <v>5593</v>
      </c>
      <c r="N299" s="16" t="s">
        <v>5595</v>
      </c>
      <c r="O299" s="23">
        <v>23</v>
      </c>
      <c r="P299" s="24" t="e">
        <f>VLOOKUP(I299,#REF!,2,0)</f>
        <v>#REF!</v>
      </c>
      <c r="Q299" s="25"/>
      <c r="R299" s="24"/>
      <c r="S299" s="26"/>
      <c r="T299" s="24"/>
      <c r="U299" s="26"/>
      <c r="V299" s="26"/>
      <c r="W299" s="27">
        <v>297</v>
      </c>
      <c r="X299" s="28"/>
    </row>
    <row r="300" ht="31" spans="1:24">
      <c r="A300" s="16" t="s">
        <v>4174</v>
      </c>
      <c r="B300" s="17" t="s">
        <v>4175</v>
      </c>
      <c r="C300" s="30" t="s">
        <v>3941</v>
      </c>
      <c r="D300" s="19" t="e">
        <f>VLOOKUP(C300,#REF!,2,0)</f>
        <v>#REF!</v>
      </c>
      <c r="E300" s="20" t="e">
        <f>VLOOKUP(D300,数据集标准分类!E:F,2,0)</f>
        <v>#REF!</v>
      </c>
      <c r="F300" s="21">
        <v>14</v>
      </c>
      <c r="G300" s="22" t="s">
        <v>1806</v>
      </c>
      <c r="H300" s="22" t="s">
        <v>1807</v>
      </c>
      <c r="I300" s="22" t="s">
        <v>1809</v>
      </c>
      <c r="J300" s="22" t="s">
        <v>1807</v>
      </c>
      <c r="K300" s="22" t="s">
        <v>1809</v>
      </c>
      <c r="L300" s="22" t="s">
        <v>1810</v>
      </c>
      <c r="M300" s="16" t="s">
        <v>5595</v>
      </c>
      <c r="N300" s="16" t="s">
        <v>5595</v>
      </c>
      <c r="O300" s="23">
        <v>24</v>
      </c>
      <c r="P300" s="24" t="e">
        <f>VLOOKUP(I300,#REF!,2,0)</f>
        <v>#REF!</v>
      </c>
      <c r="Q300" s="25"/>
      <c r="R300" s="24"/>
      <c r="S300" s="26"/>
      <c r="T300" s="24"/>
      <c r="U300" s="26"/>
      <c r="V300" s="26"/>
      <c r="W300" s="27">
        <v>298</v>
      </c>
      <c r="X300" s="28"/>
    </row>
    <row r="301" ht="31" spans="1:24">
      <c r="A301" s="16" t="s">
        <v>4174</v>
      </c>
      <c r="B301" s="17" t="s">
        <v>4175</v>
      </c>
      <c r="C301" s="30" t="s">
        <v>3941</v>
      </c>
      <c r="D301" s="19" t="e">
        <f>VLOOKUP(C301,#REF!,2,0)</f>
        <v>#REF!</v>
      </c>
      <c r="E301" s="20" t="e">
        <f>VLOOKUP(D301,数据集标准分类!E:F,2,0)</f>
        <v>#REF!</v>
      </c>
      <c r="F301" s="21">
        <v>14</v>
      </c>
      <c r="G301" s="22" t="s">
        <v>4024</v>
      </c>
      <c r="H301" s="22" t="s">
        <v>5805</v>
      </c>
      <c r="I301" s="22" t="s">
        <v>4027</v>
      </c>
      <c r="J301" s="22" t="s">
        <v>4025</v>
      </c>
      <c r="K301" s="22" t="s">
        <v>4027</v>
      </c>
      <c r="L301" s="22" t="s">
        <v>4028</v>
      </c>
      <c r="M301" s="16" t="s">
        <v>5593</v>
      </c>
      <c r="N301" s="16" t="s">
        <v>5595</v>
      </c>
      <c r="O301" s="23">
        <v>25</v>
      </c>
      <c r="P301" s="24" t="e">
        <f>VLOOKUP(I301,#REF!,2,0)</f>
        <v>#REF!</v>
      </c>
      <c r="Q301" s="25"/>
      <c r="R301" s="24"/>
      <c r="S301" s="26"/>
      <c r="T301" s="24"/>
      <c r="U301" s="26"/>
      <c r="V301" s="26"/>
      <c r="W301" s="27">
        <v>299</v>
      </c>
      <c r="X301" s="28"/>
    </row>
    <row r="302" spans="1:24">
      <c r="A302" s="16" t="s">
        <v>4174</v>
      </c>
      <c r="B302" s="17" t="s">
        <v>4175</v>
      </c>
      <c r="C302" s="30" t="s">
        <v>3941</v>
      </c>
      <c r="D302" s="19" t="e">
        <f>VLOOKUP(C302,#REF!,2,0)</f>
        <v>#REF!</v>
      </c>
      <c r="E302" s="20" t="e">
        <f>VLOOKUP(D302,数据集标准分类!E:F,2,0)</f>
        <v>#REF!</v>
      </c>
      <c r="F302" s="21">
        <v>14</v>
      </c>
      <c r="G302" s="64" t="s">
        <v>4029</v>
      </c>
      <c r="H302" s="64" t="s">
        <v>4030</v>
      </c>
      <c r="I302" s="64" t="s">
        <v>4032</v>
      </c>
      <c r="J302" s="22" t="s">
        <v>4030</v>
      </c>
      <c r="K302" s="22" t="s">
        <v>4032</v>
      </c>
      <c r="L302" s="22" t="s">
        <v>4033</v>
      </c>
      <c r="M302" s="16" t="s">
        <v>5595</v>
      </c>
      <c r="N302" s="16" t="s">
        <v>5595</v>
      </c>
      <c r="O302" s="23">
        <v>26</v>
      </c>
      <c r="P302" s="24" t="e">
        <f>VLOOKUP(I302,#REF!,2,0)</f>
        <v>#REF!</v>
      </c>
      <c r="Q302" s="25"/>
      <c r="R302" s="24"/>
      <c r="S302" s="26"/>
      <c r="T302" s="24"/>
      <c r="U302" s="26"/>
      <c r="V302" s="26"/>
      <c r="W302" s="27">
        <v>300</v>
      </c>
      <c r="X302" s="28"/>
    </row>
    <row r="303" ht="31" spans="1:24">
      <c r="A303" s="16" t="s">
        <v>4174</v>
      </c>
      <c r="B303" s="17" t="s">
        <v>4175</v>
      </c>
      <c r="C303" s="30" t="s">
        <v>3941</v>
      </c>
      <c r="D303" s="19" t="e">
        <f>VLOOKUP(C303,#REF!,2,0)</f>
        <v>#REF!</v>
      </c>
      <c r="E303" s="20" t="e">
        <f>VLOOKUP(D303,数据集标准分类!E:F,2,0)</f>
        <v>#REF!</v>
      </c>
      <c r="F303" s="21">
        <v>14</v>
      </c>
      <c r="G303" s="22" t="s">
        <v>4034</v>
      </c>
      <c r="H303" s="22" t="s">
        <v>4035</v>
      </c>
      <c r="I303" s="22" t="s">
        <v>4037</v>
      </c>
      <c r="J303" s="22" t="s">
        <v>4035</v>
      </c>
      <c r="K303" s="22" t="s">
        <v>4037</v>
      </c>
      <c r="L303" s="22" t="s">
        <v>4038</v>
      </c>
      <c r="M303" s="16" t="s">
        <v>5595</v>
      </c>
      <c r="N303" s="16" t="s">
        <v>5595</v>
      </c>
      <c r="O303" s="23">
        <v>27</v>
      </c>
      <c r="P303" s="24" t="e">
        <f>VLOOKUP(I303,#REF!,2,0)</f>
        <v>#REF!</v>
      </c>
      <c r="Q303" s="25"/>
      <c r="R303" s="24"/>
      <c r="S303" s="26"/>
      <c r="T303" s="24"/>
      <c r="U303" s="26"/>
      <c r="V303" s="26"/>
      <c r="W303" s="27">
        <v>301</v>
      </c>
      <c r="X303" s="28"/>
    </row>
    <row r="304" ht="31" spans="1:24">
      <c r="A304" s="16" t="s">
        <v>4174</v>
      </c>
      <c r="B304" s="17" t="s">
        <v>4175</v>
      </c>
      <c r="C304" s="30" t="s">
        <v>3941</v>
      </c>
      <c r="D304" s="19" t="e">
        <f>VLOOKUP(C304,#REF!,2,0)</f>
        <v>#REF!</v>
      </c>
      <c r="E304" s="20" t="e">
        <f>VLOOKUP(D304,数据集标准分类!E:F,2,0)</f>
        <v>#REF!</v>
      </c>
      <c r="F304" s="21">
        <v>14</v>
      </c>
      <c r="G304" s="22" t="s">
        <v>4039</v>
      </c>
      <c r="H304" s="22" t="s">
        <v>5806</v>
      </c>
      <c r="I304" s="22" t="s">
        <v>5807</v>
      </c>
      <c r="J304" s="22" t="s">
        <v>4040</v>
      </c>
      <c r="K304" s="22" t="s">
        <v>4042</v>
      </c>
      <c r="L304" s="22" t="s">
        <v>4043</v>
      </c>
      <c r="M304" s="16" t="s">
        <v>5593</v>
      </c>
      <c r="N304" s="16" t="s">
        <v>5593</v>
      </c>
      <c r="O304" s="23">
        <v>28</v>
      </c>
      <c r="P304" s="24" t="e">
        <f>VLOOKUP(I304,#REF!,2,0)</f>
        <v>#REF!</v>
      </c>
      <c r="Q304" s="25"/>
      <c r="R304" s="24"/>
      <c r="S304" s="26"/>
      <c r="T304" s="24"/>
      <c r="U304" s="26"/>
      <c r="V304" s="26"/>
      <c r="W304" s="27">
        <v>302</v>
      </c>
      <c r="X304" s="28"/>
    </row>
    <row r="305" spans="1:24">
      <c r="A305" s="16" t="s">
        <v>4174</v>
      </c>
      <c r="B305" s="17" t="s">
        <v>4175</v>
      </c>
      <c r="C305" s="30" t="s">
        <v>3941</v>
      </c>
      <c r="D305" s="19" t="e">
        <f>VLOOKUP(C305,#REF!,2,0)</f>
        <v>#REF!</v>
      </c>
      <c r="E305" s="20" t="e">
        <f>VLOOKUP(D305,数据集标准分类!E:F,2,0)</f>
        <v>#REF!</v>
      </c>
      <c r="F305" s="21">
        <v>14</v>
      </c>
      <c r="G305" s="22" t="s">
        <v>4044</v>
      </c>
      <c r="H305" s="22" t="s">
        <v>4045</v>
      </c>
      <c r="I305" s="22" t="s">
        <v>4047</v>
      </c>
      <c r="J305" s="22" t="s">
        <v>4045</v>
      </c>
      <c r="K305" s="22" t="s">
        <v>4047</v>
      </c>
      <c r="L305" s="22" t="s">
        <v>4048</v>
      </c>
      <c r="M305" s="16" t="s">
        <v>5595</v>
      </c>
      <c r="N305" s="16" t="s">
        <v>5595</v>
      </c>
      <c r="O305" s="23">
        <v>29</v>
      </c>
      <c r="P305" s="24" t="e">
        <f>VLOOKUP(I305,#REF!,2,0)</f>
        <v>#REF!</v>
      </c>
      <c r="Q305" s="25"/>
      <c r="R305" s="24"/>
      <c r="S305" s="26"/>
      <c r="T305" s="24"/>
      <c r="U305" s="26"/>
      <c r="V305" s="26"/>
      <c r="W305" s="27">
        <v>303</v>
      </c>
      <c r="X305" s="28"/>
    </row>
    <row r="306" ht="31" spans="1:24">
      <c r="A306" s="16" t="s">
        <v>4174</v>
      </c>
      <c r="B306" s="17" t="s">
        <v>4175</v>
      </c>
      <c r="C306" s="30" t="s">
        <v>3941</v>
      </c>
      <c r="D306" s="19" t="e">
        <f>VLOOKUP(C306,#REF!,2,0)</f>
        <v>#REF!</v>
      </c>
      <c r="E306" s="20" t="e">
        <f>VLOOKUP(D306,数据集标准分类!E:F,2,0)</f>
        <v>#REF!</v>
      </c>
      <c r="F306" s="21">
        <v>14</v>
      </c>
      <c r="G306" s="22" t="s">
        <v>4049</v>
      </c>
      <c r="H306" s="22" t="s">
        <v>5808</v>
      </c>
      <c r="I306" s="22" t="s">
        <v>4052</v>
      </c>
      <c r="J306" s="22" t="s">
        <v>4050</v>
      </c>
      <c r="K306" s="22" t="s">
        <v>4052</v>
      </c>
      <c r="L306" s="22" t="s">
        <v>4053</v>
      </c>
      <c r="M306" s="16" t="s">
        <v>5593</v>
      </c>
      <c r="N306" s="16" t="s">
        <v>5595</v>
      </c>
      <c r="O306" s="23">
        <v>30</v>
      </c>
      <c r="P306" s="24" t="e">
        <f>VLOOKUP(I306,#REF!,2,0)</f>
        <v>#REF!</v>
      </c>
      <c r="Q306" s="25"/>
      <c r="R306" s="24"/>
      <c r="S306" s="26"/>
      <c r="T306" s="24"/>
      <c r="U306" s="26"/>
      <c r="V306" s="26"/>
      <c r="W306" s="27">
        <v>304</v>
      </c>
      <c r="X306" s="28"/>
    </row>
    <row r="307" ht="31" spans="1:24">
      <c r="A307" s="16" t="s">
        <v>4174</v>
      </c>
      <c r="B307" s="17" t="s">
        <v>4175</v>
      </c>
      <c r="C307" s="30" t="s">
        <v>3941</v>
      </c>
      <c r="D307" s="19" t="e">
        <f>VLOOKUP(C307,#REF!,2,0)</f>
        <v>#REF!</v>
      </c>
      <c r="E307" s="20" t="e">
        <f>VLOOKUP(D307,数据集标准分类!E:F,2,0)</f>
        <v>#REF!</v>
      </c>
      <c r="F307" s="21">
        <v>14</v>
      </c>
      <c r="G307" s="22" t="s">
        <v>4054</v>
      </c>
      <c r="H307" s="22" t="s">
        <v>4055</v>
      </c>
      <c r="I307" s="22" t="s">
        <v>4057</v>
      </c>
      <c r="J307" s="22" t="s">
        <v>4055</v>
      </c>
      <c r="K307" s="22" t="s">
        <v>4057</v>
      </c>
      <c r="L307" s="22" t="s">
        <v>4058</v>
      </c>
      <c r="M307" s="16" t="s">
        <v>5595</v>
      </c>
      <c r="N307" s="16" t="s">
        <v>5595</v>
      </c>
      <c r="O307" s="23">
        <v>31</v>
      </c>
      <c r="P307" s="24" t="e">
        <f>VLOOKUP(I307,#REF!,2,0)</f>
        <v>#REF!</v>
      </c>
      <c r="Q307" s="25"/>
      <c r="R307" s="24"/>
      <c r="S307" s="26"/>
      <c r="T307" s="24"/>
      <c r="U307" s="26"/>
      <c r="V307" s="26"/>
      <c r="W307" s="27">
        <v>305</v>
      </c>
      <c r="X307" s="28"/>
    </row>
    <row r="308" ht="31" spans="1:24">
      <c r="A308" s="16" t="s">
        <v>4174</v>
      </c>
      <c r="B308" s="17" t="s">
        <v>4175</v>
      </c>
      <c r="C308" s="30" t="s">
        <v>3941</v>
      </c>
      <c r="D308" s="19" t="e">
        <f>VLOOKUP(C308,#REF!,2,0)</f>
        <v>#REF!</v>
      </c>
      <c r="E308" s="20" t="e">
        <f>VLOOKUP(D308,数据集标准分类!E:F,2,0)</f>
        <v>#REF!</v>
      </c>
      <c r="F308" s="21">
        <v>14</v>
      </c>
      <c r="G308" s="22" t="s">
        <v>4059</v>
      </c>
      <c r="H308" s="22" t="s">
        <v>5809</v>
      </c>
      <c r="I308" s="22" t="s">
        <v>5810</v>
      </c>
      <c r="J308" s="22" t="s">
        <v>4060</v>
      </c>
      <c r="K308" s="22" t="s">
        <v>4062</v>
      </c>
      <c r="L308" s="22" t="s">
        <v>4063</v>
      </c>
      <c r="M308" s="16" t="s">
        <v>5593</v>
      </c>
      <c r="N308" s="16" t="s">
        <v>5593</v>
      </c>
      <c r="O308" s="23">
        <v>32</v>
      </c>
      <c r="P308" s="24" t="e">
        <f>VLOOKUP(I308,#REF!,2,0)</f>
        <v>#REF!</v>
      </c>
      <c r="Q308" s="25"/>
      <c r="R308" s="24"/>
      <c r="S308" s="26"/>
      <c r="T308" s="24"/>
      <c r="U308" s="26"/>
      <c r="V308" s="26"/>
      <c r="W308" s="27">
        <v>306</v>
      </c>
      <c r="X308" s="28"/>
    </row>
    <row r="309" spans="1:24">
      <c r="A309" s="16" t="s">
        <v>4174</v>
      </c>
      <c r="B309" s="17" t="s">
        <v>4175</v>
      </c>
      <c r="C309" s="30" t="s">
        <v>3941</v>
      </c>
      <c r="D309" s="19" t="e">
        <f>VLOOKUP(C309,#REF!,2,0)</f>
        <v>#REF!</v>
      </c>
      <c r="E309" s="20" t="e">
        <f>VLOOKUP(D309,数据集标准分类!E:F,2,0)</f>
        <v>#REF!</v>
      </c>
      <c r="F309" s="21">
        <v>14</v>
      </c>
      <c r="G309" s="22" t="s">
        <v>4064</v>
      </c>
      <c r="H309" s="22" t="s">
        <v>5811</v>
      </c>
      <c r="I309" s="22" t="s">
        <v>4067</v>
      </c>
      <c r="J309" s="22" t="s">
        <v>4065</v>
      </c>
      <c r="K309" s="22" t="s">
        <v>4067</v>
      </c>
      <c r="L309" s="22" t="s">
        <v>4068</v>
      </c>
      <c r="M309" s="16" t="s">
        <v>5593</v>
      </c>
      <c r="N309" s="16" t="s">
        <v>5595</v>
      </c>
      <c r="O309" s="23">
        <v>33</v>
      </c>
      <c r="P309" s="24" t="e">
        <f>VLOOKUP(I309,#REF!,2,0)</f>
        <v>#REF!</v>
      </c>
      <c r="Q309" s="25"/>
      <c r="R309" s="24"/>
      <c r="S309" s="26"/>
      <c r="T309" s="24"/>
      <c r="U309" s="26"/>
      <c r="V309" s="26"/>
      <c r="W309" s="27">
        <v>307</v>
      </c>
      <c r="X309" s="28"/>
    </row>
    <row r="310" ht="31" spans="1:24">
      <c r="A310" s="16" t="s">
        <v>4174</v>
      </c>
      <c r="B310" s="17" t="s">
        <v>4175</v>
      </c>
      <c r="C310" s="30" t="s">
        <v>3941</v>
      </c>
      <c r="D310" s="19" t="e">
        <f>VLOOKUP(C310,#REF!,2,0)</f>
        <v>#REF!</v>
      </c>
      <c r="E310" s="20" t="e">
        <f>VLOOKUP(D310,数据集标准分类!E:F,2,0)</f>
        <v>#REF!</v>
      </c>
      <c r="F310" s="21">
        <v>14</v>
      </c>
      <c r="G310" s="22" t="s">
        <v>4069</v>
      </c>
      <c r="H310" s="22" t="s">
        <v>5812</v>
      </c>
      <c r="I310" s="22" t="s">
        <v>4072</v>
      </c>
      <c r="J310" s="22" t="s">
        <v>4070</v>
      </c>
      <c r="K310" s="22" t="s">
        <v>4072</v>
      </c>
      <c r="L310" s="22" t="s">
        <v>4073</v>
      </c>
      <c r="M310" s="16" t="s">
        <v>5593</v>
      </c>
      <c r="N310" s="16" t="s">
        <v>5595</v>
      </c>
      <c r="O310" s="23">
        <v>34</v>
      </c>
      <c r="P310" s="24" t="e">
        <f>VLOOKUP(I310,#REF!,2,0)</f>
        <v>#REF!</v>
      </c>
      <c r="Q310" s="25"/>
      <c r="R310" s="24"/>
      <c r="S310" s="26"/>
      <c r="T310" s="24"/>
      <c r="U310" s="26"/>
      <c r="V310" s="26"/>
      <c r="W310" s="27">
        <v>308</v>
      </c>
      <c r="X310" s="28"/>
    </row>
    <row r="311" ht="46" spans="1:24">
      <c r="A311" s="16" t="s">
        <v>4174</v>
      </c>
      <c r="B311" s="17" t="s">
        <v>4175</v>
      </c>
      <c r="C311" s="30" t="s">
        <v>3941</v>
      </c>
      <c r="D311" s="19" t="e">
        <f>VLOOKUP(C311,#REF!,2,0)</f>
        <v>#REF!</v>
      </c>
      <c r="E311" s="20" t="e">
        <f>VLOOKUP(D311,数据集标准分类!E:F,2,0)</f>
        <v>#REF!</v>
      </c>
      <c r="F311" s="21">
        <v>14</v>
      </c>
      <c r="G311" s="22" t="s">
        <v>421</v>
      </c>
      <c r="H311" s="22" t="s">
        <v>5685</v>
      </c>
      <c r="I311" s="22" t="s">
        <v>424</v>
      </c>
      <c r="J311" s="22" t="s">
        <v>422</v>
      </c>
      <c r="K311" s="22" t="s">
        <v>424</v>
      </c>
      <c r="L311" s="22" t="s">
        <v>425</v>
      </c>
      <c r="M311" s="16" t="s">
        <v>5593</v>
      </c>
      <c r="N311" s="16" t="s">
        <v>5595</v>
      </c>
      <c r="O311" s="23">
        <v>35</v>
      </c>
      <c r="P311" s="24" t="e">
        <f>VLOOKUP(I311,#REF!,2,0)</f>
        <v>#REF!</v>
      </c>
      <c r="Q311" s="25"/>
      <c r="R311" s="24"/>
      <c r="S311" s="26"/>
      <c r="T311" s="24"/>
      <c r="U311" s="26"/>
      <c r="V311" s="26"/>
      <c r="W311" s="27">
        <v>309</v>
      </c>
      <c r="X311" s="28"/>
    </row>
    <row r="312" spans="1:24">
      <c r="A312" s="16" t="s">
        <v>4174</v>
      </c>
      <c r="B312" s="17" t="s">
        <v>4175</v>
      </c>
      <c r="C312" s="30" t="s">
        <v>3941</v>
      </c>
      <c r="D312" s="19" t="e">
        <f>VLOOKUP(C312,#REF!,2,0)</f>
        <v>#REF!</v>
      </c>
      <c r="E312" s="20" t="e">
        <f>VLOOKUP(D312,数据集标准分类!E:F,2,0)</f>
        <v>#REF!</v>
      </c>
      <c r="F312" s="21">
        <v>14</v>
      </c>
      <c r="G312" s="29" t="s">
        <v>2015</v>
      </c>
      <c r="H312" s="29" t="s">
        <v>2016</v>
      </c>
      <c r="I312" s="29" t="s">
        <v>5706</v>
      </c>
      <c r="J312" s="22" t="s">
        <v>2016</v>
      </c>
      <c r="K312" s="22" t="s">
        <v>2018</v>
      </c>
      <c r="L312" s="22" t="s">
        <v>4074</v>
      </c>
      <c r="M312" s="16" t="s">
        <v>5595</v>
      </c>
      <c r="N312" s="16" t="s">
        <v>5593</v>
      </c>
      <c r="O312" s="23">
        <v>36</v>
      </c>
      <c r="P312" s="24" t="e">
        <f>VLOOKUP(I312,#REF!,2,0)</f>
        <v>#REF!</v>
      </c>
      <c r="Q312" s="25"/>
      <c r="R312" s="24"/>
      <c r="S312" s="26"/>
      <c r="T312" s="24"/>
      <c r="U312" s="26"/>
      <c r="V312" s="26"/>
      <c r="W312" s="27">
        <v>310</v>
      </c>
      <c r="X312" s="28"/>
    </row>
    <row r="313" ht="31" spans="1:24">
      <c r="A313" s="16" t="s">
        <v>4174</v>
      </c>
      <c r="B313" s="17" t="s">
        <v>4175</v>
      </c>
      <c r="C313" s="30" t="s">
        <v>3941</v>
      </c>
      <c r="D313" s="19" t="e">
        <f>VLOOKUP(C313,#REF!,2,0)</f>
        <v>#REF!</v>
      </c>
      <c r="E313" s="20" t="e">
        <f>VLOOKUP(D313,数据集标准分类!E:F,2,0)</f>
        <v>#REF!</v>
      </c>
      <c r="F313" s="21">
        <v>14</v>
      </c>
      <c r="G313" s="22" t="s">
        <v>4075</v>
      </c>
      <c r="H313" s="22" t="s">
        <v>5813</v>
      </c>
      <c r="I313" s="22" t="s">
        <v>5814</v>
      </c>
      <c r="J313" s="22" t="s">
        <v>4076</v>
      </c>
      <c r="K313" s="22" t="s">
        <v>4078</v>
      </c>
      <c r="L313" s="22" t="s">
        <v>4079</v>
      </c>
      <c r="M313" s="16" t="s">
        <v>5593</v>
      </c>
      <c r="N313" s="16" t="s">
        <v>5593</v>
      </c>
      <c r="O313" s="23">
        <v>37</v>
      </c>
      <c r="P313" s="24" t="e">
        <f>VLOOKUP(I313,#REF!,2,0)</f>
        <v>#REF!</v>
      </c>
      <c r="Q313" s="25"/>
      <c r="R313" s="24"/>
      <c r="S313" s="26"/>
      <c r="T313" s="24"/>
      <c r="U313" s="26"/>
      <c r="V313" s="26"/>
      <c r="W313" s="27">
        <v>311</v>
      </c>
      <c r="X313" s="28"/>
    </row>
    <row r="314" ht="31" spans="1:24">
      <c r="A314" s="16" t="s">
        <v>4174</v>
      </c>
      <c r="B314" s="17" t="s">
        <v>4175</v>
      </c>
      <c r="C314" s="30" t="s">
        <v>3941</v>
      </c>
      <c r="D314" s="19" t="e">
        <f>VLOOKUP(C314,#REF!,2,0)</f>
        <v>#REF!</v>
      </c>
      <c r="E314" s="20" t="e">
        <f>VLOOKUP(D314,数据集标准分类!E:F,2,0)</f>
        <v>#REF!</v>
      </c>
      <c r="F314" s="21">
        <v>14</v>
      </c>
      <c r="G314" s="22" t="s">
        <v>4080</v>
      </c>
      <c r="H314" s="22" t="s">
        <v>5815</v>
      </c>
      <c r="I314" s="22" t="s">
        <v>5816</v>
      </c>
      <c r="J314" s="22" t="s">
        <v>4081</v>
      </c>
      <c r="K314" s="22" t="s">
        <v>4083</v>
      </c>
      <c r="L314" s="22" t="s">
        <v>4084</v>
      </c>
      <c r="M314" s="16" t="s">
        <v>5593</v>
      </c>
      <c r="N314" s="16" t="s">
        <v>5593</v>
      </c>
      <c r="O314" s="23">
        <v>38</v>
      </c>
      <c r="P314" s="24" t="e">
        <f>VLOOKUP(I314,#REF!,2,0)</f>
        <v>#REF!</v>
      </c>
      <c r="Q314" s="25"/>
      <c r="R314" s="24"/>
      <c r="S314" s="26"/>
      <c r="T314" s="24"/>
      <c r="U314" s="26"/>
      <c r="V314" s="26"/>
      <c r="W314" s="27">
        <v>312</v>
      </c>
      <c r="X314" s="28"/>
    </row>
    <row r="315" ht="31" spans="1:24">
      <c r="A315" s="16" t="s">
        <v>4174</v>
      </c>
      <c r="B315" s="17" t="s">
        <v>4175</v>
      </c>
      <c r="C315" s="30" t="s">
        <v>3941</v>
      </c>
      <c r="D315" s="19" t="e">
        <f>VLOOKUP(C315,#REF!,2,0)</f>
        <v>#REF!</v>
      </c>
      <c r="E315" s="20" t="e">
        <f>VLOOKUP(D315,数据集标准分类!E:F,2,0)</f>
        <v>#REF!</v>
      </c>
      <c r="F315" s="21">
        <v>14</v>
      </c>
      <c r="G315" s="22" t="s">
        <v>4085</v>
      </c>
      <c r="H315" s="22" t="s">
        <v>5817</v>
      </c>
      <c r="I315" s="22" t="s">
        <v>5818</v>
      </c>
      <c r="J315" s="22" t="s">
        <v>4086</v>
      </c>
      <c r="K315" s="22" t="s">
        <v>4088</v>
      </c>
      <c r="L315" s="22" t="s">
        <v>4089</v>
      </c>
      <c r="M315" s="16" t="s">
        <v>5593</v>
      </c>
      <c r="N315" s="16" t="s">
        <v>5593</v>
      </c>
      <c r="O315" s="23">
        <v>39</v>
      </c>
      <c r="P315" s="24" t="e">
        <f>VLOOKUP(I315,#REF!,2,0)</f>
        <v>#REF!</v>
      </c>
      <c r="Q315" s="25"/>
      <c r="R315" s="24"/>
      <c r="S315" s="26"/>
      <c r="T315" s="24"/>
      <c r="U315" s="26"/>
      <c r="V315" s="26"/>
      <c r="W315" s="27">
        <v>313</v>
      </c>
      <c r="X315" s="28"/>
    </row>
    <row r="316" ht="31" spans="1:24">
      <c r="A316" s="16" t="s">
        <v>4174</v>
      </c>
      <c r="B316" s="17" t="s">
        <v>4175</v>
      </c>
      <c r="C316" s="30" t="s">
        <v>3941</v>
      </c>
      <c r="D316" s="19" t="e">
        <f>VLOOKUP(C316,#REF!,2,0)</f>
        <v>#REF!</v>
      </c>
      <c r="E316" s="20" t="e">
        <f>VLOOKUP(D316,数据集标准分类!E:F,2,0)</f>
        <v>#REF!</v>
      </c>
      <c r="F316" s="21">
        <v>14</v>
      </c>
      <c r="G316" s="22" t="s">
        <v>4090</v>
      </c>
      <c r="H316" s="22" t="s">
        <v>5819</v>
      </c>
      <c r="I316" s="22" t="s">
        <v>4093</v>
      </c>
      <c r="J316" s="22" t="s">
        <v>4091</v>
      </c>
      <c r="K316" s="22" t="s">
        <v>4093</v>
      </c>
      <c r="L316" s="22" t="s">
        <v>4094</v>
      </c>
      <c r="M316" s="16" t="s">
        <v>5593</v>
      </c>
      <c r="N316" s="16" t="s">
        <v>5595</v>
      </c>
      <c r="O316" s="23">
        <v>40</v>
      </c>
      <c r="P316" s="24" t="e">
        <f>VLOOKUP(I316,#REF!,2,0)</f>
        <v>#REF!</v>
      </c>
      <c r="Q316" s="25"/>
      <c r="R316" s="24"/>
      <c r="S316" s="26"/>
      <c r="T316" s="24"/>
      <c r="U316" s="26"/>
      <c r="V316" s="26"/>
      <c r="W316" s="27">
        <v>314</v>
      </c>
      <c r="X316" s="28"/>
    </row>
    <row r="317" spans="1:24">
      <c r="A317" s="16" t="s">
        <v>4174</v>
      </c>
      <c r="B317" s="17" t="s">
        <v>4175</v>
      </c>
      <c r="C317" s="30" t="s">
        <v>3941</v>
      </c>
      <c r="D317" s="19" t="e">
        <f>VLOOKUP(C317,#REF!,2,0)</f>
        <v>#REF!</v>
      </c>
      <c r="E317" s="20" t="e">
        <f>VLOOKUP(D317,数据集标准分类!E:F,2,0)</f>
        <v>#REF!</v>
      </c>
      <c r="F317" s="21">
        <v>14</v>
      </c>
      <c r="G317" s="64" t="s">
        <v>4095</v>
      </c>
      <c r="H317" s="64" t="s">
        <v>5820</v>
      </c>
      <c r="I317" s="64" t="s">
        <v>4098</v>
      </c>
      <c r="J317" s="22" t="s">
        <v>4096</v>
      </c>
      <c r="K317" s="22" t="s">
        <v>4098</v>
      </c>
      <c r="L317" s="22" t="s">
        <v>4099</v>
      </c>
      <c r="M317" s="16" t="s">
        <v>5593</v>
      </c>
      <c r="N317" s="16" t="s">
        <v>5595</v>
      </c>
      <c r="O317" s="23">
        <v>41</v>
      </c>
      <c r="P317" s="24" t="e">
        <f>VLOOKUP(I317,#REF!,2,0)</f>
        <v>#REF!</v>
      </c>
      <c r="Q317" s="25"/>
      <c r="R317" s="24"/>
      <c r="S317" s="26"/>
      <c r="T317" s="24"/>
      <c r="U317" s="26"/>
      <c r="V317" s="26"/>
      <c r="W317" s="27">
        <v>315</v>
      </c>
      <c r="X317" s="28"/>
    </row>
    <row r="318" spans="1:24">
      <c r="A318" s="16" t="s">
        <v>4174</v>
      </c>
      <c r="B318" s="17" t="s">
        <v>4175</v>
      </c>
      <c r="C318" s="30" t="s">
        <v>3941</v>
      </c>
      <c r="D318" s="19" t="e">
        <f>VLOOKUP(C318,#REF!,2,0)</f>
        <v>#REF!</v>
      </c>
      <c r="E318" s="20" t="e">
        <f>VLOOKUP(D318,数据集标准分类!E:F,2,0)</f>
        <v>#REF!</v>
      </c>
      <c r="F318" s="21">
        <v>14</v>
      </c>
      <c r="G318" s="22" t="s">
        <v>4100</v>
      </c>
      <c r="H318" s="22" t="s">
        <v>5821</v>
      </c>
      <c r="I318" s="22" t="s">
        <v>4103</v>
      </c>
      <c r="J318" s="22" t="s">
        <v>4101</v>
      </c>
      <c r="K318" s="22" t="s">
        <v>4103</v>
      </c>
      <c r="L318" s="22" t="s">
        <v>4104</v>
      </c>
      <c r="M318" s="16" t="s">
        <v>5593</v>
      </c>
      <c r="N318" s="16" t="s">
        <v>5595</v>
      </c>
      <c r="O318" s="23">
        <v>42</v>
      </c>
      <c r="P318" s="24" t="e">
        <f>VLOOKUP(I318,#REF!,2,0)</f>
        <v>#REF!</v>
      </c>
      <c r="Q318" s="25"/>
      <c r="R318" s="24"/>
      <c r="S318" s="26"/>
      <c r="T318" s="24"/>
      <c r="U318" s="26"/>
      <c r="V318" s="26"/>
      <c r="W318" s="27">
        <v>316</v>
      </c>
      <c r="X318" s="28"/>
    </row>
    <row r="319" ht="31" spans="1:24">
      <c r="A319" s="16" t="s">
        <v>4174</v>
      </c>
      <c r="B319" s="17" t="s">
        <v>4175</v>
      </c>
      <c r="C319" s="30" t="s">
        <v>3941</v>
      </c>
      <c r="D319" s="19" t="e">
        <f>VLOOKUP(C319,#REF!,2,0)</f>
        <v>#REF!</v>
      </c>
      <c r="E319" s="20" t="e">
        <f>VLOOKUP(D319,数据集标准分类!E:F,2,0)</f>
        <v>#REF!</v>
      </c>
      <c r="F319" s="21">
        <v>14</v>
      </c>
      <c r="G319" s="22" t="s">
        <v>1959</v>
      </c>
      <c r="H319" s="22" t="s">
        <v>5764</v>
      </c>
      <c r="I319" s="22" t="s">
        <v>1962</v>
      </c>
      <c r="J319" s="22" t="s">
        <v>1960</v>
      </c>
      <c r="K319" s="22" t="s">
        <v>1962</v>
      </c>
      <c r="L319" s="22" t="s">
        <v>3884</v>
      </c>
      <c r="M319" s="16" t="s">
        <v>5593</v>
      </c>
      <c r="N319" s="16" t="s">
        <v>5595</v>
      </c>
      <c r="O319" s="23">
        <v>43</v>
      </c>
      <c r="P319" s="24" t="e">
        <f>VLOOKUP(I319,#REF!,2,0)</f>
        <v>#REF!</v>
      </c>
      <c r="Q319" s="25"/>
      <c r="R319" s="24"/>
      <c r="S319" s="26"/>
      <c r="T319" s="24"/>
      <c r="U319" s="26"/>
      <c r="V319" s="26"/>
      <c r="W319" s="27">
        <v>317</v>
      </c>
      <c r="X319" s="28"/>
    </row>
    <row r="320" spans="1:24">
      <c r="A320" s="16" t="s">
        <v>4174</v>
      </c>
      <c r="B320" s="17" t="s">
        <v>4175</v>
      </c>
      <c r="C320" s="30" t="s">
        <v>3941</v>
      </c>
      <c r="D320" s="19" t="e">
        <f>VLOOKUP(C320,#REF!,2,0)</f>
        <v>#REF!</v>
      </c>
      <c r="E320" s="20" t="e">
        <f>VLOOKUP(D320,数据集标准分类!E:F,2,0)</f>
        <v>#REF!</v>
      </c>
      <c r="F320" s="21">
        <v>14</v>
      </c>
      <c r="G320" s="22" t="s">
        <v>4105</v>
      </c>
      <c r="H320" s="22" t="s">
        <v>4106</v>
      </c>
      <c r="I320" s="22" t="s">
        <v>4108</v>
      </c>
      <c r="J320" s="22" t="s">
        <v>4106</v>
      </c>
      <c r="K320" s="22" t="s">
        <v>4108</v>
      </c>
      <c r="L320" s="22" t="s">
        <v>1827</v>
      </c>
      <c r="M320" s="16" t="s">
        <v>5595</v>
      </c>
      <c r="N320" s="16" t="s">
        <v>5595</v>
      </c>
      <c r="O320" s="23">
        <v>44</v>
      </c>
      <c r="P320" s="24" t="e">
        <f>VLOOKUP(I320,#REF!,2,0)</f>
        <v>#REF!</v>
      </c>
      <c r="Q320" s="25"/>
      <c r="R320" s="24"/>
      <c r="S320" s="26"/>
      <c r="T320" s="24"/>
      <c r="U320" s="26"/>
      <c r="V320" s="26"/>
      <c r="W320" s="27">
        <v>318</v>
      </c>
      <c r="X320" s="28"/>
    </row>
    <row r="321" ht="31" spans="1:32">
      <c r="A321" s="16" t="s">
        <v>4174</v>
      </c>
      <c r="B321" s="17" t="s">
        <v>4175</v>
      </c>
      <c r="C321" s="30" t="s">
        <v>3941</v>
      </c>
      <c r="D321" s="19" t="e">
        <f>VLOOKUP(C321,#REF!,2,0)</f>
        <v>#REF!</v>
      </c>
      <c r="E321" s="20" t="e">
        <f>VLOOKUP(D321,数据集标准分类!E:F,2,0)</f>
        <v>#REF!</v>
      </c>
      <c r="F321" s="21">
        <v>14</v>
      </c>
      <c r="G321" s="22" t="s">
        <v>4109</v>
      </c>
      <c r="H321" s="22" t="s">
        <v>4110</v>
      </c>
      <c r="I321" s="22" t="s">
        <v>4112</v>
      </c>
      <c r="J321" s="22" t="s">
        <v>4110</v>
      </c>
      <c r="K321" s="22" t="s">
        <v>4112</v>
      </c>
      <c r="L321" s="22" t="s">
        <v>4113</v>
      </c>
      <c r="M321" s="16" t="s">
        <v>5595</v>
      </c>
      <c r="N321" s="16" t="s">
        <v>5595</v>
      </c>
      <c r="O321" s="23">
        <v>45</v>
      </c>
      <c r="P321" s="24" t="e">
        <f>VLOOKUP(I321,#REF!,2,0)</f>
        <v>#REF!</v>
      </c>
      <c r="Q321" s="25"/>
      <c r="R321" s="24"/>
      <c r="S321" s="26"/>
      <c r="T321" s="24"/>
      <c r="U321" s="26"/>
      <c r="V321" s="26"/>
      <c r="W321" s="27">
        <v>319</v>
      </c>
      <c r="X321" s="28"/>
    </row>
    <row r="322" spans="1:32">
      <c r="A322" s="16" t="s">
        <v>4174</v>
      </c>
      <c r="B322" s="17" t="s">
        <v>4175</v>
      </c>
      <c r="C322" s="30" t="s">
        <v>3941</v>
      </c>
      <c r="D322" s="19" t="e">
        <f>VLOOKUP(C322,#REF!,2,0)</f>
        <v>#REF!</v>
      </c>
      <c r="E322" s="20" t="e">
        <f>VLOOKUP(D322,数据集标准分类!E:F,2,0)</f>
        <v>#REF!</v>
      </c>
      <c r="F322" s="21">
        <v>14</v>
      </c>
      <c r="G322" s="22" t="s">
        <v>4114</v>
      </c>
      <c r="H322" s="22" t="s">
        <v>5822</v>
      </c>
      <c r="I322" s="22" t="s">
        <v>4117</v>
      </c>
      <c r="J322" s="22" t="s">
        <v>4115</v>
      </c>
      <c r="K322" s="22" t="s">
        <v>4117</v>
      </c>
      <c r="L322" s="22" t="s">
        <v>4118</v>
      </c>
      <c r="M322" s="16" t="s">
        <v>5593</v>
      </c>
      <c r="N322" s="16" t="s">
        <v>5595</v>
      </c>
      <c r="O322" s="23">
        <v>46</v>
      </c>
      <c r="P322" s="24" t="e">
        <f>VLOOKUP(I322,#REF!,2,0)</f>
        <v>#REF!</v>
      </c>
      <c r="Q322" s="25"/>
      <c r="R322" s="24"/>
      <c r="S322" s="26"/>
      <c r="T322" s="24"/>
      <c r="U322" s="26"/>
      <c r="V322" s="26"/>
      <c r="W322" s="27">
        <v>320</v>
      </c>
      <c r="X322" s="28"/>
    </row>
    <row r="323" ht="31" spans="1:32">
      <c r="A323" s="16" t="s">
        <v>4174</v>
      </c>
      <c r="B323" s="17" t="s">
        <v>4175</v>
      </c>
      <c r="C323" s="30" t="s">
        <v>3941</v>
      </c>
      <c r="D323" s="19" t="e">
        <f>VLOOKUP(C323,#REF!,2,0)</f>
        <v>#REF!</v>
      </c>
      <c r="E323" s="20" t="e">
        <f>VLOOKUP(D323,数据集标准分类!E:F,2,0)</f>
        <v>#REF!</v>
      </c>
      <c r="F323" s="21">
        <v>14</v>
      </c>
      <c r="G323" s="22" t="s">
        <v>4119</v>
      </c>
      <c r="H323" s="22" t="s">
        <v>5823</v>
      </c>
      <c r="I323" s="22" t="s">
        <v>4122</v>
      </c>
      <c r="J323" s="22" t="s">
        <v>4120</v>
      </c>
      <c r="K323" s="22" t="s">
        <v>4122</v>
      </c>
      <c r="L323" s="22" t="s">
        <v>4123</v>
      </c>
      <c r="M323" s="16" t="s">
        <v>5593</v>
      </c>
      <c r="N323" s="16" t="s">
        <v>5595</v>
      </c>
      <c r="O323" s="23">
        <v>47</v>
      </c>
      <c r="P323" s="24" t="e">
        <f>VLOOKUP(I323,#REF!,2,0)</f>
        <v>#REF!</v>
      </c>
      <c r="Q323" s="25"/>
      <c r="R323" s="24"/>
      <c r="S323" s="26"/>
      <c r="T323" s="24"/>
      <c r="U323" s="26"/>
      <c r="V323" s="26"/>
      <c r="W323" s="27">
        <v>321</v>
      </c>
      <c r="X323" s="28"/>
    </row>
    <row r="324" ht="31" spans="1:32">
      <c r="A324" s="16" t="s">
        <v>4174</v>
      </c>
      <c r="B324" s="17" t="s">
        <v>4175</v>
      </c>
      <c r="C324" s="30" t="s">
        <v>3941</v>
      </c>
      <c r="D324" s="19" t="e">
        <f>VLOOKUP(C324,#REF!,2,0)</f>
        <v>#REF!</v>
      </c>
      <c r="E324" s="20" t="e">
        <f>VLOOKUP(D324,数据集标准分类!E:F,2,0)</f>
        <v>#REF!</v>
      </c>
      <c r="F324" s="21">
        <v>14</v>
      </c>
      <c r="G324" s="22" t="s">
        <v>1854</v>
      </c>
      <c r="H324" s="22" t="s">
        <v>5824</v>
      </c>
      <c r="I324" s="22" t="s">
        <v>5825</v>
      </c>
      <c r="J324" s="22" t="s">
        <v>1855</v>
      </c>
      <c r="K324" s="22" t="s">
        <v>1857</v>
      </c>
      <c r="L324" s="22" t="s">
        <v>1858</v>
      </c>
      <c r="M324" s="16" t="s">
        <v>5593</v>
      </c>
      <c r="N324" s="16" t="s">
        <v>5593</v>
      </c>
      <c r="O324" s="23">
        <v>48</v>
      </c>
      <c r="P324" s="24" t="e">
        <f>VLOOKUP(I324,#REF!,2,0)</f>
        <v>#REF!</v>
      </c>
      <c r="Q324" s="25"/>
      <c r="R324" s="24"/>
      <c r="S324" s="26"/>
      <c r="T324" s="24"/>
      <c r="U324" s="26"/>
      <c r="V324" s="26"/>
      <c r="W324" s="27">
        <v>322</v>
      </c>
      <c r="X324" s="28"/>
    </row>
    <row r="325" ht="31" spans="1:32">
      <c r="A325" s="50" t="s">
        <v>4174</v>
      </c>
      <c r="B325" s="51" t="s">
        <v>4175</v>
      </c>
      <c r="C325" s="52" t="s">
        <v>3941</v>
      </c>
      <c r="D325" s="53" t="e">
        <f>VLOOKUP(C325,#REF!,2,0)</f>
        <v>#REF!</v>
      </c>
      <c r="E325" s="80" t="e">
        <f>VLOOKUP(D325,数据集标准分类!E:F,2,0)</f>
        <v>#REF!</v>
      </c>
      <c r="F325" s="54">
        <v>14</v>
      </c>
      <c r="G325" s="55" t="s">
        <v>1931</v>
      </c>
      <c r="H325" s="55" t="s">
        <v>5826</v>
      </c>
      <c r="I325" s="55" t="s">
        <v>1934</v>
      </c>
      <c r="J325" s="55" t="s">
        <v>1932</v>
      </c>
      <c r="K325" s="55" t="s">
        <v>1934</v>
      </c>
      <c r="L325" s="55" t="s">
        <v>1935</v>
      </c>
      <c r="M325" s="50" t="s">
        <v>5593</v>
      </c>
      <c r="N325" s="50" t="s">
        <v>5595</v>
      </c>
      <c r="O325" s="56">
        <v>49</v>
      </c>
      <c r="P325" s="57" t="e">
        <f>VLOOKUP(I325,#REF!,2,0)</f>
        <v>#REF!</v>
      </c>
      <c r="Q325" s="81"/>
      <c r="R325" s="57"/>
      <c r="S325" s="82"/>
      <c r="T325" s="57"/>
      <c r="U325" s="82"/>
      <c r="V325" s="82" t="s">
        <v>5593</v>
      </c>
      <c r="W325" s="60">
        <v>323</v>
      </c>
      <c r="X325" s="61"/>
      <c r="Y325" s="62"/>
      <c r="Z325" s="62"/>
      <c r="AA325" s="62"/>
      <c r="AB325" s="62"/>
      <c r="AC325" s="62"/>
      <c r="AD325" s="62"/>
      <c r="AE325" s="62"/>
      <c r="AF325" s="62"/>
    </row>
    <row r="326" ht="31" spans="1:32">
      <c r="A326" s="16" t="s">
        <v>4174</v>
      </c>
      <c r="B326" s="17" t="s">
        <v>4175</v>
      </c>
      <c r="C326" s="30" t="s">
        <v>3941</v>
      </c>
      <c r="D326" s="19" t="e">
        <f>VLOOKUP(C326,#REF!,2,0)</f>
        <v>#REF!</v>
      </c>
      <c r="E326" s="20" t="e">
        <f>VLOOKUP(D326,数据集标准分类!E:F,2,0)</f>
        <v>#REF!</v>
      </c>
      <c r="F326" s="21">
        <v>14</v>
      </c>
      <c r="G326" s="65" t="s">
        <v>1936</v>
      </c>
      <c r="H326" s="65" t="s">
        <v>5827</v>
      </c>
      <c r="I326" s="65" t="s">
        <v>5828</v>
      </c>
      <c r="J326" s="22" t="s">
        <v>1937</v>
      </c>
      <c r="K326" s="22" t="s">
        <v>1939</v>
      </c>
      <c r="L326" s="22" t="s">
        <v>1940</v>
      </c>
      <c r="M326" s="16" t="s">
        <v>5593</v>
      </c>
      <c r="N326" s="16" t="s">
        <v>5593</v>
      </c>
      <c r="O326" s="23">
        <v>50</v>
      </c>
      <c r="P326" s="24" t="e">
        <f>VLOOKUP(I326,#REF!,2,0)</f>
        <v>#REF!</v>
      </c>
      <c r="Q326" s="25"/>
      <c r="R326" s="24"/>
      <c r="S326" s="26"/>
      <c r="T326" s="24"/>
      <c r="U326" s="26"/>
      <c r="V326" s="26"/>
      <c r="W326" s="27">
        <v>324</v>
      </c>
      <c r="X326" s="28"/>
    </row>
    <row r="327" ht="31" spans="1:32">
      <c r="A327" s="50" t="s">
        <v>4174</v>
      </c>
      <c r="B327" s="51" t="s">
        <v>4175</v>
      </c>
      <c r="C327" s="52" t="s">
        <v>3941</v>
      </c>
      <c r="D327" s="53" t="e">
        <f>VLOOKUP(C327,#REF!,2,0)</f>
        <v>#REF!</v>
      </c>
      <c r="E327" s="80" t="e">
        <f>VLOOKUP(D327,数据集标准分类!E:F,2,0)</f>
        <v>#REF!</v>
      </c>
      <c r="F327" s="54">
        <v>14</v>
      </c>
      <c r="G327" s="55" t="s">
        <v>1941</v>
      </c>
      <c r="H327" s="55" t="s">
        <v>5829</v>
      </c>
      <c r="I327" s="55" t="s">
        <v>1944</v>
      </c>
      <c r="J327" s="55" t="s">
        <v>1942</v>
      </c>
      <c r="K327" s="55" t="s">
        <v>1944</v>
      </c>
      <c r="L327" s="55" t="s">
        <v>1945</v>
      </c>
      <c r="M327" s="50" t="s">
        <v>5593</v>
      </c>
      <c r="N327" s="50" t="s">
        <v>5595</v>
      </c>
      <c r="O327" s="56">
        <v>51</v>
      </c>
      <c r="P327" s="57" t="e">
        <f>VLOOKUP(I327,#REF!,2,0)</f>
        <v>#REF!</v>
      </c>
      <c r="Q327" s="81"/>
      <c r="R327" s="57"/>
      <c r="S327" s="82"/>
      <c r="T327" s="57"/>
      <c r="U327" s="82"/>
      <c r="V327" s="82" t="s">
        <v>5593</v>
      </c>
      <c r="W327" s="60">
        <v>325</v>
      </c>
      <c r="X327" s="61"/>
      <c r="Y327" s="62"/>
      <c r="Z327" s="62"/>
      <c r="AA327" s="62"/>
      <c r="AB327" s="62"/>
      <c r="AC327" s="62"/>
      <c r="AD327" s="62"/>
      <c r="AE327" s="62"/>
      <c r="AF327" s="62"/>
    </row>
    <row r="328" ht="31" spans="1:32">
      <c r="A328" s="16" t="s">
        <v>4174</v>
      </c>
      <c r="B328" s="17" t="s">
        <v>4175</v>
      </c>
      <c r="C328" s="30" t="s">
        <v>3941</v>
      </c>
      <c r="D328" s="19" t="e">
        <f>VLOOKUP(C328,#REF!,2,0)</f>
        <v>#REF!</v>
      </c>
      <c r="E328" s="20" t="e">
        <f>VLOOKUP(D328,数据集标准分类!E:F,2,0)</f>
        <v>#REF!</v>
      </c>
      <c r="F328" s="21">
        <v>14</v>
      </c>
      <c r="G328" s="22" t="s">
        <v>699</v>
      </c>
      <c r="H328" s="22" t="s">
        <v>700</v>
      </c>
      <c r="I328" s="22" t="s">
        <v>701</v>
      </c>
      <c r="J328" s="22" t="s">
        <v>700</v>
      </c>
      <c r="K328" s="22" t="s">
        <v>701</v>
      </c>
      <c r="L328" s="22" t="s">
        <v>1946</v>
      </c>
      <c r="M328" s="16" t="s">
        <v>5595</v>
      </c>
      <c r="N328" s="16" t="s">
        <v>5595</v>
      </c>
      <c r="O328" s="23">
        <v>52</v>
      </c>
      <c r="P328" s="24" t="e">
        <f>VLOOKUP(I328,#REF!,2,0)</f>
        <v>#REF!</v>
      </c>
      <c r="Q328" s="25"/>
      <c r="R328" s="24"/>
      <c r="S328" s="26"/>
      <c r="T328" s="24"/>
      <c r="U328" s="26"/>
      <c r="V328" s="26"/>
      <c r="W328" s="27">
        <v>326</v>
      </c>
      <c r="X328" s="28"/>
    </row>
    <row r="329" ht="31" spans="1:32">
      <c r="A329" s="16" t="s">
        <v>4174</v>
      </c>
      <c r="B329" s="17" t="s">
        <v>4175</v>
      </c>
      <c r="C329" s="30" t="s">
        <v>3941</v>
      </c>
      <c r="D329" s="19" t="e">
        <f>VLOOKUP(C329,#REF!,2,0)</f>
        <v>#REF!</v>
      </c>
      <c r="E329" s="20" t="e">
        <f>VLOOKUP(D329,数据集标准分类!E:F,2,0)</f>
        <v>#REF!</v>
      </c>
      <c r="F329" s="21">
        <v>14</v>
      </c>
      <c r="G329" s="22" t="s">
        <v>703</v>
      </c>
      <c r="H329" s="22" t="s">
        <v>704</v>
      </c>
      <c r="I329" s="22" t="s">
        <v>705</v>
      </c>
      <c r="J329" s="22" t="s">
        <v>704</v>
      </c>
      <c r="K329" s="22" t="s">
        <v>705</v>
      </c>
      <c r="L329" s="22" t="s">
        <v>1947</v>
      </c>
      <c r="M329" s="16" t="s">
        <v>5595</v>
      </c>
      <c r="N329" s="16" t="s">
        <v>5595</v>
      </c>
      <c r="O329" s="23">
        <v>53</v>
      </c>
      <c r="P329" s="24" t="e">
        <f>VLOOKUP(I329,#REF!,2,0)</f>
        <v>#REF!</v>
      </c>
      <c r="Q329" s="25"/>
      <c r="R329" s="24"/>
      <c r="S329" s="26"/>
      <c r="T329" s="24"/>
      <c r="U329" s="26"/>
      <c r="V329" s="26"/>
      <c r="W329" s="27">
        <v>327</v>
      </c>
      <c r="X329" s="28"/>
    </row>
    <row r="330" ht="31" spans="1:32">
      <c r="A330" s="16" t="s">
        <v>4174</v>
      </c>
      <c r="B330" s="17" t="s">
        <v>4175</v>
      </c>
      <c r="C330" s="30" t="s">
        <v>3941</v>
      </c>
      <c r="D330" s="19" t="e">
        <f>VLOOKUP(C330,#REF!,2,0)</f>
        <v>#REF!</v>
      </c>
      <c r="E330" s="20" t="e">
        <f>VLOOKUP(D330,数据集标准分类!E:F,2,0)</f>
        <v>#REF!</v>
      </c>
      <c r="F330" s="21">
        <v>14</v>
      </c>
      <c r="G330" s="22" t="s">
        <v>689</v>
      </c>
      <c r="H330" s="22" t="s">
        <v>690</v>
      </c>
      <c r="I330" s="22" t="s">
        <v>692</v>
      </c>
      <c r="J330" s="22" t="s">
        <v>690</v>
      </c>
      <c r="K330" s="22" t="s">
        <v>692</v>
      </c>
      <c r="L330" s="22" t="s">
        <v>1948</v>
      </c>
      <c r="M330" s="16" t="s">
        <v>5595</v>
      </c>
      <c r="N330" s="16" t="s">
        <v>5595</v>
      </c>
      <c r="O330" s="23">
        <v>54</v>
      </c>
      <c r="P330" s="24" t="e">
        <f>VLOOKUP(I330,#REF!,2,0)</f>
        <v>#REF!</v>
      </c>
      <c r="Q330" s="25"/>
      <c r="R330" s="24"/>
      <c r="S330" s="26"/>
      <c r="T330" s="24"/>
      <c r="U330" s="26"/>
      <c r="V330" s="26"/>
      <c r="W330" s="27">
        <v>328</v>
      </c>
      <c r="X330" s="28"/>
    </row>
    <row r="331" ht="31" spans="1:32">
      <c r="A331" s="16" t="s">
        <v>4174</v>
      </c>
      <c r="B331" s="17" t="s">
        <v>4175</v>
      </c>
      <c r="C331" s="30" t="s">
        <v>3941</v>
      </c>
      <c r="D331" s="19" t="e">
        <f>VLOOKUP(C331,#REF!,2,0)</f>
        <v>#REF!</v>
      </c>
      <c r="E331" s="20" t="e">
        <f>VLOOKUP(D331,数据集标准分类!E:F,2,0)</f>
        <v>#REF!</v>
      </c>
      <c r="F331" s="21">
        <v>14</v>
      </c>
      <c r="G331" s="22" t="s">
        <v>1949</v>
      </c>
      <c r="H331" s="22" t="s">
        <v>1950</v>
      </c>
      <c r="I331" s="22" t="s">
        <v>1952</v>
      </c>
      <c r="J331" s="22" t="s">
        <v>1950</v>
      </c>
      <c r="K331" s="22" t="s">
        <v>1952</v>
      </c>
      <c r="L331" s="22" t="s">
        <v>1953</v>
      </c>
      <c r="M331" s="16" t="s">
        <v>5595</v>
      </c>
      <c r="N331" s="16" t="s">
        <v>5595</v>
      </c>
      <c r="O331" s="23">
        <v>55</v>
      </c>
      <c r="P331" s="24" t="e">
        <f>VLOOKUP(I331,#REF!,2,0)</f>
        <v>#REF!</v>
      </c>
      <c r="Q331" s="25"/>
      <c r="R331" s="24"/>
      <c r="S331" s="26"/>
      <c r="T331" s="24"/>
      <c r="U331" s="26"/>
      <c r="V331" s="26"/>
      <c r="W331" s="27">
        <v>329</v>
      </c>
      <c r="X331" s="28"/>
    </row>
    <row r="332" ht="31" spans="1:32">
      <c r="A332" s="16" t="s">
        <v>4174</v>
      </c>
      <c r="B332" s="17" t="s">
        <v>4175</v>
      </c>
      <c r="C332" s="30" t="s">
        <v>3941</v>
      </c>
      <c r="D332" s="19" t="e">
        <f>VLOOKUP(C332,#REF!,2,0)</f>
        <v>#REF!</v>
      </c>
      <c r="E332" s="20" t="e">
        <f>VLOOKUP(D332,数据集标准分类!E:F,2,0)</f>
        <v>#REF!</v>
      </c>
      <c r="F332" s="21">
        <v>14</v>
      </c>
      <c r="G332" s="22" t="s">
        <v>1954</v>
      </c>
      <c r="H332" s="22" t="s">
        <v>5830</v>
      </c>
      <c r="I332" s="22" t="s">
        <v>1957</v>
      </c>
      <c r="J332" s="22" t="s">
        <v>1955</v>
      </c>
      <c r="K332" s="22" t="s">
        <v>1957</v>
      </c>
      <c r="L332" s="22" t="s">
        <v>1958</v>
      </c>
      <c r="M332" s="16" t="s">
        <v>5593</v>
      </c>
      <c r="N332" s="16" t="s">
        <v>5595</v>
      </c>
      <c r="O332" s="23">
        <v>56</v>
      </c>
      <c r="P332" s="24" t="e">
        <f>VLOOKUP(I332,#REF!,2,0)</f>
        <v>#REF!</v>
      </c>
      <c r="Q332" s="25"/>
      <c r="R332" s="24"/>
      <c r="S332" s="26"/>
      <c r="T332" s="24"/>
      <c r="U332" s="26"/>
      <c r="V332" s="26"/>
      <c r="W332" s="27">
        <v>330</v>
      </c>
      <c r="X332" s="28"/>
    </row>
    <row r="333" ht="31" spans="1:32">
      <c r="A333" s="16" t="s">
        <v>4174</v>
      </c>
      <c r="B333" s="17" t="s">
        <v>4175</v>
      </c>
      <c r="C333" s="30" t="s">
        <v>3941</v>
      </c>
      <c r="D333" s="19" t="e">
        <f>VLOOKUP(C333,#REF!,2,0)</f>
        <v>#REF!</v>
      </c>
      <c r="E333" s="20" t="e">
        <f>VLOOKUP(D333,数据集标准分类!E:F,2,0)</f>
        <v>#REF!</v>
      </c>
      <c r="F333" s="21">
        <v>14</v>
      </c>
      <c r="G333" s="29" t="s">
        <v>4124</v>
      </c>
      <c r="H333" s="29" t="s">
        <v>5831</v>
      </c>
      <c r="I333" s="29" t="s">
        <v>4127</v>
      </c>
      <c r="J333" s="22" t="s">
        <v>4125</v>
      </c>
      <c r="K333" s="22" t="s">
        <v>4127</v>
      </c>
      <c r="L333" s="22" t="s">
        <v>1963</v>
      </c>
      <c r="M333" s="16" t="s">
        <v>5593</v>
      </c>
      <c r="N333" s="16" t="s">
        <v>5595</v>
      </c>
      <c r="O333" s="23">
        <v>57</v>
      </c>
      <c r="P333" s="24" t="e">
        <f>VLOOKUP(I333,#REF!,2,0)</f>
        <v>#REF!</v>
      </c>
      <c r="Q333" s="25"/>
      <c r="R333" s="24"/>
      <c r="S333" s="26"/>
      <c r="T333" s="24"/>
      <c r="U333" s="26"/>
      <c r="V333" s="26"/>
      <c r="W333" s="27">
        <v>331</v>
      </c>
      <c r="X333" s="28"/>
    </row>
    <row r="334" ht="46" spans="1:32">
      <c r="A334" s="16" t="s">
        <v>4174</v>
      </c>
      <c r="B334" s="17" t="s">
        <v>4175</v>
      </c>
      <c r="C334" s="30" t="s">
        <v>3941</v>
      </c>
      <c r="D334" s="19" t="e">
        <f>VLOOKUP(C334,#REF!,2,0)</f>
        <v>#REF!</v>
      </c>
      <c r="E334" s="20" t="e">
        <f>VLOOKUP(D334,数据集标准分类!E:F,2,0)</f>
        <v>#REF!</v>
      </c>
      <c r="F334" s="21">
        <v>14</v>
      </c>
      <c r="G334" s="22" t="s">
        <v>1964</v>
      </c>
      <c r="H334" s="22" t="s">
        <v>5757</v>
      </c>
      <c r="I334" s="22" t="s">
        <v>1967</v>
      </c>
      <c r="J334" s="22" t="s">
        <v>1965</v>
      </c>
      <c r="K334" s="22" t="s">
        <v>1967</v>
      </c>
      <c r="L334" s="22" t="s">
        <v>1968</v>
      </c>
      <c r="M334" s="16" t="s">
        <v>5593</v>
      </c>
      <c r="N334" s="16" t="s">
        <v>5595</v>
      </c>
      <c r="O334" s="23">
        <v>58</v>
      </c>
      <c r="P334" s="24" t="e">
        <f>VLOOKUP(I334,#REF!,2,0)</f>
        <v>#REF!</v>
      </c>
      <c r="Q334" s="25"/>
      <c r="R334" s="24"/>
      <c r="S334" s="26"/>
      <c r="T334" s="24"/>
      <c r="U334" s="26"/>
      <c r="V334" s="26"/>
      <c r="W334" s="27">
        <v>332</v>
      </c>
      <c r="X334" s="28"/>
    </row>
    <row r="335" ht="31" spans="1:32">
      <c r="A335" s="16" t="s">
        <v>4174</v>
      </c>
      <c r="B335" s="17" t="s">
        <v>4175</v>
      </c>
      <c r="C335" s="30" t="s">
        <v>3941</v>
      </c>
      <c r="D335" s="19" t="e">
        <f>VLOOKUP(C335,#REF!,2,0)</f>
        <v>#REF!</v>
      </c>
      <c r="E335" s="20" t="e">
        <f>VLOOKUP(D335,数据集标准分类!E:F,2,0)</f>
        <v>#REF!</v>
      </c>
      <c r="F335" s="21">
        <v>14</v>
      </c>
      <c r="G335" s="22" t="s">
        <v>4128</v>
      </c>
      <c r="H335" s="22" t="s">
        <v>4129</v>
      </c>
      <c r="I335" s="22" t="s">
        <v>4131</v>
      </c>
      <c r="J335" s="22" t="s">
        <v>4129</v>
      </c>
      <c r="K335" s="22" t="s">
        <v>4131</v>
      </c>
      <c r="L335" s="22" t="s">
        <v>4132</v>
      </c>
      <c r="M335" s="16" t="s">
        <v>5595</v>
      </c>
      <c r="N335" s="16" t="s">
        <v>5595</v>
      </c>
      <c r="O335" s="23">
        <v>59</v>
      </c>
      <c r="P335" s="24" t="e">
        <f>VLOOKUP(I335,#REF!,2,0)</f>
        <v>#REF!</v>
      </c>
      <c r="Q335" s="25"/>
      <c r="R335" s="24"/>
      <c r="S335" s="26"/>
      <c r="T335" s="24"/>
      <c r="U335" s="26"/>
      <c r="V335" s="26"/>
      <c r="W335" s="27">
        <v>333</v>
      </c>
      <c r="X335" s="28"/>
    </row>
    <row r="336" ht="61" spans="1:32">
      <c r="A336" s="16" t="s">
        <v>4174</v>
      </c>
      <c r="B336" s="17" t="s">
        <v>4175</v>
      </c>
      <c r="C336" s="30" t="s">
        <v>3941</v>
      </c>
      <c r="D336" s="19" t="e">
        <f>VLOOKUP(C336,#REF!,2,0)</f>
        <v>#REF!</v>
      </c>
      <c r="E336" s="20" t="e">
        <f>VLOOKUP(D336,数据集标准分类!E:F,2,0)</f>
        <v>#REF!</v>
      </c>
      <c r="F336" s="21">
        <v>14</v>
      </c>
      <c r="G336" s="22" t="s">
        <v>330</v>
      </c>
      <c r="H336" s="22" t="s">
        <v>331</v>
      </c>
      <c r="I336" s="22" t="s">
        <v>333</v>
      </c>
      <c r="J336" s="22" t="s">
        <v>331</v>
      </c>
      <c r="K336" s="22" t="s">
        <v>333</v>
      </c>
      <c r="L336" s="22" t="s">
        <v>334</v>
      </c>
      <c r="M336" s="16" t="s">
        <v>5595</v>
      </c>
      <c r="N336" s="16" t="s">
        <v>5595</v>
      </c>
      <c r="O336" s="23">
        <v>60</v>
      </c>
      <c r="P336" s="24" t="e">
        <f>VLOOKUP(I336,#REF!,2,0)</f>
        <v>#REF!</v>
      </c>
      <c r="Q336" s="25"/>
      <c r="R336" s="24"/>
      <c r="S336" s="26"/>
      <c r="T336" s="24"/>
      <c r="U336" s="26"/>
      <c r="V336" s="26"/>
      <c r="W336" s="27">
        <v>334</v>
      </c>
      <c r="X336" s="28"/>
    </row>
    <row r="337" ht="46" spans="1:24">
      <c r="A337" s="16" t="s">
        <v>4174</v>
      </c>
      <c r="B337" s="17" t="s">
        <v>4175</v>
      </c>
      <c r="C337" s="30" t="s">
        <v>3941</v>
      </c>
      <c r="D337" s="19" t="e">
        <f>VLOOKUP(C337,#REF!,2,0)</f>
        <v>#REF!</v>
      </c>
      <c r="E337" s="20" t="e">
        <f>VLOOKUP(D337,数据集标准分类!E:F,2,0)</f>
        <v>#REF!</v>
      </c>
      <c r="F337" s="21">
        <v>14</v>
      </c>
      <c r="G337" s="22" t="s">
        <v>1969</v>
      </c>
      <c r="H337" s="22" t="s">
        <v>5832</v>
      </c>
      <c r="I337" s="22" t="s">
        <v>1972</v>
      </c>
      <c r="J337" s="22" t="s">
        <v>1970</v>
      </c>
      <c r="K337" s="22" t="s">
        <v>1972</v>
      </c>
      <c r="L337" s="22" t="s">
        <v>1973</v>
      </c>
      <c r="M337" s="16" t="s">
        <v>5593</v>
      </c>
      <c r="N337" s="16" t="s">
        <v>5595</v>
      </c>
      <c r="O337" s="23">
        <v>61</v>
      </c>
      <c r="P337" s="24" t="e">
        <f>VLOOKUP(I337,#REF!,2,0)</f>
        <v>#REF!</v>
      </c>
      <c r="Q337" s="25"/>
      <c r="R337" s="24"/>
      <c r="S337" s="26"/>
      <c r="T337" s="24"/>
      <c r="U337" s="26"/>
      <c r="V337" s="26"/>
      <c r="W337" s="27">
        <v>335</v>
      </c>
      <c r="X337" s="28"/>
    </row>
    <row r="338" ht="31" spans="1:24">
      <c r="A338" s="16" t="s">
        <v>4174</v>
      </c>
      <c r="B338" s="17" t="s">
        <v>4175</v>
      </c>
      <c r="C338" s="30" t="s">
        <v>3941</v>
      </c>
      <c r="D338" s="19" t="e">
        <f>VLOOKUP(C338,#REF!,2,0)</f>
        <v>#REF!</v>
      </c>
      <c r="E338" s="20" t="e">
        <f>VLOOKUP(D338,数据集标准分类!E:F,2,0)</f>
        <v>#REF!</v>
      </c>
      <c r="F338" s="21">
        <v>14</v>
      </c>
      <c r="G338" s="22" t="s">
        <v>1974</v>
      </c>
      <c r="H338" s="22" t="s">
        <v>5833</v>
      </c>
      <c r="I338" s="22" t="s">
        <v>1977</v>
      </c>
      <c r="J338" s="22" t="s">
        <v>1975</v>
      </c>
      <c r="K338" s="22" t="s">
        <v>1977</v>
      </c>
      <c r="L338" s="22" t="s">
        <v>1978</v>
      </c>
      <c r="M338" s="16" t="s">
        <v>5593</v>
      </c>
      <c r="N338" s="16" t="s">
        <v>5595</v>
      </c>
      <c r="O338" s="23">
        <v>62</v>
      </c>
      <c r="P338" s="24" t="e">
        <f>VLOOKUP(I338,#REF!,2,0)</f>
        <v>#REF!</v>
      </c>
      <c r="Q338" s="25"/>
      <c r="R338" s="24"/>
      <c r="S338" s="26"/>
      <c r="T338" s="24"/>
      <c r="U338" s="26"/>
      <c r="V338" s="26"/>
      <c r="W338" s="27">
        <v>336</v>
      </c>
      <c r="X338" s="28"/>
    </row>
    <row r="339" spans="1:24">
      <c r="A339" s="16" t="s">
        <v>4174</v>
      </c>
      <c r="B339" s="17" t="s">
        <v>4175</v>
      </c>
      <c r="C339" s="30" t="s">
        <v>3941</v>
      </c>
      <c r="D339" s="19" t="e">
        <f>VLOOKUP(C339,#REF!,2,0)</f>
        <v>#REF!</v>
      </c>
      <c r="E339" s="20" t="e">
        <f>VLOOKUP(D339,数据集标准分类!E:F,2,0)</f>
        <v>#REF!</v>
      </c>
      <c r="F339" s="21">
        <v>14</v>
      </c>
      <c r="G339" s="22" t="s">
        <v>1979</v>
      </c>
      <c r="H339" s="22" t="s">
        <v>5834</v>
      </c>
      <c r="I339" s="22" t="s">
        <v>1982</v>
      </c>
      <c r="J339" s="22" t="s">
        <v>1980</v>
      </c>
      <c r="K339" s="22" t="s">
        <v>1982</v>
      </c>
      <c r="L339" s="22" t="s">
        <v>1983</v>
      </c>
      <c r="M339" s="16" t="s">
        <v>5593</v>
      </c>
      <c r="N339" s="16" t="s">
        <v>5595</v>
      </c>
      <c r="O339" s="23">
        <v>63</v>
      </c>
      <c r="P339" s="24" t="e">
        <f>VLOOKUP(I339,#REF!,2,0)</f>
        <v>#REF!</v>
      </c>
      <c r="Q339" s="25"/>
      <c r="R339" s="24"/>
      <c r="S339" s="26"/>
      <c r="T339" s="24"/>
      <c r="U339" s="26"/>
      <c r="V339" s="26"/>
      <c r="W339" s="27">
        <v>337</v>
      </c>
      <c r="X339" s="28"/>
    </row>
    <row r="340" ht="31" spans="1:24">
      <c r="A340" s="16" t="s">
        <v>4174</v>
      </c>
      <c r="B340" s="17" t="s">
        <v>4175</v>
      </c>
      <c r="C340" s="30" t="s">
        <v>3941</v>
      </c>
      <c r="D340" s="19" t="e">
        <f>VLOOKUP(C340,#REF!,2,0)</f>
        <v>#REF!</v>
      </c>
      <c r="E340" s="20" t="e">
        <f>VLOOKUP(D340,数据集标准分类!E:F,2,0)</f>
        <v>#REF!</v>
      </c>
      <c r="F340" s="21">
        <v>14</v>
      </c>
      <c r="G340" s="22" t="s">
        <v>1984</v>
      </c>
      <c r="H340" s="22" t="s">
        <v>5835</v>
      </c>
      <c r="I340" s="22" t="s">
        <v>1987</v>
      </c>
      <c r="J340" s="22" t="s">
        <v>1985</v>
      </c>
      <c r="K340" s="22" t="s">
        <v>1987</v>
      </c>
      <c r="L340" s="22" t="s">
        <v>1988</v>
      </c>
      <c r="M340" s="16" t="s">
        <v>5593</v>
      </c>
      <c r="N340" s="16" t="s">
        <v>5595</v>
      </c>
      <c r="O340" s="23">
        <v>64</v>
      </c>
      <c r="P340" s="24" t="e">
        <f>VLOOKUP(I340,#REF!,2,0)</f>
        <v>#REF!</v>
      </c>
      <c r="Q340" s="25"/>
      <c r="R340" s="24"/>
      <c r="S340" s="26"/>
      <c r="T340" s="24"/>
      <c r="U340" s="26"/>
      <c r="V340" s="26"/>
      <c r="W340" s="27">
        <v>338</v>
      </c>
      <c r="X340" s="28"/>
    </row>
    <row r="341" ht="61" spans="1:24">
      <c r="A341" s="16" t="s">
        <v>4174</v>
      </c>
      <c r="B341" s="17" t="s">
        <v>4175</v>
      </c>
      <c r="C341" s="30" t="s">
        <v>3941</v>
      </c>
      <c r="D341" s="19" t="e">
        <f>VLOOKUP(C341,#REF!,2,0)</f>
        <v>#REF!</v>
      </c>
      <c r="E341" s="20" t="e">
        <f>VLOOKUP(D341,数据集标准分类!E:F,2,0)</f>
        <v>#REF!</v>
      </c>
      <c r="F341" s="21">
        <v>14</v>
      </c>
      <c r="G341" s="22" t="s">
        <v>1989</v>
      </c>
      <c r="H341" s="22" t="s">
        <v>1990</v>
      </c>
      <c r="I341" s="22" t="s">
        <v>1992</v>
      </c>
      <c r="J341" s="22" t="s">
        <v>1990</v>
      </c>
      <c r="K341" s="22" t="s">
        <v>1992</v>
      </c>
      <c r="L341" s="22" t="s">
        <v>1993</v>
      </c>
      <c r="M341" s="16" t="s">
        <v>5595</v>
      </c>
      <c r="N341" s="16" t="s">
        <v>5595</v>
      </c>
      <c r="O341" s="23">
        <v>65</v>
      </c>
      <c r="P341" s="24" t="e">
        <f>VLOOKUP(I341,#REF!,2,0)</f>
        <v>#REF!</v>
      </c>
      <c r="Q341" s="25"/>
      <c r="R341" s="24"/>
      <c r="S341" s="26"/>
      <c r="T341" s="24"/>
      <c r="U341" s="26"/>
      <c r="V341" s="26"/>
      <c r="W341" s="27">
        <v>339</v>
      </c>
      <c r="X341" s="28"/>
    </row>
    <row r="342" ht="14.4" customHeight="1" spans="1:24">
      <c r="A342" s="16" t="s">
        <v>4174</v>
      </c>
      <c r="B342" s="17" t="s">
        <v>4175</v>
      </c>
      <c r="C342" s="30" t="s">
        <v>3941</v>
      </c>
      <c r="D342" s="19" t="e">
        <f>VLOOKUP(C342,#REF!,2,0)</f>
        <v>#REF!</v>
      </c>
      <c r="E342" s="20" t="e">
        <f>VLOOKUP(D342,数据集标准分类!E:F,2,0)</f>
        <v>#REF!</v>
      </c>
      <c r="F342" s="21">
        <v>14</v>
      </c>
      <c r="G342" s="22" t="s">
        <v>1994</v>
      </c>
      <c r="H342" s="22" t="s">
        <v>5836</v>
      </c>
      <c r="I342" s="22" t="s">
        <v>1997</v>
      </c>
      <c r="J342" s="22" t="s">
        <v>1995</v>
      </c>
      <c r="K342" s="22" t="s">
        <v>1997</v>
      </c>
      <c r="L342" s="22" t="s">
        <v>1998</v>
      </c>
      <c r="M342" s="16" t="s">
        <v>5593</v>
      </c>
      <c r="N342" s="16" t="s">
        <v>5595</v>
      </c>
      <c r="O342" s="23">
        <v>66</v>
      </c>
      <c r="P342" s="24" t="e">
        <f>VLOOKUP(I342,#REF!,2,0)</f>
        <v>#REF!</v>
      </c>
      <c r="Q342" s="25"/>
      <c r="R342" s="24"/>
      <c r="S342" s="26"/>
      <c r="T342" s="24"/>
      <c r="U342" s="26"/>
      <c r="V342" s="26"/>
      <c r="W342" s="27">
        <v>340</v>
      </c>
      <c r="X342" s="28"/>
    </row>
    <row r="343" ht="31" spans="1:24">
      <c r="A343" s="16" t="s">
        <v>4174</v>
      </c>
      <c r="B343" s="17" t="s">
        <v>4175</v>
      </c>
      <c r="C343" s="30" t="s">
        <v>3941</v>
      </c>
      <c r="D343" s="19" t="e">
        <f>VLOOKUP(C343,#REF!,2,0)</f>
        <v>#REF!</v>
      </c>
      <c r="E343" s="20" t="e">
        <f>VLOOKUP(D343,数据集标准分类!E:F,2,0)</f>
        <v>#REF!</v>
      </c>
      <c r="F343" s="21">
        <v>14</v>
      </c>
      <c r="G343" s="22" t="s">
        <v>1999</v>
      </c>
      <c r="H343" s="22" t="s">
        <v>5837</v>
      </c>
      <c r="I343" s="22" t="s">
        <v>2002</v>
      </c>
      <c r="J343" s="22" t="s">
        <v>2000</v>
      </c>
      <c r="K343" s="22" t="s">
        <v>2002</v>
      </c>
      <c r="L343" s="22" t="s">
        <v>2003</v>
      </c>
      <c r="M343" s="16" t="s">
        <v>5593</v>
      </c>
      <c r="N343" s="16" t="s">
        <v>5595</v>
      </c>
      <c r="O343" s="23">
        <v>67</v>
      </c>
      <c r="P343" s="24" t="e">
        <f>VLOOKUP(I343,#REF!,2,0)</f>
        <v>#REF!</v>
      </c>
      <c r="Q343" s="25"/>
      <c r="R343" s="24"/>
      <c r="S343" s="26"/>
      <c r="T343" s="24"/>
      <c r="U343" s="26"/>
      <c r="V343" s="26"/>
      <c r="W343" s="27">
        <v>341</v>
      </c>
      <c r="X343" s="28"/>
    </row>
    <row r="344" ht="31" spans="1:24">
      <c r="A344" s="16" t="s">
        <v>4174</v>
      </c>
      <c r="B344" s="17" t="s">
        <v>4175</v>
      </c>
      <c r="C344" s="30" t="s">
        <v>1790</v>
      </c>
      <c r="D344" s="19" t="e">
        <f>VLOOKUP(C344,#REF!,2,0)</f>
        <v>#REF!</v>
      </c>
      <c r="E344" s="20" t="e">
        <f>VLOOKUP(D344,数据集标准分类!E:F,2,0)</f>
        <v>#REF!</v>
      </c>
      <c r="F344" s="21">
        <v>15</v>
      </c>
      <c r="G344" s="22" t="s">
        <v>1791</v>
      </c>
      <c r="H344" s="22" t="s">
        <v>5743</v>
      </c>
      <c r="I344" s="22" t="s">
        <v>5744</v>
      </c>
      <c r="J344" s="22" t="s">
        <v>1792</v>
      </c>
      <c r="K344" s="22" t="s">
        <v>1794</v>
      </c>
      <c r="L344" s="22" t="s">
        <v>1795</v>
      </c>
      <c r="M344" s="16" t="s">
        <v>5593</v>
      </c>
      <c r="N344" s="16" t="s">
        <v>5593</v>
      </c>
      <c r="O344" s="23">
        <v>1</v>
      </c>
      <c r="P344" s="24" t="e">
        <f>VLOOKUP(I344,#REF!,2,0)</f>
        <v>#REF!</v>
      </c>
      <c r="Q344" s="25"/>
      <c r="R344" s="24"/>
      <c r="S344" s="26"/>
      <c r="T344" s="24"/>
      <c r="U344" s="26"/>
      <c r="V344" s="26"/>
      <c r="W344" s="27">
        <v>342</v>
      </c>
      <c r="X344" s="28"/>
    </row>
    <row r="345" ht="31" spans="1:24">
      <c r="A345" s="16" t="s">
        <v>4174</v>
      </c>
      <c r="B345" s="17" t="s">
        <v>4175</v>
      </c>
      <c r="C345" s="30" t="s">
        <v>1790</v>
      </c>
      <c r="D345" s="19" t="e">
        <f>VLOOKUP(C345,#REF!,2,0)</f>
        <v>#REF!</v>
      </c>
      <c r="E345" s="20" t="e">
        <f>VLOOKUP(D345,数据集标准分类!E:F,2,0)</f>
        <v>#REF!</v>
      </c>
      <c r="F345" s="21">
        <v>15</v>
      </c>
      <c r="G345" s="22" t="s">
        <v>1796</v>
      </c>
      <c r="H345" s="22" t="s">
        <v>5800</v>
      </c>
      <c r="I345" s="22" t="s">
        <v>5801</v>
      </c>
      <c r="J345" s="22" t="s">
        <v>1797</v>
      </c>
      <c r="K345" s="22" t="s">
        <v>1799</v>
      </c>
      <c r="L345" s="22" t="s">
        <v>1800</v>
      </c>
      <c r="M345" s="16" t="s">
        <v>5593</v>
      </c>
      <c r="N345" s="16" t="s">
        <v>5593</v>
      </c>
      <c r="O345" s="23">
        <v>2</v>
      </c>
      <c r="P345" s="24" t="e">
        <f>VLOOKUP(I345,#REF!,2,0)</f>
        <v>#REF!</v>
      </c>
      <c r="Q345" s="25"/>
      <c r="R345" s="24"/>
      <c r="S345" s="26"/>
      <c r="T345" s="24"/>
      <c r="U345" s="26"/>
      <c r="V345" s="26"/>
      <c r="W345" s="27">
        <v>343</v>
      </c>
      <c r="X345" s="28"/>
    </row>
    <row r="346" ht="31" spans="1:24">
      <c r="A346" s="16" t="s">
        <v>4174</v>
      </c>
      <c r="B346" s="17" t="s">
        <v>4175</v>
      </c>
      <c r="C346" s="30" t="s">
        <v>1790</v>
      </c>
      <c r="D346" s="19" t="e">
        <f>VLOOKUP(C346,#REF!,2,0)</f>
        <v>#REF!</v>
      </c>
      <c r="E346" s="20" t="e">
        <f>VLOOKUP(D346,数据集标准分类!E:F,2,0)</f>
        <v>#REF!</v>
      </c>
      <c r="F346" s="21">
        <v>15</v>
      </c>
      <c r="G346" s="22" t="s">
        <v>1801</v>
      </c>
      <c r="H346" s="22" t="s">
        <v>5804</v>
      </c>
      <c r="I346" s="22" t="s">
        <v>1804</v>
      </c>
      <c r="J346" s="22" t="s">
        <v>1802</v>
      </c>
      <c r="K346" s="22" t="s">
        <v>1804</v>
      </c>
      <c r="L346" s="22" t="s">
        <v>1805</v>
      </c>
      <c r="M346" s="16" t="s">
        <v>5593</v>
      </c>
      <c r="N346" s="16" t="s">
        <v>5595</v>
      </c>
      <c r="O346" s="23">
        <v>3</v>
      </c>
      <c r="P346" s="24" t="e">
        <f>VLOOKUP(I346,#REF!,2,0)</f>
        <v>#REF!</v>
      </c>
      <c r="Q346" s="25"/>
      <c r="R346" s="24"/>
      <c r="S346" s="26"/>
      <c r="T346" s="24"/>
      <c r="U346" s="26"/>
      <c r="V346" s="26"/>
      <c r="W346" s="27">
        <v>344</v>
      </c>
      <c r="X346" s="28"/>
    </row>
    <row r="347" ht="31" spans="1:24">
      <c r="A347" s="16" t="s">
        <v>4174</v>
      </c>
      <c r="B347" s="17" t="s">
        <v>4175</v>
      </c>
      <c r="C347" s="30" t="s">
        <v>1790</v>
      </c>
      <c r="D347" s="19" t="e">
        <f>VLOOKUP(C347,#REF!,2,0)</f>
        <v>#REF!</v>
      </c>
      <c r="E347" s="20" t="e">
        <f>VLOOKUP(D347,数据集标准分类!E:F,2,0)</f>
        <v>#REF!</v>
      </c>
      <c r="F347" s="21">
        <v>15</v>
      </c>
      <c r="G347" s="22" t="s">
        <v>1806</v>
      </c>
      <c r="H347" s="22" t="s">
        <v>1807</v>
      </c>
      <c r="I347" s="22" t="s">
        <v>1809</v>
      </c>
      <c r="J347" s="22" t="s">
        <v>1807</v>
      </c>
      <c r="K347" s="22" t="s">
        <v>1809</v>
      </c>
      <c r="L347" s="22" t="s">
        <v>1810</v>
      </c>
      <c r="M347" s="16" t="s">
        <v>5595</v>
      </c>
      <c r="N347" s="16" t="s">
        <v>5595</v>
      </c>
      <c r="O347" s="23">
        <v>4</v>
      </c>
      <c r="P347" s="24" t="e">
        <f>VLOOKUP(I347,#REF!,2,0)</f>
        <v>#REF!</v>
      </c>
      <c r="Q347" s="25"/>
      <c r="R347" s="24"/>
      <c r="S347" s="26"/>
      <c r="T347" s="24"/>
      <c r="U347" s="26"/>
      <c r="V347" s="26"/>
      <c r="W347" s="27">
        <v>345</v>
      </c>
      <c r="X347" s="28"/>
    </row>
    <row r="348" spans="1:24">
      <c r="A348" s="16" t="s">
        <v>4174</v>
      </c>
      <c r="B348" s="17" t="s">
        <v>4175</v>
      </c>
      <c r="C348" s="30" t="s">
        <v>1790</v>
      </c>
      <c r="D348" s="19" t="e">
        <f>VLOOKUP(C348,#REF!,2,0)</f>
        <v>#REF!</v>
      </c>
      <c r="E348" s="20" t="e">
        <f>VLOOKUP(D348,数据集标准分类!E:F,2,0)</f>
        <v>#REF!</v>
      </c>
      <c r="F348" s="21">
        <v>15</v>
      </c>
      <c r="G348" s="22" t="s">
        <v>1811</v>
      </c>
      <c r="H348" s="22" t="s">
        <v>5838</v>
      </c>
      <c r="I348" s="22" t="s">
        <v>1814</v>
      </c>
      <c r="J348" s="22" t="s">
        <v>1812</v>
      </c>
      <c r="K348" s="22" t="s">
        <v>1814</v>
      </c>
      <c r="L348" s="22" t="s">
        <v>1815</v>
      </c>
      <c r="M348" s="16" t="s">
        <v>5593</v>
      </c>
      <c r="N348" s="16" t="s">
        <v>5595</v>
      </c>
      <c r="O348" s="23">
        <v>5</v>
      </c>
      <c r="P348" s="24" t="e">
        <f>VLOOKUP(I348,#REF!,2,0)</f>
        <v>#REF!</v>
      </c>
      <c r="Q348" s="25"/>
      <c r="R348" s="24"/>
      <c r="S348" s="26"/>
      <c r="T348" s="24"/>
      <c r="U348" s="26"/>
      <c r="V348" s="26"/>
      <c r="W348" s="27">
        <v>346</v>
      </c>
      <c r="X348" s="28"/>
    </row>
    <row r="349" ht="31" spans="1:24">
      <c r="A349" s="16" t="s">
        <v>4174</v>
      </c>
      <c r="B349" s="17" t="s">
        <v>4175</v>
      </c>
      <c r="C349" s="30" t="s">
        <v>1790</v>
      </c>
      <c r="D349" s="19" t="e">
        <f>VLOOKUP(C349,#REF!,2,0)</f>
        <v>#REF!</v>
      </c>
      <c r="E349" s="20" t="e">
        <f>VLOOKUP(D349,数据集标准分类!E:F,2,0)</f>
        <v>#REF!</v>
      </c>
      <c r="F349" s="21">
        <v>15</v>
      </c>
      <c r="G349" s="22" t="s">
        <v>1678</v>
      </c>
      <c r="H349" s="22" t="s">
        <v>5839</v>
      </c>
      <c r="I349" s="22" t="s">
        <v>1681</v>
      </c>
      <c r="J349" s="22" t="s">
        <v>1679</v>
      </c>
      <c r="K349" s="22" t="s">
        <v>1681</v>
      </c>
      <c r="L349" s="22" t="s">
        <v>1735</v>
      </c>
      <c r="M349" s="16" t="s">
        <v>5593</v>
      </c>
      <c r="N349" s="16" t="s">
        <v>5595</v>
      </c>
      <c r="O349" s="23">
        <v>6</v>
      </c>
      <c r="P349" s="24" t="e">
        <f>VLOOKUP(I349,#REF!,2,0)</f>
        <v>#REF!</v>
      </c>
      <c r="Q349" s="25"/>
      <c r="R349" s="24"/>
      <c r="S349" s="26"/>
      <c r="T349" s="24"/>
      <c r="U349" s="26"/>
      <c r="V349" s="26"/>
      <c r="W349" s="27">
        <v>347</v>
      </c>
      <c r="X349" s="28"/>
    </row>
    <row r="350" ht="46" spans="1:24">
      <c r="A350" s="16" t="s">
        <v>4174</v>
      </c>
      <c r="B350" s="17" t="s">
        <v>4175</v>
      </c>
      <c r="C350" s="30" t="s">
        <v>1790</v>
      </c>
      <c r="D350" s="19" t="e">
        <f>VLOOKUP(C350,#REF!,2,0)</f>
        <v>#REF!</v>
      </c>
      <c r="E350" s="20" t="e">
        <f>VLOOKUP(D350,数据集标准分类!E:F,2,0)</f>
        <v>#REF!</v>
      </c>
      <c r="F350" s="21">
        <v>15</v>
      </c>
      <c r="G350" s="22" t="s">
        <v>192</v>
      </c>
      <c r="H350" s="22" t="s">
        <v>5630</v>
      </c>
      <c r="I350" s="22" t="s">
        <v>5631</v>
      </c>
      <c r="J350" s="22" t="s">
        <v>193</v>
      </c>
      <c r="K350" s="22" t="s">
        <v>195</v>
      </c>
      <c r="L350" s="22" t="s">
        <v>385</v>
      </c>
      <c r="M350" s="16" t="s">
        <v>5593</v>
      </c>
      <c r="N350" s="16" t="s">
        <v>5593</v>
      </c>
      <c r="O350" s="23">
        <v>7</v>
      </c>
      <c r="P350" s="24" t="e">
        <f>VLOOKUP(I350,#REF!,2,0)</f>
        <v>#REF!</v>
      </c>
      <c r="Q350" s="25"/>
      <c r="R350" s="24"/>
      <c r="S350" s="26"/>
      <c r="T350" s="24"/>
      <c r="U350" s="26"/>
      <c r="V350" s="26"/>
      <c r="W350" s="27">
        <v>348</v>
      </c>
      <c r="X350" s="28"/>
    </row>
    <row r="351" ht="46" spans="1:24">
      <c r="A351" s="16" t="s">
        <v>4174</v>
      </c>
      <c r="B351" s="17" t="s">
        <v>4175</v>
      </c>
      <c r="C351" s="30" t="s">
        <v>1790</v>
      </c>
      <c r="D351" s="19" t="e">
        <f>VLOOKUP(C351,#REF!,2,0)</f>
        <v>#REF!</v>
      </c>
      <c r="E351" s="20" t="e">
        <f>VLOOKUP(D351,数据集标准分类!E:F,2,0)</f>
        <v>#REF!</v>
      </c>
      <c r="F351" s="21">
        <v>15</v>
      </c>
      <c r="G351" s="22" t="s">
        <v>1430</v>
      </c>
      <c r="H351" s="22" t="s">
        <v>5643</v>
      </c>
      <c r="I351" s="22" t="s">
        <v>5644</v>
      </c>
      <c r="J351" s="22" t="s">
        <v>1431</v>
      </c>
      <c r="K351" s="22" t="s">
        <v>1433</v>
      </c>
      <c r="L351" s="22" t="s">
        <v>1596</v>
      </c>
      <c r="M351" s="16" t="s">
        <v>5593</v>
      </c>
      <c r="N351" s="16" t="s">
        <v>5593</v>
      </c>
      <c r="O351" s="23">
        <v>8</v>
      </c>
      <c r="P351" s="24" t="e">
        <f>VLOOKUP(I351,#REF!,2,0)</f>
        <v>#REF!</v>
      </c>
      <c r="Q351" s="25"/>
      <c r="R351" s="24"/>
      <c r="S351" s="26"/>
      <c r="T351" s="24"/>
      <c r="U351" s="26"/>
      <c r="V351" s="26"/>
      <c r="W351" s="27">
        <v>349</v>
      </c>
      <c r="X351" s="28"/>
    </row>
    <row r="352" ht="46" spans="1:24">
      <c r="A352" s="16" t="s">
        <v>4174</v>
      </c>
      <c r="B352" s="17" t="s">
        <v>4175</v>
      </c>
      <c r="C352" s="30" t="s">
        <v>1790</v>
      </c>
      <c r="D352" s="19" t="e">
        <f>VLOOKUP(C352,#REF!,2,0)</f>
        <v>#REF!</v>
      </c>
      <c r="E352" s="20" t="e">
        <f>VLOOKUP(D352,数据集标准分类!E:F,2,0)</f>
        <v>#REF!</v>
      </c>
      <c r="F352" s="21">
        <v>15</v>
      </c>
      <c r="G352" s="22" t="s">
        <v>421</v>
      </c>
      <c r="H352" s="22" t="s">
        <v>5685</v>
      </c>
      <c r="I352" s="22" t="s">
        <v>424</v>
      </c>
      <c r="J352" s="22" t="s">
        <v>422</v>
      </c>
      <c r="K352" s="22" t="s">
        <v>424</v>
      </c>
      <c r="L352" s="22" t="s">
        <v>425</v>
      </c>
      <c r="M352" s="16" t="s">
        <v>5593</v>
      </c>
      <c r="N352" s="16" t="s">
        <v>5595</v>
      </c>
      <c r="O352" s="23">
        <v>9</v>
      </c>
      <c r="P352" s="24" t="e">
        <f>VLOOKUP(I352,#REF!,2,0)</f>
        <v>#REF!</v>
      </c>
      <c r="Q352" s="25"/>
      <c r="R352" s="24"/>
      <c r="S352" s="26"/>
      <c r="T352" s="24"/>
      <c r="U352" s="26"/>
      <c r="V352" s="26"/>
      <c r="W352" s="27">
        <v>350</v>
      </c>
      <c r="X352" s="28"/>
    </row>
    <row r="353" spans="1:32">
      <c r="A353" s="16" t="s">
        <v>4174</v>
      </c>
      <c r="B353" s="17" t="s">
        <v>4175</v>
      </c>
      <c r="C353" s="30" t="s">
        <v>1790</v>
      </c>
      <c r="D353" s="19" t="e">
        <f>VLOOKUP(C353,#REF!,2,0)</f>
        <v>#REF!</v>
      </c>
      <c r="E353" s="20" t="e">
        <f>VLOOKUP(D353,数据集标准分类!E:F,2,0)</f>
        <v>#REF!</v>
      </c>
      <c r="F353" s="21">
        <v>15</v>
      </c>
      <c r="G353" s="22" t="s">
        <v>1816</v>
      </c>
      <c r="H353" s="22" t="s">
        <v>5707</v>
      </c>
      <c r="I353" s="22" t="s">
        <v>1819</v>
      </c>
      <c r="J353" s="22" t="s">
        <v>1817</v>
      </c>
      <c r="K353" s="22" t="s">
        <v>1819</v>
      </c>
      <c r="L353" s="22" t="s">
        <v>1820</v>
      </c>
      <c r="M353" s="16" t="s">
        <v>5593</v>
      </c>
      <c r="N353" s="16" t="s">
        <v>5595</v>
      </c>
      <c r="O353" s="23">
        <v>10</v>
      </c>
      <c r="P353" s="24" t="e">
        <f>VLOOKUP(I353,#REF!,2,0)</f>
        <v>#REF!</v>
      </c>
      <c r="Q353" s="25"/>
      <c r="R353" s="24"/>
      <c r="S353" s="26"/>
      <c r="T353" s="24"/>
      <c r="U353" s="26"/>
      <c r="V353" s="26"/>
      <c r="W353" s="27">
        <v>351</v>
      </c>
      <c r="X353" s="28"/>
    </row>
    <row r="354" spans="1:32">
      <c r="A354" s="16" t="s">
        <v>4174</v>
      </c>
      <c r="B354" s="17" t="s">
        <v>4175</v>
      </c>
      <c r="C354" s="30" t="s">
        <v>1790</v>
      </c>
      <c r="D354" s="19" t="e">
        <f>VLOOKUP(C354,#REF!,2,0)</f>
        <v>#REF!</v>
      </c>
      <c r="E354" s="20" t="e">
        <f>VLOOKUP(D354,数据集标准分类!E:F,2,0)</f>
        <v>#REF!</v>
      </c>
      <c r="F354" s="21">
        <v>15</v>
      </c>
      <c r="G354" s="22" t="s">
        <v>1682</v>
      </c>
      <c r="H354" s="22" t="s">
        <v>5718</v>
      </c>
      <c r="I354" s="22" t="s">
        <v>1685</v>
      </c>
      <c r="J354" s="22" t="s">
        <v>1683</v>
      </c>
      <c r="K354" s="22" t="s">
        <v>1685</v>
      </c>
      <c r="L354" s="22" t="s">
        <v>1821</v>
      </c>
      <c r="M354" s="16" t="s">
        <v>5593</v>
      </c>
      <c r="N354" s="16" t="s">
        <v>5595</v>
      </c>
      <c r="O354" s="23">
        <v>11</v>
      </c>
      <c r="P354" s="24" t="e">
        <f>VLOOKUP(I354,#REF!,2,0)</f>
        <v>#REF!</v>
      </c>
      <c r="Q354" s="25"/>
      <c r="R354" s="24"/>
      <c r="S354" s="26"/>
      <c r="T354" s="24"/>
      <c r="U354" s="26"/>
      <c r="V354" s="26"/>
      <c r="W354" s="27">
        <v>352</v>
      </c>
      <c r="X354" s="28"/>
    </row>
    <row r="355" ht="76" spans="1:32">
      <c r="A355" s="16" t="s">
        <v>4174</v>
      </c>
      <c r="B355" s="17" t="s">
        <v>4175</v>
      </c>
      <c r="C355" s="30" t="s">
        <v>1790</v>
      </c>
      <c r="D355" s="19" t="e">
        <f>VLOOKUP(C355,#REF!,2,0)</f>
        <v>#REF!</v>
      </c>
      <c r="E355" s="20" t="e">
        <f>VLOOKUP(D355,数据集标准分类!E:F,2,0)</f>
        <v>#REF!</v>
      </c>
      <c r="F355" s="21">
        <v>15</v>
      </c>
      <c r="G355" s="22" t="s">
        <v>1435</v>
      </c>
      <c r="H355" s="22" t="s">
        <v>5666</v>
      </c>
      <c r="I355" s="22" t="s">
        <v>1438</v>
      </c>
      <c r="J355" s="22" t="s">
        <v>1436</v>
      </c>
      <c r="K355" s="22" t="s">
        <v>1438</v>
      </c>
      <c r="L355" s="22" t="s">
        <v>1822</v>
      </c>
      <c r="M355" s="16" t="s">
        <v>5593</v>
      </c>
      <c r="N355" s="16" t="s">
        <v>5595</v>
      </c>
      <c r="O355" s="23">
        <v>12</v>
      </c>
      <c r="P355" s="24" t="e">
        <f>VLOOKUP(I355,#REF!,2,0)</f>
        <v>#REF!</v>
      </c>
      <c r="Q355" s="25"/>
      <c r="R355" s="24"/>
      <c r="S355" s="26"/>
      <c r="T355" s="24"/>
      <c r="U355" s="26"/>
      <c r="V355" s="26"/>
      <c r="W355" s="27">
        <v>353</v>
      </c>
      <c r="X355" s="28"/>
    </row>
    <row r="356" ht="31" spans="1:32">
      <c r="A356" s="16" t="s">
        <v>4174</v>
      </c>
      <c r="B356" s="17" t="s">
        <v>4175</v>
      </c>
      <c r="C356" s="30" t="s">
        <v>1790</v>
      </c>
      <c r="D356" s="19" t="e">
        <f>VLOOKUP(C356,#REF!,2,0)</f>
        <v>#REF!</v>
      </c>
      <c r="E356" s="20" t="e">
        <f>VLOOKUP(D356,数据集标准分类!E:F,2,0)</f>
        <v>#REF!</v>
      </c>
      <c r="F356" s="21">
        <v>15</v>
      </c>
      <c r="G356" s="29" t="s">
        <v>1823</v>
      </c>
      <c r="H356" s="29" t="s">
        <v>5840</v>
      </c>
      <c r="I356" s="29" t="s">
        <v>1826</v>
      </c>
      <c r="J356" s="22" t="s">
        <v>1824</v>
      </c>
      <c r="K356" s="22" t="s">
        <v>1826</v>
      </c>
      <c r="L356" s="22" t="s">
        <v>1827</v>
      </c>
      <c r="M356" s="16" t="s">
        <v>5593</v>
      </c>
      <c r="N356" s="16" t="s">
        <v>5595</v>
      </c>
      <c r="O356" s="23">
        <v>13</v>
      </c>
      <c r="P356" s="24" t="e">
        <f>VLOOKUP(I356,#REF!,2,0)</f>
        <v>#REF!</v>
      </c>
      <c r="Q356" s="25"/>
      <c r="R356" s="24"/>
      <c r="S356" s="26"/>
      <c r="T356" s="24"/>
      <c r="U356" s="26"/>
      <c r="V356" s="26"/>
      <c r="W356" s="27">
        <v>354</v>
      </c>
      <c r="X356" s="28"/>
    </row>
    <row r="357" ht="31" spans="1:32">
      <c r="A357" s="16" t="s">
        <v>4174</v>
      </c>
      <c r="B357" s="17" t="s">
        <v>4175</v>
      </c>
      <c r="C357" s="30" t="s">
        <v>1790</v>
      </c>
      <c r="D357" s="19" t="e">
        <f>VLOOKUP(C357,#REF!,2,0)</f>
        <v>#REF!</v>
      </c>
      <c r="E357" s="20" t="e">
        <f>VLOOKUP(D357,数据集标准分类!E:F,2,0)</f>
        <v>#REF!</v>
      </c>
      <c r="F357" s="21">
        <v>15</v>
      </c>
      <c r="G357" s="22" t="s">
        <v>1828</v>
      </c>
      <c r="H357" s="22" t="s">
        <v>5759</v>
      </c>
      <c r="I357" s="22" t="s">
        <v>1831</v>
      </c>
      <c r="J357" s="22" t="s">
        <v>1829</v>
      </c>
      <c r="K357" s="22" t="s">
        <v>1831</v>
      </c>
      <c r="L357" s="22" t="s">
        <v>1832</v>
      </c>
      <c r="M357" s="16" t="s">
        <v>5593</v>
      </c>
      <c r="N357" s="16" t="s">
        <v>5595</v>
      </c>
      <c r="O357" s="23">
        <v>14</v>
      </c>
      <c r="P357" s="24" t="e">
        <f>VLOOKUP(I357,#REF!,2,0)</f>
        <v>#REF!</v>
      </c>
      <c r="Q357" s="25"/>
      <c r="R357" s="24"/>
      <c r="S357" s="26"/>
      <c r="T357" s="24"/>
      <c r="U357" s="26"/>
      <c r="V357" s="26"/>
      <c r="W357" s="27">
        <v>355</v>
      </c>
      <c r="X357" s="28"/>
    </row>
    <row r="358" spans="1:32">
      <c r="A358" s="16" t="s">
        <v>4174</v>
      </c>
      <c r="B358" s="17" t="s">
        <v>4175</v>
      </c>
      <c r="C358" s="30" t="s">
        <v>1790</v>
      </c>
      <c r="D358" s="19" t="e">
        <f>VLOOKUP(C358,#REF!,2,0)</f>
        <v>#REF!</v>
      </c>
      <c r="E358" s="20" t="e">
        <f>VLOOKUP(D358,数据集标准分类!E:F,2,0)</f>
        <v>#REF!</v>
      </c>
      <c r="F358" s="21">
        <v>15</v>
      </c>
      <c r="G358" s="22" t="s">
        <v>1833</v>
      </c>
      <c r="H358" s="22" t="s">
        <v>5799</v>
      </c>
      <c r="I358" s="22" t="s">
        <v>1836</v>
      </c>
      <c r="J358" s="22" t="s">
        <v>1834</v>
      </c>
      <c r="K358" s="22" t="s">
        <v>1836</v>
      </c>
      <c r="L358" s="22" t="s">
        <v>1837</v>
      </c>
      <c r="M358" s="16" t="s">
        <v>5593</v>
      </c>
      <c r="N358" s="16" t="s">
        <v>5595</v>
      </c>
      <c r="O358" s="23">
        <v>15</v>
      </c>
      <c r="P358" s="24" t="e">
        <f>VLOOKUP(I358,#REF!,2,0)</f>
        <v>#REF!</v>
      </c>
      <c r="Q358" s="25"/>
      <c r="R358" s="24"/>
      <c r="S358" s="26"/>
      <c r="T358" s="24"/>
      <c r="U358" s="26"/>
      <c r="V358" s="26"/>
      <c r="W358" s="27">
        <v>356</v>
      </c>
      <c r="X358" s="28"/>
    </row>
    <row r="359" spans="1:32">
      <c r="A359" s="16" t="s">
        <v>4174</v>
      </c>
      <c r="B359" s="17" t="s">
        <v>4175</v>
      </c>
      <c r="C359" s="30" t="s">
        <v>1790</v>
      </c>
      <c r="D359" s="19" t="e">
        <f>VLOOKUP(C359,#REF!,2,0)</f>
        <v>#REF!</v>
      </c>
      <c r="E359" s="20" t="e">
        <f>VLOOKUP(D359,数据集标准分类!E:F,2,0)</f>
        <v>#REF!</v>
      </c>
      <c r="F359" s="21">
        <v>15</v>
      </c>
      <c r="G359" s="22" t="s">
        <v>1838</v>
      </c>
      <c r="H359" s="22" t="s">
        <v>5841</v>
      </c>
      <c r="I359" s="22" t="s">
        <v>1841</v>
      </c>
      <c r="J359" s="22" t="s">
        <v>1839</v>
      </c>
      <c r="K359" s="22" t="s">
        <v>1841</v>
      </c>
      <c r="L359" s="22" t="s">
        <v>1842</v>
      </c>
      <c r="M359" s="16" t="s">
        <v>5593</v>
      </c>
      <c r="N359" s="16" t="s">
        <v>5595</v>
      </c>
      <c r="O359" s="23">
        <v>16</v>
      </c>
      <c r="P359" s="24" t="e">
        <f>VLOOKUP(I359,#REF!,2,0)</f>
        <v>#REF!</v>
      </c>
      <c r="Q359" s="25"/>
      <c r="R359" s="24"/>
      <c r="S359" s="26"/>
      <c r="T359" s="24"/>
      <c r="U359" s="26"/>
      <c r="V359" s="26"/>
      <c r="W359" s="27">
        <v>357</v>
      </c>
      <c r="X359" s="28"/>
    </row>
    <row r="360" ht="31" spans="1:32">
      <c r="A360" s="16" t="s">
        <v>4174</v>
      </c>
      <c r="B360" s="17" t="s">
        <v>4175</v>
      </c>
      <c r="C360" s="30" t="s">
        <v>1790</v>
      </c>
      <c r="D360" s="19" t="e">
        <f>VLOOKUP(C360,#REF!,2,0)</f>
        <v>#REF!</v>
      </c>
      <c r="E360" s="20" t="e">
        <f>VLOOKUP(D360,数据集标准分类!E:F,2,0)</f>
        <v>#REF!</v>
      </c>
      <c r="F360" s="21">
        <v>15</v>
      </c>
      <c r="G360" s="22" t="s">
        <v>1838</v>
      </c>
      <c r="H360" s="22" t="s">
        <v>5842</v>
      </c>
      <c r="I360" s="22" t="s">
        <v>5843</v>
      </c>
      <c r="J360" s="22" t="s">
        <v>1839</v>
      </c>
      <c r="K360" s="22" t="s">
        <v>1841</v>
      </c>
      <c r="L360" s="22" t="s">
        <v>1843</v>
      </c>
      <c r="M360" s="16" t="s">
        <v>5593</v>
      </c>
      <c r="N360" s="16" t="s">
        <v>5593</v>
      </c>
      <c r="O360" s="23">
        <v>17</v>
      </c>
      <c r="P360" s="24" t="e">
        <f>VLOOKUP(I360,#REF!,2,0)</f>
        <v>#REF!</v>
      </c>
      <c r="Q360" s="25"/>
      <c r="R360" s="24"/>
      <c r="S360" s="26"/>
      <c r="T360" s="24"/>
      <c r="U360" s="26"/>
      <c r="V360" s="26"/>
      <c r="W360" s="27">
        <v>358</v>
      </c>
      <c r="X360" s="28"/>
    </row>
    <row r="361" ht="31" spans="1:32">
      <c r="A361" s="31" t="s">
        <v>4174</v>
      </c>
      <c r="B361" s="32" t="s">
        <v>4175</v>
      </c>
      <c r="C361" s="33" t="s">
        <v>1790</v>
      </c>
      <c r="D361" s="34" t="e">
        <f>VLOOKUP(C361,#REF!,2,0)</f>
        <v>#REF!</v>
      </c>
      <c r="E361" s="35" t="e">
        <f>VLOOKUP(D361,数据集标准分类!E:F,2,0)</f>
        <v>#REF!</v>
      </c>
      <c r="F361" s="36">
        <v>15</v>
      </c>
      <c r="G361" s="37" t="s">
        <v>1844</v>
      </c>
      <c r="H361" s="37" t="s">
        <v>5844</v>
      </c>
      <c r="I361" s="37" t="s">
        <v>5845</v>
      </c>
      <c r="J361" s="37" t="s">
        <v>1845</v>
      </c>
      <c r="K361" s="37" t="s">
        <v>1847</v>
      </c>
      <c r="L361" s="37" t="s">
        <v>1848</v>
      </c>
      <c r="M361" s="31" t="s">
        <v>5593</v>
      </c>
      <c r="N361" s="31" t="s">
        <v>5593</v>
      </c>
      <c r="O361" s="38">
        <v>18</v>
      </c>
      <c r="P361" s="39" t="e">
        <f>VLOOKUP(I361,#REF!,2,0)</f>
        <v>#REF!</v>
      </c>
      <c r="Q361" s="40"/>
      <c r="R361" s="39"/>
      <c r="S361" s="41"/>
      <c r="T361" s="39"/>
      <c r="U361" s="41"/>
      <c r="V361" s="41"/>
      <c r="W361" s="42">
        <v>359</v>
      </c>
      <c r="X361" s="43"/>
      <c r="Y361" s="44"/>
      <c r="Z361" s="44"/>
      <c r="AA361" s="44"/>
      <c r="AB361" s="44"/>
      <c r="AC361" s="44"/>
      <c r="AD361" s="44"/>
      <c r="AE361" s="44"/>
      <c r="AF361" s="44"/>
    </row>
    <row r="362" ht="31" spans="1:32">
      <c r="A362" s="16" t="s">
        <v>4174</v>
      </c>
      <c r="B362" s="17" t="s">
        <v>4175</v>
      </c>
      <c r="C362" s="30" t="s">
        <v>1790</v>
      </c>
      <c r="D362" s="19" t="e">
        <f>VLOOKUP(C362,#REF!,2,0)</f>
        <v>#REF!</v>
      </c>
      <c r="E362" s="20" t="e">
        <f>VLOOKUP(D362,数据集标准分类!E:F,2,0)</f>
        <v>#REF!</v>
      </c>
      <c r="F362" s="21">
        <v>15</v>
      </c>
      <c r="G362" s="22" t="s">
        <v>1849</v>
      </c>
      <c r="H362" s="22" t="s">
        <v>5846</v>
      </c>
      <c r="I362" s="22" t="s">
        <v>1852</v>
      </c>
      <c r="J362" s="22" t="s">
        <v>1850</v>
      </c>
      <c r="K362" s="22" t="s">
        <v>1852</v>
      </c>
      <c r="L362" s="22" t="s">
        <v>1853</v>
      </c>
      <c r="M362" s="16" t="s">
        <v>5593</v>
      </c>
      <c r="N362" s="16" t="s">
        <v>5595</v>
      </c>
      <c r="O362" s="23">
        <v>19</v>
      </c>
      <c r="P362" s="24" t="e">
        <f>VLOOKUP(I362,#REF!,2,0)</f>
        <v>#REF!</v>
      </c>
      <c r="Q362" s="25"/>
      <c r="R362" s="24"/>
      <c r="S362" s="26"/>
      <c r="T362" s="24"/>
      <c r="U362" s="26"/>
      <c r="V362" s="26"/>
      <c r="W362" s="27">
        <v>360</v>
      </c>
      <c r="X362" s="28"/>
    </row>
    <row r="363" ht="31" spans="1:32">
      <c r="A363" s="16" t="s">
        <v>4174</v>
      </c>
      <c r="B363" s="17" t="s">
        <v>4175</v>
      </c>
      <c r="C363" s="30" t="s">
        <v>1790</v>
      </c>
      <c r="D363" s="19" t="e">
        <f>VLOOKUP(C363,#REF!,2,0)</f>
        <v>#REF!</v>
      </c>
      <c r="E363" s="20" t="e">
        <f>VLOOKUP(D363,数据集标准分类!E:F,2,0)</f>
        <v>#REF!</v>
      </c>
      <c r="F363" s="21">
        <v>15</v>
      </c>
      <c r="G363" s="22" t="s">
        <v>1854</v>
      </c>
      <c r="H363" s="22" t="s">
        <v>5824</v>
      </c>
      <c r="I363" s="22" t="s">
        <v>5825</v>
      </c>
      <c r="J363" s="22" t="s">
        <v>1855</v>
      </c>
      <c r="K363" s="22" t="s">
        <v>1857</v>
      </c>
      <c r="L363" s="22" t="s">
        <v>1858</v>
      </c>
      <c r="M363" s="16" t="s">
        <v>5593</v>
      </c>
      <c r="N363" s="16" t="s">
        <v>5593</v>
      </c>
      <c r="O363" s="23">
        <v>20</v>
      </c>
      <c r="P363" s="24" t="e">
        <f>VLOOKUP(I363,#REF!,2,0)</f>
        <v>#REF!</v>
      </c>
      <c r="Q363" s="25"/>
      <c r="R363" s="24"/>
      <c r="S363" s="26"/>
      <c r="T363" s="24"/>
      <c r="U363" s="26"/>
      <c r="V363" s="26"/>
      <c r="W363" s="27">
        <v>361</v>
      </c>
      <c r="X363" s="28"/>
    </row>
    <row r="364" ht="46" spans="1:32">
      <c r="A364" s="16" t="s">
        <v>4174</v>
      </c>
      <c r="B364" s="17" t="s">
        <v>4175</v>
      </c>
      <c r="C364" s="30" t="s">
        <v>1790</v>
      </c>
      <c r="D364" s="19" t="e">
        <f>VLOOKUP(C364,#REF!,2,0)</f>
        <v>#REF!</v>
      </c>
      <c r="E364" s="20" t="e">
        <f>VLOOKUP(D364,数据集标准分类!E:F,2,0)</f>
        <v>#REF!</v>
      </c>
      <c r="F364" s="21">
        <v>15</v>
      </c>
      <c r="G364" s="22" t="s">
        <v>1859</v>
      </c>
      <c r="H364" s="22" t="s">
        <v>5847</v>
      </c>
      <c r="I364" s="22" t="s">
        <v>1862</v>
      </c>
      <c r="J364" s="22" t="s">
        <v>1860</v>
      </c>
      <c r="K364" s="22" t="s">
        <v>1862</v>
      </c>
      <c r="L364" s="22" t="s">
        <v>1863</v>
      </c>
      <c r="M364" s="16" t="s">
        <v>5593</v>
      </c>
      <c r="N364" s="16" t="s">
        <v>5595</v>
      </c>
      <c r="O364" s="23">
        <v>21</v>
      </c>
      <c r="P364" s="24" t="e">
        <f>VLOOKUP(I364,#REF!,2,0)</f>
        <v>#REF!</v>
      </c>
      <c r="Q364" s="25"/>
      <c r="R364" s="24"/>
      <c r="S364" s="26"/>
      <c r="T364" s="24"/>
      <c r="U364" s="26"/>
      <c r="V364" s="26"/>
      <c r="W364" s="27">
        <v>362</v>
      </c>
      <c r="X364" s="28"/>
    </row>
    <row r="365" spans="1:32">
      <c r="A365" s="16" t="s">
        <v>4174</v>
      </c>
      <c r="B365" s="17" t="s">
        <v>4175</v>
      </c>
      <c r="C365" s="30" t="s">
        <v>1790</v>
      </c>
      <c r="D365" s="19" t="e">
        <f>VLOOKUP(C365,#REF!,2,0)</f>
        <v>#REF!</v>
      </c>
      <c r="E365" s="20" t="e">
        <f>VLOOKUP(D365,数据集标准分类!E:F,2,0)</f>
        <v>#REF!</v>
      </c>
      <c r="F365" s="21">
        <v>15</v>
      </c>
      <c r="G365" s="64" t="s">
        <v>1864</v>
      </c>
      <c r="H365" s="64" t="s">
        <v>5848</v>
      </c>
      <c r="I365" s="29" t="s">
        <v>1867</v>
      </c>
      <c r="J365" s="22" t="s">
        <v>1865</v>
      </c>
      <c r="K365" s="22" t="s">
        <v>1867</v>
      </c>
      <c r="L365" s="22" t="s">
        <v>1868</v>
      </c>
      <c r="M365" s="16" t="s">
        <v>5593</v>
      </c>
      <c r="N365" s="16" t="s">
        <v>5595</v>
      </c>
      <c r="O365" s="23">
        <v>22</v>
      </c>
      <c r="P365" s="24" t="e">
        <f>VLOOKUP(I365,#REF!,2,0)</f>
        <v>#REF!</v>
      </c>
      <c r="Q365" s="25"/>
      <c r="R365" s="24"/>
      <c r="S365" s="26"/>
      <c r="T365" s="24"/>
      <c r="U365" s="26"/>
      <c r="V365" s="26"/>
      <c r="W365" s="27">
        <v>363</v>
      </c>
      <c r="X365" s="28"/>
    </row>
    <row r="366" spans="1:32">
      <c r="A366" s="16" t="s">
        <v>4174</v>
      </c>
      <c r="B366" s="17" t="s">
        <v>4175</v>
      </c>
      <c r="C366" s="30" t="s">
        <v>1790</v>
      </c>
      <c r="D366" s="19" t="e">
        <f>VLOOKUP(C366,#REF!,2,0)</f>
        <v>#REF!</v>
      </c>
      <c r="E366" s="20" t="e">
        <f>VLOOKUP(D366,数据集标准分类!E:F,2,0)</f>
        <v>#REF!</v>
      </c>
      <c r="F366" s="21">
        <v>15</v>
      </c>
      <c r="G366" s="22" t="s">
        <v>201</v>
      </c>
      <c r="H366" s="22" t="s">
        <v>5646</v>
      </c>
      <c r="I366" s="22" t="s">
        <v>5647</v>
      </c>
      <c r="J366" s="22" t="s">
        <v>202</v>
      </c>
      <c r="K366" s="22" t="s">
        <v>204</v>
      </c>
      <c r="L366" s="22" t="s">
        <v>1869</v>
      </c>
      <c r="M366" s="16" t="s">
        <v>5593</v>
      </c>
      <c r="N366" s="16" t="s">
        <v>5593</v>
      </c>
      <c r="O366" s="23">
        <v>23</v>
      </c>
      <c r="P366" s="24" t="e">
        <f>VLOOKUP(I366,#REF!,2,0)</f>
        <v>#REF!</v>
      </c>
      <c r="Q366" s="25"/>
      <c r="R366" s="24"/>
      <c r="S366" s="26"/>
      <c r="T366" s="24"/>
      <c r="U366" s="26"/>
      <c r="V366" s="26"/>
      <c r="W366" s="27">
        <v>364</v>
      </c>
      <c r="X366" s="28"/>
    </row>
    <row r="367" spans="1:32">
      <c r="A367" s="16" t="s">
        <v>4174</v>
      </c>
      <c r="B367" s="17" t="s">
        <v>4175</v>
      </c>
      <c r="C367" s="30" t="s">
        <v>1790</v>
      </c>
      <c r="D367" s="19" t="e">
        <f>VLOOKUP(C367,#REF!,2,0)</f>
        <v>#REF!</v>
      </c>
      <c r="E367" s="20" t="e">
        <f>VLOOKUP(D367,数据集标准分类!E:F,2,0)</f>
        <v>#REF!</v>
      </c>
      <c r="F367" s="21">
        <v>15</v>
      </c>
      <c r="G367" s="64" t="s">
        <v>1870</v>
      </c>
      <c r="H367" s="64" t="s">
        <v>5849</v>
      </c>
      <c r="I367" s="29" t="s">
        <v>1873</v>
      </c>
      <c r="J367" s="22" t="s">
        <v>1871</v>
      </c>
      <c r="K367" s="22" t="s">
        <v>1873</v>
      </c>
      <c r="L367" s="22" t="s">
        <v>1874</v>
      </c>
      <c r="M367" s="16" t="s">
        <v>5593</v>
      </c>
      <c r="N367" s="16" t="s">
        <v>5595</v>
      </c>
      <c r="O367" s="23">
        <v>24</v>
      </c>
      <c r="P367" s="24" t="e">
        <f>VLOOKUP(I367,#REF!,2,0)</f>
        <v>#REF!</v>
      </c>
      <c r="Q367" s="25"/>
      <c r="R367" s="24"/>
      <c r="S367" s="26"/>
      <c r="T367" s="24"/>
      <c r="U367" s="26"/>
      <c r="V367" s="26"/>
      <c r="W367" s="27">
        <v>365</v>
      </c>
      <c r="X367" s="28"/>
    </row>
    <row r="368" spans="1:32">
      <c r="A368" s="16" t="s">
        <v>4174</v>
      </c>
      <c r="B368" s="17" t="s">
        <v>4175</v>
      </c>
      <c r="C368" s="30" t="s">
        <v>1790</v>
      </c>
      <c r="D368" s="19" t="e">
        <f>VLOOKUP(C368,#REF!,2,0)</f>
        <v>#REF!</v>
      </c>
      <c r="E368" s="20" t="e">
        <f>VLOOKUP(D368,数据集标准分类!E:F,2,0)</f>
        <v>#REF!</v>
      </c>
      <c r="F368" s="21">
        <v>15</v>
      </c>
      <c r="G368" s="22" t="s">
        <v>1875</v>
      </c>
      <c r="H368" s="22" t="s">
        <v>5850</v>
      </c>
      <c r="I368" s="22" t="s">
        <v>1878</v>
      </c>
      <c r="J368" s="22" t="s">
        <v>1876</v>
      </c>
      <c r="K368" s="22" t="s">
        <v>1878</v>
      </c>
      <c r="L368" s="22" t="s">
        <v>1879</v>
      </c>
      <c r="M368" s="16" t="s">
        <v>5593</v>
      </c>
      <c r="N368" s="16" t="s">
        <v>5595</v>
      </c>
      <c r="O368" s="23">
        <v>25</v>
      </c>
      <c r="P368" s="24" t="e">
        <f>VLOOKUP(I368,#REF!,2,0)</f>
        <v>#REF!</v>
      </c>
      <c r="Q368" s="25"/>
      <c r="R368" s="24"/>
      <c r="S368" s="26"/>
      <c r="T368" s="24"/>
      <c r="U368" s="26"/>
      <c r="V368" s="26"/>
      <c r="W368" s="27">
        <v>366</v>
      </c>
      <c r="X368" s="28"/>
    </row>
    <row r="369" ht="31" spans="1:32">
      <c r="A369" s="16" t="s">
        <v>4174</v>
      </c>
      <c r="B369" s="17" t="s">
        <v>4175</v>
      </c>
      <c r="C369" s="30" t="s">
        <v>1790</v>
      </c>
      <c r="D369" s="19" t="e">
        <f>VLOOKUP(C369,#REF!,2,0)</f>
        <v>#REF!</v>
      </c>
      <c r="E369" s="20" t="e">
        <f>VLOOKUP(D369,数据集标准分类!E:F,2,0)</f>
        <v>#REF!</v>
      </c>
      <c r="F369" s="21">
        <v>15</v>
      </c>
      <c r="G369" s="29" t="s">
        <v>1880</v>
      </c>
      <c r="H369" s="29" t="s">
        <v>5851</v>
      </c>
      <c r="I369" s="29" t="s">
        <v>1883</v>
      </c>
      <c r="J369" s="22" t="s">
        <v>1881</v>
      </c>
      <c r="K369" s="22" t="s">
        <v>1883</v>
      </c>
      <c r="L369" s="22" t="s">
        <v>1884</v>
      </c>
      <c r="M369" s="16" t="s">
        <v>5593</v>
      </c>
      <c r="N369" s="16" t="s">
        <v>5595</v>
      </c>
      <c r="O369" s="23">
        <v>26</v>
      </c>
      <c r="P369" s="24" t="e">
        <f>VLOOKUP(I369,#REF!,2,0)</f>
        <v>#REF!</v>
      </c>
      <c r="Q369" s="25"/>
      <c r="R369" s="24"/>
      <c r="S369" s="26"/>
      <c r="T369" s="24"/>
      <c r="U369" s="26"/>
      <c r="V369" s="26"/>
      <c r="W369" s="27">
        <v>367</v>
      </c>
      <c r="X369" s="28"/>
    </row>
    <row r="370" ht="31" spans="1:32">
      <c r="A370" s="31" t="s">
        <v>4174</v>
      </c>
      <c r="B370" s="32" t="s">
        <v>4175</v>
      </c>
      <c r="C370" s="33" t="s">
        <v>1790</v>
      </c>
      <c r="D370" s="34" t="e">
        <f>VLOOKUP(C370,#REF!,2,0)</f>
        <v>#REF!</v>
      </c>
      <c r="E370" s="35" t="e">
        <f>VLOOKUP(D370,数据集标准分类!E:F,2,0)</f>
        <v>#REF!</v>
      </c>
      <c r="F370" s="36">
        <v>15</v>
      </c>
      <c r="G370" s="37" t="s">
        <v>1885</v>
      </c>
      <c r="H370" s="37" t="s">
        <v>5852</v>
      </c>
      <c r="I370" s="37" t="s">
        <v>1888</v>
      </c>
      <c r="J370" s="37" t="s">
        <v>1886</v>
      </c>
      <c r="K370" s="37" t="s">
        <v>1888</v>
      </c>
      <c r="L370" s="37" t="s">
        <v>1889</v>
      </c>
      <c r="M370" s="31" t="s">
        <v>5593</v>
      </c>
      <c r="N370" s="31" t="s">
        <v>5595</v>
      </c>
      <c r="O370" s="38">
        <v>27</v>
      </c>
      <c r="P370" s="39" t="e">
        <f>VLOOKUP(I370,#REF!,2,0)</f>
        <v>#REF!</v>
      </c>
      <c r="Q370" s="40"/>
      <c r="R370" s="39"/>
      <c r="S370" s="41"/>
      <c r="T370" s="39"/>
      <c r="U370" s="41"/>
      <c r="V370" s="41"/>
      <c r="W370" s="42">
        <v>368</v>
      </c>
      <c r="X370" s="43"/>
      <c r="Y370" s="44"/>
      <c r="Z370" s="44"/>
      <c r="AA370" s="44"/>
      <c r="AB370" s="44"/>
      <c r="AC370" s="44"/>
      <c r="AD370" s="44"/>
      <c r="AE370" s="44"/>
      <c r="AF370" s="44"/>
    </row>
    <row r="371" ht="31" spans="1:32">
      <c r="A371" s="16" t="s">
        <v>4174</v>
      </c>
      <c r="B371" s="17" t="s">
        <v>4175</v>
      </c>
      <c r="C371" s="30" t="s">
        <v>1790</v>
      </c>
      <c r="D371" s="19" t="e">
        <f>VLOOKUP(C371,#REF!,2,0)</f>
        <v>#REF!</v>
      </c>
      <c r="E371" s="20" t="e">
        <f>VLOOKUP(D371,数据集标准分类!E:F,2,0)</f>
        <v>#REF!</v>
      </c>
      <c r="F371" s="21">
        <v>15</v>
      </c>
      <c r="G371" s="22" t="s">
        <v>1890</v>
      </c>
      <c r="H371" s="22" t="s">
        <v>5853</v>
      </c>
      <c r="I371" s="22" t="s">
        <v>1893</v>
      </c>
      <c r="J371" s="22" t="s">
        <v>1891</v>
      </c>
      <c r="K371" s="22" t="s">
        <v>1893</v>
      </c>
      <c r="L371" s="22" t="s">
        <v>1894</v>
      </c>
      <c r="M371" s="16" t="s">
        <v>5593</v>
      </c>
      <c r="N371" s="16" t="s">
        <v>5595</v>
      </c>
      <c r="O371" s="23">
        <v>28</v>
      </c>
      <c r="P371" s="24" t="e">
        <f>VLOOKUP(I371,#REF!,2,0)</f>
        <v>#REF!</v>
      </c>
      <c r="Q371" s="25"/>
      <c r="R371" s="24"/>
      <c r="S371" s="26"/>
      <c r="T371" s="24"/>
      <c r="U371" s="26"/>
      <c r="V371" s="26"/>
      <c r="W371" s="27">
        <v>369</v>
      </c>
      <c r="X371" s="28"/>
    </row>
    <row r="372" ht="31" spans="1:32">
      <c r="A372" s="16" t="s">
        <v>4174</v>
      </c>
      <c r="B372" s="17" t="s">
        <v>4175</v>
      </c>
      <c r="C372" s="30" t="s">
        <v>1790</v>
      </c>
      <c r="D372" s="19" t="e">
        <f>VLOOKUP(C372,#REF!,2,0)</f>
        <v>#REF!</v>
      </c>
      <c r="E372" s="20" t="e">
        <f>VLOOKUP(D372,数据集标准分类!E:F,2,0)</f>
        <v>#REF!</v>
      </c>
      <c r="F372" s="21">
        <v>15</v>
      </c>
      <c r="G372" s="22" t="s">
        <v>1895</v>
      </c>
      <c r="H372" s="22" t="s">
        <v>5854</v>
      </c>
      <c r="I372" s="22" t="s">
        <v>1898</v>
      </c>
      <c r="J372" s="22" t="s">
        <v>1896</v>
      </c>
      <c r="K372" s="22" t="s">
        <v>1898</v>
      </c>
      <c r="L372" s="22" t="s">
        <v>1899</v>
      </c>
      <c r="M372" s="16" t="s">
        <v>5593</v>
      </c>
      <c r="N372" s="16" t="s">
        <v>5595</v>
      </c>
      <c r="O372" s="23">
        <v>29</v>
      </c>
      <c r="P372" s="24" t="e">
        <f>VLOOKUP(I372,#REF!,2,0)</f>
        <v>#REF!</v>
      </c>
      <c r="Q372" s="25"/>
      <c r="R372" s="24"/>
      <c r="S372" s="26"/>
      <c r="T372" s="24"/>
      <c r="U372" s="26"/>
      <c r="V372" s="26"/>
      <c r="W372" s="27">
        <v>370</v>
      </c>
      <c r="X372" s="28"/>
    </row>
    <row r="373" ht="31" spans="1:32">
      <c r="A373" s="16" t="s">
        <v>4174</v>
      </c>
      <c r="B373" s="17" t="s">
        <v>4175</v>
      </c>
      <c r="C373" s="30" t="s">
        <v>1790</v>
      </c>
      <c r="D373" s="19" t="e">
        <f>VLOOKUP(C373,#REF!,2,0)</f>
        <v>#REF!</v>
      </c>
      <c r="E373" s="20" t="e">
        <f>VLOOKUP(D373,数据集标准分类!E:F,2,0)</f>
        <v>#REF!</v>
      </c>
      <c r="F373" s="21">
        <v>15</v>
      </c>
      <c r="G373" s="22" t="s">
        <v>1900</v>
      </c>
      <c r="H373" s="22" t="s">
        <v>5855</v>
      </c>
      <c r="I373" s="22" t="s">
        <v>1903</v>
      </c>
      <c r="J373" s="22" t="s">
        <v>1901</v>
      </c>
      <c r="K373" s="22" t="s">
        <v>1903</v>
      </c>
      <c r="L373" s="22" t="s">
        <v>1904</v>
      </c>
      <c r="M373" s="16" t="s">
        <v>5593</v>
      </c>
      <c r="N373" s="16" t="s">
        <v>5595</v>
      </c>
      <c r="O373" s="23">
        <v>30</v>
      </c>
      <c r="P373" s="24" t="e">
        <f>VLOOKUP(I373,#REF!,2,0)</f>
        <v>#REF!</v>
      </c>
      <c r="Q373" s="25"/>
      <c r="R373" s="24"/>
      <c r="S373" s="26"/>
      <c r="T373" s="24"/>
      <c r="U373" s="26"/>
      <c r="V373" s="26"/>
      <c r="W373" s="27">
        <v>371</v>
      </c>
      <c r="X373" s="28"/>
    </row>
    <row r="374" spans="1:32">
      <c r="A374" s="16" t="s">
        <v>4174</v>
      </c>
      <c r="B374" s="17" t="s">
        <v>4175</v>
      </c>
      <c r="C374" s="30" t="s">
        <v>1790</v>
      </c>
      <c r="D374" s="19" t="e">
        <f>VLOOKUP(C374,#REF!,2,0)</f>
        <v>#REF!</v>
      </c>
      <c r="E374" s="20" t="e">
        <f>VLOOKUP(D374,数据集标准分类!E:F,2,0)</f>
        <v>#REF!</v>
      </c>
      <c r="F374" s="21">
        <v>15</v>
      </c>
      <c r="G374" s="22" t="s">
        <v>1250</v>
      </c>
      <c r="H374" s="22" t="s">
        <v>5856</v>
      </c>
      <c r="I374" s="22" t="s">
        <v>1253</v>
      </c>
      <c r="J374" s="22" t="s">
        <v>1251</v>
      </c>
      <c r="K374" s="22" t="s">
        <v>1253</v>
      </c>
      <c r="L374" s="22" t="s">
        <v>1905</v>
      </c>
      <c r="M374" s="16" t="s">
        <v>5593</v>
      </c>
      <c r="N374" s="16" t="s">
        <v>5595</v>
      </c>
      <c r="O374" s="23">
        <v>31</v>
      </c>
      <c r="P374" s="24" t="e">
        <f>VLOOKUP(I374,#REF!,2,0)</f>
        <v>#REF!</v>
      </c>
      <c r="Q374" s="25"/>
      <c r="R374" s="24"/>
      <c r="S374" s="26"/>
      <c r="T374" s="24"/>
      <c r="U374" s="26"/>
      <c r="V374" s="26"/>
      <c r="W374" s="27">
        <v>372</v>
      </c>
      <c r="X374" s="28"/>
    </row>
    <row r="375" ht="31" spans="1:32">
      <c r="A375" s="16" t="s">
        <v>4174</v>
      </c>
      <c r="B375" s="17" t="s">
        <v>4175</v>
      </c>
      <c r="C375" s="30" t="s">
        <v>1790</v>
      </c>
      <c r="D375" s="19" t="e">
        <f>VLOOKUP(C375,#REF!,2,0)</f>
        <v>#REF!</v>
      </c>
      <c r="E375" s="20" t="e">
        <f>VLOOKUP(D375,数据集标准分类!E:F,2,0)</f>
        <v>#REF!</v>
      </c>
      <c r="F375" s="21">
        <v>15</v>
      </c>
      <c r="G375" s="22" t="s">
        <v>1627</v>
      </c>
      <c r="H375" s="22" t="s">
        <v>5672</v>
      </c>
      <c r="I375" s="22" t="s">
        <v>1630</v>
      </c>
      <c r="J375" s="22" t="s">
        <v>1628</v>
      </c>
      <c r="K375" s="22" t="s">
        <v>1630</v>
      </c>
      <c r="L375" s="22" t="s">
        <v>1631</v>
      </c>
      <c r="M375" s="16" t="s">
        <v>5593</v>
      </c>
      <c r="N375" s="16" t="s">
        <v>5595</v>
      </c>
      <c r="O375" s="23">
        <v>32</v>
      </c>
      <c r="P375" s="24" t="e">
        <f>VLOOKUP(I375,#REF!,2,0)</f>
        <v>#REF!</v>
      </c>
      <c r="Q375" s="25"/>
      <c r="R375" s="24"/>
      <c r="S375" s="26"/>
      <c r="T375" s="24"/>
      <c r="U375" s="26"/>
      <c r="V375" s="26"/>
      <c r="W375" s="27">
        <v>373</v>
      </c>
      <c r="X375" s="28"/>
    </row>
    <row r="376" ht="31" spans="1:32">
      <c r="A376" s="16" t="s">
        <v>4174</v>
      </c>
      <c r="B376" s="17" t="s">
        <v>4175</v>
      </c>
      <c r="C376" s="30" t="s">
        <v>1790</v>
      </c>
      <c r="D376" s="19" t="e">
        <f>VLOOKUP(C376,#REF!,2,0)</f>
        <v>#REF!</v>
      </c>
      <c r="E376" s="20" t="e">
        <f>VLOOKUP(D376,数据集标准分类!E:F,2,0)</f>
        <v>#REF!</v>
      </c>
      <c r="F376" s="21">
        <v>15</v>
      </c>
      <c r="G376" s="22" t="s">
        <v>1906</v>
      </c>
      <c r="H376" s="22" t="s">
        <v>5857</v>
      </c>
      <c r="I376" s="22" t="s">
        <v>1909</v>
      </c>
      <c r="J376" s="22" t="s">
        <v>1907</v>
      </c>
      <c r="K376" s="22" t="s">
        <v>1909</v>
      </c>
      <c r="L376" s="22" t="s">
        <v>1910</v>
      </c>
      <c r="M376" s="16" t="s">
        <v>5593</v>
      </c>
      <c r="N376" s="16" t="s">
        <v>5595</v>
      </c>
      <c r="O376" s="23">
        <v>33</v>
      </c>
      <c r="P376" s="24" t="e">
        <f>VLOOKUP(I376,#REF!,2,0)</f>
        <v>#REF!</v>
      </c>
      <c r="Q376" s="25"/>
      <c r="R376" s="24"/>
      <c r="S376" s="26"/>
      <c r="T376" s="24"/>
      <c r="U376" s="26"/>
      <c r="V376" s="26"/>
      <c r="W376" s="27">
        <v>374</v>
      </c>
      <c r="X376" s="28"/>
    </row>
    <row r="377" ht="46" spans="1:32">
      <c r="A377" s="16" t="s">
        <v>4174</v>
      </c>
      <c r="B377" s="17" t="s">
        <v>4175</v>
      </c>
      <c r="C377" s="30" t="s">
        <v>1790</v>
      </c>
      <c r="D377" s="19" t="e">
        <f>VLOOKUP(C377,#REF!,2,0)</f>
        <v>#REF!</v>
      </c>
      <c r="E377" s="20" t="e">
        <f>VLOOKUP(D377,数据集标准分类!E:F,2,0)</f>
        <v>#REF!</v>
      </c>
      <c r="F377" s="21">
        <v>15</v>
      </c>
      <c r="G377" s="22" t="s">
        <v>1359</v>
      </c>
      <c r="H377" s="22" t="s">
        <v>5725</v>
      </c>
      <c r="I377" s="22" t="s">
        <v>1362</v>
      </c>
      <c r="J377" s="22" t="s">
        <v>1360</v>
      </c>
      <c r="K377" s="22" t="s">
        <v>1362</v>
      </c>
      <c r="L377" s="22" t="s">
        <v>1363</v>
      </c>
      <c r="M377" s="16" t="s">
        <v>5593</v>
      </c>
      <c r="N377" s="16" t="s">
        <v>5595</v>
      </c>
      <c r="O377" s="23">
        <v>34</v>
      </c>
      <c r="P377" s="24" t="e">
        <f>VLOOKUP(I377,#REF!,2,0)</f>
        <v>#REF!</v>
      </c>
      <c r="Q377" s="25"/>
      <c r="R377" s="24"/>
      <c r="S377" s="26"/>
      <c r="T377" s="24"/>
      <c r="U377" s="26"/>
      <c r="V377" s="26"/>
      <c r="W377" s="27">
        <v>375</v>
      </c>
      <c r="X377" s="28"/>
    </row>
    <row r="378" ht="31" spans="1:32">
      <c r="A378" s="16" t="s">
        <v>4174</v>
      </c>
      <c r="B378" s="17" t="s">
        <v>4175</v>
      </c>
      <c r="C378" s="30" t="s">
        <v>1790</v>
      </c>
      <c r="D378" s="19" t="e">
        <f>VLOOKUP(C378,#REF!,2,0)</f>
        <v>#REF!</v>
      </c>
      <c r="E378" s="20" t="e">
        <f>VLOOKUP(D378,数据集标准分类!E:F,2,0)</f>
        <v>#REF!</v>
      </c>
      <c r="F378" s="21">
        <v>15</v>
      </c>
      <c r="G378" s="22" t="s">
        <v>1632</v>
      </c>
      <c r="H378" s="22" t="s">
        <v>5673</v>
      </c>
      <c r="I378" s="22" t="s">
        <v>1635</v>
      </c>
      <c r="J378" s="22" t="s">
        <v>1633</v>
      </c>
      <c r="K378" s="22" t="s">
        <v>1635</v>
      </c>
      <c r="L378" s="22" t="s">
        <v>1636</v>
      </c>
      <c r="M378" s="16" t="s">
        <v>5593</v>
      </c>
      <c r="N378" s="16" t="s">
        <v>5595</v>
      </c>
      <c r="O378" s="23">
        <v>35</v>
      </c>
      <c r="P378" s="24" t="e">
        <f>VLOOKUP(I378,#REF!,2,0)</f>
        <v>#REF!</v>
      </c>
      <c r="Q378" s="25"/>
      <c r="R378" s="24"/>
      <c r="S378" s="26"/>
      <c r="T378" s="24"/>
      <c r="U378" s="26"/>
      <c r="V378" s="26"/>
      <c r="W378" s="27">
        <v>376</v>
      </c>
      <c r="X378" s="28"/>
    </row>
    <row r="379" ht="31" spans="1:32">
      <c r="A379" s="16" t="s">
        <v>4174</v>
      </c>
      <c r="B379" s="17" t="s">
        <v>4175</v>
      </c>
      <c r="C379" s="30" t="s">
        <v>1790</v>
      </c>
      <c r="D379" s="19" t="e">
        <f>VLOOKUP(C379,#REF!,2,0)</f>
        <v>#REF!</v>
      </c>
      <c r="E379" s="20" t="e">
        <f>VLOOKUP(D379,数据集标准分类!E:F,2,0)</f>
        <v>#REF!</v>
      </c>
      <c r="F379" s="21">
        <v>15</v>
      </c>
      <c r="G379" s="22" t="s">
        <v>1911</v>
      </c>
      <c r="H379" s="22" t="s">
        <v>5858</v>
      </c>
      <c r="I379" s="22" t="s">
        <v>1914</v>
      </c>
      <c r="J379" s="22" t="s">
        <v>1912</v>
      </c>
      <c r="K379" s="22" t="s">
        <v>1914</v>
      </c>
      <c r="L379" s="22" t="s">
        <v>1915</v>
      </c>
      <c r="M379" s="16" t="s">
        <v>5593</v>
      </c>
      <c r="N379" s="16" t="s">
        <v>5595</v>
      </c>
      <c r="O379" s="23">
        <v>36</v>
      </c>
      <c r="P379" s="24" t="e">
        <f>VLOOKUP(I379,#REF!,2,0)</f>
        <v>#REF!</v>
      </c>
      <c r="Q379" s="25"/>
      <c r="R379" s="24"/>
      <c r="S379" s="26"/>
      <c r="T379" s="24"/>
      <c r="U379" s="26"/>
      <c r="V379" s="26"/>
      <c r="W379" s="27">
        <v>377</v>
      </c>
      <c r="X379" s="28"/>
    </row>
    <row r="380" spans="1:32">
      <c r="A380" s="16" t="s">
        <v>4174</v>
      </c>
      <c r="B380" s="17" t="s">
        <v>4175</v>
      </c>
      <c r="C380" s="30" t="s">
        <v>1790</v>
      </c>
      <c r="D380" s="19" t="e">
        <f>VLOOKUP(C380,#REF!,2,0)</f>
        <v>#REF!</v>
      </c>
      <c r="E380" s="20" t="e">
        <f>VLOOKUP(D380,数据集标准分类!E:F,2,0)</f>
        <v>#REF!</v>
      </c>
      <c r="F380" s="21">
        <v>15</v>
      </c>
      <c r="G380" s="29" t="s">
        <v>1916</v>
      </c>
      <c r="H380" s="29" t="s">
        <v>1917</v>
      </c>
      <c r="I380" s="29" t="s">
        <v>1919</v>
      </c>
      <c r="J380" s="22" t="s">
        <v>1917</v>
      </c>
      <c r="K380" s="22" t="s">
        <v>1919</v>
      </c>
      <c r="L380" s="22" t="s">
        <v>1920</v>
      </c>
      <c r="M380" s="16" t="s">
        <v>5595</v>
      </c>
      <c r="N380" s="16" t="s">
        <v>5595</v>
      </c>
      <c r="O380" s="23">
        <v>37</v>
      </c>
      <c r="P380" s="24" t="e">
        <f>VLOOKUP(I380,#REF!,2,0)</f>
        <v>#REF!</v>
      </c>
      <c r="Q380" s="25"/>
      <c r="R380" s="24"/>
      <c r="S380" s="26"/>
      <c r="T380" s="24"/>
      <c r="U380" s="26"/>
      <c r="V380" s="26"/>
      <c r="W380" s="27">
        <v>378</v>
      </c>
      <c r="X380" s="28"/>
    </row>
    <row r="381" spans="1:32">
      <c r="A381" s="16" t="s">
        <v>4174</v>
      </c>
      <c r="B381" s="17" t="s">
        <v>4175</v>
      </c>
      <c r="C381" s="30" t="s">
        <v>1790</v>
      </c>
      <c r="D381" s="19" t="e">
        <f>VLOOKUP(C381,#REF!,2,0)</f>
        <v>#REF!</v>
      </c>
      <c r="E381" s="20" t="e">
        <f>VLOOKUP(D381,数据集标准分类!E:F,2,0)</f>
        <v>#REF!</v>
      </c>
      <c r="F381" s="21">
        <v>15</v>
      </c>
      <c r="G381" s="22" t="s">
        <v>1921</v>
      </c>
      <c r="H381" s="22" t="s">
        <v>5859</v>
      </c>
      <c r="I381" s="22" t="s">
        <v>5860</v>
      </c>
      <c r="J381" s="22" t="s">
        <v>1922</v>
      </c>
      <c r="K381" s="22" t="s">
        <v>1924</v>
      </c>
      <c r="L381" s="22" t="s">
        <v>1925</v>
      </c>
      <c r="M381" s="16" t="s">
        <v>5593</v>
      </c>
      <c r="N381" s="16" t="s">
        <v>5593</v>
      </c>
      <c r="O381" s="23">
        <v>38</v>
      </c>
      <c r="P381" s="24" t="e">
        <f>VLOOKUP(I381,#REF!,2,0)</f>
        <v>#REF!</v>
      </c>
      <c r="Q381" s="25"/>
      <c r="R381" s="24"/>
      <c r="S381" s="26"/>
      <c r="T381" s="24"/>
      <c r="U381" s="26"/>
      <c r="V381" s="26"/>
      <c r="W381" s="27">
        <v>379</v>
      </c>
      <c r="X381" s="28"/>
    </row>
    <row r="382" ht="46" spans="1:32">
      <c r="A382" s="16" t="s">
        <v>4174</v>
      </c>
      <c r="B382" s="17" t="s">
        <v>4175</v>
      </c>
      <c r="C382" s="30" t="s">
        <v>1790</v>
      </c>
      <c r="D382" s="19" t="e">
        <f>VLOOKUP(C382,#REF!,2,0)</f>
        <v>#REF!</v>
      </c>
      <c r="E382" s="20" t="e">
        <f>VLOOKUP(D382,数据集标准分类!E:F,2,0)</f>
        <v>#REF!</v>
      </c>
      <c r="F382" s="21">
        <v>15</v>
      </c>
      <c r="G382" s="22" t="s">
        <v>1597</v>
      </c>
      <c r="H382" s="22" t="s">
        <v>1598</v>
      </c>
      <c r="I382" s="22" t="s">
        <v>5663</v>
      </c>
      <c r="J382" s="22" t="s">
        <v>1598</v>
      </c>
      <c r="K382" s="22" t="s">
        <v>1600</v>
      </c>
      <c r="L382" s="22" t="s">
        <v>1601</v>
      </c>
      <c r="M382" s="16" t="s">
        <v>5595</v>
      </c>
      <c r="N382" s="16" t="s">
        <v>5593</v>
      </c>
      <c r="O382" s="23">
        <v>39</v>
      </c>
      <c r="P382" s="24" t="e">
        <f>VLOOKUP(I382,#REF!,2,0)</f>
        <v>#REF!</v>
      </c>
      <c r="Q382" s="25"/>
      <c r="R382" s="24"/>
      <c r="S382" s="26"/>
      <c r="T382" s="24"/>
      <c r="U382" s="26"/>
      <c r="V382" s="26"/>
      <c r="W382" s="27">
        <v>380</v>
      </c>
      <c r="X382" s="28"/>
    </row>
    <row r="383" ht="31" spans="1:32">
      <c r="A383" s="16" t="s">
        <v>4174</v>
      </c>
      <c r="B383" s="17" t="s">
        <v>4175</v>
      </c>
      <c r="C383" s="30" t="s">
        <v>1790</v>
      </c>
      <c r="D383" s="19" t="e">
        <f>VLOOKUP(C383,#REF!,2,0)</f>
        <v>#REF!</v>
      </c>
      <c r="E383" s="20" t="e">
        <f>VLOOKUP(D383,数据集标准分类!E:F,2,0)</f>
        <v>#REF!</v>
      </c>
      <c r="F383" s="21">
        <v>15</v>
      </c>
      <c r="G383" s="22" t="s">
        <v>1926</v>
      </c>
      <c r="H383" s="22" t="s">
        <v>5861</v>
      </c>
      <c r="I383" s="22" t="s">
        <v>1929</v>
      </c>
      <c r="J383" s="22" t="s">
        <v>1927</v>
      </c>
      <c r="K383" s="22" t="s">
        <v>1929</v>
      </c>
      <c r="L383" s="22" t="s">
        <v>1930</v>
      </c>
      <c r="M383" s="16" t="s">
        <v>5593</v>
      </c>
      <c r="N383" s="16" t="s">
        <v>5595</v>
      </c>
      <c r="O383" s="23">
        <v>40</v>
      </c>
      <c r="P383" s="24" t="e">
        <f>VLOOKUP(I383,#REF!,2,0)</f>
        <v>#REF!</v>
      </c>
      <c r="Q383" s="25"/>
      <c r="R383" s="24"/>
      <c r="S383" s="26"/>
      <c r="T383" s="24"/>
      <c r="U383" s="26"/>
      <c r="V383" s="26"/>
      <c r="W383" s="27">
        <v>381</v>
      </c>
      <c r="X383" s="28"/>
    </row>
    <row r="384" ht="31" spans="1:32">
      <c r="A384" s="83" t="s">
        <v>4174</v>
      </c>
      <c r="B384" s="84" t="s">
        <v>4175</v>
      </c>
      <c r="C384" s="85" t="s">
        <v>1790</v>
      </c>
      <c r="D384" s="86" t="e">
        <f>VLOOKUP(C384,#REF!,2,0)</f>
        <v>#REF!</v>
      </c>
      <c r="E384" s="20" t="e">
        <f>VLOOKUP(D384,数据集标准分类!E:F,2,0)</f>
        <v>#REF!</v>
      </c>
      <c r="F384" s="87">
        <v>15</v>
      </c>
      <c r="G384" s="88" t="s">
        <v>1931</v>
      </c>
      <c r="H384" s="88" t="s">
        <v>5826</v>
      </c>
      <c r="I384" s="88" t="s">
        <v>1934</v>
      </c>
      <c r="J384" s="88" t="s">
        <v>1932</v>
      </c>
      <c r="K384" s="88" t="s">
        <v>1934</v>
      </c>
      <c r="L384" s="88" t="s">
        <v>1935</v>
      </c>
      <c r="M384" s="83" t="s">
        <v>5593</v>
      </c>
      <c r="N384" s="83" t="s">
        <v>5595</v>
      </c>
      <c r="O384" s="89">
        <v>41</v>
      </c>
      <c r="P384" s="90" t="e">
        <f>VLOOKUP(I384,#REF!,2,0)</f>
        <v>#REF!</v>
      </c>
      <c r="Q384" s="91"/>
      <c r="R384" s="90"/>
      <c r="S384" s="92"/>
      <c r="T384" s="90"/>
      <c r="U384" s="92"/>
      <c r="V384" s="92" t="s">
        <v>5593</v>
      </c>
      <c r="W384" s="93">
        <v>382</v>
      </c>
      <c r="X384" s="94"/>
      <c r="Y384" s="95"/>
      <c r="Z384" s="95"/>
      <c r="AA384" s="95"/>
      <c r="AB384" s="95"/>
      <c r="AC384" s="95"/>
      <c r="AD384" s="95"/>
      <c r="AE384" s="95"/>
      <c r="AF384" s="95"/>
    </row>
    <row r="385" ht="31" spans="1:32">
      <c r="A385" s="31" t="s">
        <v>4174</v>
      </c>
      <c r="B385" s="32" t="s">
        <v>4175</v>
      </c>
      <c r="C385" s="33" t="s">
        <v>1790</v>
      </c>
      <c r="D385" s="34" t="e">
        <f>VLOOKUP(C385,#REF!,2,0)</f>
        <v>#REF!</v>
      </c>
      <c r="E385" s="35" t="e">
        <f>VLOOKUP(D385,数据集标准分类!E:F,2,0)</f>
        <v>#REF!</v>
      </c>
      <c r="F385" s="36">
        <v>15</v>
      </c>
      <c r="G385" s="96" t="s">
        <v>1936</v>
      </c>
      <c r="H385" s="96" t="s">
        <v>5827</v>
      </c>
      <c r="I385" s="96" t="s">
        <v>5828</v>
      </c>
      <c r="J385" s="37" t="s">
        <v>1937</v>
      </c>
      <c r="K385" s="37" t="s">
        <v>1939</v>
      </c>
      <c r="L385" s="37" t="s">
        <v>1940</v>
      </c>
      <c r="M385" s="31" t="s">
        <v>5593</v>
      </c>
      <c r="N385" s="31" t="s">
        <v>5593</v>
      </c>
      <c r="O385" s="38">
        <v>42</v>
      </c>
      <c r="P385" s="39" t="e">
        <f>VLOOKUP(I385,#REF!,2,0)</f>
        <v>#REF!</v>
      </c>
      <c r="Q385" s="40"/>
      <c r="R385" s="39"/>
      <c r="S385" s="41"/>
      <c r="T385" s="39"/>
      <c r="U385" s="41"/>
      <c r="V385" s="41"/>
      <c r="W385" s="42">
        <v>383</v>
      </c>
      <c r="X385" s="43"/>
      <c r="Y385" s="44"/>
      <c r="Z385" s="44"/>
      <c r="AA385" s="44"/>
      <c r="AB385" s="44"/>
      <c r="AC385" s="44"/>
      <c r="AD385" s="44"/>
      <c r="AE385" s="44"/>
      <c r="AF385" s="44"/>
    </row>
    <row r="386" ht="31" spans="1:32">
      <c r="A386" s="16" t="s">
        <v>4174</v>
      </c>
      <c r="B386" s="17" t="s">
        <v>4175</v>
      </c>
      <c r="C386" s="30" t="s">
        <v>1790</v>
      </c>
      <c r="D386" s="19" t="e">
        <f>VLOOKUP(C386,#REF!,2,0)</f>
        <v>#REF!</v>
      </c>
      <c r="E386" s="20" t="e">
        <f>VLOOKUP(D386,数据集标准分类!E:F,2,0)</f>
        <v>#REF!</v>
      </c>
      <c r="F386" s="21">
        <v>15</v>
      </c>
      <c r="G386" s="22" t="s">
        <v>1941</v>
      </c>
      <c r="H386" s="22" t="s">
        <v>5829</v>
      </c>
      <c r="I386" s="22" t="s">
        <v>1944</v>
      </c>
      <c r="J386" s="22" t="s">
        <v>1942</v>
      </c>
      <c r="K386" s="22" t="s">
        <v>1944</v>
      </c>
      <c r="L386" s="22" t="s">
        <v>1945</v>
      </c>
      <c r="M386" s="16" t="s">
        <v>5593</v>
      </c>
      <c r="N386" s="16" t="s">
        <v>5595</v>
      </c>
      <c r="O386" s="23">
        <v>43</v>
      </c>
      <c r="P386" s="24" t="e">
        <f>VLOOKUP(I386,#REF!,2,0)</f>
        <v>#REF!</v>
      </c>
      <c r="Q386" s="25"/>
      <c r="R386" s="24"/>
      <c r="S386" s="26"/>
      <c r="T386" s="24"/>
      <c r="U386" s="26"/>
      <c r="V386" s="26"/>
      <c r="W386" s="27">
        <v>384</v>
      </c>
      <c r="X386" s="28"/>
    </row>
    <row r="387" ht="31" spans="1:32">
      <c r="A387" s="16" t="s">
        <v>4174</v>
      </c>
      <c r="B387" s="17" t="s">
        <v>4175</v>
      </c>
      <c r="C387" s="30" t="s">
        <v>1790</v>
      </c>
      <c r="D387" s="19" t="e">
        <f>VLOOKUP(C387,#REF!,2,0)</f>
        <v>#REF!</v>
      </c>
      <c r="E387" s="20" t="e">
        <f>VLOOKUP(D387,数据集标准分类!E:F,2,0)</f>
        <v>#REF!</v>
      </c>
      <c r="F387" s="21">
        <v>15</v>
      </c>
      <c r="G387" s="22" t="s">
        <v>699</v>
      </c>
      <c r="H387" s="22" t="s">
        <v>700</v>
      </c>
      <c r="I387" s="22" t="s">
        <v>701</v>
      </c>
      <c r="J387" s="22" t="s">
        <v>700</v>
      </c>
      <c r="K387" s="22" t="s">
        <v>701</v>
      </c>
      <c r="L387" s="22" t="s">
        <v>1946</v>
      </c>
      <c r="M387" s="16" t="s">
        <v>5595</v>
      </c>
      <c r="N387" s="16" t="s">
        <v>5595</v>
      </c>
      <c r="O387" s="23">
        <v>44</v>
      </c>
      <c r="P387" s="24" t="e">
        <f>VLOOKUP(I387,#REF!,2,0)</f>
        <v>#REF!</v>
      </c>
      <c r="Q387" s="25"/>
      <c r="R387" s="24"/>
      <c r="S387" s="26"/>
      <c r="T387" s="24"/>
      <c r="U387" s="26"/>
      <c r="V387" s="26"/>
      <c r="W387" s="27">
        <v>385</v>
      </c>
      <c r="X387" s="28"/>
    </row>
    <row r="388" ht="31" spans="1:32">
      <c r="A388" s="16" t="s">
        <v>4174</v>
      </c>
      <c r="B388" s="17" t="s">
        <v>4175</v>
      </c>
      <c r="C388" s="30" t="s">
        <v>1790</v>
      </c>
      <c r="D388" s="19" t="e">
        <f>VLOOKUP(C388,#REF!,2,0)</f>
        <v>#REF!</v>
      </c>
      <c r="E388" s="20" t="e">
        <f>VLOOKUP(D388,数据集标准分类!E:F,2,0)</f>
        <v>#REF!</v>
      </c>
      <c r="F388" s="21">
        <v>15</v>
      </c>
      <c r="G388" s="22" t="s">
        <v>703</v>
      </c>
      <c r="H388" s="22" t="s">
        <v>704</v>
      </c>
      <c r="I388" s="22" t="s">
        <v>705</v>
      </c>
      <c r="J388" s="22" t="s">
        <v>704</v>
      </c>
      <c r="K388" s="22" t="s">
        <v>705</v>
      </c>
      <c r="L388" s="22" t="s">
        <v>1947</v>
      </c>
      <c r="M388" s="16" t="s">
        <v>5595</v>
      </c>
      <c r="N388" s="16" t="s">
        <v>5595</v>
      </c>
      <c r="O388" s="23">
        <v>45</v>
      </c>
      <c r="P388" s="24" t="e">
        <f>VLOOKUP(I388,#REF!,2,0)</f>
        <v>#REF!</v>
      </c>
      <c r="Q388" s="25"/>
      <c r="R388" s="24"/>
      <c r="S388" s="26"/>
      <c r="T388" s="24"/>
      <c r="U388" s="26"/>
      <c r="V388" s="26"/>
      <c r="W388" s="27">
        <v>386</v>
      </c>
      <c r="X388" s="28"/>
    </row>
    <row r="389" ht="31" spans="1:32">
      <c r="A389" s="16" t="s">
        <v>4174</v>
      </c>
      <c r="B389" s="17" t="s">
        <v>4175</v>
      </c>
      <c r="C389" s="30" t="s">
        <v>1790</v>
      </c>
      <c r="D389" s="19" t="e">
        <f>VLOOKUP(C389,#REF!,2,0)</f>
        <v>#REF!</v>
      </c>
      <c r="E389" s="20" t="e">
        <f>VLOOKUP(D389,数据集标准分类!E:F,2,0)</f>
        <v>#REF!</v>
      </c>
      <c r="F389" s="21">
        <v>15</v>
      </c>
      <c r="G389" s="22" t="s">
        <v>689</v>
      </c>
      <c r="H389" s="22" t="s">
        <v>690</v>
      </c>
      <c r="I389" s="22" t="s">
        <v>692</v>
      </c>
      <c r="J389" s="22" t="s">
        <v>690</v>
      </c>
      <c r="K389" s="22" t="s">
        <v>692</v>
      </c>
      <c r="L389" s="22" t="s">
        <v>1948</v>
      </c>
      <c r="M389" s="16" t="s">
        <v>5595</v>
      </c>
      <c r="N389" s="16" t="s">
        <v>5595</v>
      </c>
      <c r="O389" s="23">
        <v>46</v>
      </c>
      <c r="P389" s="24" t="e">
        <f>VLOOKUP(I389,#REF!,2,0)</f>
        <v>#REF!</v>
      </c>
      <c r="Q389" s="25"/>
      <c r="R389" s="24"/>
      <c r="S389" s="26"/>
      <c r="T389" s="24"/>
      <c r="U389" s="26"/>
      <c r="V389" s="26"/>
      <c r="W389" s="27">
        <v>387</v>
      </c>
      <c r="X389" s="28"/>
    </row>
    <row r="390" ht="31" spans="1:32">
      <c r="A390" s="16" t="s">
        <v>4174</v>
      </c>
      <c r="B390" s="17" t="s">
        <v>4175</v>
      </c>
      <c r="C390" s="30" t="s">
        <v>1790</v>
      </c>
      <c r="D390" s="19" t="e">
        <f>VLOOKUP(C390,#REF!,2,0)</f>
        <v>#REF!</v>
      </c>
      <c r="E390" s="20" t="e">
        <f>VLOOKUP(D390,数据集标准分类!E:F,2,0)</f>
        <v>#REF!</v>
      </c>
      <c r="F390" s="21">
        <v>15</v>
      </c>
      <c r="G390" s="22" t="s">
        <v>1949</v>
      </c>
      <c r="H390" s="22" t="s">
        <v>1950</v>
      </c>
      <c r="I390" s="22" t="s">
        <v>1952</v>
      </c>
      <c r="J390" s="22" t="s">
        <v>1950</v>
      </c>
      <c r="K390" s="22" t="s">
        <v>1952</v>
      </c>
      <c r="L390" s="22" t="s">
        <v>1953</v>
      </c>
      <c r="M390" s="16" t="s">
        <v>5595</v>
      </c>
      <c r="N390" s="16" t="s">
        <v>5595</v>
      </c>
      <c r="O390" s="23">
        <v>47</v>
      </c>
      <c r="P390" s="24" t="e">
        <f>VLOOKUP(I390,#REF!,2,0)</f>
        <v>#REF!</v>
      </c>
      <c r="Q390" s="25"/>
      <c r="R390" s="24"/>
      <c r="S390" s="26"/>
      <c r="T390" s="24"/>
      <c r="U390" s="26"/>
      <c r="V390" s="26"/>
      <c r="W390" s="27">
        <v>388</v>
      </c>
      <c r="X390" s="28"/>
    </row>
    <row r="391" ht="31" spans="1:32">
      <c r="A391" s="16" t="s">
        <v>4174</v>
      </c>
      <c r="B391" s="17" t="s">
        <v>4175</v>
      </c>
      <c r="C391" s="30" t="s">
        <v>1790</v>
      </c>
      <c r="D391" s="19" t="e">
        <f>VLOOKUP(C391,#REF!,2,0)</f>
        <v>#REF!</v>
      </c>
      <c r="E391" s="20" t="e">
        <f>VLOOKUP(D391,数据集标准分类!E:F,2,0)</f>
        <v>#REF!</v>
      </c>
      <c r="F391" s="21">
        <v>15</v>
      </c>
      <c r="G391" s="22" t="s">
        <v>1954</v>
      </c>
      <c r="H391" s="22" t="s">
        <v>5830</v>
      </c>
      <c r="I391" s="22" t="s">
        <v>1957</v>
      </c>
      <c r="J391" s="22" t="s">
        <v>1955</v>
      </c>
      <c r="K391" s="22" t="s">
        <v>1957</v>
      </c>
      <c r="L391" s="22" t="s">
        <v>1958</v>
      </c>
      <c r="M391" s="16" t="s">
        <v>5593</v>
      </c>
      <c r="N391" s="16" t="s">
        <v>5595</v>
      </c>
      <c r="O391" s="23">
        <v>48</v>
      </c>
      <c r="P391" s="24" t="e">
        <f>VLOOKUP(I391,#REF!,2,0)</f>
        <v>#REF!</v>
      </c>
      <c r="Q391" s="25"/>
      <c r="R391" s="24"/>
      <c r="S391" s="26"/>
      <c r="T391" s="24"/>
      <c r="U391" s="26"/>
      <c r="V391" s="26"/>
      <c r="W391" s="27">
        <v>389</v>
      </c>
      <c r="X391" s="28"/>
    </row>
    <row r="392" ht="31" spans="1:32">
      <c r="A392" s="16" t="s">
        <v>4174</v>
      </c>
      <c r="B392" s="17" t="s">
        <v>4175</v>
      </c>
      <c r="C392" s="30" t="s">
        <v>1790</v>
      </c>
      <c r="D392" s="19" t="e">
        <f>VLOOKUP(C392,#REF!,2,0)</f>
        <v>#REF!</v>
      </c>
      <c r="E392" s="20" t="e">
        <f>VLOOKUP(D392,数据集标准分类!E:F,2,0)</f>
        <v>#REF!</v>
      </c>
      <c r="F392" s="21">
        <v>15</v>
      </c>
      <c r="G392" s="22" t="s">
        <v>1959</v>
      </c>
      <c r="H392" s="22" t="s">
        <v>5764</v>
      </c>
      <c r="I392" s="22" t="s">
        <v>1962</v>
      </c>
      <c r="J392" s="22" t="s">
        <v>1960</v>
      </c>
      <c r="K392" s="22" t="s">
        <v>1962</v>
      </c>
      <c r="L392" s="22" t="s">
        <v>1963</v>
      </c>
      <c r="M392" s="16" t="s">
        <v>5593</v>
      </c>
      <c r="N392" s="16" t="s">
        <v>5595</v>
      </c>
      <c r="O392" s="23">
        <v>49</v>
      </c>
      <c r="P392" s="24" t="e">
        <f>VLOOKUP(I392,#REF!,2,0)</f>
        <v>#REF!</v>
      </c>
      <c r="Q392" s="25"/>
      <c r="R392" s="24"/>
      <c r="S392" s="26"/>
      <c r="T392" s="24"/>
      <c r="U392" s="26"/>
      <c r="V392" s="26"/>
      <c r="W392" s="27">
        <v>390</v>
      </c>
      <c r="X392" s="28"/>
    </row>
    <row r="393" ht="46" spans="1:32">
      <c r="A393" s="16" t="s">
        <v>4174</v>
      </c>
      <c r="B393" s="17" t="s">
        <v>4175</v>
      </c>
      <c r="C393" s="30" t="s">
        <v>1790</v>
      </c>
      <c r="D393" s="19" t="e">
        <f>VLOOKUP(C393,#REF!,2,0)</f>
        <v>#REF!</v>
      </c>
      <c r="E393" s="20" t="e">
        <f>VLOOKUP(D393,数据集标准分类!E:F,2,0)</f>
        <v>#REF!</v>
      </c>
      <c r="F393" s="21">
        <v>15</v>
      </c>
      <c r="G393" s="22" t="s">
        <v>1964</v>
      </c>
      <c r="H393" s="22" t="s">
        <v>5757</v>
      </c>
      <c r="I393" s="22" t="s">
        <v>1967</v>
      </c>
      <c r="J393" s="22" t="s">
        <v>1965</v>
      </c>
      <c r="K393" s="22" t="s">
        <v>1967</v>
      </c>
      <c r="L393" s="22" t="s">
        <v>1968</v>
      </c>
      <c r="M393" s="16" t="s">
        <v>5593</v>
      </c>
      <c r="N393" s="16" t="s">
        <v>5595</v>
      </c>
      <c r="O393" s="23">
        <v>50</v>
      </c>
      <c r="P393" s="24" t="e">
        <f>VLOOKUP(I393,#REF!,2,0)</f>
        <v>#REF!</v>
      </c>
      <c r="Q393" s="25"/>
      <c r="R393" s="24"/>
      <c r="S393" s="26"/>
      <c r="T393" s="24"/>
      <c r="U393" s="26"/>
      <c r="V393" s="26"/>
      <c r="W393" s="27">
        <v>391</v>
      </c>
      <c r="X393" s="28"/>
    </row>
    <row r="394" ht="61" spans="1:32">
      <c r="A394" s="16" t="s">
        <v>4174</v>
      </c>
      <c r="B394" s="17" t="s">
        <v>4175</v>
      </c>
      <c r="C394" s="30" t="s">
        <v>1790</v>
      </c>
      <c r="D394" s="19" t="e">
        <f>VLOOKUP(C394,#REF!,2,0)</f>
        <v>#REF!</v>
      </c>
      <c r="E394" s="20" t="e">
        <f>VLOOKUP(D394,数据集标准分类!E:F,2,0)</f>
        <v>#REF!</v>
      </c>
      <c r="F394" s="21">
        <v>15</v>
      </c>
      <c r="G394" s="22" t="s">
        <v>330</v>
      </c>
      <c r="H394" s="22" t="s">
        <v>331</v>
      </c>
      <c r="I394" s="22" t="s">
        <v>333</v>
      </c>
      <c r="J394" s="22" t="s">
        <v>331</v>
      </c>
      <c r="K394" s="22" t="s">
        <v>333</v>
      </c>
      <c r="L394" s="22" t="s">
        <v>334</v>
      </c>
      <c r="M394" s="16" t="s">
        <v>5595</v>
      </c>
      <c r="N394" s="16" t="s">
        <v>5595</v>
      </c>
      <c r="O394" s="23">
        <v>51</v>
      </c>
      <c r="P394" s="24" t="e">
        <f>VLOOKUP(I394,#REF!,2,0)</f>
        <v>#REF!</v>
      </c>
      <c r="Q394" s="25"/>
      <c r="R394" s="24"/>
      <c r="S394" s="26"/>
      <c r="T394" s="24"/>
      <c r="U394" s="26"/>
      <c r="V394" s="26"/>
      <c r="W394" s="27">
        <v>392</v>
      </c>
      <c r="X394" s="28"/>
    </row>
    <row r="395" ht="46" spans="1:32">
      <c r="A395" s="16" t="s">
        <v>4174</v>
      </c>
      <c r="B395" s="17" t="s">
        <v>4175</v>
      </c>
      <c r="C395" s="30" t="s">
        <v>1790</v>
      </c>
      <c r="D395" s="19" t="e">
        <f>VLOOKUP(C395,#REF!,2,0)</f>
        <v>#REF!</v>
      </c>
      <c r="E395" s="20" t="e">
        <f>VLOOKUP(D395,数据集标准分类!E:F,2,0)</f>
        <v>#REF!</v>
      </c>
      <c r="F395" s="21">
        <v>15</v>
      </c>
      <c r="G395" s="22" t="s">
        <v>1969</v>
      </c>
      <c r="H395" s="22" t="s">
        <v>5832</v>
      </c>
      <c r="I395" s="22" t="s">
        <v>1972</v>
      </c>
      <c r="J395" s="22" t="s">
        <v>1970</v>
      </c>
      <c r="K395" s="22" t="s">
        <v>1972</v>
      </c>
      <c r="L395" s="22" t="s">
        <v>1973</v>
      </c>
      <c r="M395" s="16" t="s">
        <v>5593</v>
      </c>
      <c r="N395" s="16" t="s">
        <v>5595</v>
      </c>
      <c r="O395" s="23">
        <v>52</v>
      </c>
      <c r="P395" s="24" t="e">
        <f>VLOOKUP(I395,#REF!,2,0)</f>
        <v>#REF!</v>
      </c>
      <c r="Q395" s="25"/>
      <c r="R395" s="24"/>
      <c r="S395" s="26"/>
      <c r="T395" s="24"/>
      <c r="U395" s="26"/>
      <c r="V395" s="26"/>
      <c r="W395" s="27">
        <v>393</v>
      </c>
      <c r="X395" s="28"/>
    </row>
    <row r="396" ht="31" spans="1:32">
      <c r="A396" s="16" t="s">
        <v>4174</v>
      </c>
      <c r="B396" s="17" t="s">
        <v>4175</v>
      </c>
      <c r="C396" s="30" t="s">
        <v>1790</v>
      </c>
      <c r="D396" s="19" t="e">
        <f>VLOOKUP(C396,#REF!,2,0)</f>
        <v>#REF!</v>
      </c>
      <c r="E396" s="20" t="e">
        <f>VLOOKUP(D396,数据集标准分类!E:F,2,0)</f>
        <v>#REF!</v>
      </c>
      <c r="F396" s="21">
        <v>15</v>
      </c>
      <c r="G396" s="22" t="s">
        <v>1974</v>
      </c>
      <c r="H396" s="22" t="s">
        <v>5833</v>
      </c>
      <c r="I396" s="22" t="s">
        <v>1977</v>
      </c>
      <c r="J396" s="22" t="s">
        <v>1975</v>
      </c>
      <c r="K396" s="22" t="s">
        <v>1977</v>
      </c>
      <c r="L396" s="22" t="s">
        <v>1978</v>
      </c>
      <c r="M396" s="16" t="s">
        <v>5593</v>
      </c>
      <c r="N396" s="16" t="s">
        <v>5595</v>
      </c>
      <c r="O396" s="23">
        <v>53</v>
      </c>
      <c r="P396" s="24" t="e">
        <f>VLOOKUP(I396,#REF!,2,0)</f>
        <v>#REF!</v>
      </c>
      <c r="Q396" s="25"/>
      <c r="R396" s="24"/>
      <c r="S396" s="26"/>
      <c r="T396" s="24"/>
      <c r="U396" s="26"/>
      <c r="V396" s="26"/>
      <c r="W396" s="27">
        <v>394</v>
      </c>
      <c r="X396" s="28"/>
    </row>
    <row r="397" spans="1:32">
      <c r="A397" s="16" t="s">
        <v>4174</v>
      </c>
      <c r="B397" s="17" t="s">
        <v>4175</v>
      </c>
      <c r="C397" s="30" t="s">
        <v>1790</v>
      </c>
      <c r="D397" s="19" t="e">
        <f>VLOOKUP(C397,#REF!,2,0)</f>
        <v>#REF!</v>
      </c>
      <c r="E397" s="20" t="e">
        <f>VLOOKUP(D397,数据集标准分类!E:F,2,0)</f>
        <v>#REF!</v>
      </c>
      <c r="F397" s="21">
        <v>15</v>
      </c>
      <c r="G397" s="22" t="s">
        <v>1979</v>
      </c>
      <c r="H397" s="22" t="s">
        <v>5834</v>
      </c>
      <c r="I397" s="22" t="s">
        <v>1982</v>
      </c>
      <c r="J397" s="22" t="s">
        <v>1980</v>
      </c>
      <c r="K397" s="22" t="s">
        <v>1982</v>
      </c>
      <c r="L397" s="22" t="s">
        <v>1983</v>
      </c>
      <c r="M397" s="16" t="s">
        <v>5593</v>
      </c>
      <c r="N397" s="16" t="s">
        <v>5595</v>
      </c>
      <c r="O397" s="23">
        <v>54</v>
      </c>
      <c r="P397" s="24" t="e">
        <f>VLOOKUP(I397,#REF!,2,0)</f>
        <v>#REF!</v>
      </c>
      <c r="Q397" s="25"/>
      <c r="R397" s="24"/>
      <c r="S397" s="26"/>
      <c r="T397" s="24"/>
      <c r="U397" s="26"/>
      <c r="V397" s="26"/>
      <c r="W397" s="27">
        <v>395</v>
      </c>
      <c r="X397" s="28"/>
    </row>
    <row r="398" ht="31" spans="1:32">
      <c r="A398" s="16" t="s">
        <v>4174</v>
      </c>
      <c r="B398" s="17" t="s">
        <v>4175</v>
      </c>
      <c r="C398" s="30" t="s">
        <v>1790</v>
      </c>
      <c r="D398" s="19" t="e">
        <f>VLOOKUP(C398,#REF!,2,0)</f>
        <v>#REF!</v>
      </c>
      <c r="E398" s="20" t="e">
        <f>VLOOKUP(D398,数据集标准分类!E:F,2,0)</f>
        <v>#REF!</v>
      </c>
      <c r="F398" s="21">
        <v>15</v>
      </c>
      <c r="G398" s="22" t="s">
        <v>1984</v>
      </c>
      <c r="H398" s="22" t="s">
        <v>5835</v>
      </c>
      <c r="I398" s="22" t="s">
        <v>1987</v>
      </c>
      <c r="J398" s="22" t="s">
        <v>1985</v>
      </c>
      <c r="K398" s="22" t="s">
        <v>1987</v>
      </c>
      <c r="L398" s="22" t="s">
        <v>1988</v>
      </c>
      <c r="M398" s="16" t="s">
        <v>5593</v>
      </c>
      <c r="N398" s="16" t="s">
        <v>5595</v>
      </c>
      <c r="O398" s="23">
        <v>55</v>
      </c>
      <c r="P398" s="24" t="e">
        <f>VLOOKUP(I398,#REF!,2,0)</f>
        <v>#REF!</v>
      </c>
      <c r="Q398" s="25"/>
      <c r="R398" s="24"/>
      <c r="S398" s="26"/>
      <c r="T398" s="24"/>
      <c r="U398" s="26"/>
      <c r="V398" s="26"/>
      <c r="W398" s="27">
        <v>396</v>
      </c>
      <c r="X398" s="28"/>
    </row>
    <row r="399" ht="61" spans="1:32">
      <c r="A399" s="16" t="s">
        <v>4174</v>
      </c>
      <c r="B399" s="17" t="s">
        <v>4175</v>
      </c>
      <c r="C399" s="30" t="s">
        <v>1790</v>
      </c>
      <c r="D399" s="19" t="e">
        <f>VLOOKUP(C399,#REF!,2,0)</f>
        <v>#REF!</v>
      </c>
      <c r="E399" s="20" t="e">
        <f>VLOOKUP(D399,数据集标准分类!E:F,2,0)</f>
        <v>#REF!</v>
      </c>
      <c r="F399" s="21">
        <v>15</v>
      </c>
      <c r="G399" s="22" t="s">
        <v>1989</v>
      </c>
      <c r="H399" s="22" t="s">
        <v>1990</v>
      </c>
      <c r="I399" s="22" t="s">
        <v>1992</v>
      </c>
      <c r="J399" s="22" t="s">
        <v>1990</v>
      </c>
      <c r="K399" s="22" t="s">
        <v>1992</v>
      </c>
      <c r="L399" s="22" t="s">
        <v>1993</v>
      </c>
      <c r="M399" s="16" t="s">
        <v>5595</v>
      </c>
      <c r="N399" s="16" t="s">
        <v>5595</v>
      </c>
      <c r="O399" s="23">
        <v>56</v>
      </c>
      <c r="P399" s="24" t="e">
        <f>VLOOKUP(I399,#REF!,2,0)</f>
        <v>#REF!</v>
      </c>
      <c r="Q399" s="25"/>
      <c r="R399" s="24"/>
      <c r="S399" s="26"/>
      <c r="T399" s="24"/>
      <c r="U399" s="26"/>
      <c r="V399" s="26"/>
      <c r="W399" s="27">
        <v>397</v>
      </c>
      <c r="X399" s="28"/>
    </row>
    <row r="400" spans="1:32">
      <c r="A400" s="16" t="s">
        <v>4174</v>
      </c>
      <c r="B400" s="17" t="s">
        <v>4175</v>
      </c>
      <c r="C400" s="30" t="s">
        <v>1790</v>
      </c>
      <c r="D400" s="19" t="e">
        <f>VLOOKUP(C400,#REF!,2,0)</f>
        <v>#REF!</v>
      </c>
      <c r="E400" s="20" t="e">
        <f>VLOOKUP(D400,数据集标准分类!E:F,2,0)</f>
        <v>#REF!</v>
      </c>
      <c r="F400" s="21">
        <v>15</v>
      </c>
      <c r="G400" s="22" t="s">
        <v>1994</v>
      </c>
      <c r="H400" s="22" t="s">
        <v>5836</v>
      </c>
      <c r="I400" s="22" t="s">
        <v>1997</v>
      </c>
      <c r="J400" s="22" t="s">
        <v>1995</v>
      </c>
      <c r="K400" s="22" t="s">
        <v>1997</v>
      </c>
      <c r="L400" s="22" t="s">
        <v>1998</v>
      </c>
      <c r="M400" s="16" t="s">
        <v>5593</v>
      </c>
      <c r="N400" s="16" t="s">
        <v>5595</v>
      </c>
      <c r="O400" s="23">
        <v>57</v>
      </c>
      <c r="P400" s="24" t="e">
        <f>VLOOKUP(I400,#REF!,2,0)</f>
        <v>#REF!</v>
      </c>
      <c r="Q400" s="25"/>
      <c r="R400" s="24"/>
      <c r="S400" s="26"/>
      <c r="T400" s="24"/>
      <c r="U400" s="26"/>
      <c r="V400" s="26"/>
      <c r="W400" s="27">
        <v>398</v>
      </c>
      <c r="X400" s="28"/>
    </row>
    <row r="401" ht="24" customHeight="1" spans="1:32">
      <c r="A401" s="16" t="s">
        <v>4174</v>
      </c>
      <c r="B401" s="17" t="s">
        <v>4175</v>
      </c>
      <c r="C401" s="30" t="s">
        <v>1790</v>
      </c>
      <c r="D401" s="19" t="e">
        <f>VLOOKUP(C401,#REF!,2,0)</f>
        <v>#REF!</v>
      </c>
      <c r="E401" s="20" t="e">
        <f>VLOOKUP(D401,数据集标准分类!E:F,2,0)</f>
        <v>#REF!</v>
      </c>
      <c r="F401" s="21">
        <v>15</v>
      </c>
      <c r="G401" s="22" t="s">
        <v>1999</v>
      </c>
      <c r="H401" s="22" t="s">
        <v>5837</v>
      </c>
      <c r="I401" s="22" t="s">
        <v>2002</v>
      </c>
      <c r="J401" s="22" t="s">
        <v>2000</v>
      </c>
      <c r="K401" s="22" t="s">
        <v>2002</v>
      </c>
      <c r="L401" s="22" t="s">
        <v>2003</v>
      </c>
      <c r="M401" s="16" t="s">
        <v>5593</v>
      </c>
      <c r="N401" s="16" t="s">
        <v>5595</v>
      </c>
      <c r="O401" s="23">
        <v>58</v>
      </c>
      <c r="P401" s="24" t="e">
        <f>VLOOKUP(I401,#REF!,2,0)</f>
        <v>#REF!</v>
      </c>
      <c r="Q401" s="25"/>
      <c r="R401" s="24"/>
      <c r="S401" s="26"/>
      <c r="T401" s="24"/>
      <c r="U401" s="26"/>
      <c r="V401" s="26"/>
      <c r="W401" s="27">
        <v>399</v>
      </c>
      <c r="X401" s="28"/>
    </row>
    <row r="402" ht="61" spans="1:32">
      <c r="A402" s="16" t="s">
        <v>4174</v>
      </c>
      <c r="B402" s="17" t="s">
        <v>4175</v>
      </c>
      <c r="C402" s="30" t="s">
        <v>1790</v>
      </c>
      <c r="D402" s="19" t="e">
        <f>VLOOKUP(C402,#REF!,2,0)</f>
        <v>#REF!</v>
      </c>
      <c r="E402" s="20" t="e">
        <f>VLOOKUP(D402,数据集标准分类!E:F,2,0)</f>
        <v>#REF!</v>
      </c>
      <c r="F402" s="21">
        <v>15</v>
      </c>
      <c r="G402" s="22" t="s">
        <v>2004</v>
      </c>
      <c r="H402" s="22" t="s">
        <v>5862</v>
      </c>
      <c r="I402" s="22" t="s">
        <v>2007</v>
      </c>
      <c r="J402" s="22" t="s">
        <v>2005</v>
      </c>
      <c r="K402" s="22" t="s">
        <v>2007</v>
      </c>
      <c r="L402" s="22" t="s">
        <v>2008</v>
      </c>
      <c r="M402" s="16" t="s">
        <v>5593</v>
      </c>
      <c r="N402" s="16" t="s">
        <v>5595</v>
      </c>
      <c r="O402" s="23">
        <v>59</v>
      </c>
      <c r="P402" s="24" t="e">
        <f>VLOOKUP(I402,#REF!,2,0)</f>
        <v>#REF!</v>
      </c>
      <c r="Q402" s="25"/>
      <c r="R402" s="24"/>
      <c r="S402" s="26" t="s">
        <v>5593</v>
      </c>
      <c r="T402" s="24"/>
      <c r="U402" s="26"/>
      <c r="V402" s="26"/>
      <c r="W402" s="27">
        <v>400</v>
      </c>
      <c r="X402" s="28"/>
    </row>
    <row r="403" ht="31" spans="1:32">
      <c r="A403" s="31" t="s">
        <v>4174</v>
      </c>
      <c r="B403" s="32" t="s">
        <v>4175</v>
      </c>
      <c r="C403" s="33" t="s">
        <v>3434</v>
      </c>
      <c r="D403" s="34" t="e">
        <f>VLOOKUP(C403,#REF!,2,0)</f>
        <v>#REF!</v>
      </c>
      <c r="E403" s="35" t="e">
        <f>VLOOKUP(D403,数据集标准分类!E:F,2,0)</f>
        <v>#REF!</v>
      </c>
      <c r="F403" s="36">
        <v>16</v>
      </c>
      <c r="G403" s="37" t="s">
        <v>172</v>
      </c>
      <c r="H403" s="37" t="s">
        <v>5639</v>
      </c>
      <c r="I403" s="37" t="s">
        <v>5640</v>
      </c>
      <c r="J403" s="37" t="s">
        <v>173</v>
      </c>
      <c r="K403" s="37" t="s">
        <v>175</v>
      </c>
      <c r="L403" s="37" t="s">
        <v>1245</v>
      </c>
      <c r="M403" s="31" t="s">
        <v>5593</v>
      </c>
      <c r="N403" s="31" t="s">
        <v>5593</v>
      </c>
      <c r="O403" s="38">
        <v>1</v>
      </c>
      <c r="P403" s="39" t="e">
        <f>VLOOKUP(I403,#REF!,2,0)</f>
        <v>#REF!</v>
      </c>
      <c r="Q403" s="40"/>
      <c r="R403" s="39"/>
      <c r="S403" s="41"/>
      <c r="T403" s="39"/>
      <c r="U403" s="41"/>
      <c r="V403" s="41"/>
      <c r="W403" s="42">
        <v>401</v>
      </c>
      <c r="X403" s="43"/>
      <c r="Y403" s="44"/>
      <c r="Z403" s="44"/>
      <c r="AA403" s="44"/>
      <c r="AB403" s="44"/>
      <c r="AC403" s="44"/>
      <c r="AD403" s="44"/>
      <c r="AE403" s="44"/>
      <c r="AF403" s="44"/>
    </row>
    <row r="404" ht="31" spans="1:32">
      <c r="A404" s="50" t="s">
        <v>4174</v>
      </c>
      <c r="B404" s="51" t="s">
        <v>4175</v>
      </c>
      <c r="C404" s="52" t="s">
        <v>3434</v>
      </c>
      <c r="D404" s="53" t="e">
        <f>VLOOKUP(C404,#REF!,2,0)</f>
        <v>#REF!</v>
      </c>
      <c r="E404" s="20" t="e">
        <f>VLOOKUP(D404,数据集标准分类!E:F,2,0)</f>
        <v>#REF!</v>
      </c>
      <c r="F404" s="54">
        <v>16</v>
      </c>
      <c r="G404" s="55" t="s">
        <v>3436</v>
      </c>
      <c r="H404" s="55" t="s">
        <v>3437</v>
      </c>
      <c r="I404" s="55" t="s">
        <v>3439</v>
      </c>
      <c r="J404" s="55" t="s">
        <v>3437</v>
      </c>
      <c r="K404" s="55" t="s">
        <v>3439</v>
      </c>
      <c r="L404" s="55" t="s">
        <v>3440</v>
      </c>
      <c r="M404" s="50" t="s">
        <v>5595</v>
      </c>
      <c r="N404" s="50" t="s">
        <v>5595</v>
      </c>
      <c r="O404" s="56">
        <v>2</v>
      </c>
      <c r="P404" s="57" t="e">
        <f>VLOOKUP(I404,#REF!,2,0)</f>
        <v>#REF!</v>
      </c>
      <c r="Q404" s="58"/>
      <c r="R404" s="57"/>
      <c r="S404" s="59"/>
      <c r="T404" s="57"/>
      <c r="U404" s="59"/>
      <c r="V404" s="59"/>
      <c r="W404" s="60">
        <v>402</v>
      </c>
      <c r="X404" s="61"/>
      <c r="Y404" s="62"/>
      <c r="Z404" s="62"/>
      <c r="AA404" s="62"/>
      <c r="AB404" s="62"/>
      <c r="AC404" s="62"/>
      <c r="AD404" s="62"/>
      <c r="AE404" s="62"/>
      <c r="AF404" s="62"/>
    </row>
    <row r="405" ht="31" spans="1:32">
      <c r="A405" s="50" t="s">
        <v>4174</v>
      </c>
      <c r="B405" s="51" t="s">
        <v>4175</v>
      </c>
      <c r="C405" s="52" t="s">
        <v>3434</v>
      </c>
      <c r="D405" s="53" t="e">
        <f>VLOOKUP(C405,#REF!,2,0)</f>
        <v>#REF!</v>
      </c>
      <c r="E405" s="20" t="e">
        <f>VLOOKUP(D405,数据集标准分类!E:F,2,0)</f>
        <v>#REF!</v>
      </c>
      <c r="F405" s="54">
        <v>16</v>
      </c>
      <c r="G405" s="55" t="s">
        <v>3441</v>
      </c>
      <c r="H405" s="55" t="s">
        <v>3442</v>
      </c>
      <c r="I405" s="55" t="s">
        <v>3444</v>
      </c>
      <c r="J405" s="55" t="s">
        <v>3442</v>
      </c>
      <c r="K405" s="55" t="s">
        <v>3444</v>
      </c>
      <c r="L405" s="55" t="s">
        <v>3445</v>
      </c>
      <c r="M405" s="50" t="s">
        <v>5595</v>
      </c>
      <c r="N405" s="50" t="s">
        <v>5595</v>
      </c>
      <c r="O405" s="56">
        <v>3</v>
      </c>
      <c r="P405" s="57" t="e">
        <f>VLOOKUP(I405,#REF!,2,0)</f>
        <v>#REF!</v>
      </c>
      <c r="Q405" s="58"/>
      <c r="R405" s="57"/>
      <c r="S405" s="59"/>
      <c r="T405" s="57"/>
      <c r="U405" s="59"/>
      <c r="V405" s="59"/>
      <c r="W405" s="60">
        <v>403</v>
      </c>
      <c r="X405" s="61"/>
      <c r="Y405" s="62"/>
      <c r="Z405" s="62"/>
      <c r="AA405" s="62"/>
      <c r="AB405" s="62"/>
      <c r="AC405" s="62"/>
      <c r="AD405" s="62"/>
      <c r="AE405" s="62"/>
      <c r="AF405" s="62"/>
    </row>
    <row r="406" ht="31" spans="1:32">
      <c r="A406" s="50" t="s">
        <v>4174</v>
      </c>
      <c r="B406" s="51" t="s">
        <v>4175</v>
      </c>
      <c r="C406" s="52" t="s">
        <v>3434</v>
      </c>
      <c r="D406" s="53" t="e">
        <f>VLOOKUP(C406,#REF!,2,0)</f>
        <v>#REF!</v>
      </c>
      <c r="E406" s="20" t="e">
        <f>VLOOKUP(D406,数据集标准分类!E:F,2,0)</f>
        <v>#REF!</v>
      </c>
      <c r="F406" s="54">
        <v>16</v>
      </c>
      <c r="G406" s="55" t="s">
        <v>508</v>
      </c>
      <c r="H406" s="55" t="s">
        <v>5594</v>
      </c>
      <c r="I406" s="55" t="s">
        <v>511</v>
      </c>
      <c r="J406" s="55" t="s">
        <v>509</v>
      </c>
      <c r="K406" s="55" t="s">
        <v>511</v>
      </c>
      <c r="L406" s="55" t="s">
        <v>116</v>
      </c>
      <c r="M406" s="50" t="s">
        <v>5593</v>
      </c>
      <c r="N406" s="50" t="s">
        <v>5595</v>
      </c>
      <c r="O406" s="56">
        <v>4</v>
      </c>
      <c r="P406" s="57" t="e">
        <f>VLOOKUP(I406,#REF!,2,0)</f>
        <v>#REF!</v>
      </c>
      <c r="Q406" s="58"/>
      <c r="R406" s="57"/>
      <c r="S406" s="59"/>
      <c r="T406" s="57"/>
      <c r="U406" s="59"/>
      <c r="V406" s="59"/>
      <c r="W406" s="60">
        <v>404</v>
      </c>
      <c r="X406" s="61"/>
      <c r="Y406" s="62"/>
      <c r="Z406" s="62"/>
      <c r="AA406" s="62"/>
      <c r="AB406" s="62"/>
      <c r="AC406" s="62"/>
      <c r="AD406" s="62"/>
      <c r="AE406" s="62"/>
      <c r="AF406" s="62"/>
    </row>
    <row r="407" ht="31" spans="1:32">
      <c r="A407" s="50" t="s">
        <v>4174</v>
      </c>
      <c r="B407" s="51" t="s">
        <v>4175</v>
      </c>
      <c r="C407" s="52" t="s">
        <v>3434</v>
      </c>
      <c r="D407" s="53" t="e">
        <f>VLOOKUP(C407,#REF!,2,0)</f>
        <v>#REF!</v>
      </c>
      <c r="E407" s="20" t="e">
        <f>VLOOKUP(D407,数据集标准分类!E:F,2,0)</f>
        <v>#REF!</v>
      </c>
      <c r="F407" s="54">
        <v>16</v>
      </c>
      <c r="G407" s="55" t="s">
        <v>711</v>
      </c>
      <c r="H407" s="55" t="s">
        <v>712</v>
      </c>
      <c r="I407" s="55" t="s">
        <v>713</v>
      </c>
      <c r="J407" s="55" t="s">
        <v>712</v>
      </c>
      <c r="K407" s="55" t="s">
        <v>713</v>
      </c>
      <c r="L407" s="55" t="s">
        <v>714</v>
      </c>
      <c r="M407" s="50" t="s">
        <v>5595</v>
      </c>
      <c r="N407" s="50" t="s">
        <v>5595</v>
      </c>
      <c r="O407" s="56">
        <v>5</v>
      </c>
      <c r="P407" s="57" t="e">
        <f>VLOOKUP(I407,#REF!,2,0)</f>
        <v>#REF!</v>
      </c>
      <c r="Q407" s="58"/>
      <c r="R407" s="57"/>
      <c r="S407" s="59"/>
      <c r="T407" s="57"/>
      <c r="U407" s="59"/>
      <c r="V407" s="59"/>
      <c r="W407" s="60">
        <v>405</v>
      </c>
      <c r="X407" s="61"/>
      <c r="Y407" s="62"/>
      <c r="Z407" s="62"/>
      <c r="AA407" s="62"/>
      <c r="AB407" s="62"/>
      <c r="AC407" s="62"/>
      <c r="AD407" s="62"/>
      <c r="AE407" s="62"/>
      <c r="AF407" s="62"/>
    </row>
    <row r="408" ht="31" spans="1:32">
      <c r="A408" s="31" t="s">
        <v>4174</v>
      </c>
      <c r="B408" s="32" t="s">
        <v>4175</v>
      </c>
      <c r="C408" s="33" t="s">
        <v>3434</v>
      </c>
      <c r="D408" s="34" t="e">
        <f>VLOOKUP(C408,#REF!,2,0)</f>
        <v>#REF!</v>
      </c>
      <c r="E408" s="35" t="e">
        <f>VLOOKUP(D408,数据集标准分类!E:F,2,0)</f>
        <v>#REF!</v>
      </c>
      <c r="F408" s="36">
        <v>16</v>
      </c>
      <c r="G408" s="37" t="s">
        <v>684</v>
      </c>
      <c r="H408" s="37" t="s">
        <v>5716</v>
      </c>
      <c r="I408" s="37" t="s">
        <v>687</v>
      </c>
      <c r="J408" s="37" t="s">
        <v>685</v>
      </c>
      <c r="K408" s="37" t="s">
        <v>687</v>
      </c>
      <c r="L408" s="37" t="s">
        <v>688</v>
      </c>
      <c r="M408" s="31" t="s">
        <v>5593</v>
      </c>
      <c r="N408" s="31" t="s">
        <v>5595</v>
      </c>
      <c r="O408" s="38">
        <v>6</v>
      </c>
      <c r="P408" s="39" t="e">
        <f>VLOOKUP(I408,#REF!,2,0)</f>
        <v>#REF!</v>
      </c>
      <c r="Q408" s="40"/>
      <c r="R408" s="39"/>
      <c r="S408" s="41"/>
      <c r="T408" s="39"/>
      <c r="U408" s="41"/>
      <c r="V408" s="41"/>
      <c r="W408" s="42">
        <v>406</v>
      </c>
      <c r="X408" s="43"/>
      <c r="Y408" s="44"/>
      <c r="Z408" s="44"/>
      <c r="AA408" s="44"/>
      <c r="AB408" s="44"/>
      <c r="AC408" s="44"/>
      <c r="AD408" s="44"/>
      <c r="AE408" s="44"/>
      <c r="AF408" s="44"/>
    </row>
    <row r="409" ht="31" spans="1:32">
      <c r="A409" s="31" t="s">
        <v>4174</v>
      </c>
      <c r="B409" s="32" t="s">
        <v>4175</v>
      </c>
      <c r="C409" s="33" t="s">
        <v>3434</v>
      </c>
      <c r="D409" s="34" t="e">
        <f>VLOOKUP(C409,#REF!,2,0)</f>
        <v>#REF!</v>
      </c>
      <c r="E409" s="35" t="e">
        <f>VLOOKUP(D409,数据集标准分类!E:F,2,0)</f>
        <v>#REF!</v>
      </c>
      <c r="F409" s="36">
        <v>16</v>
      </c>
      <c r="G409" s="37" t="s">
        <v>694</v>
      </c>
      <c r="H409" s="37" t="s">
        <v>5717</v>
      </c>
      <c r="I409" s="37" t="s">
        <v>697</v>
      </c>
      <c r="J409" s="37" t="s">
        <v>695</v>
      </c>
      <c r="K409" s="37" t="s">
        <v>697</v>
      </c>
      <c r="L409" s="37" t="s">
        <v>2057</v>
      </c>
      <c r="M409" s="31" t="s">
        <v>5593</v>
      </c>
      <c r="N409" s="31" t="s">
        <v>5595</v>
      </c>
      <c r="O409" s="38">
        <v>7</v>
      </c>
      <c r="P409" s="39" t="e">
        <f>VLOOKUP(I409,#REF!,2,0)</f>
        <v>#REF!</v>
      </c>
      <c r="Q409" s="40"/>
      <c r="R409" s="39"/>
      <c r="S409" s="41"/>
      <c r="T409" s="39"/>
      <c r="U409" s="41"/>
      <c r="V409" s="41"/>
      <c r="W409" s="42">
        <v>407</v>
      </c>
      <c r="X409" s="43"/>
      <c r="Y409" s="44"/>
      <c r="Z409" s="44"/>
      <c r="AA409" s="44"/>
      <c r="AB409" s="44"/>
      <c r="AC409" s="44"/>
      <c r="AD409" s="44"/>
      <c r="AE409" s="44"/>
      <c r="AF409" s="44"/>
    </row>
    <row r="410" ht="31" spans="1:32">
      <c r="A410" s="31" t="s">
        <v>4174</v>
      </c>
      <c r="B410" s="32" t="s">
        <v>4175</v>
      </c>
      <c r="C410" s="33" t="s">
        <v>3434</v>
      </c>
      <c r="D410" s="34" t="e">
        <f>VLOOKUP(C410,#REF!,2,0)</f>
        <v>#REF!</v>
      </c>
      <c r="E410" s="35" t="e">
        <f>VLOOKUP(D410,数据集标准分类!E:F,2,0)</f>
        <v>#REF!</v>
      </c>
      <c r="F410" s="36">
        <v>16</v>
      </c>
      <c r="G410" s="37" t="s">
        <v>689</v>
      </c>
      <c r="H410" s="37" t="s">
        <v>690</v>
      </c>
      <c r="I410" s="37" t="s">
        <v>692</v>
      </c>
      <c r="J410" s="37" t="s">
        <v>690</v>
      </c>
      <c r="K410" s="37" t="s">
        <v>692</v>
      </c>
      <c r="L410" s="37" t="s">
        <v>693</v>
      </c>
      <c r="M410" s="31" t="s">
        <v>5595</v>
      </c>
      <c r="N410" s="31" t="s">
        <v>5595</v>
      </c>
      <c r="O410" s="38">
        <v>8</v>
      </c>
      <c r="P410" s="39" t="e">
        <f>VLOOKUP(I410,#REF!,2,0)</f>
        <v>#REF!</v>
      </c>
      <c r="Q410" s="40"/>
      <c r="R410" s="39"/>
      <c r="S410" s="41"/>
      <c r="T410" s="39"/>
      <c r="U410" s="41"/>
      <c r="V410" s="41"/>
      <c r="W410" s="42">
        <v>408</v>
      </c>
      <c r="X410" s="43"/>
      <c r="Y410" s="44"/>
      <c r="Z410" s="44"/>
      <c r="AA410" s="44"/>
      <c r="AB410" s="44"/>
      <c r="AC410" s="44"/>
      <c r="AD410" s="44"/>
      <c r="AE410" s="44"/>
      <c r="AF410" s="44"/>
    </row>
    <row r="411" ht="31" spans="1:32">
      <c r="A411" s="31" t="s">
        <v>4174</v>
      </c>
      <c r="B411" s="32" t="s">
        <v>4175</v>
      </c>
      <c r="C411" s="33" t="s">
        <v>3434</v>
      </c>
      <c r="D411" s="34" t="e">
        <f>VLOOKUP(C411,#REF!,2,0)</f>
        <v>#REF!</v>
      </c>
      <c r="E411" s="35" t="e">
        <f>VLOOKUP(D411,数据集标准分类!E:F,2,0)</f>
        <v>#REF!</v>
      </c>
      <c r="F411" s="36">
        <v>16</v>
      </c>
      <c r="G411" s="37" t="s">
        <v>699</v>
      </c>
      <c r="H411" s="37" t="s">
        <v>700</v>
      </c>
      <c r="I411" s="37" t="s">
        <v>701</v>
      </c>
      <c r="J411" s="37" t="s">
        <v>700</v>
      </c>
      <c r="K411" s="37" t="s">
        <v>701</v>
      </c>
      <c r="L411" s="37" t="s">
        <v>702</v>
      </c>
      <c r="M411" s="31" t="s">
        <v>5595</v>
      </c>
      <c r="N411" s="31" t="s">
        <v>5595</v>
      </c>
      <c r="O411" s="38">
        <v>9</v>
      </c>
      <c r="P411" s="39" t="e">
        <f>VLOOKUP(I411,#REF!,2,0)</f>
        <v>#REF!</v>
      </c>
      <c r="Q411" s="40"/>
      <c r="R411" s="39"/>
      <c r="S411" s="41"/>
      <c r="T411" s="39"/>
      <c r="U411" s="41"/>
      <c r="V411" s="41"/>
      <c r="W411" s="42">
        <v>409</v>
      </c>
      <c r="X411" s="43"/>
      <c r="Y411" s="44"/>
      <c r="Z411" s="44"/>
      <c r="AA411" s="44"/>
      <c r="AB411" s="44"/>
      <c r="AC411" s="44"/>
      <c r="AD411" s="44"/>
      <c r="AE411" s="44"/>
      <c r="AF411" s="44"/>
    </row>
    <row r="412" ht="31" spans="1:32">
      <c r="A412" s="31" t="s">
        <v>4174</v>
      </c>
      <c r="B412" s="32" t="s">
        <v>4175</v>
      </c>
      <c r="C412" s="33" t="s">
        <v>3434</v>
      </c>
      <c r="D412" s="34" t="e">
        <f>VLOOKUP(C412,#REF!,2,0)</f>
        <v>#REF!</v>
      </c>
      <c r="E412" s="35" t="e">
        <f>VLOOKUP(D412,数据集标准分类!E:F,2,0)</f>
        <v>#REF!</v>
      </c>
      <c r="F412" s="36">
        <v>16</v>
      </c>
      <c r="G412" s="37" t="s">
        <v>703</v>
      </c>
      <c r="H412" s="37" t="s">
        <v>704</v>
      </c>
      <c r="I412" s="37" t="s">
        <v>705</v>
      </c>
      <c r="J412" s="37" t="s">
        <v>704</v>
      </c>
      <c r="K412" s="37" t="s">
        <v>705</v>
      </c>
      <c r="L412" s="37" t="s">
        <v>706</v>
      </c>
      <c r="M412" s="31" t="s">
        <v>5595</v>
      </c>
      <c r="N412" s="31" t="s">
        <v>5595</v>
      </c>
      <c r="O412" s="38">
        <v>10</v>
      </c>
      <c r="P412" s="39" t="e">
        <f>VLOOKUP(I412,#REF!,2,0)</f>
        <v>#REF!</v>
      </c>
      <c r="Q412" s="40"/>
      <c r="R412" s="39"/>
      <c r="S412" s="41"/>
      <c r="T412" s="39"/>
      <c r="U412" s="41"/>
      <c r="V412" s="41"/>
      <c r="W412" s="42">
        <v>410</v>
      </c>
      <c r="X412" s="43"/>
      <c r="Y412" s="44"/>
      <c r="Z412" s="44"/>
      <c r="AA412" s="44"/>
      <c r="AB412" s="44"/>
      <c r="AC412" s="44"/>
      <c r="AD412" s="44"/>
      <c r="AE412" s="44"/>
      <c r="AF412" s="44"/>
    </row>
    <row r="413" ht="31" spans="1:32">
      <c r="A413" s="50" t="s">
        <v>4174</v>
      </c>
      <c r="B413" s="51" t="s">
        <v>4175</v>
      </c>
      <c r="C413" s="52" t="s">
        <v>3434</v>
      </c>
      <c r="D413" s="53" t="e">
        <f>VLOOKUP(C413,#REF!,2,0)</f>
        <v>#REF!</v>
      </c>
      <c r="E413" s="20" t="e">
        <f>VLOOKUP(D413,数据集标准分类!E:F,2,0)</f>
        <v>#REF!</v>
      </c>
      <c r="F413" s="54">
        <v>16</v>
      </c>
      <c r="G413" s="55" t="s">
        <v>3446</v>
      </c>
      <c r="H413" s="55" t="s">
        <v>3447</v>
      </c>
      <c r="I413" s="55" t="s">
        <v>3449</v>
      </c>
      <c r="J413" s="55" t="s">
        <v>3447</v>
      </c>
      <c r="K413" s="55" t="s">
        <v>3449</v>
      </c>
      <c r="L413" s="55" t="s">
        <v>3450</v>
      </c>
      <c r="M413" s="50" t="s">
        <v>5595</v>
      </c>
      <c r="N413" s="50" t="s">
        <v>5595</v>
      </c>
      <c r="O413" s="56">
        <v>11</v>
      </c>
      <c r="P413" s="57" t="e">
        <f>VLOOKUP(I413,#REF!,2,0)</f>
        <v>#REF!</v>
      </c>
      <c r="Q413" s="58"/>
      <c r="R413" s="57"/>
      <c r="S413" s="59"/>
      <c r="T413" s="57"/>
      <c r="U413" s="59"/>
      <c r="V413" s="59" t="s">
        <v>5593</v>
      </c>
      <c r="W413" s="60">
        <v>411</v>
      </c>
      <c r="X413" s="61"/>
      <c r="Y413" s="62"/>
      <c r="Z413" s="62"/>
      <c r="AA413" s="62"/>
      <c r="AB413" s="62"/>
      <c r="AC413" s="62"/>
      <c r="AD413" s="62"/>
      <c r="AE413" s="62"/>
      <c r="AF413" s="62"/>
    </row>
    <row r="414" ht="31" spans="1:32">
      <c r="A414" s="50" t="s">
        <v>4174</v>
      </c>
      <c r="B414" s="51" t="s">
        <v>4175</v>
      </c>
      <c r="C414" s="52" t="s">
        <v>3434</v>
      </c>
      <c r="D414" s="53" t="e">
        <f>VLOOKUP(C414,#REF!,2,0)</f>
        <v>#REF!</v>
      </c>
      <c r="E414" s="20" t="e">
        <f>VLOOKUP(D414,数据集标准分类!E:F,2,0)</f>
        <v>#REF!</v>
      </c>
      <c r="F414" s="54">
        <v>16</v>
      </c>
      <c r="G414" s="55" t="s">
        <v>3451</v>
      </c>
      <c r="H414" s="55" t="s">
        <v>5863</v>
      </c>
      <c r="I414" s="55" t="s">
        <v>5864</v>
      </c>
      <c r="J414" s="55" t="s">
        <v>3452</v>
      </c>
      <c r="K414" s="55" t="s">
        <v>3454</v>
      </c>
      <c r="L414" s="55" t="s">
        <v>3455</v>
      </c>
      <c r="M414" s="50" t="s">
        <v>5593</v>
      </c>
      <c r="N414" s="50" t="s">
        <v>5593</v>
      </c>
      <c r="O414" s="56">
        <v>12</v>
      </c>
      <c r="P414" s="57" t="e">
        <f>VLOOKUP(I414,#REF!,2,0)</f>
        <v>#REF!</v>
      </c>
      <c r="Q414" s="58"/>
      <c r="R414" s="57"/>
      <c r="S414" s="59"/>
      <c r="T414" s="57"/>
      <c r="U414" s="59"/>
      <c r="V414" s="59" t="s">
        <v>5593</v>
      </c>
      <c r="W414" s="60">
        <v>412</v>
      </c>
      <c r="X414" s="61"/>
      <c r="Y414" s="62"/>
      <c r="Z414" s="62"/>
      <c r="AA414" s="62"/>
      <c r="AB414" s="62"/>
      <c r="AC414" s="62"/>
      <c r="AD414" s="62"/>
      <c r="AE414" s="62"/>
      <c r="AF414" s="62"/>
    </row>
    <row r="415" ht="31" spans="1:32">
      <c r="A415" s="50" t="s">
        <v>4174</v>
      </c>
      <c r="B415" s="51" t="s">
        <v>4175</v>
      </c>
      <c r="C415" s="52" t="s">
        <v>3434</v>
      </c>
      <c r="D415" s="53" t="e">
        <f>VLOOKUP(C415,#REF!,2,0)</f>
        <v>#REF!</v>
      </c>
      <c r="E415" s="20" t="e">
        <f>VLOOKUP(D415,数据集标准分类!E:F,2,0)</f>
        <v>#REF!</v>
      </c>
      <c r="F415" s="54">
        <v>16</v>
      </c>
      <c r="G415" s="55" t="s">
        <v>3260</v>
      </c>
      <c r="H415" s="55" t="s">
        <v>5865</v>
      </c>
      <c r="I415" s="55" t="s">
        <v>3263</v>
      </c>
      <c r="J415" s="55" t="s">
        <v>3261</v>
      </c>
      <c r="K415" s="55" t="s">
        <v>3263</v>
      </c>
      <c r="L415" s="55" t="s">
        <v>3264</v>
      </c>
      <c r="M415" s="50" t="s">
        <v>5593</v>
      </c>
      <c r="N415" s="50" t="s">
        <v>5595</v>
      </c>
      <c r="O415" s="56">
        <v>13</v>
      </c>
      <c r="P415" s="57" t="e">
        <f>VLOOKUP(I415,#REF!,2,0)</f>
        <v>#REF!</v>
      </c>
      <c r="Q415" s="58"/>
      <c r="R415" s="57"/>
      <c r="S415" s="59"/>
      <c r="T415" s="57"/>
      <c r="U415" s="59"/>
      <c r="V415" s="59" t="s">
        <v>5593</v>
      </c>
      <c r="W415" s="60">
        <v>413</v>
      </c>
      <c r="X415" s="61"/>
      <c r="Y415" s="62"/>
      <c r="Z415" s="62"/>
      <c r="AA415" s="62"/>
      <c r="AB415" s="62"/>
      <c r="AC415" s="62"/>
      <c r="AD415" s="62"/>
      <c r="AE415" s="62"/>
      <c r="AF415" s="62"/>
    </row>
    <row r="416" ht="31" spans="1:32">
      <c r="A416" s="50" t="s">
        <v>4174</v>
      </c>
      <c r="B416" s="51" t="s">
        <v>4175</v>
      </c>
      <c r="C416" s="52" t="s">
        <v>3434</v>
      </c>
      <c r="D416" s="53" t="e">
        <f>VLOOKUP(C416,#REF!,2,0)</f>
        <v>#REF!</v>
      </c>
      <c r="E416" s="20" t="e">
        <f>VLOOKUP(D416,数据集标准分类!E:F,2,0)</f>
        <v>#REF!</v>
      </c>
      <c r="F416" s="54">
        <v>16</v>
      </c>
      <c r="G416" s="97" t="s">
        <v>3457</v>
      </c>
      <c r="H416" s="97" t="s">
        <v>5866</v>
      </c>
      <c r="I416" s="98" t="s">
        <v>3460</v>
      </c>
      <c r="J416" s="55" t="s">
        <v>3458</v>
      </c>
      <c r="K416" s="55" t="s">
        <v>3460</v>
      </c>
      <c r="L416" s="55" t="s">
        <v>3461</v>
      </c>
      <c r="M416" s="50" t="s">
        <v>5593</v>
      </c>
      <c r="N416" s="50" t="s">
        <v>5595</v>
      </c>
      <c r="O416" s="56">
        <v>14</v>
      </c>
      <c r="P416" s="57" t="e">
        <f>VLOOKUP(I416,#REF!,2,0)</f>
        <v>#REF!</v>
      </c>
      <c r="Q416" s="58"/>
      <c r="R416" s="57"/>
      <c r="S416" s="59"/>
      <c r="T416" s="57"/>
      <c r="U416" s="59"/>
      <c r="V416" s="59" t="s">
        <v>5593</v>
      </c>
      <c r="W416" s="60">
        <v>414</v>
      </c>
      <c r="X416" s="61"/>
      <c r="Y416" s="62"/>
      <c r="Z416" s="62"/>
      <c r="AA416" s="62"/>
      <c r="AB416" s="62"/>
      <c r="AC416" s="62"/>
      <c r="AD416" s="62"/>
      <c r="AE416" s="62"/>
      <c r="AF416" s="62"/>
    </row>
    <row r="417" spans="1:32">
      <c r="A417" s="50" t="s">
        <v>4174</v>
      </c>
      <c r="B417" s="51" t="s">
        <v>4175</v>
      </c>
      <c r="C417" s="52" t="s">
        <v>3434</v>
      </c>
      <c r="D417" s="53" t="e">
        <f>VLOOKUP(C417,#REF!,2,0)</f>
        <v>#REF!</v>
      </c>
      <c r="E417" s="20" t="e">
        <f>VLOOKUP(D417,数据集标准分类!E:F,2,0)</f>
        <v>#REF!</v>
      </c>
      <c r="F417" s="54">
        <v>16</v>
      </c>
      <c r="G417" s="55" t="s">
        <v>3462</v>
      </c>
      <c r="H417" s="55" t="s">
        <v>3463</v>
      </c>
      <c r="I417" s="55" t="s">
        <v>3465</v>
      </c>
      <c r="J417" s="55" t="s">
        <v>3463</v>
      </c>
      <c r="K417" s="55" t="s">
        <v>3465</v>
      </c>
      <c r="L417" s="55" t="s">
        <v>3466</v>
      </c>
      <c r="M417" s="50" t="s">
        <v>5595</v>
      </c>
      <c r="N417" s="50" t="s">
        <v>5595</v>
      </c>
      <c r="O417" s="56">
        <v>15</v>
      </c>
      <c r="P417" s="57" t="e">
        <f>VLOOKUP(I417,#REF!,2,0)</f>
        <v>#REF!</v>
      </c>
      <c r="Q417" s="58"/>
      <c r="R417" s="57"/>
      <c r="S417" s="59"/>
      <c r="T417" s="57"/>
      <c r="U417" s="59"/>
      <c r="V417" s="59" t="s">
        <v>5593</v>
      </c>
      <c r="W417" s="60">
        <v>415</v>
      </c>
      <c r="X417" s="61"/>
      <c r="Y417" s="62"/>
      <c r="Z417" s="62"/>
      <c r="AA417" s="62"/>
      <c r="AB417" s="62"/>
      <c r="AC417" s="62"/>
      <c r="AD417" s="62"/>
      <c r="AE417" s="62"/>
      <c r="AF417" s="62"/>
    </row>
    <row r="418" spans="1:32">
      <c r="A418" s="50" t="s">
        <v>4174</v>
      </c>
      <c r="B418" s="51" t="s">
        <v>4175</v>
      </c>
      <c r="C418" s="52" t="s">
        <v>3434</v>
      </c>
      <c r="D418" s="53" t="e">
        <f>VLOOKUP(C418,#REF!,2,0)</f>
        <v>#REF!</v>
      </c>
      <c r="E418" s="20" t="e">
        <f>VLOOKUP(D418,数据集标准分类!E:F,2,0)</f>
        <v>#REF!</v>
      </c>
      <c r="F418" s="54">
        <v>16</v>
      </c>
      <c r="G418" s="55" t="s">
        <v>3467</v>
      </c>
      <c r="H418" s="55" t="s">
        <v>5867</v>
      </c>
      <c r="I418" s="55" t="s">
        <v>3470</v>
      </c>
      <c r="J418" s="55" t="s">
        <v>3468</v>
      </c>
      <c r="K418" s="55" t="s">
        <v>3470</v>
      </c>
      <c r="L418" s="55" t="s">
        <v>3471</v>
      </c>
      <c r="M418" s="50" t="s">
        <v>5593</v>
      </c>
      <c r="N418" s="50" t="s">
        <v>5595</v>
      </c>
      <c r="O418" s="56">
        <v>16</v>
      </c>
      <c r="P418" s="57" t="e">
        <f>VLOOKUP(I418,#REF!,2,0)</f>
        <v>#REF!</v>
      </c>
      <c r="Q418" s="58"/>
      <c r="R418" s="57"/>
      <c r="S418" s="59"/>
      <c r="T418" s="57"/>
      <c r="U418" s="59"/>
      <c r="V418" s="59" t="s">
        <v>5593</v>
      </c>
      <c r="W418" s="60">
        <v>416</v>
      </c>
      <c r="X418" s="61"/>
      <c r="Y418" s="62"/>
      <c r="Z418" s="62"/>
      <c r="AA418" s="62"/>
      <c r="AB418" s="62"/>
      <c r="AC418" s="62"/>
      <c r="AD418" s="62"/>
      <c r="AE418" s="62"/>
      <c r="AF418" s="62"/>
    </row>
    <row r="419" spans="1:32">
      <c r="A419" s="50" t="s">
        <v>4174</v>
      </c>
      <c r="B419" s="51" t="s">
        <v>4175</v>
      </c>
      <c r="C419" s="52" t="s">
        <v>3434</v>
      </c>
      <c r="D419" s="53" t="e">
        <f>VLOOKUP(C419,#REF!,2,0)</f>
        <v>#REF!</v>
      </c>
      <c r="E419" s="20" t="e">
        <f>VLOOKUP(D419,数据集标准分类!E:F,2,0)</f>
        <v>#REF!</v>
      </c>
      <c r="F419" s="54">
        <v>16</v>
      </c>
      <c r="G419" s="55" t="s">
        <v>3472</v>
      </c>
      <c r="H419" s="55" t="s">
        <v>5868</v>
      </c>
      <c r="I419" s="55" t="s">
        <v>3475</v>
      </c>
      <c r="J419" s="55" t="s">
        <v>3473</v>
      </c>
      <c r="K419" s="55" t="s">
        <v>3475</v>
      </c>
      <c r="L419" s="55" t="s">
        <v>3476</v>
      </c>
      <c r="M419" s="50" t="s">
        <v>5593</v>
      </c>
      <c r="N419" s="50" t="s">
        <v>5595</v>
      </c>
      <c r="O419" s="56">
        <v>17</v>
      </c>
      <c r="P419" s="57" t="e">
        <f>VLOOKUP(I419,#REF!,2,0)</f>
        <v>#REF!</v>
      </c>
      <c r="Q419" s="58"/>
      <c r="R419" s="57"/>
      <c r="S419" s="59"/>
      <c r="T419" s="57"/>
      <c r="U419" s="59"/>
      <c r="V419" s="59" t="s">
        <v>5593</v>
      </c>
      <c r="W419" s="60">
        <v>417</v>
      </c>
      <c r="X419" s="61"/>
      <c r="Y419" s="62"/>
      <c r="Z419" s="62"/>
      <c r="AA419" s="62"/>
      <c r="AB419" s="62"/>
      <c r="AC419" s="62"/>
      <c r="AD419" s="62"/>
      <c r="AE419" s="62"/>
      <c r="AF419" s="62"/>
    </row>
    <row r="420" spans="1:32">
      <c r="A420" s="50" t="s">
        <v>4174</v>
      </c>
      <c r="B420" s="51" t="s">
        <v>4175</v>
      </c>
      <c r="C420" s="52" t="s">
        <v>3434</v>
      </c>
      <c r="D420" s="53" t="e">
        <f>VLOOKUP(C420,#REF!,2,0)</f>
        <v>#REF!</v>
      </c>
      <c r="E420" s="20" t="e">
        <f>VLOOKUP(D420,数据集标准分类!E:F,2,0)</f>
        <v>#REF!</v>
      </c>
      <c r="F420" s="54">
        <v>16</v>
      </c>
      <c r="G420" s="55" t="s">
        <v>3477</v>
      </c>
      <c r="H420" s="55" t="s">
        <v>3478</v>
      </c>
      <c r="I420" s="55" t="s">
        <v>3480</v>
      </c>
      <c r="J420" s="55" t="s">
        <v>3478</v>
      </c>
      <c r="K420" s="55" t="s">
        <v>3480</v>
      </c>
      <c r="L420" s="55" t="s">
        <v>3481</v>
      </c>
      <c r="M420" s="50" t="s">
        <v>5595</v>
      </c>
      <c r="N420" s="50" t="s">
        <v>5595</v>
      </c>
      <c r="O420" s="56">
        <v>18</v>
      </c>
      <c r="P420" s="57" t="e">
        <f>VLOOKUP(I420,#REF!,2,0)</f>
        <v>#REF!</v>
      </c>
      <c r="Q420" s="58"/>
      <c r="R420" s="57"/>
      <c r="S420" s="59"/>
      <c r="T420" s="57"/>
      <c r="U420" s="59"/>
      <c r="V420" s="59" t="s">
        <v>5593</v>
      </c>
      <c r="W420" s="60">
        <v>418</v>
      </c>
      <c r="X420" s="61"/>
      <c r="Y420" s="62"/>
      <c r="Z420" s="62"/>
      <c r="AA420" s="62"/>
      <c r="AB420" s="62"/>
      <c r="AC420" s="62"/>
      <c r="AD420" s="62"/>
      <c r="AE420" s="62"/>
      <c r="AF420" s="62"/>
    </row>
    <row r="421" ht="31" spans="1:32">
      <c r="A421" s="50" t="s">
        <v>4174</v>
      </c>
      <c r="B421" s="51" t="s">
        <v>4175</v>
      </c>
      <c r="C421" s="52" t="s">
        <v>3434</v>
      </c>
      <c r="D421" s="53" t="e">
        <f>VLOOKUP(C421,#REF!,2,0)</f>
        <v>#REF!</v>
      </c>
      <c r="E421" s="20" t="e">
        <f>VLOOKUP(D421,数据集标准分类!E:F,2,0)</f>
        <v>#REF!</v>
      </c>
      <c r="F421" s="54">
        <v>16</v>
      </c>
      <c r="G421" s="55" t="s">
        <v>3391</v>
      </c>
      <c r="H421" s="55" t="s">
        <v>5869</v>
      </c>
      <c r="I421" s="55" t="s">
        <v>3394</v>
      </c>
      <c r="J421" s="55" t="s">
        <v>3392</v>
      </c>
      <c r="K421" s="55" t="s">
        <v>3394</v>
      </c>
      <c r="L421" s="55" t="s">
        <v>3395</v>
      </c>
      <c r="M421" s="50" t="s">
        <v>5593</v>
      </c>
      <c r="N421" s="50" t="s">
        <v>5595</v>
      </c>
      <c r="O421" s="56">
        <v>19</v>
      </c>
      <c r="P421" s="57" t="e">
        <f>VLOOKUP(I421,#REF!,2,0)</f>
        <v>#REF!</v>
      </c>
      <c r="Q421" s="58"/>
      <c r="R421" s="57"/>
      <c r="S421" s="59"/>
      <c r="T421" s="57"/>
      <c r="U421" s="59"/>
      <c r="V421" s="59" t="s">
        <v>5593</v>
      </c>
      <c r="W421" s="60">
        <v>419</v>
      </c>
      <c r="X421" s="61"/>
      <c r="Y421" s="62"/>
      <c r="Z421" s="62"/>
      <c r="AA421" s="62"/>
      <c r="AB421" s="62"/>
      <c r="AC421" s="62"/>
      <c r="AD421" s="62"/>
      <c r="AE421" s="62"/>
      <c r="AF421" s="62"/>
    </row>
    <row r="422" spans="1:32">
      <c r="A422" s="50" t="s">
        <v>4174</v>
      </c>
      <c r="B422" s="51" t="s">
        <v>4175</v>
      </c>
      <c r="C422" s="52" t="s">
        <v>3434</v>
      </c>
      <c r="D422" s="53" t="e">
        <f>VLOOKUP(C422,#REF!,2,0)</f>
        <v>#REF!</v>
      </c>
      <c r="E422" s="20" t="e">
        <f>VLOOKUP(D422,数据集标准分类!E:F,2,0)</f>
        <v>#REF!</v>
      </c>
      <c r="F422" s="54">
        <v>16</v>
      </c>
      <c r="G422" s="55" t="s">
        <v>3482</v>
      </c>
      <c r="H422" s="55" t="s">
        <v>5870</v>
      </c>
      <c r="I422" s="55" t="s">
        <v>3485</v>
      </c>
      <c r="J422" s="55" t="s">
        <v>3483</v>
      </c>
      <c r="K422" s="55" t="s">
        <v>3485</v>
      </c>
      <c r="L422" s="55" t="s">
        <v>3486</v>
      </c>
      <c r="M422" s="50" t="s">
        <v>5593</v>
      </c>
      <c r="N422" s="50" t="s">
        <v>5595</v>
      </c>
      <c r="O422" s="56">
        <v>20</v>
      </c>
      <c r="P422" s="57" t="e">
        <f>VLOOKUP(I422,#REF!,2,0)</f>
        <v>#REF!</v>
      </c>
      <c r="Q422" s="58"/>
      <c r="R422" s="57"/>
      <c r="S422" s="59"/>
      <c r="T422" s="57"/>
      <c r="U422" s="59"/>
      <c r="V422" s="59" t="s">
        <v>5593</v>
      </c>
      <c r="W422" s="60">
        <v>420</v>
      </c>
      <c r="X422" s="61"/>
      <c r="Y422" s="62"/>
      <c r="Z422" s="62"/>
      <c r="AA422" s="62"/>
      <c r="AB422" s="62"/>
      <c r="AC422" s="62"/>
      <c r="AD422" s="62"/>
      <c r="AE422" s="62"/>
      <c r="AF422" s="62"/>
    </row>
    <row r="423" spans="1:32">
      <c r="A423" s="50" t="s">
        <v>4174</v>
      </c>
      <c r="B423" s="51" t="s">
        <v>4175</v>
      </c>
      <c r="C423" s="52" t="s">
        <v>3434</v>
      </c>
      <c r="D423" s="53" t="e">
        <f>VLOOKUP(C423,#REF!,2,0)</f>
        <v>#REF!</v>
      </c>
      <c r="E423" s="20" t="e">
        <f>VLOOKUP(D423,数据集标准分类!E:F,2,0)</f>
        <v>#REF!</v>
      </c>
      <c r="F423" s="54">
        <v>16</v>
      </c>
      <c r="G423" s="55" t="s">
        <v>3487</v>
      </c>
      <c r="H423" s="55" t="s">
        <v>3488</v>
      </c>
      <c r="I423" s="55" t="s">
        <v>3490</v>
      </c>
      <c r="J423" s="55" t="s">
        <v>3488</v>
      </c>
      <c r="K423" s="55" t="s">
        <v>3490</v>
      </c>
      <c r="L423" s="55" t="s">
        <v>3491</v>
      </c>
      <c r="M423" s="50" t="s">
        <v>5595</v>
      </c>
      <c r="N423" s="50" t="s">
        <v>5595</v>
      </c>
      <c r="O423" s="56">
        <v>21</v>
      </c>
      <c r="P423" s="57" t="e">
        <f>VLOOKUP(I423,#REF!,2,0)</f>
        <v>#REF!</v>
      </c>
      <c r="Q423" s="58"/>
      <c r="R423" s="57"/>
      <c r="S423" s="59"/>
      <c r="T423" s="57"/>
      <c r="U423" s="59"/>
      <c r="V423" s="59" t="s">
        <v>5593</v>
      </c>
      <c r="W423" s="60">
        <v>421</v>
      </c>
      <c r="X423" s="61"/>
      <c r="Y423" s="62"/>
      <c r="Z423" s="62"/>
      <c r="AA423" s="62"/>
      <c r="AB423" s="62"/>
      <c r="AC423" s="62"/>
      <c r="AD423" s="62"/>
      <c r="AE423" s="62"/>
      <c r="AF423" s="62"/>
    </row>
    <row r="424" spans="1:32">
      <c r="A424" s="31" t="s">
        <v>4174</v>
      </c>
      <c r="B424" s="32" t="s">
        <v>4175</v>
      </c>
      <c r="C424" s="33" t="s">
        <v>3434</v>
      </c>
      <c r="D424" s="34" t="e">
        <f>VLOOKUP(C424,#REF!,2,0)</f>
        <v>#REF!</v>
      </c>
      <c r="E424" s="35" t="e">
        <f>VLOOKUP(D424,数据集标准分类!E:F,2,0)</f>
        <v>#REF!</v>
      </c>
      <c r="F424" s="36">
        <v>16</v>
      </c>
      <c r="G424" s="37" t="s">
        <v>1509</v>
      </c>
      <c r="H424" s="37" t="s">
        <v>5871</v>
      </c>
      <c r="I424" s="37" t="s">
        <v>1512</v>
      </c>
      <c r="J424" s="37" t="s">
        <v>1510</v>
      </c>
      <c r="K424" s="37" t="s">
        <v>1512</v>
      </c>
      <c r="L424" s="37" t="s">
        <v>3492</v>
      </c>
      <c r="M424" s="31" t="s">
        <v>5593</v>
      </c>
      <c r="N424" s="31" t="s">
        <v>5595</v>
      </c>
      <c r="O424" s="38">
        <v>22</v>
      </c>
      <c r="P424" s="39" t="e">
        <f>VLOOKUP(I424,#REF!,2,0)</f>
        <v>#REF!</v>
      </c>
      <c r="Q424" s="40"/>
      <c r="R424" s="39"/>
      <c r="S424" s="41"/>
      <c r="T424" s="39"/>
      <c r="U424" s="41"/>
      <c r="V424" s="41"/>
      <c r="W424" s="42">
        <v>422</v>
      </c>
      <c r="X424" s="43"/>
      <c r="Y424" s="44"/>
      <c r="Z424" s="44"/>
      <c r="AA424" s="44"/>
      <c r="AB424" s="44"/>
      <c r="AC424" s="44"/>
      <c r="AD424" s="44"/>
      <c r="AE424" s="44"/>
      <c r="AF424" s="44"/>
    </row>
    <row r="425" ht="92" spans="1:32">
      <c r="A425" s="50" t="s">
        <v>4174</v>
      </c>
      <c r="B425" s="51" t="s">
        <v>4175</v>
      </c>
      <c r="C425" s="52" t="s">
        <v>3434</v>
      </c>
      <c r="D425" s="53" t="e">
        <f>VLOOKUP(C425,#REF!,2,0)</f>
        <v>#REF!</v>
      </c>
      <c r="E425" s="20" t="e">
        <f>VLOOKUP(D425,数据集标准分类!E:F,2,0)</f>
        <v>#REF!</v>
      </c>
      <c r="F425" s="54">
        <v>16</v>
      </c>
      <c r="G425" s="55" t="s">
        <v>3229</v>
      </c>
      <c r="H425" s="55" t="s">
        <v>3230</v>
      </c>
      <c r="I425" s="55" t="s">
        <v>3232</v>
      </c>
      <c r="J425" s="55" t="s">
        <v>3230</v>
      </c>
      <c r="K425" s="55" t="s">
        <v>3232</v>
      </c>
      <c r="L425" s="55" t="s">
        <v>3233</v>
      </c>
      <c r="M425" s="50" t="s">
        <v>5595</v>
      </c>
      <c r="N425" s="50" t="s">
        <v>5595</v>
      </c>
      <c r="O425" s="56">
        <v>23</v>
      </c>
      <c r="P425" s="57" t="e">
        <f>VLOOKUP(I425,#REF!,2,0)</f>
        <v>#REF!</v>
      </c>
      <c r="Q425" s="58"/>
      <c r="R425" s="57"/>
      <c r="S425" s="59"/>
      <c r="T425" s="57"/>
      <c r="U425" s="59"/>
      <c r="V425" s="59" t="s">
        <v>5593</v>
      </c>
      <c r="W425" s="60">
        <v>423</v>
      </c>
      <c r="X425" s="61"/>
      <c r="Y425" s="62"/>
      <c r="Z425" s="62"/>
      <c r="AA425" s="62"/>
      <c r="AB425" s="62"/>
      <c r="AC425" s="62"/>
      <c r="AD425" s="62"/>
      <c r="AE425" s="62"/>
      <c r="AF425" s="62"/>
    </row>
    <row r="426" ht="31" spans="1:32">
      <c r="A426" s="50" t="s">
        <v>4174</v>
      </c>
      <c r="B426" s="51" t="s">
        <v>4175</v>
      </c>
      <c r="C426" s="52" t="s">
        <v>3434</v>
      </c>
      <c r="D426" s="53" t="e">
        <f>VLOOKUP(C426,#REF!,2,0)</f>
        <v>#REF!</v>
      </c>
      <c r="E426" s="20" t="e">
        <f>VLOOKUP(D426,数据集标准分类!E:F,2,0)</f>
        <v>#REF!</v>
      </c>
      <c r="F426" s="54">
        <v>16</v>
      </c>
      <c r="G426" s="55" t="s">
        <v>784</v>
      </c>
      <c r="H426" s="55" t="s">
        <v>785</v>
      </c>
      <c r="I426" s="55" t="s">
        <v>787</v>
      </c>
      <c r="J426" s="55" t="s">
        <v>785</v>
      </c>
      <c r="K426" s="55" t="s">
        <v>787</v>
      </c>
      <c r="L426" s="55" t="s">
        <v>3234</v>
      </c>
      <c r="M426" s="50" t="s">
        <v>5595</v>
      </c>
      <c r="N426" s="50" t="s">
        <v>5595</v>
      </c>
      <c r="O426" s="56">
        <v>24</v>
      </c>
      <c r="P426" s="57" t="e">
        <f>VLOOKUP(I426,#REF!,2,0)</f>
        <v>#REF!</v>
      </c>
      <c r="Q426" s="58"/>
      <c r="R426" s="57"/>
      <c r="S426" s="59"/>
      <c r="T426" s="57"/>
      <c r="U426" s="59"/>
      <c r="V426" s="59" t="s">
        <v>5593</v>
      </c>
      <c r="W426" s="60">
        <v>424</v>
      </c>
      <c r="X426" s="61"/>
      <c r="Y426" s="62"/>
      <c r="Z426" s="62"/>
      <c r="AA426" s="62"/>
      <c r="AB426" s="62"/>
      <c r="AC426" s="62"/>
      <c r="AD426" s="62"/>
      <c r="AE426" s="62"/>
      <c r="AF426" s="62"/>
    </row>
    <row r="427" spans="1:32">
      <c r="A427" s="50" t="s">
        <v>4174</v>
      </c>
      <c r="B427" s="51" t="s">
        <v>4175</v>
      </c>
      <c r="C427" s="52" t="s">
        <v>3434</v>
      </c>
      <c r="D427" s="53" t="e">
        <f>VLOOKUP(C427,#REF!,2,0)</f>
        <v>#REF!</v>
      </c>
      <c r="E427" s="20" t="e">
        <f>VLOOKUP(D427,数据集标准分类!E:F,2,0)</f>
        <v>#REF!</v>
      </c>
      <c r="F427" s="54">
        <v>16</v>
      </c>
      <c r="G427" s="55" t="s">
        <v>3493</v>
      </c>
      <c r="H427" s="55" t="s">
        <v>5872</v>
      </c>
      <c r="I427" s="55" t="s">
        <v>3496</v>
      </c>
      <c r="J427" s="55" t="s">
        <v>3494</v>
      </c>
      <c r="K427" s="55" t="s">
        <v>3496</v>
      </c>
      <c r="L427" s="55" t="s">
        <v>3497</v>
      </c>
      <c r="M427" s="50" t="s">
        <v>5593</v>
      </c>
      <c r="N427" s="50" t="s">
        <v>5595</v>
      </c>
      <c r="O427" s="56">
        <v>25</v>
      </c>
      <c r="P427" s="57" t="e">
        <f>VLOOKUP(I427,#REF!,2,0)</f>
        <v>#REF!</v>
      </c>
      <c r="Q427" s="58"/>
      <c r="R427" s="57"/>
      <c r="S427" s="59"/>
      <c r="T427" s="57"/>
      <c r="U427" s="59"/>
      <c r="V427" s="59" t="s">
        <v>5593</v>
      </c>
      <c r="W427" s="60">
        <v>425</v>
      </c>
      <c r="X427" s="61"/>
      <c r="Y427" s="62"/>
      <c r="Z427" s="62"/>
      <c r="AA427" s="62"/>
      <c r="AB427" s="62"/>
      <c r="AC427" s="62"/>
      <c r="AD427" s="62"/>
      <c r="AE427" s="62"/>
      <c r="AF427" s="62"/>
    </row>
    <row r="428" spans="1:32">
      <c r="A428" s="50" t="s">
        <v>4174</v>
      </c>
      <c r="B428" s="51" t="s">
        <v>4175</v>
      </c>
      <c r="C428" s="52" t="s">
        <v>3434</v>
      </c>
      <c r="D428" s="53" t="e">
        <f>VLOOKUP(C428,#REF!,2,0)</f>
        <v>#REF!</v>
      </c>
      <c r="E428" s="20" t="e">
        <f>VLOOKUP(D428,数据集标准分类!E:F,2,0)</f>
        <v>#REF!</v>
      </c>
      <c r="F428" s="54">
        <v>16</v>
      </c>
      <c r="G428" s="55" t="s">
        <v>3498</v>
      </c>
      <c r="H428" s="55" t="s">
        <v>5873</v>
      </c>
      <c r="I428" s="55" t="s">
        <v>3501</v>
      </c>
      <c r="J428" s="55" t="s">
        <v>3499</v>
      </c>
      <c r="K428" s="55" t="s">
        <v>3501</v>
      </c>
      <c r="L428" s="55" t="s">
        <v>3502</v>
      </c>
      <c r="M428" s="50" t="s">
        <v>5593</v>
      </c>
      <c r="N428" s="50" t="s">
        <v>5595</v>
      </c>
      <c r="O428" s="56">
        <v>26</v>
      </c>
      <c r="P428" s="57" t="e">
        <f>VLOOKUP(I428,#REF!,2,0)</f>
        <v>#REF!</v>
      </c>
      <c r="Q428" s="58"/>
      <c r="R428" s="57"/>
      <c r="S428" s="59"/>
      <c r="T428" s="57"/>
      <c r="U428" s="59"/>
      <c r="V428" s="59" t="s">
        <v>5593</v>
      </c>
      <c r="W428" s="60">
        <v>426</v>
      </c>
      <c r="X428" s="61"/>
      <c r="Y428" s="62"/>
      <c r="Z428" s="62"/>
      <c r="AA428" s="62"/>
      <c r="AB428" s="62"/>
      <c r="AC428" s="62"/>
      <c r="AD428" s="62"/>
      <c r="AE428" s="62"/>
      <c r="AF428" s="62"/>
    </row>
    <row r="429" ht="31" spans="1:32">
      <c r="A429" s="50" t="s">
        <v>4174</v>
      </c>
      <c r="B429" s="51" t="s">
        <v>4175</v>
      </c>
      <c r="C429" s="52" t="s">
        <v>3434</v>
      </c>
      <c r="D429" s="53" t="e">
        <f>VLOOKUP(C429,#REF!,2,0)</f>
        <v>#REF!</v>
      </c>
      <c r="E429" s="20" t="e">
        <f>VLOOKUP(D429,数据集标准分类!E:F,2,0)</f>
        <v>#REF!</v>
      </c>
      <c r="F429" s="54">
        <v>16</v>
      </c>
      <c r="G429" s="97" t="s">
        <v>3503</v>
      </c>
      <c r="H429" s="97" t="s">
        <v>5874</v>
      </c>
      <c r="I429" s="98" t="s">
        <v>3506</v>
      </c>
      <c r="J429" s="55" t="s">
        <v>3504</v>
      </c>
      <c r="K429" s="55" t="s">
        <v>3506</v>
      </c>
      <c r="L429" s="55" t="s">
        <v>3507</v>
      </c>
      <c r="M429" s="50" t="s">
        <v>5593</v>
      </c>
      <c r="N429" s="50" t="s">
        <v>5595</v>
      </c>
      <c r="O429" s="56">
        <v>27</v>
      </c>
      <c r="P429" s="57" t="e">
        <f>VLOOKUP(I429,#REF!,2,0)</f>
        <v>#REF!</v>
      </c>
      <c r="Q429" s="58"/>
      <c r="R429" s="57"/>
      <c r="S429" s="59"/>
      <c r="T429" s="57"/>
      <c r="U429" s="59"/>
      <c r="V429" s="59" t="s">
        <v>5593</v>
      </c>
      <c r="W429" s="60">
        <v>427</v>
      </c>
      <c r="X429" s="61"/>
      <c r="Y429" s="62"/>
      <c r="Z429" s="62"/>
      <c r="AA429" s="62"/>
      <c r="AB429" s="62"/>
      <c r="AC429" s="62"/>
      <c r="AD429" s="62"/>
      <c r="AE429" s="62"/>
      <c r="AF429" s="62"/>
    </row>
    <row r="430" ht="46" spans="1:32">
      <c r="A430" s="50" t="s">
        <v>4174</v>
      </c>
      <c r="B430" s="51" t="s">
        <v>4175</v>
      </c>
      <c r="C430" s="52" t="s">
        <v>3434</v>
      </c>
      <c r="D430" s="53" t="e">
        <f>VLOOKUP(C430,#REF!,2,0)</f>
        <v>#REF!</v>
      </c>
      <c r="E430" s="20" t="e">
        <f>VLOOKUP(D430,数据集标准分类!E:F,2,0)</f>
        <v>#REF!</v>
      </c>
      <c r="F430" s="54">
        <v>16</v>
      </c>
      <c r="G430" s="97" t="s">
        <v>3508</v>
      </c>
      <c r="H430" s="97" t="s">
        <v>5875</v>
      </c>
      <c r="I430" s="97" t="s">
        <v>5876</v>
      </c>
      <c r="J430" s="55" t="s">
        <v>3509</v>
      </c>
      <c r="K430" s="55" t="s">
        <v>3511</v>
      </c>
      <c r="L430" s="55" t="s">
        <v>3512</v>
      </c>
      <c r="M430" s="50" t="s">
        <v>5593</v>
      </c>
      <c r="N430" s="50" t="s">
        <v>5593</v>
      </c>
      <c r="O430" s="56">
        <v>28</v>
      </c>
      <c r="P430" s="57" t="e">
        <f>VLOOKUP(I430,#REF!,2,0)</f>
        <v>#REF!</v>
      </c>
      <c r="Q430" s="58"/>
      <c r="R430" s="57"/>
      <c r="S430" s="59"/>
      <c r="T430" s="57"/>
      <c r="U430" s="59"/>
      <c r="V430" s="59" t="s">
        <v>5593</v>
      </c>
      <c r="W430" s="60">
        <v>428</v>
      </c>
      <c r="X430" s="61"/>
      <c r="Y430" s="62"/>
      <c r="Z430" s="62"/>
      <c r="AA430" s="62"/>
      <c r="AB430" s="62"/>
      <c r="AC430" s="62"/>
      <c r="AD430" s="62"/>
      <c r="AE430" s="62"/>
      <c r="AF430" s="62"/>
    </row>
    <row r="431" ht="46" spans="1:32">
      <c r="A431" s="50" t="s">
        <v>4174</v>
      </c>
      <c r="B431" s="51" t="s">
        <v>4175</v>
      </c>
      <c r="C431" s="52" t="s">
        <v>3434</v>
      </c>
      <c r="D431" s="53" t="e">
        <f>VLOOKUP(C431,#REF!,2,0)</f>
        <v>#REF!</v>
      </c>
      <c r="E431" s="20" t="e">
        <f>VLOOKUP(D431,数据集标准分类!E:F,2,0)</f>
        <v>#REF!</v>
      </c>
      <c r="F431" s="54">
        <v>16</v>
      </c>
      <c r="G431" s="98" t="s">
        <v>3513</v>
      </c>
      <c r="H431" s="98" t="s">
        <v>5877</v>
      </c>
      <c r="I431" s="98" t="s">
        <v>3516</v>
      </c>
      <c r="J431" s="55" t="s">
        <v>3514</v>
      </c>
      <c r="K431" s="55" t="s">
        <v>3516</v>
      </c>
      <c r="L431" s="55" t="s">
        <v>3517</v>
      </c>
      <c r="M431" s="50" t="s">
        <v>5593</v>
      </c>
      <c r="N431" s="50" t="s">
        <v>5595</v>
      </c>
      <c r="O431" s="56">
        <v>29</v>
      </c>
      <c r="P431" s="57" t="e">
        <f>VLOOKUP(I431,#REF!,2,0)</f>
        <v>#REF!</v>
      </c>
      <c r="Q431" s="58"/>
      <c r="R431" s="57"/>
      <c r="S431" s="59"/>
      <c r="T431" s="57"/>
      <c r="U431" s="59"/>
      <c r="V431" s="59" t="s">
        <v>5593</v>
      </c>
      <c r="W431" s="60">
        <v>429</v>
      </c>
      <c r="X431" s="61"/>
      <c r="Y431" s="62"/>
      <c r="Z431" s="62"/>
      <c r="AA431" s="62"/>
      <c r="AB431" s="62"/>
      <c r="AC431" s="62"/>
      <c r="AD431" s="62"/>
      <c r="AE431" s="62"/>
      <c r="AF431" s="62"/>
    </row>
    <row r="432" ht="46" spans="1:32">
      <c r="A432" s="50" t="s">
        <v>4174</v>
      </c>
      <c r="B432" s="51" t="s">
        <v>4175</v>
      </c>
      <c r="C432" s="52" t="s">
        <v>3434</v>
      </c>
      <c r="D432" s="53" t="e">
        <f>VLOOKUP(C432,#REF!,2,0)</f>
        <v>#REF!</v>
      </c>
      <c r="E432" s="20" t="e">
        <f>VLOOKUP(D432,数据集标准分类!E:F,2,0)</f>
        <v>#REF!</v>
      </c>
      <c r="F432" s="54">
        <v>16</v>
      </c>
      <c r="G432" s="97" t="s">
        <v>3518</v>
      </c>
      <c r="H432" s="97" t="s">
        <v>5878</v>
      </c>
      <c r="I432" s="97" t="s">
        <v>5879</v>
      </c>
      <c r="J432" s="55" t="s">
        <v>3519</v>
      </c>
      <c r="K432" s="55" t="s">
        <v>3521</v>
      </c>
      <c r="L432" s="55" t="s">
        <v>3522</v>
      </c>
      <c r="M432" s="50" t="s">
        <v>5593</v>
      </c>
      <c r="N432" s="50" t="s">
        <v>5593</v>
      </c>
      <c r="O432" s="56">
        <v>30</v>
      </c>
      <c r="P432" s="57" t="e">
        <f>VLOOKUP(I432,#REF!,2,0)</f>
        <v>#REF!</v>
      </c>
      <c r="Q432" s="58"/>
      <c r="R432" s="57"/>
      <c r="S432" s="59"/>
      <c r="T432" s="57"/>
      <c r="U432" s="59"/>
      <c r="V432" s="59" t="s">
        <v>5593</v>
      </c>
      <c r="W432" s="60">
        <v>430</v>
      </c>
      <c r="X432" s="61"/>
      <c r="Y432" s="62"/>
      <c r="Z432" s="62"/>
      <c r="AA432" s="62"/>
      <c r="AB432" s="62"/>
      <c r="AC432" s="62"/>
      <c r="AD432" s="62"/>
      <c r="AE432" s="62"/>
      <c r="AF432" s="62"/>
    </row>
    <row r="433" ht="46" spans="1:32">
      <c r="A433" s="50" t="s">
        <v>4174</v>
      </c>
      <c r="B433" s="51" t="s">
        <v>4175</v>
      </c>
      <c r="C433" s="52" t="s">
        <v>3434</v>
      </c>
      <c r="D433" s="53" t="e">
        <f>VLOOKUP(C433,#REF!,2,0)</f>
        <v>#REF!</v>
      </c>
      <c r="E433" s="20" t="e">
        <f>VLOOKUP(D433,数据集标准分类!E:F,2,0)</f>
        <v>#REF!</v>
      </c>
      <c r="F433" s="54">
        <v>16</v>
      </c>
      <c r="G433" s="97" t="s">
        <v>3523</v>
      </c>
      <c r="H433" s="97" t="s">
        <v>5880</v>
      </c>
      <c r="I433" s="97" t="s">
        <v>5881</v>
      </c>
      <c r="J433" s="55" t="s">
        <v>3524</v>
      </c>
      <c r="K433" s="55" t="s">
        <v>3526</v>
      </c>
      <c r="L433" s="55" t="s">
        <v>3527</v>
      </c>
      <c r="M433" s="50" t="s">
        <v>5593</v>
      </c>
      <c r="N433" s="50" t="s">
        <v>5593</v>
      </c>
      <c r="O433" s="56">
        <v>31</v>
      </c>
      <c r="P433" s="57" t="e">
        <f>VLOOKUP(I433,#REF!,2,0)</f>
        <v>#REF!</v>
      </c>
      <c r="Q433" s="58"/>
      <c r="R433" s="57"/>
      <c r="S433" s="59"/>
      <c r="T433" s="57"/>
      <c r="U433" s="59"/>
      <c r="V433" s="59" t="s">
        <v>5593</v>
      </c>
      <c r="W433" s="60">
        <v>431</v>
      </c>
      <c r="X433" s="61"/>
      <c r="Y433" s="62"/>
      <c r="Z433" s="62"/>
      <c r="AA433" s="62"/>
      <c r="AB433" s="62"/>
      <c r="AC433" s="62"/>
      <c r="AD433" s="62"/>
      <c r="AE433" s="62"/>
      <c r="AF433" s="62"/>
    </row>
    <row r="434" ht="24" customHeight="1" spans="1:32">
      <c r="A434" s="50" t="s">
        <v>4174</v>
      </c>
      <c r="B434" s="51" t="s">
        <v>4175</v>
      </c>
      <c r="C434" s="52" t="s">
        <v>3434</v>
      </c>
      <c r="D434" s="53" t="e">
        <f>VLOOKUP(C434,#REF!,2,0)</f>
        <v>#REF!</v>
      </c>
      <c r="E434" s="20" t="e">
        <f>VLOOKUP(D434,数据集标准分类!E:F,2,0)</f>
        <v>#REF!</v>
      </c>
      <c r="F434" s="54">
        <v>16</v>
      </c>
      <c r="G434" s="55" t="s">
        <v>3528</v>
      </c>
      <c r="H434" s="55" t="s">
        <v>5882</v>
      </c>
      <c r="I434" s="55" t="s">
        <v>5883</v>
      </c>
      <c r="J434" s="55" t="s">
        <v>3529</v>
      </c>
      <c r="K434" s="55" t="s">
        <v>3531</v>
      </c>
      <c r="L434" s="55" t="s">
        <v>3532</v>
      </c>
      <c r="M434" s="50" t="s">
        <v>5593</v>
      </c>
      <c r="N434" s="50" t="s">
        <v>5593</v>
      </c>
      <c r="O434" s="56">
        <v>32</v>
      </c>
      <c r="P434" s="57" t="e">
        <f>VLOOKUP(I434,#REF!,2,0)</f>
        <v>#REF!</v>
      </c>
      <c r="Q434" s="58"/>
      <c r="R434" s="57"/>
      <c r="S434" s="59"/>
      <c r="T434" s="57"/>
      <c r="U434" s="59"/>
      <c r="V434" s="59" t="s">
        <v>5593</v>
      </c>
      <c r="W434" s="60">
        <v>432</v>
      </c>
      <c r="X434" s="61"/>
      <c r="Y434" s="62"/>
      <c r="Z434" s="62"/>
      <c r="AA434" s="62"/>
      <c r="AB434" s="62"/>
      <c r="AC434" s="62"/>
      <c r="AD434" s="62"/>
      <c r="AE434" s="62"/>
      <c r="AF434" s="62"/>
    </row>
    <row r="435" ht="31" spans="1:32">
      <c r="A435" s="50" t="s">
        <v>4174</v>
      </c>
      <c r="B435" s="51" t="s">
        <v>4175</v>
      </c>
      <c r="C435" s="52" t="s">
        <v>3434</v>
      </c>
      <c r="D435" s="53" t="e">
        <f>VLOOKUP(C435,#REF!,2,0)</f>
        <v>#REF!</v>
      </c>
      <c r="E435" s="20" t="e">
        <f>VLOOKUP(D435,数据集标准分类!E:F,2,0)</f>
        <v>#REF!</v>
      </c>
      <c r="F435" s="54">
        <v>16</v>
      </c>
      <c r="G435" s="55" t="s">
        <v>3533</v>
      </c>
      <c r="H435" s="55" t="s">
        <v>3534</v>
      </c>
      <c r="I435" s="55" t="s">
        <v>3536</v>
      </c>
      <c r="J435" s="55" t="s">
        <v>3534</v>
      </c>
      <c r="K435" s="55" t="s">
        <v>3536</v>
      </c>
      <c r="L435" s="55" t="s">
        <v>3537</v>
      </c>
      <c r="M435" s="50" t="s">
        <v>5595</v>
      </c>
      <c r="N435" s="50" t="s">
        <v>5595</v>
      </c>
      <c r="O435" s="56">
        <v>33</v>
      </c>
      <c r="P435" s="57" t="e">
        <f>VLOOKUP(I435,#REF!,2,0)</f>
        <v>#REF!</v>
      </c>
      <c r="Q435" s="58"/>
      <c r="R435" s="57"/>
      <c r="S435" s="59"/>
      <c r="T435" s="57"/>
      <c r="U435" s="59"/>
      <c r="V435" s="59" t="s">
        <v>5593</v>
      </c>
      <c r="W435" s="60">
        <v>433</v>
      </c>
      <c r="X435" s="61"/>
      <c r="Y435" s="62"/>
      <c r="Z435" s="62"/>
      <c r="AA435" s="62"/>
      <c r="AB435" s="62"/>
      <c r="AC435" s="62"/>
      <c r="AD435" s="62"/>
      <c r="AE435" s="62"/>
      <c r="AF435" s="62"/>
    </row>
    <row r="436" spans="1:32">
      <c r="A436" s="99" t="s">
        <v>4174</v>
      </c>
      <c r="B436" s="51" t="s">
        <v>4175</v>
      </c>
      <c r="C436" s="100" t="s">
        <v>3434</v>
      </c>
      <c r="D436" s="53" t="s">
        <v>5884</v>
      </c>
      <c r="E436" s="101" t="s">
        <v>3456</v>
      </c>
      <c r="F436" s="102">
        <v>16</v>
      </c>
      <c r="G436" s="100" t="s">
        <v>5565</v>
      </c>
      <c r="H436" s="100" t="s">
        <v>5566</v>
      </c>
      <c r="I436" s="55" t="s">
        <v>5568</v>
      </c>
      <c r="J436" s="55" t="s">
        <v>5566</v>
      </c>
      <c r="K436" s="55" t="s">
        <v>5568</v>
      </c>
      <c r="L436" s="103"/>
      <c r="M436" s="99"/>
      <c r="N436" s="104"/>
      <c r="O436" s="105">
        <v>34</v>
      </c>
      <c r="P436" s="106"/>
      <c r="Q436" s="107"/>
      <c r="R436" s="106"/>
      <c r="S436" s="108"/>
      <c r="T436" s="108"/>
      <c r="U436" s="108"/>
      <c r="V436" s="59"/>
      <c r="W436" s="60"/>
      <c r="X436" s="61"/>
      <c r="Y436" s="62"/>
      <c r="Z436" s="62"/>
      <c r="AA436" s="62"/>
      <c r="AB436" s="62"/>
      <c r="AC436" s="62"/>
      <c r="AD436" s="62"/>
      <c r="AE436" s="62"/>
      <c r="AF436" s="62"/>
    </row>
    <row r="437" spans="1:32">
      <c r="A437" s="99" t="s">
        <v>4174</v>
      </c>
      <c r="B437" s="51" t="s">
        <v>4175</v>
      </c>
      <c r="C437" s="100" t="s">
        <v>3434</v>
      </c>
      <c r="D437" s="53" t="s">
        <v>5884</v>
      </c>
      <c r="E437" s="101" t="s">
        <v>3456</v>
      </c>
      <c r="F437" s="102">
        <v>16</v>
      </c>
      <c r="G437" s="100" t="s">
        <v>5561</v>
      </c>
      <c r="H437" s="100" t="s">
        <v>5562</v>
      </c>
      <c r="I437" s="55" t="s">
        <v>5564</v>
      </c>
      <c r="J437" s="55" t="s">
        <v>5562</v>
      </c>
      <c r="K437" s="55" t="s">
        <v>5564</v>
      </c>
      <c r="L437" s="103"/>
      <c r="M437" s="99"/>
      <c r="N437" s="104"/>
      <c r="O437" s="105">
        <v>35</v>
      </c>
      <c r="P437" s="106"/>
      <c r="Q437" s="107"/>
      <c r="R437" s="106"/>
      <c r="S437" s="108"/>
      <c r="T437" s="108"/>
      <c r="U437" s="108"/>
      <c r="V437" s="59"/>
      <c r="W437" s="60"/>
      <c r="X437" s="61"/>
      <c r="Y437" s="62"/>
      <c r="Z437" s="62"/>
      <c r="AA437" s="62"/>
      <c r="AB437" s="62"/>
      <c r="AC437" s="62"/>
      <c r="AD437" s="62"/>
      <c r="AE437" s="62"/>
      <c r="AF437" s="62"/>
    </row>
    <row r="438" spans="1:32">
      <c r="A438" s="99" t="s">
        <v>4174</v>
      </c>
      <c r="B438" s="51" t="s">
        <v>4175</v>
      </c>
      <c r="C438" s="100" t="s">
        <v>3434</v>
      </c>
      <c r="D438" s="53" t="s">
        <v>5884</v>
      </c>
      <c r="E438" s="101" t="s">
        <v>3456</v>
      </c>
      <c r="F438" s="102">
        <v>16</v>
      </c>
      <c r="G438" s="100" t="s">
        <v>3641</v>
      </c>
      <c r="H438" s="100" t="s">
        <v>3642</v>
      </c>
      <c r="I438" s="55" t="s">
        <v>3644</v>
      </c>
      <c r="J438" s="55" t="s">
        <v>3642</v>
      </c>
      <c r="K438" s="55" t="s">
        <v>3644</v>
      </c>
      <c r="L438" s="103"/>
      <c r="M438" s="99"/>
      <c r="N438" s="104"/>
      <c r="O438" s="105">
        <v>36</v>
      </c>
      <c r="P438" s="106"/>
      <c r="Q438" s="107"/>
      <c r="R438" s="106"/>
      <c r="S438" s="108"/>
      <c r="T438" s="108"/>
      <c r="U438" s="108"/>
      <c r="V438" s="59"/>
      <c r="W438" s="60"/>
      <c r="X438" s="61"/>
      <c r="Y438" s="62"/>
      <c r="Z438" s="62"/>
      <c r="AA438" s="62"/>
      <c r="AB438" s="62"/>
      <c r="AC438" s="62"/>
      <c r="AD438" s="62"/>
      <c r="AE438" s="62"/>
      <c r="AF438" s="62"/>
    </row>
    <row r="439" spans="1:32">
      <c r="A439" s="99" t="s">
        <v>4174</v>
      </c>
      <c r="B439" s="51" t="s">
        <v>4175</v>
      </c>
      <c r="C439" s="100" t="s">
        <v>3434</v>
      </c>
      <c r="D439" s="53" t="s">
        <v>5884</v>
      </c>
      <c r="E439" s="101" t="s">
        <v>3456</v>
      </c>
      <c r="F439" s="102">
        <v>16</v>
      </c>
      <c r="G439" s="100" t="s">
        <v>2889</v>
      </c>
      <c r="H439" s="100" t="s">
        <v>2890</v>
      </c>
      <c r="I439" s="55" t="s">
        <v>2892</v>
      </c>
      <c r="J439" s="55" t="s">
        <v>2890</v>
      </c>
      <c r="K439" s="55" t="s">
        <v>2892</v>
      </c>
      <c r="L439" s="103"/>
      <c r="M439" s="99"/>
      <c r="N439" s="104"/>
      <c r="O439" s="105">
        <v>37</v>
      </c>
      <c r="P439" s="106"/>
      <c r="Q439" s="107"/>
      <c r="R439" s="106"/>
      <c r="S439" s="108"/>
      <c r="T439" s="108"/>
      <c r="U439" s="108"/>
      <c r="V439" s="59"/>
      <c r="W439" s="60"/>
      <c r="X439" s="61"/>
      <c r="Y439" s="62"/>
      <c r="Z439" s="62"/>
      <c r="AA439" s="62"/>
      <c r="AB439" s="62"/>
      <c r="AC439" s="62"/>
      <c r="AD439" s="62"/>
      <c r="AE439" s="62"/>
      <c r="AF439" s="62"/>
    </row>
    <row r="440" spans="1:32">
      <c r="A440" s="99" t="s">
        <v>4174</v>
      </c>
      <c r="B440" s="51" t="s">
        <v>4175</v>
      </c>
      <c r="C440" s="100" t="s">
        <v>3434</v>
      </c>
      <c r="D440" s="53" t="s">
        <v>5884</v>
      </c>
      <c r="E440" s="101" t="s">
        <v>3456</v>
      </c>
      <c r="F440" s="102">
        <v>16</v>
      </c>
      <c r="G440" s="100" t="s">
        <v>2935</v>
      </c>
      <c r="H440" s="100" t="s">
        <v>2936</v>
      </c>
      <c r="I440" s="55" t="s">
        <v>2938</v>
      </c>
      <c r="J440" s="55" t="s">
        <v>2936</v>
      </c>
      <c r="K440" s="55" t="s">
        <v>2938</v>
      </c>
      <c r="L440" s="103"/>
      <c r="M440" s="99"/>
      <c r="N440" s="104"/>
      <c r="O440" s="105">
        <v>38</v>
      </c>
      <c r="P440" s="106"/>
      <c r="Q440" s="107"/>
      <c r="R440" s="106"/>
      <c r="S440" s="108"/>
      <c r="T440" s="108"/>
      <c r="U440" s="108"/>
      <c r="V440" s="59"/>
      <c r="W440" s="60"/>
      <c r="X440" s="61"/>
      <c r="Y440" s="62"/>
      <c r="Z440" s="62"/>
      <c r="AA440" s="62"/>
      <c r="AB440" s="62"/>
      <c r="AC440" s="62"/>
      <c r="AD440" s="62"/>
      <c r="AE440" s="62"/>
      <c r="AF440" s="62"/>
    </row>
    <row r="441" spans="1:32">
      <c r="A441" s="99" t="s">
        <v>4174</v>
      </c>
      <c r="B441" s="51" t="s">
        <v>4175</v>
      </c>
      <c r="C441" s="100" t="s">
        <v>3434</v>
      </c>
      <c r="D441" s="53" t="s">
        <v>5884</v>
      </c>
      <c r="E441" s="101" t="s">
        <v>3456</v>
      </c>
      <c r="F441" s="102">
        <v>16</v>
      </c>
      <c r="G441" s="100" t="s">
        <v>3617</v>
      </c>
      <c r="H441" s="100" t="s">
        <v>3618</v>
      </c>
      <c r="I441" s="55" t="s">
        <v>3620</v>
      </c>
      <c r="J441" s="55" t="s">
        <v>3618</v>
      </c>
      <c r="K441" s="55" t="s">
        <v>3620</v>
      </c>
      <c r="L441" s="103"/>
      <c r="M441" s="99"/>
      <c r="N441" s="104"/>
      <c r="O441" s="105">
        <v>39</v>
      </c>
      <c r="P441" s="106"/>
      <c r="Q441" s="107"/>
      <c r="R441" s="106"/>
      <c r="S441" s="108"/>
      <c r="T441" s="108"/>
      <c r="U441" s="108"/>
      <c r="V441" s="59"/>
      <c r="W441" s="60"/>
      <c r="X441" s="61"/>
      <c r="Y441" s="62"/>
      <c r="Z441" s="62"/>
      <c r="AA441" s="62"/>
      <c r="AB441" s="62"/>
      <c r="AC441" s="62"/>
      <c r="AD441" s="62"/>
      <c r="AE441" s="62"/>
      <c r="AF441" s="62"/>
    </row>
    <row r="442" spans="1:32">
      <c r="A442" s="99" t="s">
        <v>4174</v>
      </c>
      <c r="B442" s="51" t="s">
        <v>4175</v>
      </c>
      <c r="C442" s="100" t="s">
        <v>3434</v>
      </c>
      <c r="D442" s="53" t="s">
        <v>5884</v>
      </c>
      <c r="E442" s="101" t="s">
        <v>3456</v>
      </c>
      <c r="F442" s="102">
        <v>16</v>
      </c>
      <c r="G442" s="100" t="s">
        <v>1774</v>
      </c>
      <c r="H442" s="100" t="s">
        <v>1775</v>
      </c>
      <c r="I442" s="55" t="s">
        <v>1777</v>
      </c>
      <c r="J442" s="55" t="s">
        <v>1775</v>
      </c>
      <c r="K442" s="55" t="s">
        <v>1777</v>
      </c>
      <c r="L442" s="103"/>
      <c r="M442" s="99"/>
      <c r="N442" s="104"/>
      <c r="O442" s="105">
        <v>40</v>
      </c>
      <c r="P442" s="106"/>
      <c r="Q442" s="107"/>
      <c r="R442" s="106"/>
      <c r="S442" s="108"/>
      <c r="T442" s="108"/>
      <c r="U442" s="108"/>
      <c r="V442" s="59"/>
      <c r="W442" s="60"/>
      <c r="X442" s="61"/>
      <c r="Y442" s="62"/>
      <c r="Z442" s="62"/>
      <c r="AA442" s="62"/>
      <c r="AB442" s="62"/>
      <c r="AC442" s="62"/>
      <c r="AD442" s="62"/>
      <c r="AE442" s="62"/>
      <c r="AF442" s="62"/>
    </row>
    <row r="443" spans="1:32">
      <c r="A443" s="99" t="s">
        <v>4174</v>
      </c>
      <c r="B443" s="51" t="s">
        <v>4175</v>
      </c>
      <c r="C443" s="100" t="s">
        <v>3434</v>
      </c>
      <c r="D443" s="53" t="s">
        <v>5884</v>
      </c>
      <c r="E443" s="101" t="s">
        <v>3456</v>
      </c>
      <c r="F443" s="102">
        <v>16</v>
      </c>
      <c r="G443" s="100" t="s">
        <v>5556</v>
      </c>
      <c r="H443" s="100" t="s">
        <v>5557</v>
      </c>
      <c r="I443" s="55" t="s">
        <v>5570</v>
      </c>
      <c r="J443" s="55" t="s">
        <v>5557</v>
      </c>
      <c r="K443" s="55" t="s">
        <v>5570</v>
      </c>
      <c r="L443" s="103"/>
      <c r="M443" s="99"/>
      <c r="N443" s="104"/>
      <c r="O443" s="105">
        <v>41</v>
      </c>
      <c r="P443" s="106"/>
      <c r="Q443" s="107"/>
      <c r="R443" s="106"/>
      <c r="S443" s="108"/>
      <c r="T443" s="108"/>
      <c r="U443" s="108"/>
      <c r="V443" s="59"/>
      <c r="W443" s="60"/>
      <c r="X443" s="61"/>
      <c r="Y443" s="62"/>
      <c r="Z443" s="62"/>
      <c r="AA443" s="62"/>
      <c r="AB443" s="62"/>
      <c r="AC443" s="62"/>
      <c r="AD443" s="62"/>
      <c r="AE443" s="62"/>
      <c r="AF443" s="62"/>
    </row>
    <row r="444" spans="1:32">
      <c r="A444" s="99" t="s">
        <v>4174</v>
      </c>
      <c r="B444" s="51" t="s">
        <v>4175</v>
      </c>
      <c r="C444" s="100" t="s">
        <v>3143</v>
      </c>
      <c r="D444" s="109" t="s">
        <v>5885</v>
      </c>
      <c r="E444" s="101" t="s">
        <v>4321</v>
      </c>
      <c r="F444" s="110" t="s">
        <v>4663</v>
      </c>
      <c r="G444" s="100" t="s">
        <v>3641</v>
      </c>
      <c r="H444" s="100" t="s">
        <v>2936</v>
      </c>
      <c r="I444" s="100" t="s">
        <v>2938</v>
      </c>
      <c r="J444" s="100" t="s">
        <v>2936</v>
      </c>
      <c r="K444" s="100" t="s">
        <v>2938</v>
      </c>
      <c r="L444" s="103"/>
      <c r="M444" s="99"/>
      <c r="N444" s="104"/>
      <c r="O444" s="111" t="s">
        <v>3351</v>
      </c>
      <c r="P444" s="106"/>
      <c r="Q444" s="107"/>
      <c r="R444" s="106"/>
      <c r="S444" s="108"/>
      <c r="T444" s="108"/>
      <c r="U444" s="108"/>
      <c r="V444" s="59"/>
      <c r="W444" s="60"/>
      <c r="X444" s="61"/>
      <c r="Y444" s="62"/>
      <c r="Z444" s="62"/>
      <c r="AA444" s="62"/>
      <c r="AB444" s="62"/>
      <c r="AC444" s="62"/>
      <c r="AD444" s="62"/>
      <c r="AE444" s="62"/>
      <c r="AF444" s="62"/>
    </row>
    <row r="445" spans="1:32">
      <c r="A445" s="99" t="s">
        <v>4174</v>
      </c>
      <c r="B445" s="51" t="s">
        <v>4175</v>
      </c>
      <c r="C445" s="100" t="s">
        <v>3143</v>
      </c>
      <c r="D445" s="109" t="s">
        <v>5885</v>
      </c>
      <c r="E445" s="101" t="s">
        <v>4321</v>
      </c>
      <c r="F445" s="110" t="s">
        <v>4663</v>
      </c>
      <c r="G445" s="100" t="s">
        <v>2889</v>
      </c>
      <c r="H445" s="100" t="s">
        <v>2890</v>
      </c>
      <c r="I445" s="100" t="s">
        <v>2892</v>
      </c>
      <c r="J445" s="100" t="s">
        <v>2890</v>
      </c>
      <c r="K445" s="100" t="s">
        <v>2892</v>
      </c>
      <c r="L445" s="103"/>
      <c r="M445" s="99"/>
      <c r="N445" s="104"/>
      <c r="O445" s="111" t="s">
        <v>3352</v>
      </c>
      <c r="P445" s="106"/>
      <c r="Q445" s="107"/>
      <c r="R445" s="106"/>
      <c r="S445" s="108"/>
      <c r="T445" s="108"/>
      <c r="U445" s="108"/>
      <c r="V445" s="59"/>
      <c r="W445" s="60"/>
      <c r="X445" s="61"/>
      <c r="Y445" s="62"/>
      <c r="Z445" s="62"/>
      <c r="AA445" s="62"/>
      <c r="AB445" s="62"/>
      <c r="AC445" s="62"/>
      <c r="AD445" s="62"/>
      <c r="AE445" s="62"/>
      <c r="AF445" s="62"/>
    </row>
    <row r="446" spans="1:32">
      <c r="A446" s="99" t="s">
        <v>4174</v>
      </c>
      <c r="B446" s="51" t="s">
        <v>4175</v>
      </c>
      <c r="C446" s="100" t="s">
        <v>3143</v>
      </c>
      <c r="D446" s="109" t="s">
        <v>5885</v>
      </c>
      <c r="E446" s="101" t="s">
        <v>4321</v>
      </c>
      <c r="F446" s="110" t="s">
        <v>4663</v>
      </c>
      <c r="G446" s="100" t="s">
        <v>5886</v>
      </c>
      <c r="H446" s="100" t="s">
        <v>5887</v>
      </c>
      <c r="I446" s="100" t="s">
        <v>5888</v>
      </c>
      <c r="J446" s="100" t="s">
        <v>5887</v>
      </c>
      <c r="K446" s="100" t="s">
        <v>5888</v>
      </c>
      <c r="L446" s="103"/>
      <c r="M446" s="112"/>
      <c r="N446" s="104"/>
      <c r="O446" s="111" t="s">
        <v>3353</v>
      </c>
      <c r="P446" s="106"/>
      <c r="Q446" s="107"/>
      <c r="R446" s="106"/>
      <c r="S446" s="108"/>
      <c r="T446" s="108"/>
      <c r="U446" s="108"/>
      <c r="V446" s="59"/>
      <c r="W446" s="60"/>
      <c r="X446" s="61"/>
      <c r="Y446" s="62"/>
      <c r="Z446" s="62"/>
      <c r="AA446" s="62"/>
      <c r="AB446" s="62"/>
      <c r="AC446" s="62"/>
      <c r="AD446" s="62"/>
      <c r="AE446" s="62"/>
      <c r="AF446" s="62"/>
    </row>
    <row r="447" spans="1:32">
      <c r="A447" s="99" t="s">
        <v>4174</v>
      </c>
      <c r="B447" s="51" t="s">
        <v>4175</v>
      </c>
      <c r="C447" s="100" t="s">
        <v>3143</v>
      </c>
      <c r="D447" s="109" t="s">
        <v>5885</v>
      </c>
      <c r="E447" s="101" t="s">
        <v>4321</v>
      </c>
      <c r="F447" s="110" t="s">
        <v>4663</v>
      </c>
      <c r="G447" s="100" t="s">
        <v>5889</v>
      </c>
      <c r="H447" s="100" t="s">
        <v>5890</v>
      </c>
      <c r="I447" s="100" t="s">
        <v>5891</v>
      </c>
      <c r="J447" s="100" t="s">
        <v>5890</v>
      </c>
      <c r="K447" s="100" t="s">
        <v>5891</v>
      </c>
      <c r="L447" s="103"/>
      <c r="M447" s="99"/>
      <c r="N447" s="104"/>
      <c r="O447" s="111" t="s">
        <v>3365</v>
      </c>
      <c r="P447" s="106"/>
      <c r="Q447" s="107"/>
      <c r="R447" s="106"/>
      <c r="S447" s="108"/>
      <c r="T447" s="108"/>
      <c r="U447" s="108"/>
      <c r="V447" s="59"/>
      <c r="W447" s="60"/>
      <c r="X447" s="61"/>
      <c r="Y447" s="62"/>
      <c r="Z447" s="62"/>
      <c r="AA447" s="62"/>
      <c r="AB447" s="62"/>
      <c r="AC447" s="62"/>
      <c r="AD447" s="62"/>
      <c r="AE447" s="62"/>
      <c r="AF447" s="62"/>
    </row>
    <row r="448" spans="1:32">
      <c r="A448" s="99" t="s">
        <v>4174</v>
      </c>
      <c r="B448" s="51" t="s">
        <v>4175</v>
      </c>
      <c r="C448" s="100" t="s">
        <v>3143</v>
      </c>
      <c r="D448" s="109" t="s">
        <v>5885</v>
      </c>
      <c r="E448" s="101" t="s">
        <v>4321</v>
      </c>
      <c r="F448" s="110" t="s">
        <v>4663</v>
      </c>
      <c r="G448" s="100" t="s">
        <v>3144</v>
      </c>
      <c r="H448" s="100" t="s">
        <v>3145</v>
      </c>
      <c r="I448" s="100" t="s">
        <v>3147</v>
      </c>
      <c r="J448" s="100" t="s">
        <v>3145</v>
      </c>
      <c r="K448" s="100" t="s">
        <v>3147</v>
      </c>
      <c r="L448" s="103"/>
      <c r="M448" s="99"/>
      <c r="N448" s="104"/>
      <c r="O448" s="111" t="s">
        <v>3370</v>
      </c>
      <c r="P448" s="106"/>
      <c r="Q448" s="107"/>
      <c r="R448" s="106"/>
      <c r="S448" s="108"/>
      <c r="T448" s="108"/>
      <c r="U448" s="108"/>
      <c r="V448" s="59"/>
      <c r="W448" s="60"/>
      <c r="X448" s="61"/>
      <c r="Y448" s="62"/>
      <c r="Z448" s="62"/>
      <c r="AA448" s="62"/>
      <c r="AB448" s="62"/>
      <c r="AC448" s="62"/>
      <c r="AD448" s="62"/>
      <c r="AE448" s="62"/>
      <c r="AF448" s="62"/>
    </row>
    <row r="449" spans="1:32">
      <c r="A449" s="99" t="s">
        <v>4174</v>
      </c>
      <c r="B449" s="51" t="s">
        <v>4175</v>
      </c>
      <c r="C449" s="100" t="s">
        <v>3143</v>
      </c>
      <c r="D449" s="109" t="s">
        <v>5885</v>
      </c>
      <c r="E449" s="101" t="s">
        <v>4321</v>
      </c>
      <c r="F449" s="110" t="s">
        <v>4663</v>
      </c>
      <c r="G449" s="100" t="s">
        <v>1694</v>
      </c>
      <c r="H449" s="100" t="s">
        <v>1695</v>
      </c>
      <c r="I449" s="100" t="s">
        <v>3148</v>
      </c>
      <c r="J449" s="100" t="s">
        <v>1695</v>
      </c>
      <c r="K449" s="100" t="s">
        <v>3148</v>
      </c>
      <c r="L449" s="103"/>
      <c r="M449" s="99"/>
      <c r="N449" s="104"/>
      <c r="O449" s="111" t="s">
        <v>3371</v>
      </c>
      <c r="P449" s="106"/>
      <c r="Q449" s="107"/>
      <c r="R449" s="106"/>
      <c r="S449" s="108"/>
      <c r="T449" s="108"/>
      <c r="U449" s="108"/>
      <c r="V449" s="59"/>
      <c r="W449" s="60"/>
      <c r="X449" s="61"/>
      <c r="Y449" s="62"/>
      <c r="Z449" s="62"/>
      <c r="AA449" s="62"/>
      <c r="AB449" s="62"/>
      <c r="AC449" s="62"/>
      <c r="AD449" s="62"/>
      <c r="AE449" s="62"/>
      <c r="AF449" s="62"/>
    </row>
    <row r="450" spans="1:32">
      <c r="A450" s="99" t="s">
        <v>4174</v>
      </c>
      <c r="B450" s="51" t="s">
        <v>4175</v>
      </c>
      <c r="C450" s="100" t="s">
        <v>3143</v>
      </c>
      <c r="D450" s="109" t="s">
        <v>5885</v>
      </c>
      <c r="E450" s="101" t="s">
        <v>4321</v>
      </c>
      <c r="F450" s="110" t="s">
        <v>4663</v>
      </c>
      <c r="G450" s="100" t="s">
        <v>1698</v>
      </c>
      <c r="H450" s="100" t="s">
        <v>1699</v>
      </c>
      <c r="I450" s="100" t="s">
        <v>3149</v>
      </c>
      <c r="J450" s="100" t="s">
        <v>1699</v>
      </c>
      <c r="K450" s="100" t="s">
        <v>3149</v>
      </c>
      <c r="L450" s="103"/>
      <c r="M450" s="99"/>
      <c r="N450" s="104"/>
      <c r="O450" s="111" t="s">
        <v>5555</v>
      </c>
      <c r="P450" s="106"/>
      <c r="Q450" s="107"/>
      <c r="R450" s="106"/>
      <c r="S450" s="108"/>
      <c r="T450" s="108"/>
      <c r="U450" s="108"/>
      <c r="V450" s="59"/>
      <c r="W450" s="60"/>
      <c r="X450" s="61"/>
      <c r="Y450" s="62"/>
      <c r="Z450" s="62"/>
      <c r="AA450" s="62"/>
      <c r="AB450" s="62"/>
      <c r="AC450" s="62"/>
      <c r="AD450" s="62"/>
      <c r="AE450" s="62"/>
      <c r="AF450" s="62"/>
    </row>
    <row r="451" spans="1:32">
      <c r="A451" s="99" t="s">
        <v>4174</v>
      </c>
      <c r="B451" s="51" t="s">
        <v>4175</v>
      </c>
      <c r="C451" s="100" t="s">
        <v>3143</v>
      </c>
      <c r="D451" s="109" t="s">
        <v>5885</v>
      </c>
      <c r="E451" s="101" t="s">
        <v>4321</v>
      </c>
      <c r="F451" s="110" t="s">
        <v>4663</v>
      </c>
      <c r="G451" s="100" t="s">
        <v>3150</v>
      </c>
      <c r="H451" s="100" t="s">
        <v>3151</v>
      </c>
      <c r="I451" s="100" t="s">
        <v>3153</v>
      </c>
      <c r="J451" s="100" t="s">
        <v>3151</v>
      </c>
      <c r="K451" s="100" t="s">
        <v>3153</v>
      </c>
      <c r="L451" s="103"/>
      <c r="M451" s="99"/>
      <c r="N451" s="104"/>
      <c r="O451" s="111" t="s">
        <v>4488</v>
      </c>
      <c r="P451" s="106"/>
      <c r="Q451" s="107"/>
      <c r="R451" s="106"/>
      <c r="S451" s="108"/>
      <c r="T451" s="108"/>
      <c r="U451" s="108"/>
      <c r="V451" s="59"/>
      <c r="W451" s="60"/>
      <c r="X451" s="61"/>
      <c r="Y451" s="62"/>
      <c r="Z451" s="62"/>
      <c r="AA451" s="62"/>
      <c r="AB451" s="62"/>
      <c r="AC451" s="62"/>
      <c r="AD451" s="62"/>
      <c r="AE451" s="62"/>
      <c r="AF451" s="62"/>
    </row>
    <row r="452" spans="1:32">
      <c r="A452" s="99" t="s">
        <v>4174</v>
      </c>
      <c r="B452" s="51" t="s">
        <v>4175</v>
      </c>
      <c r="C452" s="100" t="s">
        <v>3143</v>
      </c>
      <c r="D452" s="109" t="s">
        <v>5885</v>
      </c>
      <c r="E452" s="101" t="s">
        <v>4321</v>
      </c>
      <c r="F452" s="110" t="s">
        <v>4663</v>
      </c>
      <c r="G452" s="100" t="s">
        <v>3154</v>
      </c>
      <c r="H452" s="100" t="s">
        <v>3155</v>
      </c>
      <c r="I452" s="100" t="s">
        <v>3157</v>
      </c>
      <c r="J452" s="100" t="s">
        <v>3155</v>
      </c>
      <c r="K452" s="100" t="s">
        <v>3157</v>
      </c>
      <c r="L452" s="103"/>
      <c r="M452" s="99"/>
      <c r="N452" s="104"/>
      <c r="O452" s="111" t="s">
        <v>4492</v>
      </c>
      <c r="P452" s="106"/>
      <c r="Q452" s="107"/>
      <c r="R452" s="106"/>
      <c r="S452" s="108"/>
      <c r="T452" s="108"/>
      <c r="U452" s="108"/>
      <c r="V452" s="59"/>
      <c r="W452" s="60"/>
      <c r="X452" s="61"/>
      <c r="Y452" s="62"/>
      <c r="Z452" s="62"/>
      <c r="AA452" s="62"/>
      <c r="AB452" s="62"/>
      <c r="AC452" s="62"/>
      <c r="AD452" s="62"/>
      <c r="AE452" s="62"/>
      <c r="AF452" s="62"/>
    </row>
    <row r="453" spans="1:32">
      <c r="A453" s="99" t="s">
        <v>4174</v>
      </c>
      <c r="B453" s="51" t="s">
        <v>4175</v>
      </c>
      <c r="C453" s="100" t="s">
        <v>3143</v>
      </c>
      <c r="D453" s="109" t="s">
        <v>5885</v>
      </c>
      <c r="E453" s="101" t="s">
        <v>4321</v>
      </c>
      <c r="F453" s="110" t="s">
        <v>4663</v>
      </c>
      <c r="G453" s="100" t="s">
        <v>3158</v>
      </c>
      <c r="H453" s="100" t="s">
        <v>3159</v>
      </c>
      <c r="I453" s="100" t="s">
        <v>3161</v>
      </c>
      <c r="J453" s="100" t="s">
        <v>3159</v>
      </c>
      <c r="K453" s="100" t="s">
        <v>3161</v>
      </c>
      <c r="L453" s="103"/>
      <c r="M453" s="99"/>
      <c r="N453" s="104"/>
      <c r="O453" s="111" t="s">
        <v>4495</v>
      </c>
      <c r="P453" s="106"/>
      <c r="Q453" s="107"/>
      <c r="R453" s="106"/>
      <c r="S453" s="108"/>
      <c r="T453" s="108"/>
      <c r="U453" s="108"/>
      <c r="V453" s="59"/>
      <c r="W453" s="60"/>
      <c r="X453" s="61"/>
      <c r="Y453" s="62"/>
      <c r="Z453" s="62"/>
      <c r="AA453" s="62"/>
      <c r="AB453" s="62"/>
      <c r="AC453" s="62"/>
      <c r="AD453" s="62"/>
      <c r="AE453" s="62"/>
      <c r="AF453" s="62"/>
    </row>
    <row r="454" spans="1:32">
      <c r="A454" s="99" t="s">
        <v>4174</v>
      </c>
      <c r="B454" s="51" t="s">
        <v>4175</v>
      </c>
      <c r="C454" s="100" t="s">
        <v>3143</v>
      </c>
      <c r="D454" s="109" t="s">
        <v>5885</v>
      </c>
      <c r="E454" s="101" t="s">
        <v>4321</v>
      </c>
      <c r="F454" s="110" t="s">
        <v>4663</v>
      </c>
      <c r="G454" s="100" t="s">
        <v>3166</v>
      </c>
      <c r="H454" s="100" t="s">
        <v>3167</v>
      </c>
      <c r="I454" s="100" t="s">
        <v>3169</v>
      </c>
      <c r="J454" s="100" t="s">
        <v>3167</v>
      </c>
      <c r="K454" s="100" t="s">
        <v>3169</v>
      </c>
      <c r="L454" s="103"/>
      <c r="M454" s="99"/>
      <c r="N454" s="104"/>
      <c r="O454" s="111" t="s">
        <v>4499</v>
      </c>
      <c r="P454" s="106"/>
      <c r="Q454" s="107"/>
      <c r="R454" s="106"/>
      <c r="S454" s="108"/>
      <c r="T454" s="108"/>
      <c r="U454" s="108"/>
      <c r="V454" s="59"/>
      <c r="W454" s="60"/>
      <c r="X454" s="61"/>
      <c r="Y454" s="62"/>
      <c r="Z454" s="62"/>
      <c r="AA454" s="62"/>
      <c r="AB454" s="62"/>
      <c r="AC454" s="62"/>
      <c r="AD454" s="62"/>
      <c r="AE454" s="62"/>
      <c r="AF454" s="62"/>
    </row>
    <row r="455" ht="31" spans="1:32">
      <c r="A455" s="113" t="s">
        <v>4174</v>
      </c>
      <c r="B455" s="114" t="s">
        <v>4175</v>
      </c>
      <c r="C455" s="115" t="s">
        <v>3605</v>
      </c>
      <c r="D455" s="116" t="e">
        <f>VLOOKUP(C455,#REF!,2,0)</f>
        <v>#REF!</v>
      </c>
      <c r="E455" s="117" t="e">
        <f>VLOOKUP(D455,数据集标准分类!E:F,2,0)</f>
        <v>#REF!</v>
      </c>
      <c r="F455" s="118">
        <v>17</v>
      </c>
      <c r="G455" s="119" t="s">
        <v>569</v>
      </c>
      <c r="H455" s="119" t="s">
        <v>570</v>
      </c>
      <c r="I455" s="119" t="s">
        <v>572</v>
      </c>
      <c r="J455" s="119" t="s">
        <v>570</v>
      </c>
      <c r="K455" s="119" t="s">
        <v>572</v>
      </c>
      <c r="L455" s="119" t="s">
        <v>1225</v>
      </c>
      <c r="M455" s="113" t="s">
        <v>5595</v>
      </c>
      <c r="N455" s="113" t="s">
        <v>5595</v>
      </c>
      <c r="O455" s="120">
        <v>1</v>
      </c>
      <c r="P455" s="121" t="e">
        <f>VLOOKUP(I455,#REF!,2,0)</f>
        <v>#REF!</v>
      </c>
      <c r="Q455" s="122"/>
      <c r="R455" s="121"/>
      <c r="S455" s="123"/>
      <c r="T455" s="121"/>
      <c r="U455" s="123"/>
      <c r="V455" s="123"/>
      <c r="W455" s="124">
        <v>434</v>
      </c>
      <c r="X455" s="125"/>
      <c r="Y455" s="126"/>
      <c r="Z455" s="126"/>
      <c r="AA455" s="126"/>
      <c r="AB455" s="126"/>
      <c r="AC455" s="126"/>
      <c r="AD455" s="126"/>
      <c r="AE455" s="126"/>
      <c r="AF455" s="126"/>
    </row>
    <row r="456" ht="31" spans="1:32">
      <c r="A456" s="113" t="s">
        <v>4174</v>
      </c>
      <c r="B456" s="114" t="s">
        <v>4175</v>
      </c>
      <c r="C456" s="115" t="s">
        <v>3605</v>
      </c>
      <c r="D456" s="116" t="e">
        <f>VLOOKUP(C456,#REF!,2,0)</f>
        <v>#REF!</v>
      </c>
      <c r="E456" s="117" t="e">
        <f>VLOOKUP(D456,数据集标准分类!E:F,2,0)</f>
        <v>#REF!</v>
      </c>
      <c r="F456" s="118">
        <v>17</v>
      </c>
      <c r="G456" s="119" t="s">
        <v>3436</v>
      </c>
      <c r="H456" s="119" t="s">
        <v>3437</v>
      </c>
      <c r="I456" s="119" t="s">
        <v>3439</v>
      </c>
      <c r="J456" s="119" t="s">
        <v>3437</v>
      </c>
      <c r="K456" s="119" t="s">
        <v>3439</v>
      </c>
      <c r="L456" s="119" t="s">
        <v>3440</v>
      </c>
      <c r="M456" s="113" t="s">
        <v>5595</v>
      </c>
      <c r="N456" s="113" t="s">
        <v>5595</v>
      </c>
      <c r="O456" s="120">
        <v>2</v>
      </c>
      <c r="P456" s="121" t="e">
        <f>VLOOKUP(I456,#REF!,2,0)</f>
        <v>#REF!</v>
      </c>
      <c r="Q456" s="122"/>
      <c r="R456" s="121"/>
      <c r="S456" s="123"/>
      <c r="T456" s="121"/>
      <c r="U456" s="123"/>
      <c r="V456" s="123"/>
      <c r="W456" s="124">
        <v>435</v>
      </c>
      <c r="X456" s="125"/>
      <c r="Y456" s="126"/>
      <c r="Z456" s="126"/>
      <c r="AA456" s="126"/>
      <c r="AB456" s="126"/>
      <c r="AC456" s="126"/>
      <c r="AD456" s="126"/>
      <c r="AE456" s="126"/>
      <c r="AF456" s="126"/>
    </row>
    <row r="457" ht="31" spans="1:32">
      <c r="A457" s="113" t="s">
        <v>4174</v>
      </c>
      <c r="B457" s="114" t="s">
        <v>4175</v>
      </c>
      <c r="C457" s="115" t="s">
        <v>3605</v>
      </c>
      <c r="D457" s="116" t="e">
        <f>VLOOKUP(C457,#REF!,2,0)</f>
        <v>#REF!</v>
      </c>
      <c r="E457" s="117" t="e">
        <f>VLOOKUP(D457,数据集标准分类!E:F,2,0)</f>
        <v>#REF!</v>
      </c>
      <c r="F457" s="118">
        <v>17</v>
      </c>
      <c r="G457" s="119" t="s">
        <v>3441</v>
      </c>
      <c r="H457" s="119" t="s">
        <v>3442</v>
      </c>
      <c r="I457" s="119" t="s">
        <v>3444</v>
      </c>
      <c r="J457" s="119" t="s">
        <v>3442</v>
      </c>
      <c r="K457" s="119" t="s">
        <v>3444</v>
      </c>
      <c r="L457" s="119" t="s">
        <v>3445</v>
      </c>
      <c r="M457" s="113" t="s">
        <v>5595</v>
      </c>
      <c r="N457" s="113" t="s">
        <v>5595</v>
      </c>
      <c r="O457" s="120">
        <v>3</v>
      </c>
      <c r="P457" s="121" t="e">
        <f>VLOOKUP(I457,#REF!,2,0)</f>
        <v>#REF!</v>
      </c>
      <c r="Q457" s="122"/>
      <c r="R457" s="121"/>
      <c r="S457" s="123"/>
      <c r="T457" s="121"/>
      <c r="U457" s="123"/>
      <c r="V457" s="123"/>
      <c r="W457" s="124">
        <v>436</v>
      </c>
      <c r="X457" s="125"/>
      <c r="Y457" s="126"/>
      <c r="Z457" s="126"/>
      <c r="AA457" s="126"/>
      <c r="AB457" s="126"/>
      <c r="AC457" s="126"/>
      <c r="AD457" s="126"/>
      <c r="AE457" s="126"/>
      <c r="AF457" s="126"/>
    </row>
    <row r="458" ht="31" spans="1:32">
      <c r="A458" s="113" t="s">
        <v>4174</v>
      </c>
      <c r="B458" s="114" t="s">
        <v>4175</v>
      </c>
      <c r="C458" s="115" t="s">
        <v>3605</v>
      </c>
      <c r="D458" s="116" t="e">
        <f>VLOOKUP(C458,#REF!,2,0)</f>
        <v>#REF!</v>
      </c>
      <c r="E458" s="117" t="e">
        <f>VLOOKUP(D458,数据集标准分类!E:F,2,0)</f>
        <v>#REF!</v>
      </c>
      <c r="F458" s="118">
        <v>17</v>
      </c>
      <c r="G458" s="119" t="s">
        <v>508</v>
      </c>
      <c r="H458" s="119" t="s">
        <v>5594</v>
      </c>
      <c r="I458" s="119" t="s">
        <v>511</v>
      </c>
      <c r="J458" s="119" t="s">
        <v>509</v>
      </c>
      <c r="K458" s="119" t="s">
        <v>511</v>
      </c>
      <c r="L458" s="119" t="s">
        <v>116</v>
      </c>
      <c r="M458" s="113" t="s">
        <v>5593</v>
      </c>
      <c r="N458" s="113" t="s">
        <v>5595</v>
      </c>
      <c r="O458" s="120">
        <v>4</v>
      </c>
      <c r="P458" s="121" t="e">
        <f>VLOOKUP(I458,#REF!,2,0)</f>
        <v>#REF!</v>
      </c>
      <c r="Q458" s="122"/>
      <c r="R458" s="121"/>
      <c r="S458" s="123"/>
      <c r="T458" s="121"/>
      <c r="U458" s="123"/>
      <c r="V458" s="123"/>
      <c r="W458" s="124">
        <v>437</v>
      </c>
      <c r="X458" s="125"/>
      <c r="Y458" s="126"/>
      <c r="Z458" s="126"/>
      <c r="AA458" s="126"/>
      <c r="AB458" s="126"/>
      <c r="AC458" s="126"/>
      <c r="AD458" s="126"/>
      <c r="AE458" s="126"/>
      <c r="AF458" s="126"/>
    </row>
    <row r="459" ht="31" spans="1:32">
      <c r="A459" s="16" t="s">
        <v>4174</v>
      </c>
      <c r="B459" s="17" t="s">
        <v>4175</v>
      </c>
      <c r="C459" s="30" t="s">
        <v>3605</v>
      </c>
      <c r="D459" s="19" t="e">
        <f>VLOOKUP(C459,#REF!,2,0)</f>
        <v>#REF!</v>
      </c>
      <c r="E459" s="20" t="e">
        <f>VLOOKUP(D459,数据集标准分类!E:F,2,0)</f>
        <v>#REF!</v>
      </c>
      <c r="F459" s="21">
        <v>17</v>
      </c>
      <c r="G459" s="22" t="s">
        <v>172</v>
      </c>
      <c r="H459" s="22" t="s">
        <v>5639</v>
      </c>
      <c r="I459" s="22" t="s">
        <v>5640</v>
      </c>
      <c r="J459" s="22" t="s">
        <v>173</v>
      </c>
      <c r="K459" s="22" t="s">
        <v>175</v>
      </c>
      <c r="L459" s="22" t="s">
        <v>1245</v>
      </c>
      <c r="M459" s="16" t="s">
        <v>5593</v>
      </c>
      <c r="N459" s="16" t="s">
        <v>5593</v>
      </c>
      <c r="O459" s="23">
        <v>5</v>
      </c>
      <c r="P459" s="24" t="e">
        <f>VLOOKUP(I459,#REF!,2,0)</f>
        <v>#REF!</v>
      </c>
      <c r="Q459" s="25"/>
      <c r="R459" s="24"/>
      <c r="S459" s="26"/>
      <c r="T459" s="24"/>
      <c r="U459" s="26"/>
      <c r="V459" s="26"/>
      <c r="W459" s="27">
        <v>438</v>
      </c>
      <c r="X459" s="28"/>
    </row>
    <row r="460" ht="31" spans="1:32">
      <c r="A460" s="16" t="s">
        <v>4174</v>
      </c>
      <c r="B460" s="17" t="s">
        <v>4175</v>
      </c>
      <c r="C460" s="30" t="s">
        <v>3605</v>
      </c>
      <c r="D460" s="19" t="e">
        <f>VLOOKUP(C460,#REF!,2,0)</f>
        <v>#REF!</v>
      </c>
      <c r="E460" s="20" t="e">
        <f>VLOOKUP(D460,数据集标准分类!E:F,2,0)</f>
        <v>#REF!</v>
      </c>
      <c r="F460" s="21">
        <v>17</v>
      </c>
      <c r="G460" s="22" t="s">
        <v>711</v>
      </c>
      <c r="H460" s="22" t="s">
        <v>712</v>
      </c>
      <c r="I460" s="22" t="s">
        <v>713</v>
      </c>
      <c r="J460" s="22" t="s">
        <v>712</v>
      </c>
      <c r="K460" s="22" t="s">
        <v>713</v>
      </c>
      <c r="L460" s="22" t="s">
        <v>714</v>
      </c>
      <c r="M460" s="16" t="s">
        <v>5595</v>
      </c>
      <c r="N460" s="16" t="s">
        <v>5595</v>
      </c>
      <c r="O460" s="23">
        <v>6</v>
      </c>
      <c r="P460" s="24" t="e">
        <f>VLOOKUP(I460,#REF!,2,0)</f>
        <v>#REF!</v>
      </c>
      <c r="Q460" s="25"/>
      <c r="R460" s="24"/>
      <c r="S460" s="26"/>
      <c r="T460" s="24"/>
      <c r="U460" s="26"/>
      <c r="V460" s="26"/>
      <c r="W460" s="27">
        <v>439</v>
      </c>
      <c r="X460" s="28"/>
    </row>
    <row r="461" ht="31" spans="1:32">
      <c r="A461" s="16" t="s">
        <v>4174</v>
      </c>
      <c r="B461" s="17" t="s">
        <v>4175</v>
      </c>
      <c r="C461" s="30" t="s">
        <v>3605</v>
      </c>
      <c r="D461" s="19" t="e">
        <f>VLOOKUP(C461,#REF!,2,0)</f>
        <v>#REF!</v>
      </c>
      <c r="E461" s="20" t="e">
        <f>VLOOKUP(D461,数据集标准分类!E:F,2,0)</f>
        <v>#REF!</v>
      </c>
      <c r="F461" s="21">
        <v>17</v>
      </c>
      <c r="G461" s="22" t="s">
        <v>684</v>
      </c>
      <c r="H461" s="22" t="s">
        <v>5716</v>
      </c>
      <c r="I461" s="22" t="s">
        <v>687</v>
      </c>
      <c r="J461" s="22" t="s">
        <v>685</v>
      </c>
      <c r="K461" s="22" t="s">
        <v>687</v>
      </c>
      <c r="L461" s="22" t="s">
        <v>688</v>
      </c>
      <c r="M461" s="16" t="s">
        <v>5593</v>
      </c>
      <c r="N461" s="16" t="s">
        <v>5595</v>
      </c>
      <c r="O461" s="23">
        <v>7</v>
      </c>
      <c r="P461" s="24" t="e">
        <f>VLOOKUP(I461,#REF!,2,0)</f>
        <v>#REF!</v>
      </c>
      <c r="Q461" s="25"/>
      <c r="R461" s="24"/>
      <c r="S461" s="26"/>
      <c r="T461" s="24"/>
      <c r="U461" s="26"/>
      <c r="V461" s="26"/>
      <c r="W461" s="27">
        <v>440</v>
      </c>
      <c r="X461" s="28"/>
    </row>
    <row r="462" ht="31" spans="1:32">
      <c r="A462" s="16" t="s">
        <v>4174</v>
      </c>
      <c r="B462" s="17" t="s">
        <v>4175</v>
      </c>
      <c r="C462" s="30" t="s">
        <v>3605</v>
      </c>
      <c r="D462" s="19" t="e">
        <f>VLOOKUP(C462,#REF!,2,0)</f>
        <v>#REF!</v>
      </c>
      <c r="E462" s="20" t="e">
        <f>VLOOKUP(D462,数据集标准分类!E:F,2,0)</f>
        <v>#REF!</v>
      </c>
      <c r="F462" s="21">
        <v>17</v>
      </c>
      <c r="G462" s="22" t="s">
        <v>1949</v>
      </c>
      <c r="H462" s="22" t="s">
        <v>1950</v>
      </c>
      <c r="I462" s="22" t="s">
        <v>1952</v>
      </c>
      <c r="J462" s="22" t="s">
        <v>1950</v>
      </c>
      <c r="K462" s="22" t="s">
        <v>1952</v>
      </c>
      <c r="L462" s="22" t="s">
        <v>2056</v>
      </c>
      <c r="M462" s="16" t="s">
        <v>5595</v>
      </c>
      <c r="N462" s="16" t="s">
        <v>5595</v>
      </c>
      <c r="O462" s="23">
        <v>8</v>
      </c>
      <c r="P462" s="24" t="e">
        <f>VLOOKUP(I462,#REF!,2,0)</f>
        <v>#REF!</v>
      </c>
      <c r="Q462" s="25"/>
      <c r="R462" s="24"/>
      <c r="S462" s="26"/>
      <c r="T462" s="24"/>
      <c r="U462" s="26"/>
      <c r="V462" s="26"/>
      <c r="W462" s="27">
        <v>441</v>
      </c>
      <c r="X462" s="28"/>
    </row>
    <row r="463" ht="31" spans="1:32">
      <c r="A463" s="16" t="s">
        <v>4174</v>
      </c>
      <c r="B463" s="17" t="s">
        <v>4175</v>
      </c>
      <c r="C463" s="30" t="s">
        <v>3605</v>
      </c>
      <c r="D463" s="19" t="e">
        <f>VLOOKUP(C463,#REF!,2,0)</f>
        <v>#REF!</v>
      </c>
      <c r="E463" s="20" t="e">
        <f>VLOOKUP(D463,数据集标准分类!E:F,2,0)</f>
        <v>#REF!</v>
      </c>
      <c r="F463" s="21">
        <v>17</v>
      </c>
      <c r="G463" s="22" t="s">
        <v>694</v>
      </c>
      <c r="H463" s="22" t="s">
        <v>5717</v>
      </c>
      <c r="I463" s="22" t="s">
        <v>697</v>
      </c>
      <c r="J463" s="22" t="s">
        <v>695</v>
      </c>
      <c r="K463" s="22" t="s">
        <v>697</v>
      </c>
      <c r="L463" s="22" t="s">
        <v>2057</v>
      </c>
      <c r="M463" s="16" t="s">
        <v>5593</v>
      </c>
      <c r="N463" s="16" t="s">
        <v>5595</v>
      </c>
      <c r="O463" s="23">
        <v>9</v>
      </c>
      <c r="P463" s="24" t="e">
        <f>VLOOKUP(I463,#REF!,2,0)</f>
        <v>#REF!</v>
      </c>
      <c r="Q463" s="25"/>
      <c r="R463" s="24"/>
      <c r="S463" s="26"/>
      <c r="T463" s="24"/>
      <c r="U463" s="26"/>
      <c r="V463" s="26"/>
      <c r="W463" s="27">
        <v>442</v>
      </c>
      <c r="X463" s="28"/>
    </row>
    <row r="464" ht="31" spans="1:32">
      <c r="A464" s="16" t="s">
        <v>4174</v>
      </c>
      <c r="B464" s="17" t="s">
        <v>4175</v>
      </c>
      <c r="C464" s="30" t="s">
        <v>3605</v>
      </c>
      <c r="D464" s="19" t="e">
        <f>VLOOKUP(C464,#REF!,2,0)</f>
        <v>#REF!</v>
      </c>
      <c r="E464" s="20" t="e">
        <f>VLOOKUP(D464,数据集标准分类!E:F,2,0)</f>
        <v>#REF!</v>
      </c>
      <c r="F464" s="21">
        <v>17</v>
      </c>
      <c r="G464" s="22" t="s">
        <v>699</v>
      </c>
      <c r="H464" s="22" t="s">
        <v>700</v>
      </c>
      <c r="I464" s="22" t="s">
        <v>701</v>
      </c>
      <c r="J464" s="22" t="s">
        <v>700</v>
      </c>
      <c r="K464" s="22" t="s">
        <v>701</v>
      </c>
      <c r="L464" s="22" t="s">
        <v>702</v>
      </c>
      <c r="M464" s="16" t="s">
        <v>5595</v>
      </c>
      <c r="N464" s="16" t="s">
        <v>5595</v>
      </c>
      <c r="O464" s="23">
        <v>10</v>
      </c>
      <c r="P464" s="24" t="e">
        <f>VLOOKUP(I464,#REF!,2,0)</f>
        <v>#REF!</v>
      </c>
      <c r="Q464" s="25"/>
      <c r="R464" s="24"/>
      <c r="S464" s="26"/>
      <c r="T464" s="24"/>
      <c r="U464" s="26"/>
      <c r="V464" s="26"/>
      <c r="W464" s="27">
        <v>443</v>
      </c>
      <c r="X464" s="28"/>
    </row>
    <row r="465" ht="31" spans="1:32">
      <c r="A465" s="16" t="s">
        <v>4174</v>
      </c>
      <c r="B465" s="17" t="s">
        <v>4175</v>
      </c>
      <c r="C465" s="30" t="s">
        <v>3605</v>
      </c>
      <c r="D465" s="19" t="e">
        <f>VLOOKUP(C465,#REF!,2,0)</f>
        <v>#REF!</v>
      </c>
      <c r="E465" s="20" t="e">
        <f>VLOOKUP(D465,数据集标准分类!E:F,2,0)</f>
        <v>#REF!</v>
      </c>
      <c r="F465" s="21">
        <v>17</v>
      </c>
      <c r="G465" s="22" t="s">
        <v>703</v>
      </c>
      <c r="H465" s="22" t="s">
        <v>704</v>
      </c>
      <c r="I465" s="22" t="s">
        <v>705</v>
      </c>
      <c r="J465" s="22" t="s">
        <v>704</v>
      </c>
      <c r="K465" s="22" t="s">
        <v>705</v>
      </c>
      <c r="L465" s="22" t="s">
        <v>706</v>
      </c>
      <c r="M465" s="16" t="s">
        <v>5595</v>
      </c>
      <c r="N465" s="16" t="s">
        <v>5595</v>
      </c>
      <c r="O465" s="23">
        <v>11</v>
      </c>
      <c r="P465" s="24" t="e">
        <f>VLOOKUP(I465,#REF!,2,0)</f>
        <v>#REF!</v>
      </c>
      <c r="Q465" s="25"/>
      <c r="R465" s="24"/>
      <c r="S465" s="26"/>
      <c r="T465" s="24"/>
      <c r="U465" s="26"/>
      <c r="V465" s="26"/>
      <c r="W465" s="27">
        <v>444</v>
      </c>
      <c r="X465" s="28"/>
    </row>
    <row r="466" ht="46" spans="1:32">
      <c r="A466" s="113" t="s">
        <v>4174</v>
      </c>
      <c r="B466" s="114" t="s">
        <v>4175</v>
      </c>
      <c r="C466" s="115" t="s">
        <v>3605</v>
      </c>
      <c r="D466" s="116" t="e">
        <f>VLOOKUP(C466,#REF!,2,0)</f>
        <v>#REF!</v>
      </c>
      <c r="E466" s="117" t="e">
        <f>VLOOKUP(D466,数据集标准分类!E:F,2,0)</f>
        <v>#REF!</v>
      </c>
      <c r="F466" s="118">
        <v>17</v>
      </c>
      <c r="G466" s="119" t="s">
        <v>3606</v>
      </c>
      <c r="H466" s="119" t="s">
        <v>3176</v>
      </c>
      <c r="I466" s="119" t="s">
        <v>3609</v>
      </c>
      <c r="J466" s="119" t="s">
        <v>3607</v>
      </c>
      <c r="K466" s="119" t="s">
        <v>3609</v>
      </c>
      <c r="L466" s="119" t="s">
        <v>3610</v>
      </c>
      <c r="M466" s="113" t="s">
        <v>5593</v>
      </c>
      <c r="N466" s="113" t="s">
        <v>5595</v>
      </c>
      <c r="O466" s="120">
        <v>12</v>
      </c>
      <c r="P466" s="121" t="e">
        <f>VLOOKUP(I466,#REF!,2,0)</f>
        <v>#REF!</v>
      </c>
      <c r="Q466" s="122"/>
      <c r="R466" s="121"/>
      <c r="S466" s="123"/>
      <c r="T466" s="121"/>
      <c r="U466" s="123"/>
      <c r="V466" s="123"/>
      <c r="W466" s="124">
        <v>445</v>
      </c>
      <c r="X466" s="125"/>
      <c r="Y466" s="126"/>
      <c r="Z466" s="126"/>
      <c r="AA466" s="126"/>
      <c r="AB466" s="126"/>
      <c r="AC466" s="126"/>
      <c r="AD466" s="126"/>
      <c r="AE466" s="126"/>
      <c r="AF466" s="126"/>
    </row>
    <row r="467" ht="31" spans="1:32">
      <c r="A467" s="113" t="s">
        <v>4174</v>
      </c>
      <c r="B467" s="114" t="s">
        <v>4175</v>
      </c>
      <c r="C467" s="115" t="s">
        <v>3605</v>
      </c>
      <c r="D467" s="116" t="e">
        <f>VLOOKUP(C467,#REF!,2,0)</f>
        <v>#REF!</v>
      </c>
      <c r="E467" s="117" t="e">
        <f>VLOOKUP(D467,数据集标准分类!E:F,2,0)</f>
        <v>#REF!</v>
      </c>
      <c r="F467" s="118">
        <v>17</v>
      </c>
      <c r="G467" s="119" t="s">
        <v>3260</v>
      </c>
      <c r="H467" s="119" t="s">
        <v>5865</v>
      </c>
      <c r="I467" s="119" t="s">
        <v>3263</v>
      </c>
      <c r="J467" s="119" t="s">
        <v>3261</v>
      </c>
      <c r="K467" s="119" t="s">
        <v>3263</v>
      </c>
      <c r="L467" s="119" t="s">
        <v>3264</v>
      </c>
      <c r="M467" s="113" t="s">
        <v>5593</v>
      </c>
      <c r="N467" s="113" t="s">
        <v>5595</v>
      </c>
      <c r="O467" s="120">
        <v>13</v>
      </c>
      <c r="P467" s="121" t="e">
        <f>VLOOKUP(I467,#REF!,2,0)</f>
        <v>#REF!</v>
      </c>
      <c r="Q467" s="122"/>
      <c r="R467" s="121"/>
      <c r="S467" s="123"/>
      <c r="T467" s="121"/>
      <c r="U467" s="123"/>
      <c r="V467" s="123"/>
      <c r="W467" s="124">
        <v>446</v>
      </c>
      <c r="X467" s="125"/>
      <c r="Y467" s="126"/>
      <c r="Z467" s="126"/>
      <c r="AA467" s="126"/>
      <c r="AB467" s="126"/>
      <c r="AC467" s="126"/>
      <c r="AD467" s="126"/>
      <c r="AE467" s="126"/>
      <c r="AF467" s="126"/>
    </row>
    <row r="468" ht="92" spans="1:32">
      <c r="A468" s="113" t="s">
        <v>4174</v>
      </c>
      <c r="B468" s="114" t="s">
        <v>4175</v>
      </c>
      <c r="C468" s="115" t="s">
        <v>3605</v>
      </c>
      <c r="D468" s="116" t="e">
        <f>VLOOKUP(C468,#REF!,2,0)</f>
        <v>#REF!</v>
      </c>
      <c r="E468" s="117" t="e">
        <f>VLOOKUP(D468,数据集标准分类!E:F,2,0)</f>
        <v>#REF!</v>
      </c>
      <c r="F468" s="118">
        <v>17</v>
      </c>
      <c r="G468" s="119" t="s">
        <v>3229</v>
      </c>
      <c r="H468" s="119" t="s">
        <v>3230</v>
      </c>
      <c r="I468" s="119" t="s">
        <v>3232</v>
      </c>
      <c r="J468" s="119" t="s">
        <v>3230</v>
      </c>
      <c r="K468" s="119" t="s">
        <v>3232</v>
      </c>
      <c r="L468" s="119" t="s">
        <v>3233</v>
      </c>
      <c r="M468" s="113" t="s">
        <v>5595</v>
      </c>
      <c r="N468" s="113" t="s">
        <v>5595</v>
      </c>
      <c r="O468" s="120">
        <v>14</v>
      </c>
      <c r="P468" s="121" t="e">
        <f>VLOOKUP(I468,#REF!,2,0)</f>
        <v>#REF!</v>
      </c>
      <c r="Q468" s="122"/>
      <c r="R468" s="121"/>
      <c r="S468" s="123"/>
      <c r="T468" s="121"/>
      <c r="U468" s="123"/>
      <c r="V468" s="123"/>
      <c r="W468" s="124">
        <v>447</v>
      </c>
      <c r="X468" s="125"/>
      <c r="Y468" s="126"/>
      <c r="Z468" s="126"/>
      <c r="AA468" s="126"/>
      <c r="AB468" s="126"/>
      <c r="AC468" s="126"/>
      <c r="AD468" s="126"/>
      <c r="AE468" s="126"/>
      <c r="AF468" s="126"/>
    </row>
    <row r="469" ht="31" spans="1:32">
      <c r="A469" s="113" t="s">
        <v>4174</v>
      </c>
      <c r="B469" s="114" t="s">
        <v>4175</v>
      </c>
      <c r="C469" s="115" t="s">
        <v>3605</v>
      </c>
      <c r="D469" s="116" t="e">
        <f>VLOOKUP(C469,#REF!,2,0)</f>
        <v>#REF!</v>
      </c>
      <c r="E469" s="117" t="e">
        <f>VLOOKUP(D469,数据集标准分类!E:F,2,0)</f>
        <v>#REF!</v>
      </c>
      <c r="F469" s="118">
        <v>17</v>
      </c>
      <c r="G469" s="119" t="s">
        <v>784</v>
      </c>
      <c r="H469" s="119" t="s">
        <v>785</v>
      </c>
      <c r="I469" s="119" t="s">
        <v>787</v>
      </c>
      <c r="J469" s="119" t="s">
        <v>785</v>
      </c>
      <c r="K469" s="119" t="s">
        <v>787</v>
      </c>
      <c r="L469" s="119" t="s">
        <v>3234</v>
      </c>
      <c r="M469" s="113" t="s">
        <v>5595</v>
      </c>
      <c r="N469" s="113" t="s">
        <v>5595</v>
      </c>
      <c r="O469" s="120">
        <v>15</v>
      </c>
      <c r="P469" s="121" t="e">
        <f>VLOOKUP(I469,#REF!,2,0)</f>
        <v>#REF!</v>
      </c>
      <c r="Q469" s="122"/>
      <c r="R469" s="121"/>
      <c r="S469" s="123"/>
      <c r="T469" s="121"/>
      <c r="U469" s="123"/>
      <c r="V469" s="123"/>
      <c r="W469" s="124">
        <v>448</v>
      </c>
      <c r="X469" s="125"/>
      <c r="Y469" s="126"/>
      <c r="Z469" s="126"/>
      <c r="AA469" s="126"/>
      <c r="AB469" s="126"/>
      <c r="AC469" s="126"/>
      <c r="AD469" s="126"/>
      <c r="AE469" s="126"/>
      <c r="AF469" s="126"/>
    </row>
    <row r="470" spans="1:32">
      <c r="A470" s="113" t="s">
        <v>4174</v>
      </c>
      <c r="B470" s="114" t="s">
        <v>4175</v>
      </c>
      <c r="C470" s="115" t="s">
        <v>3605</v>
      </c>
      <c r="D470" s="116" t="e">
        <f>VLOOKUP(C470,#REF!,2,0)</f>
        <v>#REF!</v>
      </c>
      <c r="E470" s="117" t="e">
        <f>VLOOKUP(D470,数据集标准分类!E:F,2,0)</f>
        <v>#REF!</v>
      </c>
      <c r="F470" s="118">
        <v>17</v>
      </c>
      <c r="G470" s="119" t="s">
        <v>3493</v>
      </c>
      <c r="H470" s="119" t="s">
        <v>5872</v>
      </c>
      <c r="I470" s="119" t="s">
        <v>3496</v>
      </c>
      <c r="J470" s="119" t="s">
        <v>3494</v>
      </c>
      <c r="K470" s="119" t="s">
        <v>3496</v>
      </c>
      <c r="L470" s="119" t="s">
        <v>3497</v>
      </c>
      <c r="M470" s="113" t="s">
        <v>5593</v>
      </c>
      <c r="N470" s="113" t="s">
        <v>5595</v>
      </c>
      <c r="O470" s="120">
        <v>16</v>
      </c>
      <c r="P470" s="121" t="e">
        <f>VLOOKUP(I470,#REF!,2,0)</f>
        <v>#REF!</v>
      </c>
      <c r="Q470" s="122"/>
      <c r="R470" s="121"/>
      <c r="S470" s="123"/>
      <c r="T470" s="121"/>
      <c r="U470" s="123"/>
      <c r="V470" s="123"/>
      <c r="W470" s="124">
        <v>449</v>
      </c>
      <c r="X470" s="125"/>
      <c r="Y470" s="126"/>
      <c r="Z470" s="126"/>
      <c r="AA470" s="126"/>
      <c r="AB470" s="126"/>
      <c r="AC470" s="126"/>
      <c r="AD470" s="126"/>
      <c r="AE470" s="126"/>
      <c r="AF470" s="126"/>
    </row>
    <row r="471" spans="1:32">
      <c r="A471" s="113" t="s">
        <v>4174</v>
      </c>
      <c r="B471" s="114" t="s">
        <v>4175</v>
      </c>
      <c r="C471" s="115" t="s">
        <v>3605</v>
      </c>
      <c r="D471" s="116" t="e">
        <f>VLOOKUP(C471,#REF!,2,0)</f>
        <v>#REF!</v>
      </c>
      <c r="E471" s="117" t="e">
        <f>VLOOKUP(D471,数据集标准分类!E:F,2,0)</f>
        <v>#REF!</v>
      </c>
      <c r="F471" s="118">
        <v>17</v>
      </c>
      <c r="G471" s="119" t="s">
        <v>3498</v>
      </c>
      <c r="H471" s="119" t="s">
        <v>5873</v>
      </c>
      <c r="I471" s="119" t="s">
        <v>3501</v>
      </c>
      <c r="J471" s="119" t="s">
        <v>3499</v>
      </c>
      <c r="K471" s="119" t="s">
        <v>3501</v>
      </c>
      <c r="L471" s="119" t="s">
        <v>3502</v>
      </c>
      <c r="M471" s="113" t="s">
        <v>5593</v>
      </c>
      <c r="N471" s="113" t="s">
        <v>5595</v>
      </c>
      <c r="O471" s="120">
        <v>17</v>
      </c>
      <c r="P471" s="121" t="e">
        <f>VLOOKUP(I471,#REF!,2,0)</f>
        <v>#REF!</v>
      </c>
      <c r="Q471" s="122"/>
      <c r="R471" s="121"/>
      <c r="S471" s="123"/>
      <c r="T471" s="121"/>
      <c r="U471" s="123"/>
      <c r="V471" s="123"/>
      <c r="W471" s="124">
        <v>450</v>
      </c>
      <c r="X471" s="125"/>
      <c r="Y471" s="126"/>
      <c r="Z471" s="126"/>
      <c r="AA471" s="126"/>
      <c r="AB471" s="126"/>
      <c r="AC471" s="126"/>
      <c r="AD471" s="126"/>
      <c r="AE471" s="126"/>
      <c r="AF471" s="126"/>
    </row>
    <row r="472" ht="24" customHeight="1" spans="1:32">
      <c r="A472" s="113" t="s">
        <v>4174</v>
      </c>
      <c r="B472" s="114" t="s">
        <v>4175</v>
      </c>
      <c r="C472" s="115" t="s">
        <v>3605</v>
      </c>
      <c r="D472" s="116" t="e">
        <f>VLOOKUP(C472,#REF!,2,0)</f>
        <v>#REF!</v>
      </c>
      <c r="E472" s="117" t="e">
        <f>VLOOKUP(D472,数据集标准分类!E:F,2,0)</f>
        <v>#REF!</v>
      </c>
      <c r="F472" s="118">
        <v>17</v>
      </c>
      <c r="G472" s="119" t="s">
        <v>3503</v>
      </c>
      <c r="H472" s="119" t="s">
        <v>5874</v>
      </c>
      <c r="I472" s="119" t="s">
        <v>3506</v>
      </c>
      <c r="J472" s="119" t="s">
        <v>3504</v>
      </c>
      <c r="K472" s="119" t="s">
        <v>3506</v>
      </c>
      <c r="L472" s="119" t="s">
        <v>3507</v>
      </c>
      <c r="M472" s="113" t="s">
        <v>5593</v>
      </c>
      <c r="N472" s="113" t="s">
        <v>5595</v>
      </c>
      <c r="O472" s="120">
        <v>18</v>
      </c>
      <c r="P472" s="121" t="e">
        <f>VLOOKUP(I472,#REF!,2,0)</f>
        <v>#REF!</v>
      </c>
      <c r="Q472" s="122"/>
      <c r="R472" s="121"/>
      <c r="S472" s="123"/>
      <c r="T472" s="121"/>
      <c r="U472" s="123"/>
      <c r="V472" s="123"/>
      <c r="W472" s="124">
        <v>451</v>
      </c>
      <c r="X472" s="125"/>
      <c r="Y472" s="126"/>
      <c r="Z472" s="126"/>
      <c r="AA472" s="126"/>
      <c r="AB472" s="126"/>
      <c r="AC472" s="126"/>
      <c r="AD472" s="126"/>
      <c r="AE472" s="126"/>
      <c r="AF472" s="126"/>
    </row>
    <row r="473" spans="1:32">
      <c r="A473" s="113" t="s">
        <v>4174</v>
      </c>
      <c r="B473" s="114" t="s">
        <v>4175</v>
      </c>
      <c r="C473" s="115" t="s">
        <v>3605</v>
      </c>
      <c r="D473" s="116" t="e">
        <f>VLOOKUP(C473,#REF!,2,0)</f>
        <v>#REF!</v>
      </c>
      <c r="E473" s="117" t="e">
        <f>VLOOKUP(D473,数据集标准分类!E:F,2,0)</f>
        <v>#REF!</v>
      </c>
      <c r="F473" s="118">
        <v>17</v>
      </c>
      <c r="G473" s="119" t="s">
        <v>3611</v>
      </c>
      <c r="H473" s="119" t="s">
        <v>5892</v>
      </c>
      <c r="I473" s="119" t="s">
        <v>3614</v>
      </c>
      <c r="J473" s="119" t="s">
        <v>3612</v>
      </c>
      <c r="K473" s="119" t="s">
        <v>3614</v>
      </c>
      <c r="L473" s="119" t="s">
        <v>3615</v>
      </c>
      <c r="M473" s="113" t="s">
        <v>5593</v>
      </c>
      <c r="N473" s="113" t="s">
        <v>5595</v>
      </c>
      <c r="O473" s="120">
        <v>19</v>
      </c>
      <c r="P473" s="121" t="e">
        <f>VLOOKUP(I473,#REF!,2,0)</f>
        <v>#REF!</v>
      </c>
      <c r="Q473" s="122"/>
      <c r="R473" s="121"/>
      <c r="S473" s="123"/>
      <c r="T473" s="121"/>
      <c r="U473" s="123"/>
      <c r="V473" s="123"/>
      <c r="W473" s="124">
        <v>452</v>
      </c>
      <c r="X473" s="125"/>
      <c r="Y473" s="126"/>
      <c r="Z473" s="126"/>
      <c r="AA473" s="126"/>
      <c r="AB473" s="126"/>
      <c r="AC473" s="126"/>
      <c r="AD473" s="126"/>
      <c r="AE473" s="126"/>
      <c r="AF473" s="126"/>
    </row>
    <row r="474" ht="31" spans="1:32">
      <c r="A474" s="16" t="s">
        <v>4174</v>
      </c>
      <c r="B474" s="17" t="s">
        <v>4175</v>
      </c>
      <c r="C474" s="30" t="s">
        <v>3549</v>
      </c>
      <c r="D474" s="19" t="e">
        <f>VLOOKUP(C474,#REF!,2,0)</f>
        <v>#REF!</v>
      </c>
      <c r="E474" s="20" t="e">
        <f>VLOOKUP(D474,数据集标准分类!E:F,2,0)</f>
        <v>#REF!</v>
      </c>
      <c r="F474" s="21">
        <v>18</v>
      </c>
      <c r="G474" s="22" t="s">
        <v>711</v>
      </c>
      <c r="H474" s="22" t="s">
        <v>712</v>
      </c>
      <c r="I474" s="22" t="s">
        <v>713</v>
      </c>
      <c r="J474" s="22" t="s">
        <v>712</v>
      </c>
      <c r="K474" s="22" t="s">
        <v>713</v>
      </c>
      <c r="L474" s="22" t="s">
        <v>714</v>
      </c>
      <c r="M474" s="16" t="s">
        <v>5595</v>
      </c>
      <c r="N474" s="16" t="s">
        <v>5595</v>
      </c>
      <c r="O474" s="23">
        <v>1</v>
      </c>
      <c r="P474" s="24" t="e">
        <f>VLOOKUP(I474,#REF!,2,0)</f>
        <v>#REF!</v>
      </c>
      <c r="Q474" s="25"/>
      <c r="R474" s="24"/>
      <c r="S474" s="26"/>
      <c r="T474" s="24"/>
      <c r="U474" s="26"/>
      <c r="V474" s="26"/>
      <c r="W474" s="27">
        <v>453</v>
      </c>
      <c r="X474" s="28"/>
    </row>
    <row r="475" ht="61" spans="1:32">
      <c r="A475" s="16" t="s">
        <v>4174</v>
      </c>
      <c r="B475" s="17" t="s">
        <v>4175</v>
      </c>
      <c r="C475" s="30" t="s">
        <v>3549</v>
      </c>
      <c r="D475" s="19" t="e">
        <f>VLOOKUP(C475,#REF!,2,0)</f>
        <v>#REF!</v>
      </c>
      <c r="E475" s="20" t="e">
        <f>VLOOKUP(D475,数据集标准分类!E:F,2,0)</f>
        <v>#REF!</v>
      </c>
      <c r="F475" s="21">
        <v>18</v>
      </c>
      <c r="G475" s="22" t="s">
        <v>77</v>
      </c>
      <c r="H475" s="22" t="s">
        <v>5686</v>
      </c>
      <c r="I475" s="22" t="s">
        <v>80</v>
      </c>
      <c r="J475" s="22" t="s">
        <v>78</v>
      </c>
      <c r="K475" s="22" t="s">
        <v>80</v>
      </c>
      <c r="L475" s="22" t="s">
        <v>310</v>
      </c>
      <c r="M475" s="16" t="s">
        <v>5593</v>
      </c>
      <c r="N475" s="16" t="s">
        <v>5595</v>
      </c>
      <c r="O475" s="23">
        <v>2</v>
      </c>
      <c r="P475" s="24" t="e">
        <f>VLOOKUP(I475,#REF!,2,0)</f>
        <v>#REF!</v>
      </c>
      <c r="Q475" s="25"/>
      <c r="R475" s="24"/>
      <c r="S475" s="26"/>
      <c r="T475" s="24"/>
      <c r="U475" s="26"/>
      <c r="V475" s="26"/>
      <c r="W475" s="27">
        <v>454</v>
      </c>
      <c r="X475" s="28"/>
    </row>
    <row r="476" ht="61" spans="1:32">
      <c r="A476" s="16" t="s">
        <v>4174</v>
      </c>
      <c r="B476" s="17" t="s">
        <v>4175</v>
      </c>
      <c r="C476" s="30" t="s">
        <v>3549</v>
      </c>
      <c r="D476" s="19" t="e">
        <f>VLOOKUP(C476,#REF!,2,0)</f>
        <v>#REF!</v>
      </c>
      <c r="E476" s="20" t="e">
        <f>VLOOKUP(D476,数据集标准分类!E:F,2,0)</f>
        <v>#REF!</v>
      </c>
      <c r="F476" s="21">
        <v>18</v>
      </c>
      <c r="G476" s="22" t="s">
        <v>82</v>
      </c>
      <c r="H476" s="22" t="s">
        <v>5687</v>
      </c>
      <c r="I476" s="22" t="s">
        <v>85</v>
      </c>
      <c r="J476" s="22" t="s">
        <v>83</v>
      </c>
      <c r="K476" s="22" t="s">
        <v>85</v>
      </c>
      <c r="L476" s="22" t="s">
        <v>311</v>
      </c>
      <c r="M476" s="16" t="s">
        <v>5593</v>
      </c>
      <c r="N476" s="16" t="s">
        <v>5595</v>
      </c>
      <c r="O476" s="23">
        <v>3</v>
      </c>
      <c r="P476" s="24" t="e">
        <f>VLOOKUP(I476,#REF!,2,0)</f>
        <v>#REF!</v>
      </c>
      <c r="Q476" s="25"/>
      <c r="R476" s="24"/>
      <c r="S476" s="26"/>
      <c r="T476" s="24"/>
      <c r="U476" s="26"/>
      <c r="V476" s="26"/>
      <c r="W476" s="27">
        <v>455</v>
      </c>
      <c r="X476" s="28"/>
    </row>
    <row r="477" ht="31" spans="1:32">
      <c r="A477" s="83" t="s">
        <v>4174</v>
      </c>
      <c r="B477" s="84" t="s">
        <v>4175</v>
      </c>
      <c r="C477" s="85" t="s">
        <v>3549</v>
      </c>
      <c r="D477" s="86" t="e">
        <f>VLOOKUP(C477,#REF!,2,0)</f>
        <v>#REF!</v>
      </c>
      <c r="E477" s="20" t="e">
        <f>VLOOKUP(D477,数据集标准分类!E:F,2,0)</f>
        <v>#REF!</v>
      </c>
      <c r="F477" s="87">
        <v>18</v>
      </c>
      <c r="G477" s="88" t="s">
        <v>172</v>
      </c>
      <c r="H477" s="88" t="s">
        <v>5639</v>
      </c>
      <c r="I477" s="88" t="s">
        <v>5640</v>
      </c>
      <c r="J477" s="88" t="s">
        <v>173</v>
      </c>
      <c r="K477" s="88" t="s">
        <v>175</v>
      </c>
      <c r="L477" s="88" t="s">
        <v>1587</v>
      </c>
      <c r="M477" s="83" t="s">
        <v>5593</v>
      </c>
      <c r="N477" s="83" t="s">
        <v>5593</v>
      </c>
      <c r="O477" s="89">
        <v>4</v>
      </c>
      <c r="P477" s="90" t="e">
        <f>VLOOKUP(I477,#REF!,2,0)</f>
        <v>#REF!</v>
      </c>
      <c r="Q477" s="91"/>
      <c r="R477" s="90"/>
      <c r="S477" s="92"/>
      <c r="T477" s="90"/>
      <c r="U477" s="92"/>
      <c r="V477" s="92"/>
      <c r="W477" s="93">
        <v>456</v>
      </c>
      <c r="X477" s="94"/>
      <c r="Y477" s="95"/>
      <c r="Z477" s="95"/>
      <c r="AA477" s="95"/>
      <c r="AB477" s="95"/>
      <c r="AC477" s="95"/>
      <c r="AD477" s="95"/>
      <c r="AE477" s="95"/>
      <c r="AF477" s="95"/>
    </row>
    <row r="478" ht="31" spans="1:32">
      <c r="A478" s="83" t="s">
        <v>4174</v>
      </c>
      <c r="B478" s="84" t="s">
        <v>4175</v>
      </c>
      <c r="C478" s="85" t="s">
        <v>3549</v>
      </c>
      <c r="D478" s="86" t="e">
        <f>VLOOKUP(C478,#REF!,2,0)</f>
        <v>#REF!</v>
      </c>
      <c r="E478" s="20" t="e">
        <f>VLOOKUP(D478,数据集标准分类!E:F,2,0)</f>
        <v>#REF!</v>
      </c>
      <c r="F478" s="87">
        <v>18</v>
      </c>
      <c r="G478" s="88" t="s">
        <v>1583</v>
      </c>
      <c r="H478" s="88" t="s">
        <v>5659</v>
      </c>
      <c r="I478" s="88" t="s">
        <v>1586</v>
      </c>
      <c r="J478" s="88" t="s">
        <v>1584</v>
      </c>
      <c r="K478" s="88" t="s">
        <v>1586</v>
      </c>
      <c r="L478" s="88" t="s">
        <v>1587</v>
      </c>
      <c r="M478" s="83" t="s">
        <v>5593</v>
      </c>
      <c r="N478" s="83" t="s">
        <v>5595</v>
      </c>
      <c r="O478" s="89">
        <v>5</v>
      </c>
      <c r="P478" s="90" t="e">
        <f>VLOOKUP(I478,#REF!,2,0)</f>
        <v>#REF!</v>
      </c>
      <c r="Q478" s="91"/>
      <c r="R478" s="90"/>
      <c r="S478" s="92"/>
      <c r="T478" s="90"/>
      <c r="U478" s="92"/>
      <c r="V478" s="92"/>
      <c r="W478" s="93">
        <v>457</v>
      </c>
      <c r="X478" s="94"/>
      <c r="Y478" s="95"/>
      <c r="Z478" s="95"/>
      <c r="AA478" s="95"/>
      <c r="AB478" s="95"/>
      <c r="AC478" s="95"/>
      <c r="AD478" s="95"/>
      <c r="AE478" s="95"/>
      <c r="AF478" s="95"/>
    </row>
    <row r="479" ht="46" spans="1:32">
      <c r="A479" s="83" t="s">
        <v>4174</v>
      </c>
      <c r="B479" s="84" t="s">
        <v>4175</v>
      </c>
      <c r="C479" s="85" t="s">
        <v>3549</v>
      </c>
      <c r="D479" s="86" t="e">
        <f>VLOOKUP(C479,#REF!,2,0)</f>
        <v>#REF!</v>
      </c>
      <c r="E479" s="20" t="e">
        <f>VLOOKUP(D479,数据集标准分类!E:F,2,0)</f>
        <v>#REF!</v>
      </c>
      <c r="F479" s="87">
        <v>18</v>
      </c>
      <c r="G479" s="88" t="s">
        <v>192</v>
      </c>
      <c r="H479" s="88" t="s">
        <v>5630</v>
      </c>
      <c r="I479" s="88" t="s">
        <v>5631</v>
      </c>
      <c r="J479" s="88" t="s">
        <v>193</v>
      </c>
      <c r="K479" s="88" t="s">
        <v>195</v>
      </c>
      <c r="L479" s="88" t="s">
        <v>385</v>
      </c>
      <c r="M479" s="83" t="s">
        <v>5593</v>
      </c>
      <c r="N479" s="83" t="s">
        <v>5593</v>
      </c>
      <c r="O479" s="89">
        <v>6</v>
      </c>
      <c r="P479" s="90" t="e">
        <f>VLOOKUP(I479,#REF!,2,0)</f>
        <v>#REF!</v>
      </c>
      <c r="Q479" s="91"/>
      <c r="R479" s="90"/>
      <c r="S479" s="92"/>
      <c r="T479" s="90"/>
      <c r="U479" s="92"/>
      <c r="V479" s="92"/>
      <c r="W479" s="93">
        <v>458</v>
      </c>
      <c r="X479" s="94"/>
      <c r="Y479" s="95"/>
      <c r="Z479" s="95"/>
      <c r="AA479" s="95"/>
      <c r="AB479" s="95"/>
      <c r="AC479" s="95"/>
      <c r="AD479" s="95"/>
      <c r="AE479" s="95"/>
      <c r="AF479" s="95"/>
    </row>
    <row r="480" ht="46" spans="1:32">
      <c r="A480" s="16" t="s">
        <v>4174</v>
      </c>
      <c r="B480" s="17" t="s">
        <v>4175</v>
      </c>
      <c r="C480" s="30" t="s">
        <v>3549</v>
      </c>
      <c r="D480" s="19" t="e">
        <f>VLOOKUP(C480,#REF!,2,0)</f>
        <v>#REF!</v>
      </c>
      <c r="E480" s="20" t="e">
        <f>VLOOKUP(D480,数据集标准分类!E:F,2,0)</f>
        <v>#REF!</v>
      </c>
      <c r="F480" s="21">
        <v>18</v>
      </c>
      <c r="G480" s="22" t="s">
        <v>245</v>
      </c>
      <c r="H480" s="22" t="s">
        <v>5680</v>
      </c>
      <c r="I480" s="22" t="s">
        <v>248</v>
      </c>
      <c r="J480" s="22" t="s">
        <v>246</v>
      </c>
      <c r="K480" s="22" t="s">
        <v>248</v>
      </c>
      <c r="L480" s="22" t="s">
        <v>3550</v>
      </c>
      <c r="M480" s="16" t="s">
        <v>5593</v>
      </c>
      <c r="N480" s="16" t="s">
        <v>5595</v>
      </c>
      <c r="O480" s="23">
        <v>7</v>
      </c>
      <c r="P480" s="24" t="e">
        <f>VLOOKUP(I480,#REF!,2,0)</f>
        <v>#REF!</v>
      </c>
      <c r="Q480" s="25"/>
      <c r="R480" s="24"/>
      <c r="S480" s="26" t="s">
        <v>5593</v>
      </c>
      <c r="T480" s="24"/>
      <c r="U480" s="26"/>
      <c r="V480" s="26"/>
      <c r="W480" s="27">
        <v>459</v>
      </c>
      <c r="X480" s="28"/>
    </row>
    <row r="481" spans="1:32">
      <c r="A481" s="83" t="s">
        <v>4174</v>
      </c>
      <c r="B481" s="84" t="s">
        <v>4175</v>
      </c>
      <c r="C481" s="85" t="s">
        <v>3549</v>
      </c>
      <c r="D481" s="86" t="e">
        <f>VLOOKUP(C481,#REF!,2,0)</f>
        <v>#REF!</v>
      </c>
      <c r="E481" s="20" t="e">
        <f>VLOOKUP(D481,数据集标准分类!E:F,2,0)</f>
        <v>#REF!</v>
      </c>
      <c r="F481" s="87">
        <v>18</v>
      </c>
      <c r="G481" s="88" t="s">
        <v>1261</v>
      </c>
      <c r="H481" s="88" t="s">
        <v>5632</v>
      </c>
      <c r="I481" s="88" t="s">
        <v>1264</v>
      </c>
      <c r="J481" s="88" t="s">
        <v>1262</v>
      </c>
      <c r="K481" s="88" t="s">
        <v>1264</v>
      </c>
      <c r="L481" s="88" t="s">
        <v>1429</v>
      </c>
      <c r="M481" s="83" t="s">
        <v>5593</v>
      </c>
      <c r="N481" s="83" t="s">
        <v>5595</v>
      </c>
      <c r="O481" s="89">
        <v>8</v>
      </c>
      <c r="P481" s="90" t="e">
        <f>VLOOKUP(I481,#REF!,2,0)</f>
        <v>#REF!</v>
      </c>
      <c r="Q481" s="91"/>
      <c r="R481" s="90"/>
      <c r="S481" s="92"/>
      <c r="T481" s="90"/>
      <c r="U481" s="92"/>
      <c r="V481" s="92"/>
      <c r="W481" s="93">
        <v>460</v>
      </c>
      <c r="X481" s="94"/>
      <c r="Y481" s="95"/>
      <c r="Z481" s="95"/>
      <c r="AA481" s="95"/>
      <c r="AB481" s="95"/>
      <c r="AC481" s="95"/>
      <c r="AD481" s="95"/>
      <c r="AE481" s="95"/>
      <c r="AF481" s="95"/>
    </row>
    <row r="482" ht="46" spans="1:32">
      <c r="A482" s="16" t="s">
        <v>4174</v>
      </c>
      <c r="B482" s="17" t="s">
        <v>4175</v>
      </c>
      <c r="C482" s="30" t="s">
        <v>3549</v>
      </c>
      <c r="D482" s="19" t="e">
        <f>VLOOKUP(C482,#REF!,2,0)</f>
        <v>#REF!</v>
      </c>
      <c r="E482" s="20" t="e">
        <f>VLOOKUP(D482,数据集标准分类!E:F,2,0)</f>
        <v>#REF!</v>
      </c>
      <c r="F482" s="21">
        <v>18</v>
      </c>
      <c r="G482" s="22" t="s">
        <v>3551</v>
      </c>
      <c r="H482" s="101" t="s">
        <v>5893</v>
      </c>
      <c r="I482" s="101" t="s">
        <v>3554</v>
      </c>
      <c r="J482" s="22" t="s">
        <v>3552</v>
      </c>
      <c r="K482" s="22" t="s">
        <v>3554</v>
      </c>
      <c r="L482" s="22" t="s">
        <v>1601</v>
      </c>
      <c r="M482" s="16" t="s">
        <v>5593</v>
      </c>
      <c r="N482" s="16" t="s">
        <v>5595</v>
      </c>
      <c r="O482" s="23">
        <v>9</v>
      </c>
      <c r="P482" s="24" t="e">
        <f>VLOOKUP(I482,#REF!,2,0)</f>
        <v>#REF!</v>
      </c>
      <c r="Q482" s="47"/>
      <c r="R482" s="24"/>
      <c r="S482" s="48"/>
      <c r="T482" s="24"/>
      <c r="U482" s="48"/>
      <c r="V482" s="48"/>
      <c r="W482" s="27">
        <v>461</v>
      </c>
      <c r="X482" s="28"/>
      <c r="Y482" s="5"/>
      <c r="Z482" s="5"/>
      <c r="AA482" s="5"/>
      <c r="AB482" s="5"/>
      <c r="AC482" s="5"/>
      <c r="AD482" s="5"/>
      <c r="AE482" s="5"/>
      <c r="AF482" s="5"/>
    </row>
    <row r="483" ht="46" spans="1:32">
      <c r="A483" s="16" t="s">
        <v>4174</v>
      </c>
      <c r="B483" s="17" t="s">
        <v>4175</v>
      </c>
      <c r="C483" s="30" t="s">
        <v>3549</v>
      </c>
      <c r="D483" s="19" t="e">
        <f>VLOOKUP(C483,#REF!,2,0)</f>
        <v>#REF!</v>
      </c>
      <c r="E483" s="20" t="e">
        <f>VLOOKUP(D483,数据集标准分类!E:F,2,0)</f>
        <v>#REF!</v>
      </c>
      <c r="F483" s="21">
        <v>18</v>
      </c>
      <c r="G483" s="22" t="s">
        <v>1592</v>
      </c>
      <c r="H483" s="22" t="s">
        <v>5661</v>
      </c>
      <c r="I483" s="22" t="s">
        <v>5662</v>
      </c>
      <c r="J483" s="22" t="s">
        <v>1593</v>
      </c>
      <c r="K483" s="22" t="s">
        <v>1595</v>
      </c>
      <c r="L483" s="22" t="s">
        <v>1596</v>
      </c>
      <c r="M483" s="16" t="s">
        <v>5593</v>
      </c>
      <c r="N483" s="16" t="s">
        <v>5593</v>
      </c>
      <c r="O483" s="23">
        <v>10</v>
      </c>
      <c r="P483" s="24" t="e">
        <f>VLOOKUP(I483,#REF!,2,0)</f>
        <v>#REF!</v>
      </c>
      <c r="Q483" s="25"/>
      <c r="R483" s="24"/>
      <c r="S483" s="26"/>
      <c r="T483" s="24"/>
      <c r="U483" s="26"/>
      <c r="V483" s="26"/>
      <c r="W483" s="27">
        <v>462</v>
      </c>
      <c r="X483" s="28"/>
    </row>
    <row r="484" ht="31" spans="1:32">
      <c r="A484" s="16" t="s">
        <v>4174</v>
      </c>
      <c r="B484" s="17" t="s">
        <v>4175</v>
      </c>
      <c r="C484" s="30" t="s">
        <v>3549</v>
      </c>
      <c r="D484" s="19" t="e">
        <f>VLOOKUP(C484,#REF!,2,0)</f>
        <v>#REF!</v>
      </c>
      <c r="E484" s="20" t="e">
        <f>VLOOKUP(D484,数据集标准分类!E:F,2,0)</f>
        <v>#REF!</v>
      </c>
      <c r="F484" s="21">
        <v>18</v>
      </c>
      <c r="G484" s="22" t="s">
        <v>503</v>
      </c>
      <c r="H484" s="22" t="s">
        <v>5591</v>
      </c>
      <c r="I484" s="22" t="s">
        <v>5592</v>
      </c>
      <c r="J484" s="22" t="s">
        <v>504</v>
      </c>
      <c r="K484" s="22" t="s">
        <v>506</v>
      </c>
      <c r="L484" s="22" t="s">
        <v>1779</v>
      </c>
      <c r="M484" s="16" t="s">
        <v>5593</v>
      </c>
      <c r="N484" s="16" t="s">
        <v>5593</v>
      </c>
      <c r="O484" s="23">
        <v>11</v>
      </c>
      <c r="P484" s="24" t="e">
        <f>VLOOKUP(I484,#REF!,2,0)</f>
        <v>#REF!</v>
      </c>
      <c r="Q484" s="25"/>
      <c r="R484" s="24"/>
      <c r="S484" s="26"/>
      <c r="T484" s="24"/>
      <c r="U484" s="26"/>
      <c r="V484" s="26"/>
      <c r="W484" s="27">
        <v>463</v>
      </c>
      <c r="X484" s="28"/>
    </row>
    <row r="485" ht="31" spans="1:32">
      <c r="A485" s="16" t="s">
        <v>4174</v>
      </c>
      <c r="B485" s="17" t="s">
        <v>4175</v>
      </c>
      <c r="C485" s="30" t="s">
        <v>3549</v>
      </c>
      <c r="D485" s="19" t="e">
        <f>VLOOKUP(C485,#REF!,2,0)</f>
        <v>#REF!</v>
      </c>
      <c r="E485" s="20" t="e">
        <f>VLOOKUP(D485,数据集标准分类!E:F,2,0)</f>
        <v>#REF!</v>
      </c>
      <c r="F485" s="21">
        <v>18</v>
      </c>
      <c r="G485" s="22" t="s">
        <v>508</v>
      </c>
      <c r="H485" s="22" t="s">
        <v>5594</v>
      </c>
      <c r="I485" s="22" t="s">
        <v>511</v>
      </c>
      <c r="J485" s="22" t="s">
        <v>509</v>
      </c>
      <c r="K485" s="22" t="s">
        <v>511</v>
      </c>
      <c r="L485" s="22" t="s">
        <v>116</v>
      </c>
      <c r="M485" s="16" t="s">
        <v>5593</v>
      </c>
      <c r="N485" s="16" t="s">
        <v>5595</v>
      </c>
      <c r="O485" s="23">
        <v>12</v>
      </c>
      <c r="P485" s="24" t="e">
        <f>VLOOKUP(I485,#REF!,2,0)</f>
        <v>#REF!</v>
      </c>
      <c r="Q485" s="25"/>
      <c r="R485" s="24"/>
      <c r="S485" s="26"/>
      <c r="T485" s="24"/>
      <c r="U485" s="26"/>
      <c r="V485" s="26"/>
      <c r="W485" s="27">
        <v>464</v>
      </c>
      <c r="X485" s="28"/>
    </row>
    <row r="486" spans="1:32">
      <c r="A486" s="16" t="s">
        <v>4174</v>
      </c>
      <c r="B486" s="17" t="s">
        <v>4175</v>
      </c>
      <c r="C486" s="30" t="s">
        <v>3549</v>
      </c>
      <c r="D486" s="19" t="e">
        <f>VLOOKUP(C486,#REF!,2,0)</f>
        <v>#REF!</v>
      </c>
      <c r="E486" s="20" t="e">
        <f>VLOOKUP(D486,数据集标准分类!E:F,2,0)</f>
        <v>#REF!</v>
      </c>
      <c r="F486" s="21">
        <v>18</v>
      </c>
      <c r="G486" s="22" t="s">
        <v>3555</v>
      </c>
      <c r="H486" s="22" t="s">
        <v>5894</v>
      </c>
      <c r="I486" s="22" t="s">
        <v>3558</v>
      </c>
      <c r="J486" s="22" t="s">
        <v>3556</v>
      </c>
      <c r="K486" s="22" t="s">
        <v>3558</v>
      </c>
      <c r="L486" s="22" t="s">
        <v>3559</v>
      </c>
      <c r="M486" s="16" t="s">
        <v>5593</v>
      </c>
      <c r="N486" s="16" t="s">
        <v>5595</v>
      </c>
      <c r="O486" s="23">
        <v>13</v>
      </c>
      <c r="P486" s="24" t="e">
        <f>VLOOKUP(I486,#REF!,2,0)</f>
        <v>#REF!</v>
      </c>
      <c r="Q486" s="25"/>
      <c r="R486" s="24"/>
      <c r="S486" s="26"/>
      <c r="T486" s="24"/>
      <c r="U486" s="26"/>
      <c r="V486" s="26"/>
      <c r="W486" s="27">
        <v>465</v>
      </c>
      <c r="X486" s="28"/>
    </row>
    <row r="487" ht="31" spans="1:32">
      <c r="A487" s="16" t="s">
        <v>4174</v>
      </c>
      <c r="B487" s="17" t="s">
        <v>4175</v>
      </c>
      <c r="C487" s="30" t="s">
        <v>3549</v>
      </c>
      <c r="D487" s="19" t="e">
        <f>VLOOKUP(C487,#REF!,2,0)</f>
        <v>#REF!</v>
      </c>
      <c r="E487" s="20" t="e">
        <f>VLOOKUP(D487,数据集标准分类!E:F,2,0)</f>
        <v>#REF!</v>
      </c>
      <c r="F487" s="21">
        <v>18</v>
      </c>
      <c r="G487" s="22" t="s">
        <v>3436</v>
      </c>
      <c r="H487" s="22" t="s">
        <v>3437</v>
      </c>
      <c r="I487" s="22" t="s">
        <v>3439</v>
      </c>
      <c r="J487" s="22" t="s">
        <v>3437</v>
      </c>
      <c r="K487" s="22" t="s">
        <v>3439</v>
      </c>
      <c r="L487" s="22" t="s">
        <v>3440</v>
      </c>
      <c r="M487" s="16" t="s">
        <v>5595</v>
      </c>
      <c r="N487" s="16" t="s">
        <v>5595</v>
      </c>
      <c r="O487" s="23">
        <v>14</v>
      </c>
      <c r="P487" s="24" t="e">
        <f>VLOOKUP(I487,#REF!,2,0)</f>
        <v>#REF!</v>
      </c>
      <c r="Q487" s="25"/>
      <c r="R487" s="24"/>
      <c r="S487" s="26"/>
      <c r="T487" s="24"/>
      <c r="U487" s="26"/>
      <c r="V487" s="26"/>
      <c r="W487" s="27">
        <v>466</v>
      </c>
      <c r="X487" s="28"/>
    </row>
    <row r="488" ht="31" spans="1:32">
      <c r="A488" s="16" t="s">
        <v>4174</v>
      </c>
      <c r="B488" s="17" t="s">
        <v>4175</v>
      </c>
      <c r="C488" s="30" t="s">
        <v>3549</v>
      </c>
      <c r="D488" s="19" t="e">
        <f>VLOOKUP(C488,#REF!,2,0)</f>
        <v>#REF!</v>
      </c>
      <c r="E488" s="20" t="e">
        <f>VLOOKUP(D488,数据集标准分类!E:F,2,0)</f>
        <v>#REF!</v>
      </c>
      <c r="F488" s="21">
        <v>18</v>
      </c>
      <c r="G488" s="22" t="s">
        <v>3441</v>
      </c>
      <c r="H488" s="22" t="s">
        <v>3442</v>
      </c>
      <c r="I488" s="22" t="s">
        <v>3444</v>
      </c>
      <c r="J488" s="22" t="s">
        <v>3442</v>
      </c>
      <c r="K488" s="22" t="s">
        <v>3444</v>
      </c>
      <c r="L488" s="22" t="s">
        <v>3445</v>
      </c>
      <c r="M488" s="16" t="s">
        <v>5595</v>
      </c>
      <c r="N488" s="16" t="s">
        <v>5595</v>
      </c>
      <c r="O488" s="23">
        <v>15</v>
      </c>
      <c r="P488" s="24" t="e">
        <f>VLOOKUP(I488,#REF!,2,0)</f>
        <v>#REF!</v>
      </c>
      <c r="Q488" s="25"/>
      <c r="R488" s="24"/>
      <c r="S488" s="26"/>
      <c r="T488" s="24"/>
      <c r="U488" s="26"/>
      <c r="V488" s="26"/>
      <c r="W488" s="27">
        <v>467</v>
      </c>
      <c r="X488" s="28"/>
    </row>
    <row r="489" ht="92" spans="1:32">
      <c r="A489" s="16" t="s">
        <v>4174</v>
      </c>
      <c r="B489" s="17" t="s">
        <v>4175</v>
      </c>
      <c r="C489" s="30" t="s">
        <v>3549</v>
      </c>
      <c r="D489" s="19" t="e">
        <f>VLOOKUP(C489,#REF!,2,0)</f>
        <v>#REF!</v>
      </c>
      <c r="E489" s="20" t="e">
        <f>VLOOKUP(D489,数据集标准分类!E:F,2,0)</f>
        <v>#REF!</v>
      </c>
      <c r="F489" s="21">
        <v>18</v>
      </c>
      <c r="G489" s="22" t="s">
        <v>3229</v>
      </c>
      <c r="H489" s="22" t="s">
        <v>3230</v>
      </c>
      <c r="I489" s="22" t="s">
        <v>3232</v>
      </c>
      <c r="J489" s="22" t="s">
        <v>3230</v>
      </c>
      <c r="K489" s="22" t="s">
        <v>3232</v>
      </c>
      <c r="L489" s="22" t="s">
        <v>3233</v>
      </c>
      <c r="M489" s="16" t="s">
        <v>5595</v>
      </c>
      <c r="N489" s="16" t="s">
        <v>5595</v>
      </c>
      <c r="O489" s="23">
        <v>16</v>
      </c>
      <c r="P489" s="24" t="e">
        <f>VLOOKUP(I489,#REF!,2,0)</f>
        <v>#REF!</v>
      </c>
      <c r="Q489" s="25"/>
      <c r="R489" s="24"/>
      <c r="S489" s="26"/>
      <c r="T489" s="24"/>
      <c r="U489" s="26"/>
      <c r="V489" s="26"/>
      <c r="W489" s="27">
        <v>468</v>
      </c>
      <c r="X489" s="28"/>
    </row>
    <row r="490" ht="31" spans="1:32">
      <c r="A490" s="16" t="s">
        <v>4174</v>
      </c>
      <c r="B490" s="17" t="s">
        <v>4175</v>
      </c>
      <c r="C490" s="30" t="s">
        <v>3549</v>
      </c>
      <c r="D490" s="19" t="e">
        <f>VLOOKUP(C490,#REF!,2,0)</f>
        <v>#REF!</v>
      </c>
      <c r="E490" s="20" t="e">
        <f>VLOOKUP(D490,数据集标准分类!E:F,2,0)</f>
        <v>#REF!</v>
      </c>
      <c r="F490" s="21">
        <v>18</v>
      </c>
      <c r="G490" s="22" t="s">
        <v>784</v>
      </c>
      <c r="H490" s="22" t="s">
        <v>785</v>
      </c>
      <c r="I490" s="22" t="s">
        <v>787</v>
      </c>
      <c r="J490" s="22" t="s">
        <v>785</v>
      </c>
      <c r="K490" s="22" t="s">
        <v>787</v>
      </c>
      <c r="L490" s="22" t="s">
        <v>3234</v>
      </c>
      <c r="M490" s="16" t="s">
        <v>5595</v>
      </c>
      <c r="N490" s="16" t="s">
        <v>5595</v>
      </c>
      <c r="O490" s="23">
        <v>17</v>
      </c>
      <c r="P490" s="24" t="e">
        <f>VLOOKUP(I490,#REF!,2,0)</f>
        <v>#REF!</v>
      </c>
      <c r="Q490" s="25"/>
      <c r="R490" s="24"/>
      <c r="S490" s="26"/>
      <c r="T490" s="24"/>
      <c r="U490" s="26"/>
      <c r="V490" s="26"/>
      <c r="W490" s="27">
        <v>469</v>
      </c>
      <c r="X490" s="28"/>
    </row>
    <row r="491" spans="1:32">
      <c r="A491" s="16" t="s">
        <v>4174</v>
      </c>
      <c r="B491" s="17" t="s">
        <v>4175</v>
      </c>
      <c r="C491" s="30" t="s">
        <v>3549</v>
      </c>
      <c r="D491" s="19" t="e">
        <f>VLOOKUP(C491,#REF!,2,0)</f>
        <v>#REF!</v>
      </c>
      <c r="E491" s="20" t="e">
        <f>VLOOKUP(D491,数据集标准分类!E:F,2,0)</f>
        <v>#REF!</v>
      </c>
      <c r="F491" s="21">
        <v>18</v>
      </c>
      <c r="G491" s="22" t="s">
        <v>3493</v>
      </c>
      <c r="H491" s="22" t="s">
        <v>5872</v>
      </c>
      <c r="I491" s="22" t="s">
        <v>3496</v>
      </c>
      <c r="J491" s="22" t="s">
        <v>3494</v>
      </c>
      <c r="K491" s="22" t="s">
        <v>3496</v>
      </c>
      <c r="L491" s="22" t="s">
        <v>3502</v>
      </c>
      <c r="M491" s="16" t="s">
        <v>5593</v>
      </c>
      <c r="N491" s="16" t="s">
        <v>5595</v>
      </c>
      <c r="O491" s="23">
        <v>18</v>
      </c>
      <c r="P491" s="24" t="e">
        <f>VLOOKUP(I491,#REF!,2,0)</f>
        <v>#REF!</v>
      </c>
      <c r="Q491" s="25"/>
      <c r="R491" s="24"/>
      <c r="S491" s="26"/>
      <c r="T491" s="24"/>
      <c r="U491" s="26"/>
      <c r="V491" s="26"/>
      <c r="W491" s="27">
        <v>470</v>
      </c>
      <c r="X491" s="28"/>
    </row>
    <row r="492" spans="1:32">
      <c r="A492" s="16" t="s">
        <v>4174</v>
      </c>
      <c r="B492" s="17" t="s">
        <v>4175</v>
      </c>
      <c r="C492" s="30" t="s">
        <v>3549</v>
      </c>
      <c r="D492" s="19" t="e">
        <f>VLOOKUP(C492,#REF!,2,0)</f>
        <v>#REF!</v>
      </c>
      <c r="E492" s="20" t="e">
        <f>VLOOKUP(D492,数据集标准分类!E:F,2,0)</f>
        <v>#REF!</v>
      </c>
      <c r="F492" s="21">
        <v>18</v>
      </c>
      <c r="G492" s="22" t="s">
        <v>3498</v>
      </c>
      <c r="H492" s="22" t="s">
        <v>5873</v>
      </c>
      <c r="I492" s="22" t="s">
        <v>3501</v>
      </c>
      <c r="J492" s="22" t="s">
        <v>3499</v>
      </c>
      <c r="K492" s="22" t="s">
        <v>3501</v>
      </c>
      <c r="L492" s="22" t="s">
        <v>3497</v>
      </c>
      <c r="M492" s="16" t="s">
        <v>5593</v>
      </c>
      <c r="N492" s="16" t="s">
        <v>5595</v>
      </c>
      <c r="O492" s="23">
        <v>19</v>
      </c>
      <c r="P492" s="24" t="e">
        <f>VLOOKUP(I492,#REF!,2,0)</f>
        <v>#REF!</v>
      </c>
      <c r="Q492" s="25"/>
      <c r="R492" s="24"/>
      <c r="S492" s="26"/>
      <c r="T492" s="24"/>
      <c r="U492" s="26"/>
      <c r="V492" s="26"/>
      <c r="W492" s="27">
        <v>471</v>
      </c>
      <c r="X492" s="28"/>
    </row>
    <row r="493" ht="31" spans="1:32">
      <c r="A493" s="16" t="s">
        <v>4174</v>
      </c>
      <c r="B493" s="17" t="s">
        <v>4175</v>
      </c>
      <c r="C493" s="30" t="s">
        <v>3549</v>
      </c>
      <c r="D493" s="19" t="e">
        <f>VLOOKUP(C493,#REF!,2,0)</f>
        <v>#REF!</v>
      </c>
      <c r="E493" s="20" t="e">
        <f>VLOOKUP(D493,数据集标准分类!E:F,2,0)</f>
        <v>#REF!</v>
      </c>
      <c r="F493" s="21">
        <v>18</v>
      </c>
      <c r="G493" s="22" t="s">
        <v>3503</v>
      </c>
      <c r="H493" s="22" t="s">
        <v>5874</v>
      </c>
      <c r="I493" s="22" t="s">
        <v>3506</v>
      </c>
      <c r="J493" s="22" t="s">
        <v>3504</v>
      </c>
      <c r="K493" s="22" t="s">
        <v>3506</v>
      </c>
      <c r="L493" s="22" t="s">
        <v>3507</v>
      </c>
      <c r="M493" s="16" t="s">
        <v>5593</v>
      </c>
      <c r="N493" s="16" t="s">
        <v>5595</v>
      </c>
      <c r="O493" s="23">
        <v>20</v>
      </c>
      <c r="P493" s="24" t="e">
        <f>VLOOKUP(I493,#REF!,2,0)</f>
        <v>#REF!</v>
      </c>
      <c r="Q493" s="25"/>
      <c r="R493" s="24"/>
      <c r="S493" s="26"/>
      <c r="T493" s="24"/>
      <c r="U493" s="26"/>
      <c r="V493" s="26"/>
      <c r="W493" s="27">
        <v>472</v>
      </c>
      <c r="X493" s="28"/>
    </row>
    <row r="494" ht="31" spans="1:32">
      <c r="A494" s="16" t="s">
        <v>4174</v>
      </c>
      <c r="B494" s="17" t="s">
        <v>4175</v>
      </c>
      <c r="C494" s="30" t="s">
        <v>3549</v>
      </c>
      <c r="D494" s="19" t="e">
        <f>VLOOKUP(C494,#REF!,2,0)</f>
        <v>#REF!</v>
      </c>
      <c r="E494" s="20" t="e">
        <f>VLOOKUP(D494,数据集标准分类!E:F,2,0)</f>
        <v>#REF!</v>
      </c>
      <c r="F494" s="21">
        <v>18</v>
      </c>
      <c r="G494" s="22" t="s">
        <v>3560</v>
      </c>
      <c r="H494" s="22" t="s">
        <v>5895</v>
      </c>
      <c r="I494" s="22" t="s">
        <v>5896</v>
      </c>
      <c r="J494" s="22" t="s">
        <v>3561</v>
      </c>
      <c r="K494" s="22" t="s">
        <v>3563</v>
      </c>
      <c r="L494" s="22" t="s">
        <v>3564</v>
      </c>
      <c r="M494" s="16" t="s">
        <v>5593</v>
      </c>
      <c r="N494" s="16" t="s">
        <v>5593</v>
      </c>
      <c r="O494" s="23">
        <v>21</v>
      </c>
      <c r="P494" s="24" t="e">
        <f>VLOOKUP(I494,#REF!,2,0)</f>
        <v>#REF!</v>
      </c>
      <c r="Q494" s="25"/>
      <c r="R494" s="24"/>
      <c r="S494" s="26"/>
      <c r="T494" s="24"/>
      <c r="U494" s="26"/>
      <c r="V494" s="26"/>
      <c r="W494" s="27">
        <v>473</v>
      </c>
      <c r="X494" s="28"/>
    </row>
    <row r="495" ht="31" spans="1:32">
      <c r="A495" s="16" t="s">
        <v>4174</v>
      </c>
      <c r="B495" s="17" t="s">
        <v>4175</v>
      </c>
      <c r="C495" s="30" t="s">
        <v>3549</v>
      </c>
      <c r="D495" s="19" t="e">
        <f>VLOOKUP(C495,#REF!,2,0)</f>
        <v>#REF!</v>
      </c>
      <c r="E495" s="20" t="e">
        <f>VLOOKUP(D495,数据集标准分类!E:F,2,0)</f>
        <v>#REF!</v>
      </c>
      <c r="F495" s="21">
        <v>18</v>
      </c>
      <c r="G495" s="22" t="s">
        <v>2069</v>
      </c>
      <c r="H495" s="22" t="s">
        <v>5720</v>
      </c>
      <c r="I495" s="22" t="s">
        <v>5721</v>
      </c>
      <c r="J495" s="22" t="s">
        <v>2070</v>
      </c>
      <c r="K495" s="22" t="s">
        <v>2072</v>
      </c>
      <c r="L495" s="22" t="s">
        <v>2073</v>
      </c>
      <c r="M495" s="16" t="s">
        <v>5593</v>
      </c>
      <c r="N495" s="16" t="s">
        <v>5593</v>
      </c>
      <c r="O495" s="23">
        <v>22</v>
      </c>
      <c r="P495" s="24" t="e">
        <f>VLOOKUP(I495,#REF!,2,0)</f>
        <v>#REF!</v>
      </c>
      <c r="Q495" s="25"/>
      <c r="R495" s="24"/>
      <c r="S495" s="26"/>
      <c r="T495" s="24"/>
      <c r="U495" s="26"/>
      <c r="V495" s="26"/>
      <c r="W495" s="27">
        <v>474</v>
      </c>
      <c r="X495" s="28"/>
    </row>
    <row r="496" ht="31" spans="1:32">
      <c r="A496" s="16" t="s">
        <v>4174</v>
      </c>
      <c r="B496" s="17" t="s">
        <v>4175</v>
      </c>
      <c r="C496" s="30" t="s">
        <v>3549</v>
      </c>
      <c r="D496" s="19" t="e">
        <f>VLOOKUP(C496,#REF!,2,0)</f>
        <v>#REF!</v>
      </c>
      <c r="E496" s="20" t="e">
        <f>VLOOKUP(D496,数据集标准分类!E:F,2,0)</f>
        <v>#REF!</v>
      </c>
      <c r="F496" s="21">
        <v>18</v>
      </c>
      <c r="G496" s="22" t="s">
        <v>3565</v>
      </c>
      <c r="H496" s="22" t="s">
        <v>3566</v>
      </c>
      <c r="I496" s="22" t="s">
        <v>3568</v>
      </c>
      <c r="J496" s="22" t="s">
        <v>3566</v>
      </c>
      <c r="K496" s="22" t="s">
        <v>3568</v>
      </c>
      <c r="L496" s="22" t="s">
        <v>3569</v>
      </c>
      <c r="M496" s="16" t="s">
        <v>5595</v>
      </c>
      <c r="N496" s="16" t="s">
        <v>5595</v>
      </c>
      <c r="O496" s="23">
        <v>23</v>
      </c>
      <c r="P496" s="24" t="e">
        <f>VLOOKUP(I496,#REF!,2,0)</f>
        <v>#REF!</v>
      </c>
      <c r="Q496" s="25"/>
      <c r="R496" s="24"/>
      <c r="S496" s="26"/>
      <c r="T496" s="24"/>
      <c r="U496" s="26"/>
      <c r="V496" s="26"/>
      <c r="W496" s="27">
        <v>475</v>
      </c>
      <c r="X496" s="28"/>
    </row>
    <row r="497" ht="31" spans="1:32">
      <c r="A497" s="16" t="s">
        <v>4174</v>
      </c>
      <c r="B497" s="17" t="s">
        <v>4175</v>
      </c>
      <c r="C497" s="30" t="s">
        <v>3549</v>
      </c>
      <c r="D497" s="19" t="e">
        <f>VLOOKUP(C497,#REF!,2,0)</f>
        <v>#REF!</v>
      </c>
      <c r="E497" s="20" t="e">
        <f>VLOOKUP(D497,数据集标准分类!E:F,2,0)</f>
        <v>#REF!</v>
      </c>
      <c r="F497" s="21">
        <v>18</v>
      </c>
      <c r="G497" s="22" t="s">
        <v>3570</v>
      </c>
      <c r="H497" s="22" t="s">
        <v>5897</v>
      </c>
      <c r="I497" s="22" t="s">
        <v>5898</v>
      </c>
      <c r="J497" s="22" t="s">
        <v>3571</v>
      </c>
      <c r="K497" s="22" t="s">
        <v>3573</v>
      </c>
      <c r="L497" s="22" t="s">
        <v>3574</v>
      </c>
      <c r="M497" s="16" t="s">
        <v>5593</v>
      </c>
      <c r="N497" s="16" t="s">
        <v>5593</v>
      </c>
      <c r="O497" s="23">
        <v>24</v>
      </c>
      <c r="P497" s="24" t="e">
        <f>VLOOKUP(I497,#REF!,2,0)</f>
        <v>#REF!</v>
      </c>
      <c r="Q497" s="25"/>
      <c r="R497" s="24"/>
      <c r="S497" s="26"/>
      <c r="T497" s="24"/>
      <c r="U497" s="26"/>
      <c r="V497" s="26"/>
      <c r="W497" s="27">
        <v>476</v>
      </c>
      <c r="X497" s="28"/>
    </row>
    <row r="498" spans="1:32">
      <c r="A498" s="16" t="s">
        <v>4174</v>
      </c>
      <c r="B498" s="17" t="s">
        <v>4175</v>
      </c>
      <c r="C498" s="30" t="s">
        <v>3549</v>
      </c>
      <c r="D498" s="19" t="e">
        <f>VLOOKUP(C498,#REF!,2,0)</f>
        <v>#REF!</v>
      </c>
      <c r="E498" s="20" t="e">
        <f>VLOOKUP(D498,数据集标准分类!E:F,2,0)</f>
        <v>#REF!</v>
      </c>
      <c r="F498" s="21">
        <v>18</v>
      </c>
      <c r="G498" s="22" t="s">
        <v>3575</v>
      </c>
      <c r="H498" s="22" t="s">
        <v>5899</v>
      </c>
      <c r="I498" s="22" t="s">
        <v>3578</v>
      </c>
      <c r="J498" s="22" t="s">
        <v>3576</v>
      </c>
      <c r="K498" s="22" t="s">
        <v>3578</v>
      </c>
      <c r="L498" s="22" t="s">
        <v>3579</v>
      </c>
      <c r="M498" s="16" t="s">
        <v>5593</v>
      </c>
      <c r="N498" s="16" t="s">
        <v>5595</v>
      </c>
      <c r="O498" s="23">
        <v>25</v>
      </c>
      <c r="P498" s="24" t="e">
        <f>VLOOKUP(I498,#REF!,2,0)</f>
        <v>#REF!</v>
      </c>
      <c r="Q498" s="25"/>
      <c r="R498" s="24"/>
      <c r="S498" s="26"/>
      <c r="T498" s="24"/>
      <c r="U498" s="26"/>
      <c r="V498" s="26"/>
      <c r="W498" s="27">
        <v>477</v>
      </c>
      <c r="X498" s="28"/>
    </row>
    <row r="499" ht="31" spans="1:32">
      <c r="A499" s="16" t="s">
        <v>4174</v>
      </c>
      <c r="B499" s="17" t="s">
        <v>4175</v>
      </c>
      <c r="C499" s="30" t="s">
        <v>3549</v>
      </c>
      <c r="D499" s="19" t="e">
        <f>VLOOKUP(C499,#REF!,2,0)</f>
        <v>#REF!</v>
      </c>
      <c r="E499" s="20" t="e">
        <f>VLOOKUP(D499,数据集标准分类!E:F,2,0)</f>
        <v>#REF!</v>
      </c>
      <c r="F499" s="21">
        <v>18</v>
      </c>
      <c r="G499" s="22" t="s">
        <v>3580</v>
      </c>
      <c r="H499" s="22" t="s">
        <v>5900</v>
      </c>
      <c r="I499" s="22" t="s">
        <v>5901</v>
      </c>
      <c r="J499" s="22" t="s">
        <v>3581</v>
      </c>
      <c r="K499" s="22" t="s">
        <v>3583</v>
      </c>
      <c r="L499" s="22" t="s">
        <v>3584</v>
      </c>
      <c r="M499" s="16" t="s">
        <v>5593</v>
      </c>
      <c r="N499" s="16" t="s">
        <v>5593</v>
      </c>
      <c r="O499" s="23">
        <v>26</v>
      </c>
      <c r="P499" s="24" t="e">
        <f>VLOOKUP(I499,#REF!,2,0)</f>
        <v>#REF!</v>
      </c>
      <c r="Q499" s="25"/>
      <c r="R499" s="24"/>
      <c r="S499" s="26"/>
      <c r="T499" s="24"/>
      <c r="U499" s="26"/>
      <c r="V499" s="26"/>
      <c r="W499" s="27">
        <v>478</v>
      </c>
      <c r="X499" s="28"/>
    </row>
    <row r="500" ht="31" spans="1:32">
      <c r="A500" s="16" t="s">
        <v>4174</v>
      </c>
      <c r="B500" s="17" t="s">
        <v>4175</v>
      </c>
      <c r="C500" s="30" t="s">
        <v>3549</v>
      </c>
      <c r="D500" s="19" t="e">
        <f>VLOOKUP(C500,#REF!,2,0)</f>
        <v>#REF!</v>
      </c>
      <c r="E500" s="20" t="e">
        <f>VLOOKUP(D500,数据集标准分类!E:F,2,0)</f>
        <v>#REF!</v>
      </c>
      <c r="F500" s="21">
        <v>18</v>
      </c>
      <c r="G500" s="29" t="s">
        <v>3585</v>
      </c>
      <c r="H500" s="29" t="s">
        <v>5902</v>
      </c>
      <c r="I500" s="29" t="s">
        <v>3588</v>
      </c>
      <c r="J500" s="22" t="s">
        <v>3586</v>
      </c>
      <c r="K500" s="22" t="s">
        <v>3588</v>
      </c>
      <c r="L500" s="22" t="s">
        <v>3589</v>
      </c>
      <c r="M500" s="16" t="s">
        <v>5593</v>
      </c>
      <c r="N500" s="16" t="s">
        <v>5595</v>
      </c>
      <c r="O500" s="23">
        <v>27</v>
      </c>
      <c r="P500" s="24" t="e">
        <f>VLOOKUP(I500,#REF!,2,0)</f>
        <v>#REF!</v>
      </c>
      <c r="Q500" s="25"/>
      <c r="R500" s="24"/>
      <c r="S500" s="26"/>
      <c r="T500" s="24"/>
      <c r="U500" s="26"/>
      <c r="V500" s="26"/>
      <c r="W500" s="27">
        <v>479</v>
      </c>
      <c r="X500" s="28"/>
    </row>
    <row r="501" ht="31" spans="1:32">
      <c r="A501" s="16" t="s">
        <v>4174</v>
      </c>
      <c r="B501" s="17" t="s">
        <v>4175</v>
      </c>
      <c r="C501" s="30" t="s">
        <v>3549</v>
      </c>
      <c r="D501" s="19" t="e">
        <f>VLOOKUP(C501,#REF!,2,0)</f>
        <v>#REF!</v>
      </c>
      <c r="E501" s="20" t="e">
        <f>VLOOKUP(D501,数据集标准分类!E:F,2,0)</f>
        <v>#REF!</v>
      </c>
      <c r="F501" s="21">
        <v>18</v>
      </c>
      <c r="G501" s="29" t="s">
        <v>3590</v>
      </c>
      <c r="H501" s="29" t="s">
        <v>5903</v>
      </c>
      <c r="I501" s="29" t="s">
        <v>3593</v>
      </c>
      <c r="J501" s="22" t="s">
        <v>3591</v>
      </c>
      <c r="K501" s="22" t="s">
        <v>3593</v>
      </c>
      <c r="L501" s="22" t="s">
        <v>3594</v>
      </c>
      <c r="M501" s="16" t="s">
        <v>5593</v>
      </c>
      <c r="N501" s="16" t="s">
        <v>5595</v>
      </c>
      <c r="O501" s="23">
        <v>28</v>
      </c>
      <c r="P501" s="24" t="e">
        <f>VLOOKUP(I501,#REF!,2,0)</f>
        <v>#REF!</v>
      </c>
      <c r="Q501" s="25"/>
      <c r="R501" s="24"/>
      <c r="S501" s="26"/>
      <c r="T501" s="24"/>
      <c r="U501" s="26"/>
      <c r="V501" s="26"/>
      <c r="W501" s="27">
        <v>480</v>
      </c>
      <c r="X501" s="28"/>
    </row>
    <row r="502" ht="24" customHeight="1" spans="1:32">
      <c r="A502" s="16" t="s">
        <v>4174</v>
      </c>
      <c r="B502" s="17" t="s">
        <v>4175</v>
      </c>
      <c r="C502" s="30" t="s">
        <v>3549</v>
      </c>
      <c r="D502" s="19" t="e">
        <f>VLOOKUP(C502,#REF!,2,0)</f>
        <v>#REF!</v>
      </c>
      <c r="E502" s="20" t="e">
        <f>VLOOKUP(D502,数据集标准分类!E:F,2,0)</f>
        <v>#REF!</v>
      </c>
      <c r="F502" s="21">
        <v>18</v>
      </c>
      <c r="G502" s="22" t="s">
        <v>3595</v>
      </c>
      <c r="H502" s="22" t="s">
        <v>3596</v>
      </c>
      <c r="I502" s="22" t="s">
        <v>3598</v>
      </c>
      <c r="J502" s="22" t="s">
        <v>3596</v>
      </c>
      <c r="K502" s="22" t="s">
        <v>3598</v>
      </c>
      <c r="L502" s="22" t="s">
        <v>3599</v>
      </c>
      <c r="M502" s="16" t="s">
        <v>5595</v>
      </c>
      <c r="N502" s="16" t="s">
        <v>5595</v>
      </c>
      <c r="O502" s="23">
        <v>29</v>
      </c>
      <c r="P502" s="24" t="e">
        <f>VLOOKUP(I502,#REF!,2,0)</f>
        <v>#REF!</v>
      </c>
      <c r="Q502" s="25"/>
      <c r="R502" s="24"/>
      <c r="S502" s="26"/>
      <c r="T502" s="24"/>
      <c r="U502" s="26"/>
      <c r="V502" s="26"/>
      <c r="W502" s="27">
        <v>481</v>
      </c>
      <c r="X502" s="28"/>
    </row>
    <row r="503" ht="76" spans="1:32">
      <c r="A503" s="16" t="s">
        <v>4174</v>
      </c>
      <c r="B503" s="17" t="s">
        <v>4175</v>
      </c>
      <c r="C503" s="30" t="s">
        <v>3549</v>
      </c>
      <c r="D503" s="19" t="e">
        <f>VLOOKUP(C503,#REF!,2,0)</f>
        <v>#REF!</v>
      </c>
      <c r="E503" s="20" t="e">
        <f>VLOOKUP(D503,数据集标准分类!E:F,2,0)</f>
        <v>#REF!</v>
      </c>
      <c r="F503" s="21">
        <v>18</v>
      </c>
      <c r="G503" s="22" t="s">
        <v>3600</v>
      </c>
      <c r="H503" s="22" t="s">
        <v>3601</v>
      </c>
      <c r="I503" s="22" t="s">
        <v>5904</v>
      </c>
      <c r="J503" s="22" t="s">
        <v>3601</v>
      </c>
      <c r="K503" s="22" t="s">
        <v>3603</v>
      </c>
      <c r="L503" s="22" t="s">
        <v>3604</v>
      </c>
      <c r="M503" s="16" t="s">
        <v>5595</v>
      </c>
      <c r="N503" s="16" t="s">
        <v>5593</v>
      </c>
      <c r="O503" s="23">
        <v>30</v>
      </c>
      <c r="P503" s="24" t="e">
        <f>VLOOKUP(I503,#REF!,2,0)</f>
        <v>#REF!</v>
      </c>
      <c r="Q503" s="25"/>
      <c r="R503" s="24"/>
      <c r="S503" s="26"/>
      <c r="T503" s="24"/>
      <c r="U503" s="26"/>
      <c r="V503" s="26"/>
      <c r="W503" s="27">
        <v>482</v>
      </c>
      <c r="X503" s="28"/>
    </row>
    <row r="504" ht="31" spans="1:32">
      <c r="A504" s="31" t="s">
        <v>4174</v>
      </c>
      <c r="B504" s="32" t="s">
        <v>4175</v>
      </c>
      <c r="C504" s="127" t="s">
        <v>3211</v>
      </c>
      <c r="D504" s="34" t="e">
        <f>VLOOKUP(C504,#REF!,2,0)</f>
        <v>#REF!</v>
      </c>
      <c r="E504" s="35" t="e">
        <f>VLOOKUP(D504,数据集标准分类!E:F,2,0)</f>
        <v>#REF!</v>
      </c>
      <c r="F504" s="36">
        <v>19</v>
      </c>
      <c r="G504" s="37" t="s">
        <v>172</v>
      </c>
      <c r="H504" s="37" t="s">
        <v>5639</v>
      </c>
      <c r="I504" s="37" t="s">
        <v>5640</v>
      </c>
      <c r="J504" s="37" t="s">
        <v>173</v>
      </c>
      <c r="K504" s="37" t="s">
        <v>175</v>
      </c>
      <c r="L504" s="37" t="s">
        <v>1245</v>
      </c>
      <c r="M504" s="31" t="s">
        <v>5593</v>
      </c>
      <c r="N504" s="31" t="s">
        <v>5593</v>
      </c>
      <c r="O504" s="38">
        <v>1</v>
      </c>
      <c r="P504" s="39" t="e">
        <f>VLOOKUP(I504,#REF!,2,0)</f>
        <v>#REF!</v>
      </c>
      <c r="Q504" s="40"/>
      <c r="R504" s="39"/>
      <c r="S504" s="41"/>
      <c r="T504" s="39"/>
      <c r="U504" s="41"/>
      <c r="V504" s="41"/>
      <c r="W504" s="42">
        <v>483</v>
      </c>
      <c r="X504" s="43"/>
      <c r="Y504" s="44"/>
      <c r="Z504" s="44"/>
      <c r="AA504" s="44"/>
      <c r="AB504" s="44"/>
      <c r="AC504" s="44"/>
      <c r="AD504" s="44"/>
      <c r="AE504" s="44"/>
      <c r="AF504" s="44"/>
    </row>
    <row r="505" ht="46" spans="1:32">
      <c r="A505" s="31" t="s">
        <v>4174</v>
      </c>
      <c r="B505" s="32" t="s">
        <v>4175</v>
      </c>
      <c r="C505" s="127" t="s">
        <v>3211</v>
      </c>
      <c r="D505" s="34" t="e">
        <f>VLOOKUP(C505,#REF!,2,0)</f>
        <v>#REF!</v>
      </c>
      <c r="E505" s="35" t="e">
        <f>VLOOKUP(D505,数据集标准分类!E:F,2,0)</f>
        <v>#REF!</v>
      </c>
      <c r="F505" s="36">
        <v>19</v>
      </c>
      <c r="G505" s="37" t="s">
        <v>152</v>
      </c>
      <c r="H505" s="37" t="s">
        <v>5905</v>
      </c>
      <c r="I505" s="37" t="s">
        <v>5906</v>
      </c>
      <c r="J505" s="37" t="s">
        <v>153</v>
      </c>
      <c r="K505" s="37" t="s">
        <v>155</v>
      </c>
      <c r="L505" s="37" t="s">
        <v>156</v>
      </c>
      <c r="M505" s="31" t="s">
        <v>5593</v>
      </c>
      <c r="N505" s="31" t="s">
        <v>5593</v>
      </c>
      <c r="O505" s="38">
        <v>2</v>
      </c>
      <c r="P505" s="39" t="e">
        <f>VLOOKUP(I505,#REF!,2,0)</f>
        <v>#REF!</v>
      </c>
      <c r="Q505" s="40"/>
      <c r="R505" s="39"/>
      <c r="S505" s="41"/>
      <c r="T505" s="39"/>
      <c r="U505" s="41"/>
      <c r="V505" s="41"/>
      <c r="W505" s="42">
        <v>484</v>
      </c>
      <c r="X505" s="43"/>
      <c r="Y505" s="44"/>
      <c r="Z505" s="44"/>
      <c r="AA505" s="44"/>
      <c r="AB505" s="44"/>
      <c r="AC505" s="44"/>
      <c r="AD505" s="44"/>
      <c r="AE505" s="44"/>
      <c r="AF505" s="44"/>
    </row>
    <row r="506" spans="1:32">
      <c r="A506" s="31" t="s">
        <v>4174</v>
      </c>
      <c r="B506" s="32" t="s">
        <v>4175</v>
      </c>
      <c r="C506" s="127" t="s">
        <v>3211</v>
      </c>
      <c r="D506" s="34" t="e">
        <f>VLOOKUP(C506,#REF!,2,0)</f>
        <v>#REF!</v>
      </c>
      <c r="E506" s="35" t="e">
        <f>VLOOKUP(D506,数据集标准分类!E:F,2,0)</f>
        <v>#REF!</v>
      </c>
      <c r="F506" s="36">
        <v>19</v>
      </c>
      <c r="G506" s="37" t="s">
        <v>574</v>
      </c>
      <c r="H506" s="37" t="s">
        <v>5907</v>
      </c>
      <c r="I506" s="37" t="s">
        <v>577</v>
      </c>
      <c r="J506" s="37" t="s">
        <v>575</v>
      </c>
      <c r="K506" s="37" t="s">
        <v>577</v>
      </c>
      <c r="L506" s="37" t="s">
        <v>3213</v>
      </c>
      <c r="M506" s="31" t="s">
        <v>5593</v>
      </c>
      <c r="N506" s="31" t="s">
        <v>5595</v>
      </c>
      <c r="O506" s="38">
        <v>3</v>
      </c>
      <c r="P506" s="39" t="e">
        <f>VLOOKUP(I506,#REF!,2,0)</f>
        <v>#REF!</v>
      </c>
      <c r="Q506" s="40"/>
      <c r="R506" s="39"/>
      <c r="S506" s="41"/>
      <c r="T506" s="39"/>
      <c r="U506" s="41"/>
      <c r="V506" s="41"/>
      <c r="W506" s="42">
        <v>485</v>
      </c>
      <c r="X506" s="43"/>
      <c r="Y506" s="44"/>
      <c r="Z506" s="44"/>
      <c r="AA506" s="44"/>
      <c r="AB506" s="44"/>
      <c r="AC506" s="44"/>
      <c r="AD506" s="44"/>
      <c r="AE506" s="44"/>
      <c r="AF506" s="44"/>
    </row>
    <row r="507" ht="31" spans="1:32">
      <c r="A507" s="50" t="s">
        <v>4174</v>
      </c>
      <c r="B507" s="51" t="s">
        <v>4175</v>
      </c>
      <c r="C507" s="128" t="s">
        <v>3211</v>
      </c>
      <c r="D507" s="53" t="e">
        <f>VLOOKUP(C507,#REF!,2,0)</f>
        <v>#REF!</v>
      </c>
      <c r="E507" s="20" t="e">
        <f>VLOOKUP(D507,数据集标准分类!E:F,2,0)</f>
        <v>#REF!</v>
      </c>
      <c r="F507" s="54">
        <v>19</v>
      </c>
      <c r="G507" s="55" t="s">
        <v>3214</v>
      </c>
      <c r="H507" s="55" t="s">
        <v>5908</v>
      </c>
      <c r="I507" s="55" t="s">
        <v>3217</v>
      </c>
      <c r="J507" s="55" t="s">
        <v>3215</v>
      </c>
      <c r="K507" s="55" t="s">
        <v>3217</v>
      </c>
      <c r="L507" s="55" t="s">
        <v>3218</v>
      </c>
      <c r="M507" s="50" t="s">
        <v>5593</v>
      </c>
      <c r="N507" s="50" t="s">
        <v>5595</v>
      </c>
      <c r="O507" s="56">
        <v>4</v>
      </c>
      <c r="P507" s="57" t="e">
        <f>VLOOKUP(I507,#REF!,2,0)</f>
        <v>#REF!</v>
      </c>
      <c r="Q507" s="58"/>
      <c r="R507" s="57"/>
      <c r="S507" s="59"/>
      <c r="T507" s="57"/>
      <c r="U507" s="59"/>
      <c r="V507" s="59" t="s">
        <v>5593</v>
      </c>
      <c r="W507" s="60">
        <v>486</v>
      </c>
      <c r="X507" s="61"/>
      <c r="Y507" s="62"/>
      <c r="Z507" s="62"/>
      <c r="AA507" s="62"/>
      <c r="AB507" s="62"/>
      <c r="AC507" s="62"/>
      <c r="AD507" s="62"/>
      <c r="AE507" s="62"/>
      <c r="AF507" s="62"/>
    </row>
    <row r="508" ht="31" spans="1:32">
      <c r="A508" s="16" t="s">
        <v>4174</v>
      </c>
      <c r="B508" s="17" t="s">
        <v>4175</v>
      </c>
      <c r="C508" s="128" t="s">
        <v>3211</v>
      </c>
      <c r="D508" s="19" t="e">
        <f>VLOOKUP(C508,#REF!,2,0)</f>
        <v>#REF!</v>
      </c>
      <c r="E508" s="20" t="e">
        <f>VLOOKUP(D508,数据集标准分类!E:F,2,0)</f>
        <v>#REF!</v>
      </c>
      <c r="F508" s="21">
        <v>19</v>
      </c>
      <c r="G508" s="22" t="s">
        <v>1394</v>
      </c>
      <c r="H508" s="22" t="s">
        <v>5636</v>
      </c>
      <c r="I508" s="22" t="s">
        <v>5637</v>
      </c>
      <c r="J508" s="22" t="s">
        <v>1395</v>
      </c>
      <c r="K508" s="22" t="s">
        <v>1397</v>
      </c>
      <c r="L508" s="22" t="s">
        <v>1106</v>
      </c>
      <c r="M508" s="16" t="s">
        <v>5593</v>
      </c>
      <c r="N508" s="16" t="s">
        <v>5593</v>
      </c>
      <c r="O508" s="23">
        <v>5</v>
      </c>
      <c r="P508" s="24" t="e">
        <f>VLOOKUP(I508,#REF!,2,0)</f>
        <v>#REF!</v>
      </c>
      <c r="Q508" s="25"/>
      <c r="R508" s="24"/>
      <c r="S508" s="26"/>
      <c r="T508" s="24"/>
      <c r="U508" s="26"/>
      <c r="V508" s="26"/>
      <c r="W508" s="27">
        <v>487</v>
      </c>
      <c r="X508" s="28"/>
    </row>
    <row r="509" ht="31" spans="1:32">
      <c r="A509" s="16" t="s">
        <v>4174</v>
      </c>
      <c r="B509" s="17" t="s">
        <v>4175</v>
      </c>
      <c r="C509" s="128" t="s">
        <v>3211</v>
      </c>
      <c r="D509" s="19" t="e">
        <f>VLOOKUP(C509,#REF!,2,0)</f>
        <v>#REF!</v>
      </c>
      <c r="E509" s="20" t="e">
        <f>VLOOKUP(D509,数据集标准分类!E:F,2,0)</f>
        <v>#REF!</v>
      </c>
      <c r="F509" s="21">
        <v>19</v>
      </c>
      <c r="G509" s="22" t="s">
        <v>694</v>
      </c>
      <c r="H509" s="22" t="s">
        <v>5717</v>
      </c>
      <c r="I509" s="22" t="s">
        <v>697</v>
      </c>
      <c r="J509" s="22" t="s">
        <v>695</v>
      </c>
      <c r="K509" s="22" t="s">
        <v>697</v>
      </c>
      <c r="L509" s="22" t="s">
        <v>2057</v>
      </c>
      <c r="M509" s="16" t="s">
        <v>5593</v>
      </c>
      <c r="N509" s="16" t="s">
        <v>5595</v>
      </c>
      <c r="O509" s="23">
        <v>6</v>
      </c>
      <c r="P509" s="24" t="e">
        <f>VLOOKUP(I509,#REF!,2,0)</f>
        <v>#REF!</v>
      </c>
      <c r="Q509" s="25"/>
      <c r="R509" s="24"/>
      <c r="S509" s="26"/>
      <c r="T509" s="24"/>
      <c r="U509" s="26"/>
      <c r="V509" s="26"/>
      <c r="W509" s="27">
        <v>488</v>
      </c>
      <c r="X509" s="28"/>
    </row>
    <row r="510" ht="31" spans="1:32">
      <c r="A510" s="50" t="s">
        <v>4174</v>
      </c>
      <c r="B510" s="51" t="s">
        <v>4175</v>
      </c>
      <c r="C510" s="128" t="s">
        <v>3211</v>
      </c>
      <c r="D510" s="53" t="e">
        <f>VLOOKUP(C510,#REF!,2,0)</f>
        <v>#REF!</v>
      </c>
      <c r="E510" s="20" t="e">
        <f>VLOOKUP(D510,数据集标准分类!E:F,2,0)</f>
        <v>#REF!</v>
      </c>
      <c r="F510" s="54">
        <v>19</v>
      </c>
      <c r="G510" s="55" t="s">
        <v>3219</v>
      </c>
      <c r="H510" s="55" t="s">
        <v>5909</v>
      </c>
      <c r="I510" s="55" t="s">
        <v>5910</v>
      </c>
      <c r="J510" s="55" t="s">
        <v>3220</v>
      </c>
      <c r="K510" s="55" t="s">
        <v>3222</v>
      </c>
      <c r="L510" s="55" t="s">
        <v>3223</v>
      </c>
      <c r="M510" s="50" t="s">
        <v>5593</v>
      </c>
      <c r="N510" s="50" t="s">
        <v>5593</v>
      </c>
      <c r="O510" s="56">
        <v>7</v>
      </c>
      <c r="P510" s="57" t="e">
        <f>VLOOKUP(I510,#REF!,2,0)</f>
        <v>#REF!</v>
      </c>
      <c r="Q510" s="58"/>
      <c r="R510" s="57"/>
      <c r="S510" s="59"/>
      <c r="T510" s="57"/>
      <c r="U510" s="59"/>
      <c r="V510" s="59" t="s">
        <v>5593</v>
      </c>
      <c r="W510" s="60">
        <v>489</v>
      </c>
      <c r="X510" s="61"/>
      <c r="Y510" s="62"/>
      <c r="Z510" s="62"/>
      <c r="AA510" s="62"/>
      <c r="AB510" s="62"/>
      <c r="AC510" s="62"/>
      <c r="AD510" s="62"/>
      <c r="AE510" s="62"/>
      <c r="AF510" s="62"/>
    </row>
    <row r="511" ht="31" spans="1:32">
      <c r="A511" s="16" t="s">
        <v>4174</v>
      </c>
      <c r="B511" s="17" t="s">
        <v>4175</v>
      </c>
      <c r="C511" s="128" t="s">
        <v>3211</v>
      </c>
      <c r="D511" s="19" t="e">
        <f>VLOOKUP(C511,#REF!,2,0)</f>
        <v>#REF!</v>
      </c>
      <c r="E511" s="20" t="e">
        <f>VLOOKUP(D511,数据集标准分类!E:F,2,0)</f>
        <v>#REF!</v>
      </c>
      <c r="F511" s="21">
        <v>19</v>
      </c>
      <c r="G511" s="22" t="s">
        <v>689</v>
      </c>
      <c r="H511" s="22" t="s">
        <v>690</v>
      </c>
      <c r="I511" s="22" t="s">
        <v>692</v>
      </c>
      <c r="J511" s="22" t="s">
        <v>690</v>
      </c>
      <c r="K511" s="22" t="s">
        <v>692</v>
      </c>
      <c r="L511" s="22" t="s">
        <v>693</v>
      </c>
      <c r="M511" s="16" t="s">
        <v>5595</v>
      </c>
      <c r="N511" s="16" t="s">
        <v>5595</v>
      </c>
      <c r="O511" s="23">
        <v>8</v>
      </c>
      <c r="P511" s="24" t="e">
        <f>VLOOKUP(I511,#REF!,2,0)</f>
        <v>#REF!</v>
      </c>
      <c r="Q511" s="25"/>
      <c r="R511" s="24"/>
      <c r="S511" s="26"/>
      <c r="T511" s="24"/>
      <c r="U511" s="26"/>
      <c r="V511" s="26"/>
      <c r="W511" s="27">
        <v>490</v>
      </c>
      <c r="X511" s="28"/>
    </row>
    <row r="512" ht="31" spans="1:32">
      <c r="A512" s="16" t="s">
        <v>4174</v>
      </c>
      <c r="B512" s="17" t="s">
        <v>4175</v>
      </c>
      <c r="C512" s="128" t="s">
        <v>3211</v>
      </c>
      <c r="D512" s="19" t="e">
        <f>VLOOKUP(C512,#REF!,2,0)</f>
        <v>#REF!</v>
      </c>
      <c r="E512" s="20" t="e">
        <f>VLOOKUP(D512,数据集标准分类!E:F,2,0)</f>
        <v>#REF!</v>
      </c>
      <c r="F512" s="21">
        <v>19</v>
      </c>
      <c r="G512" s="22" t="s">
        <v>1949</v>
      </c>
      <c r="H512" s="22" t="s">
        <v>1950</v>
      </c>
      <c r="I512" s="22" t="s">
        <v>1952</v>
      </c>
      <c r="J512" s="22" t="s">
        <v>1950</v>
      </c>
      <c r="K512" s="22" t="s">
        <v>1952</v>
      </c>
      <c r="L512" s="22" t="s">
        <v>3067</v>
      </c>
      <c r="M512" s="16" t="s">
        <v>5595</v>
      </c>
      <c r="N512" s="16" t="s">
        <v>5595</v>
      </c>
      <c r="O512" s="23">
        <v>9</v>
      </c>
      <c r="P512" s="24" t="e">
        <f>VLOOKUP(I512,#REF!,2,0)</f>
        <v>#REF!</v>
      </c>
      <c r="Q512" s="25"/>
      <c r="R512" s="24"/>
      <c r="S512" s="26"/>
      <c r="T512" s="24"/>
      <c r="U512" s="26"/>
      <c r="V512" s="26"/>
      <c r="W512" s="27">
        <v>491</v>
      </c>
      <c r="X512" s="28"/>
    </row>
    <row r="513" ht="31" spans="1:32">
      <c r="A513" s="16" t="s">
        <v>4174</v>
      </c>
      <c r="B513" s="17" t="s">
        <v>4175</v>
      </c>
      <c r="C513" s="128" t="s">
        <v>3211</v>
      </c>
      <c r="D513" s="19" t="e">
        <f>VLOOKUP(C513,#REF!,2,0)</f>
        <v>#REF!</v>
      </c>
      <c r="E513" s="20" t="e">
        <f>VLOOKUP(D513,数据集标准分类!E:F,2,0)</f>
        <v>#REF!</v>
      </c>
      <c r="F513" s="21">
        <v>19</v>
      </c>
      <c r="G513" s="22" t="s">
        <v>684</v>
      </c>
      <c r="H513" s="22" t="s">
        <v>5716</v>
      </c>
      <c r="I513" s="22" t="s">
        <v>687</v>
      </c>
      <c r="J513" s="22" t="s">
        <v>685</v>
      </c>
      <c r="K513" s="22" t="s">
        <v>687</v>
      </c>
      <c r="L513" s="22" t="s">
        <v>688</v>
      </c>
      <c r="M513" s="16" t="s">
        <v>5593</v>
      </c>
      <c r="N513" s="16" t="s">
        <v>5595</v>
      </c>
      <c r="O513" s="23">
        <v>10</v>
      </c>
      <c r="P513" s="24" t="e">
        <f>VLOOKUP(I513,#REF!,2,0)</f>
        <v>#REF!</v>
      </c>
      <c r="Q513" s="25"/>
      <c r="R513" s="24"/>
      <c r="S513" s="26"/>
      <c r="T513" s="24"/>
      <c r="U513" s="26"/>
      <c r="V513" s="26"/>
      <c r="W513" s="27">
        <v>492</v>
      </c>
      <c r="X513" s="28"/>
    </row>
    <row r="514" ht="31" spans="1:32">
      <c r="A514" s="31" t="s">
        <v>4174</v>
      </c>
      <c r="B514" s="32" t="s">
        <v>4175</v>
      </c>
      <c r="C514" s="127" t="s">
        <v>3211</v>
      </c>
      <c r="D514" s="34" t="e">
        <f>VLOOKUP(C514,#REF!,2,0)</f>
        <v>#REF!</v>
      </c>
      <c r="E514" s="35" t="e">
        <f>VLOOKUP(D514,数据集标准分类!E:F,2,0)</f>
        <v>#REF!</v>
      </c>
      <c r="F514" s="36">
        <v>19</v>
      </c>
      <c r="G514" s="37" t="s">
        <v>699</v>
      </c>
      <c r="H514" s="37" t="s">
        <v>700</v>
      </c>
      <c r="I514" s="37" t="s">
        <v>701</v>
      </c>
      <c r="J514" s="37" t="s">
        <v>700</v>
      </c>
      <c r="K514" s="37" t="s">
        <v>701</v>
      </c>
      <c r="L514" s="37" t="s">
        <v>702</v>
      </c>
      <c r="M514" s="31" t="s">
        <v>5595</v>
      </c>
      <c r="N514" s="31" t="s">
        <v>5595</v>
      </c>
      <c r="O514" s="38">
        <v>11</v>
      </c>
      <c r="P514" s="39" t="e">
        <f>VLOOKUP(I514,#REF!,2,0)</f>
        <v>#REF!</v>
      </c>
      <c r="Q514" s="40"/>
      <c r="R514" s="39"/>
      <c r="S514" s="41"/>
      <c r="T514" s="39"/>
      <c r="U514" s="41"/>
      <c r="V514" s="41"/>
      <c r="W514" s="42">
        <v>493</v>
      </c>
      <c r="X514" s="43"/>
      <c r="Y514" s="44"/>
      <c r="Z514" s="44"/>
      <c r="AA514" s="44"/>
      <c r="AB514" s="44"/>
      <c r="AC514" s="44"/>
      <c r="AD514" s="44"/>
      <c r="AE514" s="44"/>
      <c r="AF514" s="44"/>
    </row>
    <row r="515" ht="31" spans="1:32">
      <c r="A515" s="31" t="s">
        <v>4174</v>
      </c>
      <c r="B515" s="32" t="s">
        <v>4175</v>
      </c>
      <c r="C515" s="127" t="s">
        <v>3211</v>
      </c>
      <c r="D515" s="34" t="e">
        <f>VLOOKUP(C515,#REF!,2,0)</f>
        <v>#REF!</v>
      </c>
      <c r="E515" s="35" t="e">
        <f>VLOOKUP(D515,数据集标准分类!E:F,2,0)</f>
        <v>#REF!</v>
      </c>
      <c r="F515" s="36">
        <v>19</v>
      </c>
      <c r="G515" s="37" t="s">
        <v>703</v>
      </c>
      <c r="H515" s="37" t="s">
        <v>704</v>
      </c>
      <c r="I515" s="37" t="s">
        <v>705</v>
      </c>
      <c r="J515" s="37" t="s">
        <v>704</v>
      </c>
      <c r="K515" s="37" t="s">
        <v>705</v>
      </c>
      <c r="L515" s="37" t="s">
        <v>706</v>
      </c>
      <c r="M515" s="31" t="s">
        <v>5595</v>
      </c>
      <c r="N515" s="31" t="s">
        <v>5595</v>
      </c>
      <c r="O515" s="38">
        <v>12</v>
      </c>
      <c r="P515" s="39" t="e">
        <f>VLOOKUP(I515,#REF!,2,0)</f>
        <v>#REF!</v>
      </c>
      <c r="Q515" s="40"/>
      <c r="R515" s="39"/>
      <c r="S515" s="41"/>
      <c r="T515" s="39"/>
      <c r="U515" s="41"/>
      <c r="V515" s="41"/>
      <c r="W515" s="42">
        <v>494</v>
      </c>
      <c r="X515" s="43"/>
      <c r="Y515" s="44"/>
      <c r="Z515" s="44"/>
      <c r="AA515" s="44"/>
      <c r="AB515" s="44"/>
      <c r="AC515" s="44"/>
      <c r="AD515" s="44"/>
      <c r="AE515" s="44"/>
      <c r="AF515" s="44"/>
    </row>
    <row r="516" ht="31" spans="1:32">
      <c r="A516" s="31" t="s">
        <v>4174</v>
      </c>
      <c r="B516" s="32" t="s">
        <v>4175</v>
      </c>
      <c r="C516" s="127" t="s">
        <v>3211</v>
      </c>
      <c r="D516" s="34" t="e">
        <f>VLOOKUP(C516,#REF!,2,0)</f>
        <v>#REF!</v>
      </c>
      <c r="E516" s="35" t="e">
        <f>VLOOKUP(D516,数据集标准分类!E:F,2,0)</f>
        <v>#REF!</v>
      </c>
      <c r="F516" s="36">
        <v>19</v>
      </c>
      <c r="G516" s="37" t="s">
        <v>711</v>
      </c>
      <c r="H516" s="37" t="s">
        <v>712</v>
      </c>
      <c r="I516" s="37" t="s">
        <v>713</v>
      </c>
      <c r="J516" s="37" t="s">
        <v>712</v>
      </c>
      <c r="K516" s="37" t="s">
        <v>713</v>
      </c>
      <c r="L516" s="37" t="s">
        <v>714</v>
      </c>
      <c r="M516" s="31" t="s">
        <v>5595</v>
      </c>
      <c r="N516" s="31" t="s">
        <v>5595</v>
      </c>
      <c r="O516" s="38">
        <v>13</v>
      </c>
      <c r="P516" s="39" t="e">
        <f>VLOOKUP(I516,#REF!,2,0)</f>
        <v>#REF!</v>
      </c>
      <c r="Q516" s="40"/>
      <c r="R516" s="39"/>
      <c r="S516" s="41"/>
      <c r="T516" s="39"/>
      <c r="U516" s="41"/>
      <c r="V516" s="41"/>
      <c r="W516" s="42">
        <v>495</v>
      </c>
      <c r="X516" s="43"/>
      <c r="Y516" s="44"/>
      <c r="Z516" s="44"/>
      <c r="AA516" s="44"/>
      <c r="AB516" s="44"/>
      <c r="AC516" s="44"/>
      <c r="AD516" s="44"/>
      <c r="AE516" s="44"/>
      <c r="AF516" s="44"/>
    </row>
    <row r="517" ht="31" spans="1:32">
      <c r="A517" s="50" t="s">
        <v>4174</v>
      </c>
      <c r="B517" s="51" t="s">
        <v>4175</v>
      </c>
      <c r="C517" s="128" t="s">
        <v>3211</v>
      </c>
      <c r="D517" s="53" t="e">
        <f>VLOOKUP(C517,#REF!,2,0)</f>
        <v>#REF!</v>
      </c>
      <c r="E517" s="20" t="e">
        <f>VLOOKUP(D517,数据集标准分类!E:F,2,0)</f>
        <v>#REF!</v>
      </c>
      <c r="F517" s="54">
        <v>19</v>
      </c>
      <c r="G517" s="55" t="s">
        <v>3225</v>
      </c>
      <c r="H517" s="55" t="s">
        <v>5758</v>
      </c>
      <c r="I517" s="55" t="s">
        <v>3227</v>
      </c>
      <c r="J517" s="55" t="s">
        <v>3226</v>
      </c>
      <c r="K517" s="55" t="s">
        <v>3227</v>
      </c>
      <c r="L517" s="55" t="s">
        <v>3228</v>
      </c>
      <c r="M517" s="50" t="s">
        <v>5593</v>
      </c>
      <c r="N517" s="50" t="s">
        <v>5595</v>
      </c>
      <c r="O517" s="56">
        <v>14</v>
      </c>
      <c r="P517" s="57" t="e">
        <f>VLOOKUP(I517,#REF!,2,0)</f>
        <v>#REF!</v>
      </c>
      <c r="Q517" s="58"/>
      <c r="R517" s="57"/>
      <c r="S517" s="59"/>
      <c r="T517" s="57"/>
      <c r="U517" s="59"/>
      <c r="V517" s="59" t="s">
        <v>5593</v>
      </c>
      <c r="W517" s="60">
        <v>496</v>
      </c>
      <c r="X517" s="61"/>
      <c r="Y517" s="62"/>
      <c r="Z517" s="62"/>
      <c r="AA517" s="62"/>
      <c r="AB517" s="62"/>
      <c r="AC517" s="62"/>
      <c r="AD517" s="62"/>
      <c r="AE517" s="62"/>
      <c r="AF517" s="62"/>
    </row>
    <row r="518" ht="72" customHeight="1" spans="1:32">
      <c r="A518" s="50" t="s">
        <v>4174</v>
      </c>
      <c r="B518" s="51" t="s">
        <v>4175</v>
      </c>
      <c r="C518" s="128" t="s">
        <v>3211</v>
      </c>
      <c r="D518" s="53" t="e">
        <f>VLOOKUP(C518,#REF!,2,0)</f>
        <v>#REF!</v>
      </c>
      <c r="E518" s="20" t="e">
        <f>VLOOKUP(D518,数据集标准分类!E:F,2,0)</f>
        <v>#REF!</v>
      </c>
      <c r="F518" s="54">
        <v>19</v>
      </c>
      <c r="G518" s="55" t="s">
        <v>3229</v>
      </c>
      <c r="H518" s="55" t="s">
        <v>3230</v>
      </c>
      <c r="I518" s="55" t="s">
        <v>3232</v>
      </c>
      <c r="J518" s="55" t="s">
        <v>3230</v>
      </c>
      <c r="K518" s="55" t="s">
        <v>3232</v>
      </c>
      <c r="L518" s="55" t="s">
        <v>3233</v>
      </c>
      <c r="M518" s="50" t="s">
        <v>5595</v>
      </c>
      <c r="N518" s="50" t="s">
        <v>5595</v>
      </c>
      <c r="O518" s="56">
        <v>15</v>
      </c>
      <c r="P518" s="57" t="e">
        <f>VLOOKUP(I518,#REF!,2,0)</f>
        <v>#REF!</v>
      </c>
      <c r="Q518" s="58"/>
      <c r="R518" s="57"/>
      <c r="S518" s="59"/>
      <c r="T518" s="57"/>
      <c r="U518" s="59"/>
      <c r="V518" s="59" t="s">
        <v>5593</v>
      </c>
      <c r="W518" s="60">
        <v>497</v>
      </c>
      <c r="X518" s="61"/>
      <c r="Y518" s="62"/>
      <c r="Z518" s="62"/>
      <c r="AA518" s="62"/>
      <c r="AB518" s="62"/>
      <c r="AC518" s="62"/>
      <c r="AD518" s="62"/>
      <c r="AE518" s="62"/>
      <c r="AF518" s="62"/>
    </row>
    <row r="519" ht="31" spans="1:32">
      <c r="A519" s="50" t="s">
        <v>4174</v>
      </c>
      <c r="B519" s="51" t="s">
        <v>4175</v>
      </c>
      <c r="C519" s="128" t="s">
        <v>3211</v>
      </c>
      <c r="D519" s="53" t="e">
        <f>VLOOKUP(C519,#REF!,2,0)</f>
        <v>#REF!</v>
      </c>
      <c r="E519" s="20" t="e">
        <f>VLOOKUP(D519,数据集标准分类!E:F,2,0)</f>
        <v>#REF!</v>
      </c>
      <c r="F519" s="54">
        <v>19</v>
      </c>
      <c r="G519" s="55" t="s">
        <v>784</v>
      </c>
      <c r="H519" s="55" t="s">
        <v>785</v>
      </c>
      <c r="I519" s="55" t="s">
        <v>787</v>
      </c>
      <c r="J519" s="55" t="s">
        <v>785</v>
      </c>
      <c r="K519" s="55" t="s">
        <v>787</v>
      </c>
      <c r="L519" s="55" t="s">
        <v>3234</v>
      </c>
      <c r="M519" s="50" t="s">
        <v>5595</v>
      </c>
      <c r="N519" s="50" t="s">
        <v>5595</v>
      </c>
      <c r="O519" s="56">
        <v>16</v>
      </c>
      <c r="P519" s="57" t="e">
        <f>VLOOKUP(I519,#REF!,2,0)</f>
        <v>#REF!</v>
      </c>
      <c r="Q519" s="58"/>
      <c r="R519" s="57"/>
      <c r="S519" s="59"/>
      <c r="T519" s="57"/>
      <c r="U519" s="59"/>
      <c r="V519" s="59" t="s">
        <v>5593</v>
      </c>
      <c r="W519" s="60">
        <v>498</v>
      </c>
      <c r="X519" s="61"/>
      <c r="Y519" s="62"/>
      <c r="Z519" s="62"/>
      <c r="AA519" s="62"/>
      <c r="AB519" s="62"/>
      <c r="AC519" s="62"/>
      <c r="AD519" s="62"/>
      <c r="AE519" s="62"/>
      <c r="AF519" s="62"/>
    </row>
    <row r="520" spans="1:32">
      <c r="A520" s="99" t="s">
        <v>4174</v>
      </c>
      <c r="B520" s="99" t="s">
        <v>4175</v>
      </c>
      <c r="C520" s="128" t="s">
        <v>3211</v>
      </c>
      <c r="D520" s="109" t="s">
        <v>5911</v>
      </c>
      <c r="E520" s="20" t="e">
        <f>VLOOKUP(D520,数据集标准分类!E:F,2,0)</f>
        <v>#N/A</v>
      </c>
      <c r="F520" s="102">
        <v>19</v>
      </c>
      <c r="G520" s="100" t="s">
        <v>2889</v>
      </c>
      <c r="H520" s="100" t="s">
        <v>2890</v>
      </c>
      <c r="I520" s="55" t="s">
        <v>2892</v>
      </c>
      <c r="J520" s="55" t="s">
        <v>2890</v>
      </c>
      <c r="K520" s="55" t="s">
        <v>2892</v>
      </c>
      <c r="L520" s="103"/>
      <c r="M520" s="99"/>
      <c r="N520" s="104"/>
      <c r="O520" s="105">
        <v>17</v>
      </c>
      <c r="P520" s="106"/>
      <c r="Q520" s="107"/>
      <c r="R520" s="106"/>
      <c r="S520" s="108"/>
      <c r="T520" s="108"/>
      <c r="U520" s="108"/>
      <c r="V520" s="59"/>
      <c r="W520" s="60"/>
      <c r="X520" s="61"/>
      <c r="Y520" s="62"/>
      <c r="Z520" s="62"/>
      <c r="AA520" s="62"/>
      <c r="AB520" s="62"/>
      <c r="AC520" s="62"/>
      <c r="AD520" s="62"/>
      <c r="AE520" s="62"/>
      <c r="AF520" s="62"/>
    </row>
    <row r="521" spans="1:32">
      <c r="A521" s="99" t="s">
        <v>4174</v>
      </c>
      <c r="B521" s="99" t="s">
        <v>4175</v>
      </c>
      <c r="C521" s="128" t="s">
        <v>3211</v>
      </c>
      <c r="D521" s="109" t="s">
        <v>5911</v>
      </c>
      <c r="E521" s="20" t="e">
        <f>VLOOKUP(D521,数据集标准分类!E:F,2,0)</f>
        <v>#N/A</v>
      </c>
      <c r="F521" s="102">
        <v>19</v>
      </c>
      <c r="G521" s="100" t="s">
        <v>3068</v>
      </c>
      <c r="H521" s="100" t="s">
        <v>3069</v>
      </c>
      <c r="I521" s="55" t="s">
        <v>3070</v>
      </c>
      <c r="J521" s="55" t="s">
        <v>3069</v>
      </c>
      <c r="K521" s="55" t="s">
        <v>3070</v>
      </c>
      <c r="L521" s="103"/>
      <c r="M521" s="129"/>
      <c r="N521" s="104"/>
      <c r="O521" s="130">
        <v>18</v>
      </c>
      <c r="P521" s="106"/>
      <c r="Q521" s="107"/>
      <c r="R521" s="106"/>
      <c r="S521" s="108"/>
      <c r="T521" s="108"/>
      <c r="U521" s="108"/>
      <c r="V521" s="59"/>
      <c r="W521" s="60"/>
      <c r="X521" s="61"/>
      <c r="Y521" s="62"/>
      <c r="Z521" s="62"/>
      <c r="AA521" s="62"/>
      <c r="AB521" s="62"/>
      <c r="AC521" s="62"/>
      <c r="AD521" s="62"/>
      <c r="AE521" s="62"/>
      <c r="AF521" s="62"/>
    </row>
    <row r="522" spans="1:32">
      <c r="A522" s="99" t="s">
        <v>4174</v>
      </c>
      <c r="B522" s="99" t="s">
        <v>4175</v>
      </c>
      <c r="C522" s="128" t="s">
        <v>3211</v>
      </c>
      <c r="D522" s="109" t="s">
        <v>5911</v>
      </c>
      <c r="E522" s="20" t="e">
        <f>VLOOKUP(D522,数据集标准分类!E:F,2,0)</f>
        <v>#N/A</v>
      </c>
      <c r="F522" s="102">
        <v>19</v>
      </c>
      <c r="G522" s="100" t="s">
        <v>3071</v>
      </c>
      <c r="H522" s="100" t="s">
        <v>3072</v>
      </c>
      <c r="I522" s="55" t="s">
        <v>3073</v>
      </c>
      <c r="J522" s="55" t="s">
        <v>3072</v>
      </c>
      <c r="K522" s="55" t="s">
        <v>3073</v>
      </c>
      <c r="L522" s="103"/>
      <c r="M522" s="129"/>
      <c r="N522" s="104"/>
      <c r="O522" s="130">
        <v>19</v>
      </c>
      <c r="P522" s="106"/>
      <c r="Q522" s="107"/>
      <c r="R522" s="106"/>
      <c r="S522" s="108"/>
      <c r="T522" s="108"/>
      <c r="U522" s="108"/>
      <c r="V522" s="59"/>
      <c r="W522" s="60"/>
      <c r="X522" s="61"/>
      <c r="Y522" s="62"/>
      <c r="Z522" s="62"/>
      <c r="AA522" s="62"/>
      <c r="AB522" s="62"/>
      <c r="AC522" s="62"/>
      <c r="AD522" s="62"/>
      <c r="AE522" s="62"/>
      <c r="AF522" s="62"/>
    </row>
    <row r="523" spans="1:32">
      <c r="A523" s="99" t="s">
        <v>4174</v>
      </c>
      <c r="B523" s="99" t="s">
        <v>4175</v>
      </c>
      <c r="C523" s="128" t="s">
        <v>3211</v>
      </c>
      <c r="D523" s="109" t="s">
        <v>5911</v>
      </c>
      <c r="E523" s="20" t="e">
        <f>VLOOKUP(D523,数据集标准分类!E:F,2,0)</f>
        <v>#N/A</v>
      </c>
      <c r="F523" s="102">
        <v>19</v>
      </c>
      <c r="G523" s="100" t="s">
        <v>3074</v>
      </c>
      <c r="H523" s="100" t="s">
        <v>3075</v>
      </c>
      <c r="I523" s="55" t="s">
        <v>3077</v>
      </c>
      <c r="J523" s="55" t="s">
        <v>3075</v>
      </c>
      <c r="K523" s="55" t="s">
        <v>3077</v>
      </c>
      <c r="L523" s="103"/>
      <c r="M523" s="129"/>
      <c r="N523" s="104"/>
      <c r="O523" s="130">
        <v>20</v>
      </c>
      <c r="P523" s="106"/>
      <c r="Q523" s="107"/>
      <c r="R523" s="106"/>
      <c r="S523" s="108"/>
      <c r="T523" s="108"/>
      <c r="U523" s="108"/>
      <c r="V523" s="59"/>
      <c r="W523" s="60"/>
      <c r="X523" s="61"/>
      <c r="Y523" s="62"/>
      <c r="Z523" s="62"/>
      <c r="AA523" s="62"/>
      <c r="AB523" s="62"/>
      <c r="AC523" s="62"/>
      <c r="AD523" s="62"/>
      <c r="AE523" s="62"/>
      <c r="AF523" s="62"/>
    </row>
    <row r="524" spans="1:32">
      <c r="A524" s="99" t="s">
        <v>4174</v>
      </c>
      <c r="B524" s="99" t="s">
        <v>4175</v>
      </c>
      <c r="C524" s="128" t="s">
        <v>3211</v>
      </c>
      <c r="D524" s="109" t="s">
        <v>5911</v>
      </c>
      <c r="E524" s="20" t="e">
        <f>VLOOKUP(D524,数据集标准分类!E:F,2,0)</f>
        <v>#N/A</v>
      </c>
      <c r="F524" s="102">
        <v>19</v>
      </c>
      <c r="G524" s="100" t="s">
        <v>707</v>
      </c>
      <c r="H524" s="100" t="s">
        <v>708</v>
      </c>
      <c r="I524" s="55" t="s">
        <v>3078</v>
      </c>
      <c r="J524" s="55" t="s">
        <v>708</v>
      </c>
      <c r="K524" s="55" t="s">
        <v>3078</v>
      </c>
      <c r="L524" s="103"/>
      <c r="M524" s="129"/>
      <c r="N524" s="104"/>
      <c r="O524" s="130">
        <v>21</v>
      </c>
      <c r="P524" s="106"/>
      <c r="Q524" s="107"/>
      <c r="R524" s="106"/>
      <c r="S524" s="108"/>
      <c r="T524" s="108"/>
      <c r="U524" s="108"/>
      <c r="V524" s="59"/>
      <c r="W524" s="60"/>
      <c r="X524" s="61"/>
      <c r="Y524" s="62"/>
      <c r="Z524" s="62"/>
      <c r="AA524" s="62"/>
      <c r="AB524" s="62"/>
      <c r="AC524" s="62"/>
      <c r="AD524" s="62"/>
      <c r="AE524" s="62"/>
      <c r="AF524" s="62"/>
    </row>
    <row r="525" spans="1:32">
      <c r="A525" s="99" t="s">
        <v>4174</v>
      </c>
      <c r="B525" s="99" t="s">
        <v>4175</v>
      </c>
      <c r="C525" s="128" t="s">
        <v>3211</v>
      </c>
      <c r="D525" s="109" t="s">
        <v>5911</v>
      </c>
      <c r="E525" s="20" t="e">
        <f>VLOOKUP(D525,数据集标准分类!E:F,2,0)</f>
        <v>#N/A</v>
      </c>
      <c r="F525" s="102">
        <v>19</v>
      </c>
      <c r="G525" s="100" t="s">
        <v>5556</v>
      </c>
      <c r="H525" s="100" t="s">
        <v>5557</v>
      </c>
      <c r="I525" s="55" t="s">
        <v>5560</v>
      </c>
      <c r="J525" s="55" t="s">
        <v>5557</v>
      </c>
      <c r="K525" s="55" t="s">
        <v>5560</v>
      </c>
      <c r="L525" s="103"/>
      <c r="M525" s="129"/>
      <c r="N525" s="104"/>
      <c r="O525" s="130">
        <v>22</v>
      </c>
      <c r="P525" s="106"/>
      <c r="Q525" s="107"/>
      <c r="R525" s="106"/>
      <c r="S525" s="108"/>
      <c r="T525" s="108"/>
      <c r="U525" s="108"/>
      <c r="V525" s="59"/>
      <c r="W525" s="60"/>
      <c r="X525" s="61"/>
      <c r="Y525" s="62"/>
      <c r="Z525" s="62"/>
      <c r="AA525" s="62"/>
      <c r="AB525" s="62"/>
      <c r="AC525" s="62"/>
      <c r="AD525" s="62"/>
      <c r="AE525" s="62"/>
      <c r="AF525" s="62"/>
    </row>
    <row r="526" spans="1:32">
      <c r="A526" s="99" t="s">
        <v>4174</v>
      </c>
      <c r="B526" s="99" t="s">
        <v>4175</v>
      </c>
      <c r="C526" s="128" t="s">
        <v>3211</v>
      </c>
      <c r="D526" s="109" t="s">
        <v>5911</v>
      </c>
      <c r="E526" s="20" t="e">
        <f>VLOOKUP(D526,数据集标准分类!E:F,2,0)</f>
        <v>#N/A</v>
      </c>
      <c r="F526" s="102">
        <v>19</v>
      </c>
      <c r="G526" s="100" t="s">
        <v>2935</v>
      </c>
      <c r="H526" s="100" t="s">
        <v>2936</v>
      </c>
      <c r="I526" s="55" t="s">
        <v>2938</v>
      </c>
      <c r="J526" s="55" t="s">
        <v>2936</v>
      </c>
      <c r="K526" s="55" t="s">
        <v>2938</v>
      </c>
      <c r="L526" s="103"/>
      <c r="M526" s="129"/>
      <c r="N526" s="104"/>
      <c r="O526" s="130">
        <v>23</v>
      </c>
      <c r="P526" s="106"/>
      <c r="Q526" s="107"/>
      <c r="R526" s="106"/>
      <c r="S526" s="108"/>
      <c r="T526" s="108"/>
      <c r="U526" s="108"/>
      <c r="V526" s="59"/>
      <c r="W526" s="60"/>
      <c r="X526" s="61"/>
      <c r="Y526" s="62"/>
      <c r="Z526" s="62"/>
      <c r="AA526" s="62"/>
      <c r="AB526" s="62"/>
      <c r="AC526" s="62"/>
      <c r="AD526" s="62"/>
      <c r="AE526" s="62"/>
      <c r="AF526" s="62"/>
    </row>
    <row r="527" spans="1:32">
      <c r="A527" s="99" t="s">
        <v>4174</v>
      </c>
      <c r="B527" s="99" t="s">
        <v>4175</v>
      </c>
      <c r="C527" s="128" t="s">
        <v>3211</v>
      </c>
      <c r="D527" s="109" t="s">
        <v>5911</v>
      </c>
      <c r="E527" s="20" t="e">
        <f>VLOOKUP(D527,数据集标准分类!E:F,2,0)</f>
        <v>#N/A</v>
      </c>
      <c r="F527" s="102">
        <v>19</v>
      </c>
      <c r="G527" s="100" t="s">
        <v>3079</v>
      </c>
      <c r="H527" s="100" t="s">
        <v>5912</v>
      </c>
      <c r="I527" s="55" t="s">
        <v>3082</v>
      </c>
      <c r="J527" s="55" t="s">
        <v>3080</v>
      </c>
      <c r="K527" s="55" t="s">
        <v>3082</v>
      </c>
      <c r="L527" s="103"/>
      <c r="M527" s="129"/>
      <c r="N527" s="104"/>
      <c r="O527" s="130">
        <v>24</v>
      </c>
      <c r="P527" s="106"/>
      <c r="Q527" s="107"/>
      <c r="R527" s="106"/>
      <c r="S527" s="108"/>
      <c r="T527" s="108"/>
      <c r="U527" s="108"/>
      <c r="V527" s="59"/>
      <c r="W527" s="60"/>
      <c r="X527" s="61"/>
      <c r="Y527" s="62"/>
      <c r="Z527" s="62"/>
      <c r="AA527" s="62"/>
      <c r="AB527" s="62"/>
      <c r="AC527" s="62"/>
      <c r="AD527" s="62"/>
      <c r="AE527" s="62"/>
      <c r="AF527" s="62"/>
    </row>
    <row r="528" spans="1:32">
      <c r="A528" s="99" t="s">
        <v>4174</v>
      </c>
      <c r="B528" s="99" t="s">
        <v>4175</v>
      </c>
      <c r="C528" s="128" t="s">
        <v>3211</v>
      </c>
      <c r="D528" s="109" t="s">
        <v>5911</v>
      </c>
      <c r="E528" s="20" t="e">
        <f>VLOOKUP(D528,数据集标准分类!E:F,2,0)</f>
        <v>#N/A</v>
      </c>
      <c r="F528" s="102">
        <v>19</v>
      </c>
      <c r="G528" s="100" t="s">
        <v>3083</v>
      </c>
      <c r="H528" s="100" t="s">
        <v>3084</v>
      </c>
      <c r="I528" s="55" t="s">
        <v>3086</v>
      </c>
      <c r="J528" s="55" t="s">
        <v>3084</v>
      </c>
      <c r="K528" s="55" t="s">
        <v>3086</v>
      </c>
      <c r="L528" s="103"/>
      <c r="M528" s="129"/>
      <c r="N528" s="104"/>
      <c r="O528" s="130">
        <v>25</v>
      </c>
      <c r="P528" s="106"/>
      <c r="Q528" s="107"/>
      <c r="R528" s="106"/>
      <c r="S528" s="108"/>
      <c r="T528" s="108"/>
      <c r="U528" s="108"/>
      <c r="V528" s="59"/>
      <c r="W528" s="60"/>
      <c r="X528" s="61"/>
      <c r="Y528" s="62"/>
      <c r="Z528" s="62"/>
      <c r="AA528" s="62"/>
      <c r="AB528" s="62"/>
      <c r="AC528" s="62"/>
      <c r="AD528" s="62"/>
      <c r="AE528" s="62"/>
      <c r="AF528" s="62"/>
    </row>
    <row r="529" spans="1:32">
      <c r="A529" s="99" t="s">
        <v>4174</v>
      </c>
      <c r="B529" s="99" t="s">
        <v>4175</v>
      </c>
      <c r="C529" s="128" t="s">
        <v>3211</v>
      </c>
      <c r="D529" s="109" t="s">
        <v>5911</v>
      </c>
      <c r="E529" s="20" t="e">
        <f>VLOOKUP(D529,数据集标准分类!E:F,2,0)</f>
        <v>#N/A</v>
      </c>
      <c r="F529" s="102">
        <v>19</v>
      </c>
      <c r="G529" s="131" t="s">
        <v>3087</v>
      </c>
      <c r="H529" s="100" t="s">
        <v>3088</v>
      </c>
      <c r="I529" s="55" t="s">
        <v>3090</v>
      </c>
      <c r="J529" s="55" t="s">
        <v>3088</v>
      </c>
      <c r="K529" s="55" t="s">
        <v>3090</v>
      </c>
      <c r="L529" s="103"/>
      <c r="M529" s="129"/>
      <c r="N529" s="104"/>
      <c r="O529" s="130">
        <v>26</v>
      </c>
      <c r="P529" s="106"/>
      <c r="Q529" s="107"/>
      <c r="R529" s="106"/>
      <c r="S529" s="108"/>
      <c r="T529" s="108"/>
      <c r="U529" s="108"/>
      <c r="V529" s="59"/>
      <c r="W529" s="60"/>
      <c r="X529" s="61"/>
      <c r="Y529" s="62"/>
      <c r="Z529" s="62"/>
      <c r="AA529" s="62"/>
      <c r="AB529" s="62"/>
      <c r="AC529" s="62"/>
      <c r="AD529" s="62"/>
      <c r="AE529" s="62"/>
      <c r="AF529" s="62"/>
    </row>
    <row r="530" spans="1:32">
      <c r="A530" s="99" t="s">
        <v>4174</v>
      </c>
      <c r="B530" s="99" t="s">
        <v>4175</v>
      </c>
      <c r="C530" s="128" t="s">
        <v>3211</v>
      </c>
      <c r="D530" s="109" t="s">
        <v>5911</v>
      </c>
      <c r="E530" s="20" t="e">
        <f>VLOOKUP(D530,数据集标准分类!E:F,2,0)</f>
        <v>#N/A</v>
      </c>
      <c r="F530" s="102">
        <v>19</v>
      </c>
      <c r="G530" s="100" t="s">
        <v>3091</v>
      </c>
      <c r="H530" s="100" t="s">
        <v>3092</v>
      </c>
      <c r="I530" s="55" t="s">
        <v>3094</v>
      </c>
      <c r="J530" s="55" t="s">
        <v>3092</v>
      </c>
      <c r="K530" s="55" t="s">
        <v>3094</v>
      </c>
      <c r="L530" s="103"/>
      <c r="M530" s="129"/>
      <c r="N530" s="104"/>
      <c r="O530" s="130">
        <v>27</v>
      </c>
      <c r="P530" s="106"/>
      <c r="Q530" s="107"/>
      <c r="R530" s="106"/>
      <c r="S530" s="108"/>
      <c r="T530" s="108"/>
      <c r="U530" s="108"/>
      <c r="V530" s="59"/>
      <c r="W530" s="60"/>
      <c r="X530" s="61"/>
      <c r="Y530" s="62"/>
      <c r="Z530" s="62"/>
      <c r="AA530" s="62"/>
      <c r="AB530" s="62"/>
      <c r="AC530" s="62"/>
      <c r="AD530" s="62"/>
      <c r="AE530" s="62"/>
      <c r="AF530" s="62"/>
    </row>
    <row r="531" spans="1:32">
      <c r="A531" s="99" t="s">
        <v>4174</v>
      </c>
      <c r="B531" s="99" t="s">
        <v>4175</v>
      </c>
      <c r="C531" s="128" t="s">
        <v>3211</v>
      </c>
      <c r="D531" s="109" t="s">
        <v>5911</v>
      </c>
      <c r="E531" s="20" t="e">
        <f>VLOOKUP(D531,数据集标准分类!E:F,2,0)</f>
        <v>#N/A</v>
      </c>
      <c r="F531" s="102">
        <v>19</v>
      </c>
      <c r="G531" s="100" t="s">
        <v>707</v>
      </c>
      <c r="H531" s="100" t="s">
        <v>708</v>
      </c>
      <c r="I531" s="55" t="s">
        <v>709</v>
      </c>
      <c r="J531" s="55" t="s">
        <v>708</v>
      </c>
      <c r="K531" s="55" t="s">
        <v>709</v>
      </c>
      <c r="L531" s="103"/>
      <c r="M531" s="129"/>
      <c r="N531" s="104"/>
      <c r="O531" s="130">
        <v>28</v>
      </c>
      <c r="P531" s="106"/>
      <c r="Q531" s="107"/>
      <c r="R531" s="106"/>
      <c r="S531" s="108"/>
      <c r="T531" s="108"/>
      <c r="U531" s="108"/>
      <c r="V531" s="59"/>
      <c r="W531" s="60"/>
      <c r="X531" s="61"/>
      <c r="Y531" s="62"/>
      <c r="Z531" s="62"/>
      <c r="AA531" s="62"/>
      <c r="AB531" s="62"/>
      <c r="AC531" s="62"/>
      <c r="AD531" s="62"/>
      <c r="AE531" s="62"/>
      <c r="AF531" s="62"/>
    </row>
    <row r="532" spans="1:32">
      <c r="A532" s="99" t="s">
        <v>4174</v>
      </c>
      <c r="B532" s="99" t="s">
        <v>4175</v>
      </c>
      <c r="C532" s="128" t="s">
        <v>5913</v>
      </c>
      <c r="D532" s="101">
        <v>20804</v>
      </c>
      <c r="E532" s="101" t="s">
        <v>5914</v>
      </c>
      <c r="F532" s="102">
        <v>72</v>
      </c>
      <c r="G532" s="131" t="s">
        <v>2889</v>
      </c>
      <c r="H532" s="131" t="s">
        <v>2890</v>
      </c>
      <c r="I532" s="100" t="s">
        <v>2892</v>
      </c>
      <c r="J532" s="131" t="s">
        <v>2890</v>
      </c>
      <c r="K532" s="100" t="s">
        <v>2892</v>
      </c>
      <c r="L532" s="103"/>
      <c r="M532" s="129"/>
      <c r="N532" s="104"/>
      <c r="O532" s="130">
        <v>1</v>
      </c>
      <c r="P532" s="106"/>
      <c r="Q532" s="107"/>
      <c r="R532" s="106"/>
      <c r="S532" s="108"/>
      <c r="T532" s="108"/>
      <c r="U532" s="108"/>
      <c r="V532" s="59"/>
      <c r="W532" s="60"/>
      <c r="X532" s="61"/>
      <c r="Y532" s="62"/>
      <c r="Z532" s="62"/>
      <c r="AA532" s="62"/>
      <c r="AB532" s="62"/>
      <c r="AC532" s="62"/>
      <c r="AD532" s="62"/>
      <c r="AE532" s="62"/>
      <c r="AF532" s="62"/>
    </row>
    <row r="533" spans="1:32">
      <c r="A533" s="99" t="s">
        <v>4174</v>
      </c>
      <c r="B533" s="99" t="s">
        <v>4175</v>
      </c>
      <c r="C533" s="128" t="s">
        <v>5913</v>
      </c>
      <c r="D533" s="101">
        <v>20804</v>
      </c>
      <c r="E533" s="101" t="s">
        <v>5914</v>
      </c>
      <c r="F533" s="102">
        <v>72</v>
      </c>
      <c r="G533" s="131" t="s">
        <v>2895</v>
      </c>
      <c r="H533" s="131" t="s">
        <v>2896</v>
      </c>
      <c r="I533" s="100" t="s">
        <v>2898</v>
      </c>
      <c r="J533" s="131" t="s">
        <v>2896</v>
      </c>
      <c r="K533" s="100" t="s">
        <v>2898</v>
      </c>
      <c r="L533" s="103"/>
      <c r="M533" s="129"/>
      <c r="N533" s="104"/>
      <c r="O533" s="130">
        <v>2</v>
      </c>
      <c r="P533" s="106"/>
      <c r="Q533" s="107"/>
      <c r="R533" s="106"/>
      <c r="S533" s="108"/>
      <c r="T533" s="108"/>
      <c r="U533" s="108"/>
      <c r="V533" s="59"/>
      <c r="W533" s="60"/>
      <c r="X533" s="61"/>
      <c r="Y533" s="62"/>
      <c r="Z533" s="62"/>
      <c r="AA533" s="62"/>
      <c r="AB533" s="62"/>
      <c r="AC533" s="62"/>
      <c r="AD533" s="62"/>
      <c r="AE533" s="62"/>
      <c r="AF533" s="62"/>
    </row>
    <row r="534" spans="1:32">
      <c r="A534" s="99" t="s">
        <v>4174</v>
      </c>
      <c r="B534" s="99" t="s">
        <v>4175</v>
      </c>
      <c r="C534" s="128" t="s">
        <v>5913</v>
      </c>
      <c r="D534" s="101">
        <v>20804</v>
      </c>
      <c r="E534" s="101" t="s">
        <v>5914</v>
      </c>
      <c r="F534" s="102">
        <v>72</v>
      </c>
      <c r="G534" s="131" t="s">
        <v>3171</v>
      </c>
      <c r="H534" s="131" t="s">
        <v>3172</v>
      </c>
      <c r="I534" s="100" t="s">
        <v>3174</v>
      </c>
      <c r="J534" s="131" t="s">
        <v>3172</v>
      </c>
      <c r="K534" s="100" t="s">
        <v>3174</v>
      </c>
      <c r="L534" s="103"/>
      <c r="M534" s="129"/>
      <c r="N534" s="104"/>
      <c r="O534" s="130">
        <v>3</v>
      </c>
      <c r="P534" s="106"/>
      <c r="Q534" s="107"/>
      <c r="R534" s="106"/>
      <c r="S534" s="108"/>
      <c r="T534" s="108"/>
      <c r="U534" s="108"/>
      <c r="V534" s="59"/>
      <c r="W534" s="60"/>
      <c r="X534" s="61"/>
      <c r="Y534" s="62"/>
      <c r="Z534" s="62"/>
      <c r="AA534" s="62"/>
      <c r="AB534" s="62"/>
      <c r="AC534" s="62"/>
      <c r="AD534" s="62"/>
      <c r="AE534" s="62"/>
      <c r="AF534" s="62"/>
    </row>
    <row r="535" spans="1:32">
      <c r="A535" s="99" t="s">
        <v>4174</v>
      </c>
      <c r="B535" s="99" t="s">
        <v>4175</v>
      </c>
      <c r="C535" s="128" t="s">
        <v>5913</v>
      </c>
      <c r="D535" s="101">
        <v>20804</v>
      </c>
      <c r="E535" s="101" t="s">
        <v>5914</v>
      </c>
      <c r="F535" s="102">
        <v>72</v>
      </c>
      <c r="G535" s="131" t="s">
        <v>5556</v>
      </c>
      <c r="H535" s="131" t="s">
        <v>5557</v>
      </c>
      <c r="I535" s="100" t="s">
        <v>5559</v>
      </c>
      <c r="J535" s="131" t="s">
        <v>5557</v>
      </c>
      <c r="K535" s="100" t="s">
        <v>5559</v>
      </c>
      <c r="L535" s="103"/>
      <c r="M535" s="129"/>
      <c r="N535" s="104"/>
      <c r="O535" s="130">
        <v>4</v>
      </c>
      <c r="P535" s="106"/>
      <c r="Q535" s="107"/>
      <c r="R535" s="106"/>
      <c r="S535" s="108"/>
      <c r="T535" s="108"/>
      <c r="U535" s="108"/>
      <c r="V535" s="59"/>
      <c r="W535" s="60"/>
      <c r="X535" s="61"/>
      <c r="Y535" s="62"/>
      <c r="Z535" s="62"/>
      <c r="AA535" s="62"/>
      <c r="AB535" s="62"/>
      <c r="AC535" s="62"/>
      <c r="AD535" s="62"/>
      <c r="AE535" s="62"/>
      <c r="AF535" s="62"/>
    </row>
    <row r="536" spans="1:32">
      <c r="A536" s="99" t="s">
        <v>4174</v>
      </c>
      <c r="B536" s="99" t="s">
        <v>4175</v>
      </c>
      <c r="C536" s="128" t="s">
        <v>5913</v>
      </c>
      <c r="D536" s="101">
        <v>20804</v>
      </c>
      <c r="E536" s="101" t="s">
        <v>5914</v>
      </c>
      <c r="F536" s="102">
        <v>72</v>
      </c>
      <c r="G536" s="131" t="s">
        <v>3175</v>
      </c>
      <c r="H536" s="131" t="s">
        <v>3176</v>
      </c>
      <c r="I536" s="100" t="s">
        <v>3178</v>
      </c>
      <c r="J536" s="131" t="s">
        <v>3176</v>
      </c>
      <c r="K536" s="100" t="s">
        <v>3178</v>
      </c>
      <c r="L536" s="103"/>
      <c r="M536" s="129"/>
      <c r="N536" s="104"/>
      <c r="O536" s="130">
        <v>5</v>
      </c>
      <c r="P536" s="106"/>
      <c r="Q536" s="107"/>
      <c r="R536" s="106"/>
      <c r="S536" s="108"/>
      <c r="T536" s="108"/>
      <c r="U536" s="108"/>
      <c r="V536" s="59"/>
      <c r="W536" s="60"/>
      <c r="X536" s="61"/>
      <c r="Y536" s="62"/>
      <c r="Z536" s="62"/>
      <c r="AA536" s="62"/>
      <c r="AB536" s="62"/>
      <c r="AC536" s="62"/>
      <c r="AD536" s="62"/>
      <c r="AE536" s="62"/>
      <c r="AF536" s="62"/>
    </row>
    <row r="537" spans="1:32">
      <c r="A537" s="99" t="s">
        <v>4174</v>
      </c>
      <c r="B537" s="99" t="s">
        <v>4175</v>
      </c>
      <c r="C537" s="128" t="s">
        <v>5913</v>
      </c>
      <c r="D537" s="101">
        <v>20804</v>
      </c>
      <c r="E537" s="101" t="s">
        <v>5914</v>
      </c>
      <c r="F537" s="102">
        <v>72</v>
      </c>
      <c r="G537" s="131" t="s">
        <v>3179</v>
      </c>
      <c r="H537" s="131" t="s">
        <v>3180</v>
      </c>
      <c r="I537" s="131" t="s">
        <v>3182</v>
      </c>
      <c r="J537" s="131" t="s">
        <v>3180</v>
      </c>
      <c r="K537" s="131" t="s">
        <v>3182</v>
      </c>
      <c r="L537" s="103"/>
      <c r="M537" s="129"/>
      <c r="N537" s="104"/>
      <c r="O537" s="130">
        <v>6</v>
      </c>
      <c r="P537" s="106"/>
      <c r="Q537" s="107"/>
      <c r="R537" s="106"/>
      <c r="S537" s="108"/>
      <c r="T537" s="108"/>
      <c r="U537" s="108"/>
      <c r="V537" s="59"/>
      <c r="W537" s="60"/>
      <c r="X537" s="61"/>
      <c r="Y537" s="62"/>
      <c r="Z537" s="62"/>
      <c r="AA537" s="62"/>
      <c r="AB537" s="62"/>
      <c r="AC537" s="62"/>
      <c r="AD537" s="62"/>
      <c r="AE537" s="62"/>
      <c r="AF537" s="62"/>
    </row>
    <row r="538" spans="1:32">
      <c r="A538" s="99" t="s">
        <v>4174</v>
      </c>
      <c r="B538" s="99" t="s">
        <v>4175</v>
      </c>
      <c r="C538" s="128" t="s">
        <v>5913</v>
      </c>
      <c r="D538" s="101">
        <v>20804</v>
      </c>
      <c r="E538" s="101" t="s">
        <v>5914</v>
      </c>
      <c r="F538" s="102">
        <v>72</v>
      </c>
      <c r="G538" s="131" t="s">
        <v>3183</v>
      </c>
      <c r="H538" s="131" t="s">
        <v>3184</v>
      </c>
      <c r="I538" s="131" t="s">
        <v>3186</v>
      </c>
      <c r="J538" s="131" t="s">
        <v>3184</v>
      </c>
      <c r="K538" s="131" t="s">
        <v>3186</v>
      </c>
      <c r="L538" s="103"/>
      <c r="M538" s="104"/>
      <c r="N538" s="104"/>
      <c r="O538" s="130">
        <v>7</v>
      </c>
      <c r="P538" s="106"/>
      <c r="Q538" s="107"/>
      <c r="R538" s="106"/>
      <c r="S538" s="108"/>
      <c r="T538" s="108"/>
      <c r="U538" s="108"/>
      <c r="V538" s="59"/>
      <c r="W538" s="60"/>
      <c r="X538" s="61"/>
      <c r="Y538" s="62"/>
      <c r="Z538" s="62"/>
      <c r="AA538" s="62"/>
      <c r="AB538" s="62"/>
      <c r="AC538" s="62"/>
      <c r="AD538" s="62"/>
      <c r="AE538" s="62"/>
      <c r="AF538" s="62"/>
    </row>
    <row r="539" spans="1:32">
      <c r="A539" s="99" t="s">
        <v>4174</v>
      </c>
      <c r="B539" s="99" t="s">
        <v>4175</v>
      </c>
      <c r="C539" s="128" t="s">
        <v>5913</v>
      </c>
      <c r="D539" s="101">
        <v>20804</v>
      </c>
      <c r="E539" s="101" t="s">
        <v>5914</v>
      </c>
      <c r="F539" s="102">
        <v>72</v>
      </c>
      <c r="G539" s="131" t="s">
        <v>3187</v>
      </c>
      <c r="H539" s="131" t="s">
        <v>3188</v>
      </c>
      <c r="I539" s="131" t="s">
        <v>3190</v>
      </c>
      <c r="J539" s="131" t="s">
        <v>3188</v>
      </c>
      <c r="K539" s="131" t="s">
        <v>3190</v>
      </c>
      <c r="L539" s="103"/>
      <c r="M539" s="104"/>
      <c r="N539" s="104"/>
      <c r="O539" s="130">
        <v>8</v>
      </c>
      <c r="P539" s="106"/>
      <c r="Q539" s="107"/>
      <c r="R539" s="106"/>
      <c r="S539" s="108"/>
      <c r="T539" s="108"/>
      <c r="U539" s="108"/>
      <c r="V539" s="59"/>
      <c r="W539" s="60"/>
      <c r="X539" s="61"/>
      <c r="Y539" s="62"/>
      <c r="Z539" s="62"/>
      <c r="AA539" s="62"/>
      <c r="AB539" s="62"/>
      <c r="AC539" s="62"/>
      <c r="AD539" s="62"/>
      <c r="AE539" s="62"/>
      <c r="AF539" s="62"/>
    </row>
    <row r="540" spans="1:32">
      <c r="A540" s="99" t="s">
        <v>4174</v>
      </c>
      <c r="B540" s="99" t="s">
        <v>4175</v>
      </c>
      <c r="C540" s="128" t="s">
        <v>3103</v>
      </c>
      <c r="D540" s="101" t="s">
        <v>5915</v>
      </c>
      <c r="E540" s="101" t="s">
        <v>4318</v>
      </c>
      <c r="F540" s="102">
        <v>71</v>
      </c>
      <c r="G540" s="131" t="s">
        <v>2889</v>
      </c>
      <c r="H540" s="131" t="s">
        <v>2890</v>
      </c>
      <c r="I540" s="131" t="s">
        <v>2892</v>
      </c>
      <c r="J540" s="131" t="s">
        <v>2890</v>
      </c>
      <c r="K540" s="131" t="s">
        <v>2892</v>
      </c>
      <c r="L540" s="103"/>
      <c r="M540" s="129"/>
      <c r="N540" s="104"/>
      <c r="O540" s="130">
        <v>1</v>
      </c>
      <c r="P540" s="106"/>
      <c r="Q540" s="107"/>
      <c r="R540" s="106"/>
      <c r="S540" s="108"/>
      <c r="T540" s="108"/>
      <c r="U540" s="108"/>
      <c r="V540" s="59"/>
      <c r="W540" s="60"/>
      <c r="X540" s="61"/>
      <c r="Y540" s="62"/>
      <c r="Z540" s="62"/>
      <c r="AA540" s="62"/>
      <c r="AB540" s="62"/>
      <c r="AC540" s="62"/>
      <c r="AD540" s="62"/>
      <c r="AE540" s="62"/>
      <c r="AF540" s="62"/>
    </row>
    <row r="541" spans="1:32">
      <c r="A541" s="99" t="s">
        <v>4174</v>
      </c>
      <c r="B541" s="99" t="s">
        <v>4175</v>
      </c>
      <c r="C541" s="128" t="s">
        <v>3103</v>
      </c>
      <c r="D541" s="101" t="s">
        <v>5915</v>
      </c>
      <c r="E541" s="101" t="s">
        <v>4318</v>
      </c>
      <c r="F541" s="102">
        <v>71</v>
      </c>
      <c r="G541" s="131" t="s">
        <v>2895</v>
      </c>
      <c r="H541" s="131" t="s">
        <v>2896</v>
      </c>
      <c r="I541" s="131" t="s">
        <v>2898</v>
      </c>
      <c r="J541" s="131" t="s">
        <v>2896</v>
      </c>
      <c r="K541" s="131" t="s">
        <v>2898</v>
      </c>
      <c r="L541" s="103"/>
      <c r="M541" s="129"/>
      <c r="N541" s="104"/>
      <c r="O541" s="130">
        <v>2</v>
      </c>
      <c r="P541" s="106"/>
      <c r="Q541" s="107"/>
      <c r="R541" s="106"/>
      <c r="S541" s="108"/>
      <c r="T541" s="108"/>
      <c r="U541" s="108"/>
      <c r="V541" s="59"/>
      <c r="W541" s="60"/>
      <c r="X541" s="61"/>
      <c r="Y541" s="62"/>
      <c r="Z541" s="62"/>
      <c r="AA541" s="62"/>
      <c r="AB541" s="62"/>
      <c r="AC541" s="62"/>
      <c r="AD541" s="62"/>
      <c r="AE541" s="62"/>
      <c r="AF541" s="62"/>
    </row>
    <row r="542" spans="1:32">
      <c r="A542" s="99" t="s">
        <v>4174</v>
      </c>
      <c r="B542" s="99" t="s">
        <v>4175</v>
      </c>
      <c r="C542" s="128" t="s">
        <v>3103</v>
      </c>
      <c r="D542" s="101" t="s">
        <v>5915</v>
      </c>
      <c r="E542" s="101" t="s">
        <v>4318</v>
      </c>
      <c r="F542" s="102">
        <v>71</v>
      </c>
      <c r="G542" s="131" t="s">
        <v>3104</v>
      </c>
      <c r="H542" s="131" t="s">
        <v>3105</v>
      </c>
      <c r="I542" s="100" t="s">
        <v>3107</v>
      </c>
      <c r="J542" s="131" t="s">
        <v>3105</v>
      </c>
      <c r="K542" s="100" t="s">
        <v>3107</v>
      </c>
      <c r="L542" s="103"/>
      <c r="M542" s="129"/>
      <c r="N542" s="104"/>
      <c r="O542" s="130">
        <v>3</v>
      </c>
      <c r="P542" s="106"/>
      <c r="Q542" s="107"/>
      <c r="R542" s="106"/>
      <c r="S542" s="108"/>
      <c r="T542" s="108"/>
      <c r="U542" s="108"/>
      <c r="V542" s="59"/>
      <c r="W542" s="60"/>
      <c r="X542" s="61"/>
      <c r="Y542" s="62"/>
      <c r="Z542" s="62"/>
      <c r="AA542" s="62"/>
      <c r="AB542" s="62"/>
      <c r="AC542" s="62"/>
      <c r="AD542" s="62"/>
      <c r="AE542" s="62"/>
      <c r="AF542" s="62"/>
    </row>
    <row r="543" spans="1:32">
      <c r="A543" s="99" t="s">
        <v>4174</v>
      </c>
      <c r="B543" s="99" t="s">
        <v>4175</v>
      </c>
      <c r="C543" s="128" t="s">
        <v>3103</v>
      </c>
      <c r="D543" s="101" t="s">
        <v>5915</v>
      </c>
      <c r="E543" s="101" t="s">
        <v>4318</v>
      </c>
      <c r="F543" s="102">
        <v>71</v>
      </c>
      <c r="G543" s="131" t="s">
        <v>1307</v>
      </c>
      <c r="H543" s="131" t="s">
        <v>1308</v>
      </c>
      <c r="I543" s="100" t="s">
        <v>1309</v>
      </c>
      <c r="J543" s="131" t="s">
        <v>1308</v>
      </c>
      <c r="K543" s="100" t="s">
        <v>1309</v>
      </c>
      <c r="L543" s="103"/>
      <c r="M543" s="129"/>
      <c r="N543" s="104"/>
      <c r="O543" s="130">
        <v>4</v>
      </c>
      <c r="P543" s="106"/>
      <c r="Q543" s="107"/>
      <c r="R543" s="106"/>
      <c r="S543" s="108"/>
      <c r="T543" s="108"/>
      <c r="U543" s="108"/>
      <c r="V543" s="59"/>
      <c r="W543" s="60"/>
      <c r="X543" s="61"/>
      <c r="Y543" s="62"/>
      <c r="Z543" s="62"/>
      <c r="AA543" s="62"/>
      <c r="AB543" s="62"/>
      <c r="AC543" s="62"/>
      <c r="AD543" s="62"/>
      <c r="AE543" s="62"/>
      <c r="AF543" s="62"/>
    </row>
    <row r="544" spans="1:32">
      <c r="A544" s="99" t="s">
        <v>4174</v>
      </c>
      <c r="B544" s="99" t="s">
        <v>4175</v>
      </c>
      <c r="C544" s="128" t="s">
        <v>3103</v>
      </c>
      <c r="D544" s="101" t="s">
        <v>5915</v>
      </c>
      <c r="E544" s="101" t="s">
        <v>4318</v>
      </c>
      <c r="F544" s="102">
        <v>71</v>
      </c>
      <c r="G544" s="131" t="s">
        <v>1774</v>
      </c>
      <c r="H544" s="131" t="s">
        <v>1775</v>
      </c>
      <c r="I544" s="100" t="s">
        <v>1777</v>
      </c>
      <c r="J544" s="131" t="s">
        <v>1775</v>
      </c>
      <c r="K544" s="100" t="s">
        <v>1777</v>
      </c>
      <c r="L544" s="103"/>
      <c r="M544" s="129"/>
      <c r="N544" s="104"/>
      <c r="O544" s="130">
        <v>5</v>
      </c>
      <c r="P544" s="106"/>
      <c r="Q544" s="107"/>
      <c r="R544" s="106"/>
      <c r="S544" s="108"/>
      <c r="T544" s="108"/>
      <c r="U544" s="108"/>
      <c r="V544" s="59"/>
      <c r="W544" s="60"/>
      <c r="X544" s="61"/>
      <c r="Y544" s="62"/>
      <c r="Z544" s="62"/>
      <c r="AA544" s="62"/>
      <c r="AB544" s="62"/>
      <c r="AC544" s="62"/>
      <c r="AD544" s="62"/>
      <c r="AE544" s="62"/>
      <c r="AF544" s="62"/>
    </row>
    <row r="545" spans="1:32">
      <c r="A545" s="99" t="s">
        <v>4174</v>
      </c>
      <c r="B545" s="99" t="s">
        <v>4175</v>
      </c>
      <c r="C545" s="128" t="s">
        <v>3103</v>
      </c>
      <c r="D545" s="101" t="s">
        <v>5915</v>
      </c>
      <c r="E545" s="101" t="s">
        <v>4318</v>
      </c>
      <c r="F545" s="102">
        <v>71</v>
      </c>
      <c r="G545" s="100" t="s">
        <v>5556</v>
      </c>
      <c r="H545" s="131" t="s">
        <v>5557</v>
      </c>
      <c r="I545" s="100" t="s">
        <v>5559</v>
      </c>
      <c r="J545" s="131" t="s">
        <v>5557</v>
      </c>
      <c r="K545" s="100" t="s">
        <v>5559</v>
      </c>
      <c r="L545" s="103"/>
      <c r="M545" s="129"/>
      <c r="N545" s="104"/>
      <c r="O545" s="130">
        <v>6</v>
      </c>
      <c r="P545" s="106"/>
      <c r="Q545" s="107"/>
      <c r="R545" s="106"/>
      <c r="S545" s="108"/>
      <c r="T545" s="108"/>
      <c r="U545" s="108"/>
      <c r="V545" s="59"/>
      <c r="W545" s="60"/>
      <c r="X545" s="61"/>
      <c r="Y545" s="62"/>
      <c r="Z545" s="62"/>
      <c r="AA545" s="62"/>
      <c r="AB545" s="62"/>
      <c r="AC545" s="62"/>
      <c r="AD545" s="62"/>
      <c r="AE545" s="62"/>
      <c r="AF545" s="62"/>
    </row>
    <row r="546" spans="1:32">
      <c r="A546" s="99" t="s">
        <v>4174</v>
      </c>
      <c r="B546" s="99" t="s">
        <v>4175</v>
      </c>
      <c r="C546" s="128" t="s">
        <v>3103</v>
      </c>
      <c r="D546" s="101" t="s">
        <v>5915</v>
      </c>
      <c r="E546" s="101" t="s">
        <v>4318</v>
      </c>
      <c r="F546" s="102">
        <v>71</v>
      </c>
      <c r="G546" s="100" t="s">
        <v>3108</v>
      </c>
      <c r="H546" s="100" t="s">
        <v>3109</v>
      </c>
      <c r="I546" s="100" t="s">
        <v>3111</v>
      </c>
      <c r="J546" s="100" t="s">
        <v>3109</v>
      </c>
      <c r="K546" s="100" t="s">
        <v>3111</v>
      </c>
      <c r="L546" s="103"/>
      <c r="M546" s="129"/>
      <c r="N546" s="104"/>
      <c r="O546" s="130">
        <v>7</v>
      </c>
      <c r="P546" s="106"/>
      <c r="Q546" s="107"/>
      <c r="R546" s="106"/>
      <c r="S546" s="108"/>
      <c r="T546" s="108"/>
      <c r="U546" s="108"/>
      <c r="V546" s="59"/>
      <c r="W546" s="60"/>
      <c r="X546" s="61"/>
      <c r="Y546" s="62"/>
      <c r="Z546" s="62"/>
      <c r="AA546" s="62"/>
      <c r="AB546" s="62"/>
      <c r="AC546" s="62"/>
      <c r="AD546" s="62"/>
      <c r="AE546" s="62"/>
      <c r="AF546" s="62"/>
    </row>
    <row r="547" spans="1:32">
      <c r="A547" s="99" t="s">
        <v>4174</v>
      </c>
      <c r="B547" s="99" t="s">
        <v>4175</v>
      </c>
      <c r="C547" s="128" t="s">
        <v>3694</v>
      </c>
      <c r="D547" s="101" t="s">
        <v>5916</v>
      </c>
      <c r="E547" s="101" t="s">
        <v>4432</v>
      </c>
      <c r="F547" s="110" t="s">
        <v>5917</v>
      </c>
      <c r="G547" s="131" t="s">
        <v>2889</v>
      </c>
      <c r="H547" s="131" t="s">
        <v>2890</v>
      </c>
      <c r="I547" s="132" t="s">
        <v>2890</v>
      </c>
      <c r="J547" s="131" t="s">
        <v>2892</v>
      </c>
      <c r="K547" s="132" t="s">
        <v>2892</v>
      </c>
      <c r="L547" s="103"/>
      <c r="M547" s="129" t="s">
        <v>3351</v>
      </c>
      <c r="N547" s="104"/>
      <c r="O547" s="133"/>
      <c r="P547" s="106"/>
      <c r="Q547" s="107"/>
      <c r="R547" s="106"/>
      <c r="S547" s="108"/>
      <c r="T547" s="108"/>
      <c r="U547" s="108"/>
      <c r="V547" s="59"/>
      <c r="W547" s="60"/>
      <c r="X547" s="61"/>
      <c r="Y547" s="62"/>
      <c r="Z547" s="62"/>
      <c r="AA547" s="62"/>
      <c r="AB547" s="62"/>
      <c r="AC547" s="62"/>
      <c r="AD547" s="62"/>
      <c r="AE547" s="62"/>
      <c r="AF547" s="62"/>
    </row>
    <row r="548" spans="1:32">
      <c r="A548" s="99" t="s">
        <v>4174</v>
      </c>
      <c r="B548" s="99" t="s">
        <v>4175</v>
      </c>
      <c r="C548" s="128" t="s">
        <v>3694</v>
      </c>
      <c r="D548" s="101" t="s">
        <v>5916</v>
      </c>
      <c r="E548" s="101" t="s">
        <v>4432</v>
      </c>
      <c r="F548" s="110" t="s">
        <v>5917</v>
      </c>
      <c r="G548" s="131" t="s">
        <v>3641</v>
      </c>
      <c r="H548" s="131" t="s">
        <v>3642</v>
      </c>
      <c r="I548" s="132" t="s">
        <v>3642</v>
      </c>
      <c r="J548" s="131" t="s">
        <v>3644</v>
      </c>
      <c r="K548" s="132" t="s">
        <v>3644</v>
      </c>
      <c r="L548" s="103"/>
      <c r="M548" s="129" t="s">
        <v>3352</v>
      </c>
      <c r="N548" s="104"/>
      <c r="O548" s="133"/>
      <c r="P548" s="106"/>
      <c r="Q548" s="107"/>
      <c r="R548" s="106"/>
      <c r="S548" s="108"/>
      <c r="T548" s="108"/>
      <c r="U548" s="108"/>
      <c r="V548" s="59"/>
      <c r="W548" s="60"/>
      <c r="X548" s="61"/>
      <c r="Y548" s="62"/>
      <c r="Z548" s="62"/>
      <c r="AA548" s="62"/>
      <c r="AB548" s="62"/>
      <c r="AC548" s="62"/>
      <c r="AD548" s="62"/>
      <c r="AE548" s="62"/>
      <c r="AF548" s="62"/>
    </row>
    <row r="549" ht="31" spans="1:32">
      <c r="A549" s="99" t="s">
        <v>4174</v>
      </c>
      <c r="B549" s="99" t="s">
        <v>4175</v>
      </c>
      <c r="C549" s="128" t="s">
        <v>3694</v>
      </c>
      <c r="D549" s="101" t="s">
        <v>5916</v>
      </c>
      <c r="E549" s="101" t="s">
        <v>4432</v>
      </c>
      <c r="F549" s="110" t="s">
        <v>5917</v>
      </c>
      <c r="G549" s="100" t="s">
        <v>5918</v>
      </c>
      <c r="H549" s="131" t="s">
        <v>3618</v>
      </c>
      <c r="I549" s="132" t="s">
        <v>3618</v>
      </c>
      <c r="J549" s="131" t="s">
        <v>3620</v>
      </c>
      <c r="K549" s="132" t="s">
        <v>3620</v>
      </c>
      <c r="L549" s="103"/>
      <c r="M549" s="129" t="s">
        <v>3353</v>
      </c>
      <c r="N549" s="104"/>
      <c r="O549" s="133"/>
      <c r="P549" s="106"/>
      <c r="Q549" s="107"/>
      <c r="R549" s="106"/>
      <c r="S549" s="108"/>
      <c r="T549" s="108"/>
      <c r="U549" s="108"/>
      <c r="V549" s="59"/>
      <c r="W549" s="60"/>
      <c r="X549" s="61"/>
      <c r="Y549" s="62"/>
      <c r="Z549" s="62"/>
      <c r="AA549" s="62"/>
      <c r="AB549" s="62"/>
      <c r="AC549" s="62"/>
      <c r="AD549" s="62"/>
      <c r="AE549" s="62"/>
      <c r="AF549" s="62"/>
    </row>
    <row r="550" spans="1:32">
      <c r="A550" s="99" t="s">
        <v>4174</v>
      </c>
      <c r="B550" s="99" t="s">
        <v>4175</v>
      </c>
      <c r="C550" s="128" t="s">
        <v>3694</v>
      </c>
      <c r="D550" s="101" t="s">
        <v>5916</v>
      </c>
      <c r="E550" s="101" t="s">
        <v>4432</v>
      </c>
      <c r="F550" s="110" t="s">
        <v>5917</v>
      </c>
      <c r="G550" s="131" t="s">
        <v>3695</v>
      </c>
      <c r="H550" s="131" t="s">
        <v>3696</v>
      </c>
      <c r="I550" s="132" t="s">
        <v>3696</v>
      </c>
      <c r="J550" s="131" t="s">
        <v>3698</v>
      </c>
      <c r="K550" s="132" t="s">
        <v>3698</v>
      </c>
      <c r="L550" s="103"/>
      <c r="M550" s="129" t="s">
        <v>3365</v>
      </c>
      <c r="N550" s="104"/>
      <c r="O550" s="133"/>
      <c r="P550" s="106"/>
      <c r="Q550" s="107"/>
      <c r="R550" s="106"/>
      <c r="S550" s="108"/>
      <c r="T550" s="108"/>
      <c r="U550" s="108"/>
      <c r="V550" s="59"/>
      <c r="W550" s="60"/>
      <c r="X550" s="61"/>
      <c r="Y550" s="62"/>
      <c r="Z550" s="62"/>
      <c r="AA550" s="62"/>
      <c r="AB550" s="62"/>
      <c r="AC550" s="62"/>
      <c r="AD550" s="62"/>
      <c r="AE550" s="62"/>
      <c r="AF550" s="62"/>
    </row>
    <row r="551" spans="1:32">
      <c r="A551" s="99" t="s">
        <v>4174</v>
      </c>
      <c r="B551" s="99" t="s">
        <v>4175</v>
      </c>
      <c r="C551" s="128" t="s">
        <v>3694</v>
      </c>
      <c r="D551" s="101" t="s">
        <v>5916</v>
      </c>
      <c r="E551" s="101" t="s">
        <v>4432</v>
      </c>
      <c r="F551" s="110" t="s">
        <v>5917</v>
      </c>
      <c r="G551" s="131" t="s">
        <v>2035</v>
      </c>
      <c r="H551" s="131" t="s">
        <v>2036</v>
      </c>
      <c r="I551" s="132" t="s">
        <v>2036</v>
      </c>
      <c r="J551" s="131" t="s">
        <v>2038</v>
      </c>
      <c r="K551" s="132" t="s">
        <v>2038</v>
      </c>
      <c r="L551" s="103"/>
      <c r="M551" s="129" t="s">
        <v>3370</v>
      </c>
      <c r="N551" s="104"/>
      <c r="O551" s="133"/>
      <c r="P551" s="106"/>
      <c r="Q551" s="107"/>
      <c r="R551" s="106"/>
      <c r="S551" s="108"/>
      <c r="T551" s="108"/>
      <c r="U551" s="108"/>
      <c r="V551" s="59"/>
      <c r="W551" s="60"/>
      <c r="X551" s="61"/>
      <c r="Y551" s="62"/>
      <c r="Z551" s="62"/>
      <c r="AA551" s="62"/>
      <c r="AB551" s="62"/>
      <c r="AC551" s="62"/>
      <c r="AD551" s="62"/>
      <c r="AE551" s="62"/>
      <c r="AF551" s="62"/>
    </row>
    <row r="552" ht="31" spans="1:32">
      <c r="A552" s="83" t="s">
        <v>4174</v>
      </c>
      <c r="B552" s="84" t="s">
        <v>4175</v>
      </c>
      <c r="C552" s="85" t="s">
        <v>3538</v>
      </c>
      <c r="D552" s="86" t="e">
        <f>VLOOKUP(C552,#REF!,2,0)</f>
        <v>#REF!</v>
      </c>
      <c r="E552" s="20" t="e">
        <f>VLOOKUP(D552,数据集标准分类!E:F,2,0)</f>
        <v>#REF!</v>
      </c>
      <c r="F552" s="87">
        <v>20</v>
      </c>
      <c r="G552" s="88" t="s">
        <v>711</v>
      </c>
      <c r="H552" s="88" t="s">
        <v>712</v>
      </c>
      <c r="I552" s="88" t="s">
        <v>713</v>
      </c>
      <c r="J552" s="88" t="s">
        <v>712</v>
      </c>
      <c r="K552" s="88" t="s">
        <v>713</v>
      </c>
      <c r="L552" s="88" t="s">
        <v>714</v>
      </c>
      <c r="M552" s="83" t="s">
        <v>5595</v>
      </c>
      <c r="N552" s="83" t="s">
        <v>5595</v>
      </c>
      <c r="O552" s="89">
        <v>1</v>
      </c>
      <c r="P552" s="90" t="e">
        <f>VLOOKUP(I552,#REF!,2,0)</f>
        <v>#REF!</v>
      </c>
      <c r="Q552" s="91"/>
      <c r="R552" s="90"/>
      <c r="S552" s="92"/>
      <c r="T552" s="90"/>
      <c r="U552" s="92"/>
      <c r="V552" s="92"/>
      <c r="W552" s="93">
        <v>499</v>
      </c>
      <c r="X552" s="94"/>
      <c r="Y552" s="95"/>
      <c r="Z552" s="95"/>
      <c r="AA552" s="95"/>
      <c r="AB552" s="95"/>
      <c r="AC552" s="95"/>
      <c r="AD552" s="95"/>
      <c r="AE552" s="95"/>
      <c r="AF552" s="95"/>
    </row>
    <row r="553" ht="31" spans="1:32">
      <c r="A553" s="83" t="s">
        <v>4174</v>
      </c>
      <c r="B553" s="84" t="s">
        <v>4175</v>
      </c>
      <c r="C553" s="85" t="s">
        <v>3538</v>
      </c>
      <c r="D553" s="86" t="e">
        <f>VLOOKUP(C553,#REF!,2,0)</f>
        <v>#REF!</v>
      </c>
      <c r="E553" s="20" t="e">
        <f>VLOOKUP(D553,数据集标准分类!E:F,2,0)</f>
        <v>#REF!</v>
      </c>
      <c r="F553" s="87">
        <v>20</v>
      </c>
      <c r="G553" s="88" t="s">
        <v>172</v>
      </c>
      <c r="H553" s="88" t="s">
        <v>5639</v>
      </c>
      <c r="I553" s="88" t="s">
        <v>5640</v>
      </c>
      <c r="J553" s="88" t="s">
        <v>173</v>
      </c>
      <c r="K553" s="88" t="s">
        <v>175</v>
      </c>
      <c r="L553" s="88" t="s">
        <v>1245</v>
      </c>
      <c r="M553" s="83" t="s">
        <v>5593</v>
      </c>
      <c r="N553" s="83" t="s">
        <v>5593</v>
      </c>
      <c r="O553" s="89">
        <v>2</v>
      </c>
      <c r="P553" s="90" t="e">
        <f>VLOOKUP(I553,#REF!,2,0)</f>
        <v>#REF!</v>
      </c>
      <c r="Q553" s="91"/>
      <c r="R553" s="90"/>
      <c r="S553" s="92"/>
      <c r="T553" s="90"/>
      <c r="U553" s="92"/>
      <c r="V553" s="92"/>
      <c r="W553" s="93">
        <v>500</v>
      </c>
      <c r="X553" s="94"/>
      <c r="Y553" s="95"/>
      <c r="Z553" s="95"/>
      <c r="AA553" s="95"/>
      <c r="AB553" s="95"/>
      <c r="AC553" s="95"/>
      <c r="AD553" s="95"/>
      <c r="AE553" s="95"/>
      <c r="AF553" s="95"/>
    </row>
    <row r="554" ht="31" spans="1:32">
      <c r="A554" s="83" t="s">
        <v>4174</v>
      </c>
      <c r="B554" s="84" t="s">
        <v>4175</v>
      </c>
      <c r="C554" s="85" t="s">
        <v>3538</v>
      </c>
      <c r="D554" s="86" t="e">
        <f>VLOOKUP(C554,#REF!,2,0)</f>
        <v>#REF!</v>
      </c>
      <c r="E554" s="20" t="e">
        <f>VLOOKUP(D554,数据集标准分类!E:F,2,0)</f>
        <v>#REF!</v>
      </c>
      <c r="F554" s="87">
        <v>20</v>
      </c>
      <c r="G554" s="88" t="s">
        <v>3436</v>
      </c>
      <c r="H554" s="88" t="s">
        <v>3437</v>
      </c>
      <c r="I554" s="88" t="s">
        <v>3439</v>
      </c>
      <c r="J554" s="88" t="s">
        <v>3437</v>
      </c>
      <c r="K554" s="88" t="s">
        <v>3439</v>
      </c>
      <c r="L554" s="88" t="s">
        <v>3440</v>
      </c>
      <c r="M554" s="83" t="s">
        <v>5595</v>
      </c>
      <c r="N554" s="83" t="s">
        <v>5595</v>
      </c>
      <c r="O554" s="89">
        <v>3</v>
      </c>
      <c r="P554" s="90" t="e">
        <f>VLOOKUP(I554,#REF!,2,0)</f>
        <v>#REF!</v>
      </c>
      <c r="Q554" s="91"/>
      <c r="R554" s="90"/>
      <c r="S554" s="92"/>
      <c r="T554" s="90"/>
      <c r="U554" s="92"/>
      <c r="V554" s="92"/>
      <c r="W554" s="93">
        <v>501</v>
      </c>
      <c r="X554" s="94"/>
      <c r="Y554" s="95"/>
      <c r="Z554" s="95"/>
      <c r="AA554" s="95"/>
      <c r="AB554" s="95"/>
      <c r="AC554" s="95"/>
      <c r="AD554" s="95"/>
      <c r="AE554" s="95"/>
      <c r="AF554" s="95"/>
    </row>
    <row r="555" ht="31" spans="1:32">
      <c r="A555" s="16" t="s">
        <v>4174</v>
      </c>
      <c r="B555" s="17" t="s">
        <v>4175</v>
      </c>
      <c r="C555" s="30" t="s">
        <v>3538</v>
      </c>
      <c r="D555" s="19" t="e">
        <f>VLOOKUP(C555,#REF!,2,0)</f>
        <v>#REF!</v>
      </c>
      <c r="E555" s="20" t="e">
        <f>VLOOKUP(D555,数据集标准分类!E:F,2,0)</f>
        <v>#REF!</v>
      </c>
      <c r="F555" s="21">
        <v>20</v>
      </c>
      <c r="G555" s="22" t="s">
        <v>3441</v>
      </c>
      <c r="H555" s="22" t="s">
        <v>3442</v>
      </c>
      <c r="I555" s="22" t="s">
        <v>3444</v>
      </c>
      <c r="J555" s="22" t="s">
        <v>3442</v>
      </c>
      <c r="K555" s="22" t="s">
        <v>3444</v>
      </c>
      <c r="L555" s="22" t="s">
        <v>3445</v>
      </c>
      <c r="M555" s="16" t="s">
        <v>5595</v>
      </c>
      <c r="N555" s="16" t="s">
        <v>5595</v>
      </c>
      <c r="O555" s="23">
        <v>4</v>
      </c>
      <c r="P555" s="24" t="e">
        <f>VLOOKUP(I555,#REF!,2,0)</f>
        <v>#REF!</v>
      </c>
      <c r="Q555" s="25"/>
      <c r="R555" s="24"/>
      <c r="S555" s="26"/>
      <c r="T555" s="24"/>
      <c r="U555" s="26"/>
      <c r="V555" s="26"/>
      <c r="W555" s="27">
        <v>502</v>
      </c>
      <c r="X555" s="28"/>
    </row>
    <row r="556" ht="92" spans="1:32">
      <c r="A556" s="83" t="s">
        <v>4174</v>
      </c>
      <c r="B556" s="84" t="s">
        <v>4175</v>
      </c>
      <c r="C556" s="85" t="s">
        <v>3538</v>
      </c>
      <c r="D556" s="86" t="e">
        <f>VLOOKUP(C556,#REF!,2,0)</f>
        <v>#REF!</v>
      </c>
      <c r="E556" s="20" t="e">
        <f>VLOOKUP(D556,数据集标准分类!E:F,2,0)</f>
        <v>#REF!</v>
      </c>
      <c r="F556" s="87">
        <v>20</v>
      </c>
      <c r="G556" s="88" t="s">
        <v>3229</v>
      </c>
      <c r="H556" s="88" t="s">
        <v>3230</v>
      </c>
      <c r="I556" s="88" t="s">
        <v>3232</v>
      </c>
      <c r="J556" s="88" t="s">
        <v>3230</v>
      </c>
      <c r="K556" s="88" t="s">
        <v>3232</v>
      </c>
      <c r="L556" s="88" t="s">
        <v>3233</v>
      </c>
      <c r="M556" s="83" t="s">
        <v>5595</v>
      </c>
      <c r="N556" s="83" t="s">
        <v>5595</v>
      </c>
      <c r="O556" s="89">
        <v>5</v>
      </c>
      <c r="P556" s="90" t="e">
        <f>VLOOKUP(I556,#REF!,2,0)</f>
        <v>#REF!</v>
      </c>
      <c r="Q556" s="91"/>
      <c r="R556" s="90"/>
      <c r="S556" s="92"/>
      <c r="T556" s="90"/>
      <c r="U556" s="92"/>
      <c r="V556" s="92"/>
      <c r="W556" s="93">
        <v>503</v>
      </c>
      <c r="X556" s="94"/>
      <c r="Y556" s="95"/>
      <c r="Z556" s="95"/>
      <c r="AA556" s="95"/>
      <c r="AB556" s="95"/>
      <c r="AC556" s="95"/>
      <c r="AD556" s="95"/>
      <c r="AE556" s="95"/>
      <c r="AF556" s="95"/>
    </row>
    <row r="557" ht="31" spans="1:32">
      <c r="A557" s="83" t="s">
        <v>4174</v>
      </c>
      <c r="B557" s="84" t="s">
        <v>4175</v>
      </c>
      <c r="C557" s="85" t="s">
        <v>3538</v>
      </c>
      <c r="D557" s="86" t="e">
        <f>VLOOKUP(C557,#REF!,2,0)</f>
        <v>#REF!</v>
      </c>
      <c r="E557" s="20" t="e">
        <f>VLOOKUP(D557,数据集标准分类!E:F,2,0)</f>
        <v>#REF!</v>
      </c>
      <c r="F557" s="87">
        <v>20</v>
      </c>
      <c r="G557" s="88" t="s">
        <v>784</v>
      </c>
      <c r="H557" s="88" t="s">
        <v>785</v>
      </c>
      <c r="I557" s="88" t="s">
        <v>787</v>
      </c>
      <c r="J557" s="88" t="s">
        <v>785</v>
      </c>
      <c r="K557" s="88" t="s">
        <v>787</v>
      </c>
      <c r="L557" s="88" t="s">
        <v>3234</v>
      </c>
      <c r="M557" s="83" t="s">
        <v>5595</v>
      </c>
      <c r="N557" s="83" t="s">
        <v>5595</v>
      </c>
      <c r="O557" s="89">
        <v>6</v>
      </c>
      <c r="P557" s="90" t="e">
        <f>VLOOKUP(I557,#REF!,2,0)</f>
        <v>#REF!</v>
      </c>
      <c r="Q557" s="91"/>
      <c r="R557" s="90"/>
      <c r="S557" s="92"/>
      <c r="T557" s="90"/>
      <c r="U557" s="92"/>
      <c r="V557" s="92"/>
      <c r="W557" s="93">
        <v>504</v>
      </c>
      <c r="X557" s="94"/>
      <c r="Y557" s="95"/>
      <c r="Z557" s="95"/>
      <c r="AA557" s="95"/>
      <c r="AB557" s="95"/>
      <c r="AC557" s="95"/>
      <c r="AD557" s="95"/>
      <c r="AE557" s="95"/>
      <c r="AF557" s="95"/>
    </row>
    <row r="558" spans="1:32">
      <c r="A558" s="83" t="s">
        <v>4174</v>
      </c>
      <c r="B558" s="84" t="s">
        <v>4175</v>
      </c>
      <c r="C558" s="85" t="s">
        <v>3538</v>
      </c>
      <c r="D558" s="86" t="e">
        <f>VLOOKUP(C558,#REF!,2,0)</f>
        <v>#REF!</v>
      </c>
      <c r="E558" s="20" t="e">
        <f>VLOOKUP(D558,数据集标准分类!E:F,2,0)</f>
        <v>#REF!</v>
      </c>
      <c r="F558" s="87">
        <v>20</v>
      </c>
      <c r="G558" s="88" t="s">
        <v>3493</v>
      </c>
      <c r="H558" s="88" t="s">
        <v>5872</v>
      </c>
      <c r="I558" s="88" t="s">
        <v>3496</v>
      </c>
      <c r="J558" s="88" t="s">
        <v>3494</v>
      </c>
      <c r="K558" s="88" t="s">
        <v>3496</v>
      </c>
      <c r="L558" s="88" t="s">
        <v>3502</v>
      </c>
      <c r="M558" s="83" t="s">
        <v>5593</v>
      </c>
      <c r="N558" s="83" t="s">
        <v>5595</v>
      </c>
      <c r="O558" s="89">
        <v>7</v>
      </c>
      <c r="P558" s="90" t="e">
        <f>VLOOKUP(I558,#REF!,2,0)</f>
        <v>#REF!</v>
      </c>
      <c r="Q558" s="91"/>
      <c r="R558" s="90"/>
      <c r="S558" s="92"/>
      <c r="T558" s="90"/>
      <c r="U558" s="92"/>
      <c r="V558" s="92"/>
      <c r="W558" s="93">
        <v>505</v>
      </c>
      <c r="X558" s="94"/>
      <c r="Y558" s="95"/>
      <c r="Z558" s="95"/>
      <c r="AA558" s="95"/>
      <c r="AB558" s="95"/>
      <c r="AC558" s="95"/>
      <c r="AD558" s="95"/>
      <c r="AE558" s="95"/>
      <c r="AF558" s="95"/>
    </row>
    <row r="559" spans="1:32">
      <c r="A559" s="83" t="s">
        <v>4174</v>
      </c>
      <c r="B559" s="84" t="s">
        <v>4175</v>
      </c>
      <c r="C559" s="85" t="s">
        <v>3538</v>
      </c>
      <c r="D559" s="86" t="e">
        <f>VLOOKUP(C559,#REF!,2,0)</f>
        <v>#REF!</v>
      </c>
      <c r="E559" s="20" t="e">
        <f>VLOOKUP(D559,数据集标准分类!E:F,2,0)</f>
        <v>#REF!</v>
      </c>
      <c r="F559" s="87">
        <v>20</v>
      </c>
      <c r="G559" s="88" t="s">
        <v>3498</v>
      </c>
      <c r="H559" s="88" t="s">
        <v>5873</v>
      </c>
      <c r="I559" s="88" t="s">
        <v>3501</v>
      </c>
      <c r="J559" s="88" t="s">
        <v>3499</v>
      </c>
      <c r="K559" s="88" t="s">
        <v>3501</v>
      </c>
      <c r="L559" s="88" t="s">
        <v>3497</v>
      </c>
      <c r="M559" s="83" t="s">
        <v>5593</v>
      </c>
      <c r="N559" s="83" t="s">
        <v>5595</v>
      </c>
      <c r="O559" s="89">
        <v>8</v>
      </c>
      <c r="P559" s="90" t="e">
        <f>VLOOKUP(I559,#REF!,2,0)</f>
        <v>#REF!</v>
      </c>
      <c r="Q559" s="91"/>
      <c r="R559" s="90"/>
      <c r="S559" s="92"/>
      <c r="T559" s="90"/>
      <c r="U559" s="92"/>
      <c r="V559" s="92"/>
      <c r="W559" s="93">
        <v>506</v>
      </c>
      <c r="X559" s="94"/>
      <c r="Y559" s="95"/>
      <c r="Z559" s="95"/>
      <c r="AA559" s="95"/>
      <c r="AB559" s="95"/>
      <c r="AC559" s="95"/>
      <c r="AD559" s="95"/>
      <c r="AE559" s="95"/>
      <c r="AF559" s="95"/>
    </row>
    <row r="560" ht="31" spans="1:32">
      <c r="A560" s="83" t="s">
        <v>4174</v>
      </c>
      <c r="B560" s="84" t="s">
        <v>4175</v>
      </c>
      <c r="C560" s="85" t="s">
        <v>3538</v>
      </c>
      <c r="D560" s="86" t="e">
        <f>VLOOKUP(C560,#REF!,2,0)</f>
        <v>#REF!</v>
      </c>
      <c r="E560" s="20" t="e">
        <f>VLOOKUP(D560,数据集标准分类!E:F,2,0)</f>
        <v>#REF!</v>
      </c>
      <c r="F560" s="87">
        <v>20</v>
      </c>
      <c r="G560" s="88" t="s">
        <v>3503</v>
      </c>
      <c r="H560" s="88" t="s">
        <v>5874</v>
      </c>
      <c r="I560" s="88" t="s">
        <v>3506</v>
      </c>
      <c r="J560" s="88" t="s">
        <v>3504</v>
      </c>
      <c r="K560" s="88" t="s">
        <v>3506</v>
      </c>
      <c r="L560" s="88" t="s">
        <v>3507</v>
      </c>
      <c r="M560" s="83" t="s">
        <v>5593</v>
      </c>
      <c r="N560" s="83" t="s">
        <v>5595</v>
      </c>
      <c r="O560" s="89">
        <v>9</v>
      </c>
      <c r="P560" s="90" t="e">
        <f>VLOOKUP(I560,#REF!,2,0)</f>
        <v>#REF!</v>
      </c>
      <c r="Q560" s="91"/>
      <c r="R560" s="90"/>
      <c r="S560" s="92"/>
      <c r="T560" s="90"/>
      <c r="U560" s="92"/>
      <c r="V560" s="92"/>
      <c r="W560" s="93">
        <v>507</v>
      </c>
      <c r="X560" s="94"/>
      <c r="Y560" s="95"/>
      <c r="Z560" s="95"/>
      <c r="AA560" s="95"/>
      <c r="AB560" s="95"/>
      <c r="AC560" s="95"/>
      <c r="AD560" s="95"/>
      <c r="AE560" s="95"/>
      <c r="AF560" s="95"/>
    </row>
    <row r="561" ht="31" spans="1:32">
      <c r="A561" s="83" t="s">
        <v>4174</v>
      </c>
      <c r="B561" s="84" t="s">
        <v>4175</v>
      </c>
      <c r="C561" s="85" t="s">
        <v>3538</v>
      </c>
      <c r="D561" s="86" t="e">
        <f>VLOOKUP(C561,#REF!,2,0)</f>
        <v>#REF!</v>
      </c>
      <c r="E561" s="20" t="e">
        <f>VLOOKUP(D561,数据集标准分类!E:F,2,0)</f>
        <v>#REF!</v>
      </c>
      <c r="F561" s="87">
        <v>20</v>
      </c>
      <c r="G561" s="88" t="s">
        <v>201</v>
      </c>
      <c r="H561" s="88" t="s">
        <v>5646</v>
      </c>
      <c r="I561" s="88" t="s">
        <v>5647</v>
      </c>
      <c r="J561" s="88" t="s">
        <v>202</v>
      </c>
      <c r="K561" s="88" t="s">
        <v>204</v>
      </c>
      <c r="L561" s="88" t="s">
        <v>2075</v>
      </c>
      <c r="M561" s="83" t="s">
        <v>5593</v>
      </c>
      <c r="N561" s="83" t="s">
        <v>5593</v>
      </c>
      <c r="O561" s="89">
        <v>10</v>
      </c>
      <c r="P561" s="90" t="e">
        <f>VLOOKUP(I561,#REF!,2,0)</f>
        <v>#REF!</v>
      </c>
      <c r="Q561" s="91"/>
      <c r="R561" s="90"/>
      <c r="S561" s="92"/>
      <c r="T561" s="90"/>
      <c r="U561" s="92"/>
      <c r="V561" s="92"/>
      <c r="W561" s="93">
        <v>508</v>
      </c>
      <c r="X561" s="94"/>
      <c r="Y561" s="95"/>
      <c r="Z561" s="95"/>
      <c r="AA561" s="95"/>
      <c r="AB561" s="95"/>
      <c r="AC561" s="95"/>
      <c r="AD561" s="95"/>
      <c r="AE561" s="95"/>
      <c r="AF561" s="95"/>
    </row>
    <row r="562" ht="31" spans="1:32">
      <c r="A562" s="83" t="s">
        <v>4174</v>
      </c>
      <c r="B562" s="84" t="s">
        <v>4175</v>
      </c>
      <c r="C562" s="85" t="s">
        <v>3538</v>
      </c>
      <c r="D562" s="86" t="e">
        <f>VLOOKUP(C562,#REF!,2,0)</f>
        <v>#REF!</v>
      </c>
      <c r="E562" s="20" t="e">
        <f>VLOOKUP(D562,数据集标准分类!E:F,2,0)</f>
        <v>#REF!</v>
      </c>
      <c r="F562" s="87">
        <v>20</v>
      </c>
      <c r="G562" s="88" t="s">
        <v>211</v>
      </c>
      <c r="H562" s="88" t="s">
        <v>5648</v>
      </c>
      <c r="I562" s="88" t="s">
        <v>214</v>
      </c>
      <c r="J562" s="88" t="s">
        <v>212</v>
      </c>
      <c r="K562" s="88" t="s">
        <v>214</v>
      </c>
      <c r="L562" s="88" t="s">
        <v>215</v>
      </c>
      <c r="M562" s="83" t="s">
        <v>5593</v>
      </c>
      <c r="N562" s="83" t="s">
        <v>5595</v>
      </c>
      <c r="O562" s="89">
        <v>11</v>
      </c>
      <c r="P562" s="90" t="e">
        <f>VLOOKUP(I562,#REF!,2,0)</f>
        <v>#REF!</v>
      </c>
      <c r="Q562" s="91"/>
      <c r="R562" s="90"/>
      <c r="S562" s="92"/>
      <c r="T562" s="90"/>
      <c r="U562" s="92"/>
      <c r="V562" s="92"/>
      <c r="W562" s="93">
        <v>509</v>
      </c>
      <c r="X562" s="94"/>
      <c r="Y562" s="95"/>
      <c r="Z562" s="95"/>
      <c r="AA562" s="95"/>
      <c r="AB562" s="95"/>
      <c r="AC562" s="95"/>
      <c r="AD562" s="95"/>
      <c r="AE562" s="95"/>
      <c r="AF562" s="95"/>
    </row>
    <row r="563" ht="31" spans="1:32">
      <c r="A563" s="83" t="s">
        <v>4174</v>
      </c>
      <c r="B563" s="84" t="s">
        <v>4175</v>
      </c>
      <c r="C563" s="85" t="s">
        <v>3538</v>
      </c>
      <c r="D563" s="86" t="e">
        <f>VLOOKUP(C563,#REF!,2,0)</f>
        <v>#REF!</v>
      </c>
      <c r="E563" s="20" t="e">
        <f>VLOOKUP(D563,数据集标准分类!E:F,2,0)</f>
        <v>#REF!</v>
      </c>
      <c r="F563" s="87">
        <v>20</v>
      </c>
      <c r="G563" s="88" t="s">
        <v>2076</v>
      </c>
      <c r="H563" s="88" t="s">
        <v>2077</v>
      </c>
      <c r="I563" s="88" t="s">
        <v>5649</v>
      </c>
      <c r="J563" s="88" t="s">
        <v>2077</v>
      </c>
      <c r="K563" s="88" t="s">
        <v>2079</v>
      </c>
      <c r="L563" s="88" t="s">
        <v>2080</v>
      </c>
      <c r="M563" s="83" t="s">
        <v>5595</v>
      </c>
      <c r="N563" s="83" t="s">
        <v>5593</v>
      </c>
      <c r="O563" s="89">
        <v>12</v>
      </c>
      <c r="P563" s="90" t="e">
        <f>VLOOKUP(I563,#REF!,2,0)</f>
        <v>#REF!</v>
      </c>
      <c r="Q563" s="91"/>
      <c r="R563" s="90"/>
      <c r="S563" s="92"/>
      <c r="T563" s="90"/>
      <c r="U563" s="92"/>
      <c r="V563" s="92"/>
      <c r="W563" s="93">
        <v>510</v>
      </c>
      <c r="X563" s="94"/>
      <c r="Y563" s="95"/>
      <c r="Z563" s="95"/>
      <c r="AA563" s="95"/>
      <c r="AB563" s="95"/>
      <c r="AC563" s="95"/>
      <c r="AD563" s="95"/>
      <c r="AE563" s="95"/>
      <c r="AF563" s="95"/>
    </row>
    <row r="564" spans="1:32">
      <c r="A564" s="16" t="s">
        <v>4174</v>
      </c>
      <c r="B564" s="17" t="s">
        <v>4175</v>
      </c>
      <c r="C564" s="30" t="s">
        <v>3538</v>
      </c>
      <c r="D564" s="19" t="e">
        <f>VLOOKUP(C564,#REF!,2,0)</f>
        <v>#REF!</v>
      </c>
      <c r="E564" s="20" t="e">
        <f>VLOOKUP(D564,数据集标准分类!E:F,2,0)</f>
        <v>#REF!</v>
      </c>
      <c r="F564" s="21">
        <v>20</v>
      </c>
      <c r="G564" s="22" t="s">
        <v>2081</v>
      </c>
      <c r="H564" s="22" t="s">
        <v>5650</v>
      </c>
      <c r="I564" s="22" t="s">
        <v>5651</v>
      </c>
      <c r="J564" s="22" t="s">
        <v>2082</v>
      </c>
      <c r="K564" s="22" t="s">
        <v>2084</v>
      </c>
      <c r="L564" s="22" t="s">
        <v>2085</v>
      </c>
      <c r="M564" s="16" t="s">
        <v>5593</v>
      </c>
      <c r="N564" s="16" t="s">
        <v>5593</v>
      </c>
      <c r="O564" s="23">
        <v>13</v>
      </c>
      <c r="P564" s="24" t="e">
        <f>VLOOKUP(I564,#REF!,2,0)</f>
        <v>#REF!</v>
      </c>
      <c r="Q564" s="25"/>
      <c r="R564" s="24"/>
      <c r="S564" s="26"/>
      <c r="T564" s="24"/>
      <c r="U564" s="26"/>
      <c r="V564" s="26"/>
      <c r="W564" s="27">
        <v>511</v>
      </c>
      <c r="X564" s="28"/>
    </row>
    <row r="565" spans="1:32">
      <c r="A565" s="83" t="s">
        <v>4174</v>
      </c>
      <c r="B565" s="84" t="s">
        <v>4175</v>
      </c>
      <c r="C565" s="85" t="s">
        <v>3538</v>
      </c>
      <c r="D565" s="86" t="e">
        <f>VLOOKUP(C565,#REF!,2,0)</f>
        <v>#REF!</v>
      </c>
      <c r="E565" s="20" t="e">
        <f>VLOOKUP(D565,数据集标准分类!E:F,2,0)</f>
        <v>#REF!</v>
      </c>
      <c r="F565" s="87">
        <v>20</v>
      </c>
      <c r="G565" s="88" t="s">
        <v>2086</v>
      </c>
      <c r="H565" s="134" t="s">
        <v>5652</v>
      </c>
      <c r="I565" s="88" t="s">
        <v>5653</v>
      </c>
      <c r="J565" s="88" t="s">
        <v>2087</v>
      </c>
      <c r="K565" s="88" t="s">
        <v>2089</v>
      </c>
      <c r="L565" s="88" t="s">
        <v>2090</v>
      </c>
      <c r="M565" s="83" t="s">
        <v>5593</v>
      </c>
      <c r="N565" s="83" t="s">
        <v>5593</v>
      </c>
      <c r="O565" s="89">
        <v>14</v>
      </c>
      <c r="P565" s="90" t="e">
        <f>VLOOKUP(I565,#REF!,2,0)</f>
        <v>#REF!</v>
      </c>
      <c r="Q565" s="91"/>
      <c r="R565" s="90"/>
      <c r="S565" s="92"/>
      <c r="T565" s="90"/>
      <c r="U565" s="92"/>
      <c r="V565" s="92"/>
      <c r="W565" s="93">
        <v>512</v>
      </c>
      <c r="X565" s="94"/>
      <c r="Y565" s="95"/>
      <c r="Z565" s="95"/>
      <c r="AA565" s="95"/>
      <c r="AB565" s="95"/>
      <c r="AC565" s="95"/>
      <c r="AD565" s="95"/>
      <c r="AE565" s="95"/>
      <c r="AF565" s="95"/>
    </row>
    <row r="566" ht="31" spans="1:32">
      <c r="A566" s="83" t="s">
        <v>4174</v>
      </c>
      <c r="B566" s="84" t="s">
        <v>4175</v>
      </c>
      <c r="C566" s="85" t="s">
        <v>3538</v>
      </c>
      <c r="D566" s="86" t="e">
        <f>VLOOKUP(C566,#REF!,2,0)</f>
        <v>#REF!</v>
      </c>
      <c r="E566" s="20" t="e">
        <f>VLOOKUP(D566,数据集标准分类!E:F,2,0)</f>
        <v>#REF!</v>
      </c>
      <c r="F566" s="87">
        <v>20</v>
      </c>
      <c r="G566" s="88" t="s">
        <v>2091</v>
      </c>
      <c r="H566" s="134" t="s">
        <v>5654</v>
      </c>
      <c r="I566" s="88" t="s">
        <v>5655</v>
      </c>
      <c r="J566" s="88" t="s">
        <v>2092</v>
      </c>
      <c r="K566" s="88" t="s">
        <v>2094</v>
      </c>
      <c r="L566" s="88" t="s">
        <v>2095</v>
      </c>
      <c r="M566" s="83" t="s">
        <v>5593</v>
      </c>
      <c r="N566" s="83" t="s">
        <v>5593</v>
      </c>
      <c r="O566" s="89">
        <v>15</v>
      </c>
      <c r="P566" s="90" t="e">
        <f>VLOOKUP(I566,#REF!,2,0)</f>
        <v>#REF!</v>
      </c>
      <c r="Q566" s="91"/>
      <c r="R566" s="90"/>
      <c r="S566" s="92"/>
      <c r="T566" s="90"/>
      <c r="U566" s="92"/>
      <c r="V566" s="92"/>
      <c r="W566" s="93">
        <v>513</v>
      </c>
      <c r="X566" s="94"/>
      <c r="Y566" s="95"/>
      <c r="Z566" s="95"/>
      <c r="AA566" s="95"/>
      <c r="AB566" s="95"/>
      <c r="AC566" s="95"/>
      <c r="AD566" s="95"/>
      <c r="AE566" s="95"/>
      <c r="AF566" s="95"/>
    </row>
    <row r="567" ht="31" spans="1:32">
      <c r="A567" s="83" t="s">
        <v>4174</v>
      </c>
      <c r="B567" s="84" t="s">
        <v>4175</v>
      </c>
      <c r="C567" s="85" t="s">
        <v>3538</v>
      </c>
      <c r="D567" s="86" t="e">
        <f>VLOOKUP(C567,#REF!,2,0)</f>
        <v>#REF!</v>
      </c>
      <c r="E567" s="20" t="e">
        <f>VLOOKUP(D567,数据集标准分类!E:F,2,0)</f>
        <v>#REF!</v>
      </c>
      <c r="F567" s="87">
        <v>20</v>
      </c>
      <c r="G567" s="88" t="s">
        <v>2096</v>
      </c>
      <c r="H567" s="88" t="s">
        <v>2097</v>
      </c>
      <c r="I567" s="88" t="s">
        <v>5656</v>
      </c>
      <c r="J567" s="88" t="s">
        <v>2097</v>
      </c>
      <c r="K567" s="88" t="s">
        <v>2099</v>
      </c>
      <c r="L567" s="88" t="s">
        <v>2100</v>
      </c>
      <c r="M567" s="83" t="s">
        <v>5595</v>
      </c>
      <c r="N567" s="83" t="s">
        <v>5593</v>
      </c>
      <c r="O567" s="89">
        <v>16</v>
      </c>
      <c r="P567" s="90" t="e">
        <f>VLOOKUP(I567,#REF!,2,0)</f>
        <v>#REF!</v>
      </c>
      <c r="Q567" s="91"/>
      <c r="R567" s="90"/>
      <c r="S567" s="92"/>
      <c r="T567" s="90"/>
      <c r="U567" s="92"/>
      <c r="V567" s="92"/>
      <c r="W567" s="93">
        <v>514</v>
      </c>
      <c r="X567" s="94"/>
      <c r="Y567" s="95"/>
      <c r="Z567" s="95"/>
      <c r="AA567" s="95"/>
      <c r="AB567" s="95"/>
      <c r="AC567" s="95"/>
      <c r="AD567" s="95"/>
      <c r="AE567" s="95"/>
      <c r="AF567" s="95"/>
    </row>
    <row r="568" spans="1:32">
      <c r="A568" s="83" t="s">
        <v>4174</v>
      </c>
      <c r="B568" s="84" t="s">
        <v>4175</v>
      </c>
      <c r="C568" s="85" t="s">
        <v>3538</v>
      </c>
      <c r="D568" s="86" t="e">
        <f>VLOOKUP(C568,#REF!,2,0)</f>
        <v>#REF!</v>
      </c>
      <c r="E568" s="20" t="e">
        <f>VLOOKUP(D568,数据集标准分类!E:F,2,0)</f>
        <v>#REF!</v>
      </c>
      <c r="F568" s="87">
        <v>20</v>
      </c>
      <c r="G568" s="88" t="s">
        <v>197</v>
      </c>
      <c r="H568" s="88" t="s">
        <v>198</v>
      </c>
      <c r="I568" s="88" t="s">
        <v>5645</v>
      </c>
      <c r="J568" s="88" t="s">
        <v>198</v>
      </c>
      <c r="K568" s="88" t="s">
        <v>199</v>
      </c>
      <c r="L568" s="88" t="s">
        <v>2019</v>
      </c>
      <c r="M568" s="83" t="s">
        <v>5595</v>
      </c>
      <c r="N568" s="83" t="s">
        <v>5593</v>
      </c>
      <c r="O568" s="89">
        <v>17</v>
      </c>
      <c r="P568" s="90" t="e">
        <f>VLOOKUP(I568,#REF!,2,0)</f>
        <v>#REF!</v>
      </c>
      <c r="Q568" s="91"/>
      <c r="R568" s="90"/>
      <c r="S568" s="92"/>
      <c r="T568" s="90"/>
      <c r="U568" s="92"/>
      <c r="V568" s="92"/>
      <c r="W568" s="93">
        <v>515</v>
      </c>
      <c r="X568" s="94"/>
      <c r="Y568" s="95"/>
      <c r="Z568" s="95"/>
      <c r="AA568" s="95"/>
      <c r="AB568" s="95"/>
      <c r="AC568" s="95"/>
      <c r="AD568" s="95"/>
      <c r="AE568" s="95"/>
      <c r="AF568" s="95"/>
    </row>
    <row r="569" ht="24" customHeight="1" spans="1:32">
      <c r="A569" s="83" t="s">
        <v>4174</v>
      </c>
      <c r="B569" s="84" t="s">
        <v>4175</v>
      </c>
      <c r="C569" s="85" t="s">
        <v>3538</v>
      </c>
      <c r="D569" s="86" t="e">
        <f>VLOOKUP(C569,#REF!,2,0)</f>
        <v>#REF!</v>
      </c>
      <c r="E569" s="20" t="e">
        <f>VLOOKUP(D569,数据集标准分类!E:F,2,0)</f>
        <v>#REF!</v>
      </c>
      <c r="F569" s="87">
        <v>20</v>
      </c>
      <c r="G569" s="88" t="s">
        <v>3539</v>
      </c>
      <c r="H569" s="88" t="s">
        <v>5919</v>
      </c>
      <c r="I569" s="88" t="s">
        <v>5920</v>
      </c>
      <c r="J569" s="88" t="s">
        <v>3540</v>
      </c>
      <c r="K569" s="88" t="s">
        <v>3542</v>
      </c>
      <c r="L569" s="88" t="s">
        <v>3543</v>
      </c>
      <c r="M569" s="83" t="s">
        <v>5593</v>
      </c>
      <c r="N569" s="83" t="s">
        <v>5593</v>
      </c>
      <c r="O569" s="89">
        <v>18</v>
      </c>
      <c r="P569" s="90" t="e">
        <f>VLOOKUP(I569,#REF!,2,0)</f>
        <v>#REF!</v>
      </c>
      <c r="Q569" s="91"/>
      <c r="R569" s="90"/>
      <c r="S569" s="92"/>
      <c r="T569" s="90"/>
      <c r="U569" s="92"/>
      <c r="V569" s="92"/>
      <c r="W569" s="93">
        <v>516</v>
      </c>
      <c r="X569" s="94"/>
      <c r="Y569" s="95"/>
      <c r="Z569" s="95"/>
      <c r="AA569" s="95"/>
      <c r="AB569" s="95"/>
      <c r="AC569" s="95"/>
      <c r="AD569" s="95"/>
      <c r="AE569" s="95"/>
      <c r="AF569" s="95"/>
    </row>
    <row r="570" ht="31" spans="1:32">
      <c r="A570" s="83" t="s">
        <v>4174</v>
      </c>
      <c r="B570" s="84" t="s">
        <v>4175</v>
      </c>
      <c r="C570" s="85" t="s">
        <v>3538</v>
      </c>
      <c r="D570" s="86" t="e">
        <f>VLOOKUP(C570,#REF!,2,0)</f>
        <v>#REF!</v>
      </c>
      <c r="E570" s="20" t="e">
        <f>VLOOKUP(D570,数据集标准分类!E:F,2,0)</f>
        <v>#REF!</v>
      </c>
      <c r="F570" s="87">
        <v>20</v>
      </c>
      <c r="G570" s="88" t="s">
        <v>3544</v>
      </c>
      <c r="H570" s="88" t="s">
        <v>5921</v>
      </c>
      <c r="I570" s="88" t="s">
        <v>5922</v>
      </c>
      <c r="J570" s="88" t="s">
        <v>3545</v>
      </c>
      <c r="K570" s="88" t="s">
        <v>3547</v>
      </c>
      <c r="L570" s="88" t="s">
        <v>3548</v>
      </c>
      <c r="M570" s="83" t="s">
        <v>5593</v>
      </c>
      <c r="N570" s="83" t="s">
        <v>5593</v>
      </c>
      <c r="O570" s="89">
        <v>19</v>
      </c>
      <c r="P570" s="90" t="e">
        <f>VLOOKUP(I570,#REF!,2,0)</f>
        <v>#REF!</v>
      </c>
      <c r="Q570" s="91"/>
      <c r="R570" s="90"/>
      <c r="S570" s="92"/>
      <c r="T570" s="90"/>
      <c r="U570" s="92"/>
      <c r="V570" s="92"/>
      <c r="W570" s="93">
        <v>517</v>
      </c>
      <c r="X570" s="94"/>
      <c r="Y570" s="95"/>
      <c r="Z570" s="95"/>
      <c r="AA570" s="95"/>
      <c r="AB570" s="95"/>
      <c r="AC570" s="95"/>
      <c r="AD570" s="95"/>
      <c r="AE570" s="95"/>
      <c r="AF570" s="95"/>
    </row>
    <row r="571" spans="1:32">
      <c r="A571" s="83" t="s">
        <v>4174</v>
      </c>
      <c r="B571" s="84" t="s">
        <v>4175</v>
      </c>
      <c r="C571" s="85" t="s">
        <v>3538</v>
      </c>
      <c r="D571" s="86" t="e">
        <f>VLOOKUP(C571,#REF!,2,0)</f>
        <v>#REF!</v>
      </c>
      <c r="E571" s="20" t="e">
        <f>VLOOKUP(D571,数据集标准分类!E:F,2,0)</f>
        <v>#REF!</v>
      </c>
      <c r="F571" s="87">
        <v>20</v>
      </c>
      <c r="G571" s="88" t="s">
        <v>5565</v>
      </c>
      <c r="H571" s="88" t="s">
        <v>5566</v>
      </c>
      <c r="I571" s="88" t="s">
        <v>5568</v>
      </c>
      <c r="J571" s="88" t="s">
        <v>5566</v>
      </c>
      <c r="K571" s="88" t="s">
        <v>5568</v>
      </c>
      <c r="L571" s="135"/>
      <c r="M571" s="136"/>
      <c r="N571" s="137"/>
      <c r="O571" s="138">
        <v>20</v>
      </c>
      <c r="P571" s="139"/>
      <c r="Q571" s="140"/>
      <c r="R571" s="139"/>
      <c r="S571" s="108"/>
      <c r="T571" s="108"/>
      <c r="U571" s="108"/>
      <c r="V571" s="92"/>
      <c r="W571" s="93"/>
      <c r="X571" s="94"/>
      <c r="Y571" s="141"/>
      <c r="Z571" s="141"/>
      <c r="AA571" s="141"/>
      <c r="AB571" s="141"/>
      <c r="AC571" s="141"/>
      <c r="AD571" s="141"/>
      <c r="AE571" s="141"/>
      <c r="AF571" s="141"/>
    </row>
    <row r="572" spans="1:32">
      <c r="A572" s="83" t="s">
        <v>4174</v>
      </c>
      <c r="B572" s="84" t="s">
        <v>4175</v>
      </c>
      <c r="C572" s="85" t="s">
        <v>3538</v>
      </c>
      <c r="D572" s="86" t="e">
        <f>VLOOKUP(C572,#REF!,2,0)</f>
        <v>#REF!</v>
      </c>
      <c r="E572" s="20" t="e">
        <f>VLOOKUP(D572,数据集标准分类!E:F,2,0)</f>
        <v>#REF!</v>
      </c>
      <c r="F572" s="87">
        <v>20</v>
      </c>
      <c r="G572" s="88" t="s">
        <v>5561</v>
      </c>
      <c r="H572" s="88" t="s">
        <v>5562</v>
      </c>
      <c r="I572" s="88" t="s">
        <v>5564</v>
      </c>
      <c r="J572" s="88" t="s">
        <v>5562</v>
      </c>
      <c r="K572" s="88" t="s">
        <v>5564</v>
      </c>
      <c r="L572" s="135"/>
      <c r="M572" s="136"/>
      <c r="N572" s="137"/>
      <c r="O572" s="138">
        <v>21</v>
      </c>
      <c r="P572" s="139"/>
      <c r="Q572" s="140"/>
      <c r="R572" s="139"/>
      <c r="S572" s="108"/>
      <c r="T572" s="108"/>
      <c r="U572" s="108"/>
      <c r="V572" s="92"/>
      <c r="W572" s="93"/>
      <c r="X572" s="94"/>
      <c r="Y572" s="141"/>
      <c r="Z572" s="141"/>
      <c r="AA572" s="141"/>
      <c r="AB572" s="141"/>
      <c r="AC572" s="141"/>
      <c r="AD572" s="141"/>
      <c r="AE572" s="141"/>
      <c r="AF572" s="141"/>
    </row>
    <row r="573" spans="1:32">
      <c r="A573" s="83" t="s">
        <v>4174</v>
      </c>
      <c r="B573" s="84" t="s">
        <v>4175</v>
      </c>
      <c r="C573" s="85" t="s">
        <v>3538</v>
      </c>
      <c r="D573" s="86" t="e">
        <f>VLOOKUP(C573,#REF!,2,0)</f>
        <v>#REF!</v>
      </c>
      <c r="E573" s="20" t="e">
        <f>VLOOKUP(D573,数据集标准分类!E:F,2,0)</f>
        <v>#REF!</v>
      </c>
      <c r="F573" s="87">
        <v>20</v>
      </c>
      <c r="G573" s="88" t="s">
        <v>3641</v>
      </c>
      <c r="H573" s="88" t="s">
        <v>3642</v>
      </c>
      <c r="I573" s="88" t="s">
        <v>3644</v>
      </c>
      <c r="J573" s="88" t="s">
        <v>3642</v>
      </c>
      <c r="K573" s="88" t="s">
        <v>3644</v>
      </c>
      <c r="L573" s="135"/>
      <c r="M573" s="136"/>
      <c r="N573" s="137"/>
      <c r="O573" s="138">
        <v>22</v>
      </c>
      <c r="P573" s="139"/>
      <c r="Q573" s="140"/>
      <c r="R573" s="139"/>
      <c r="S573" s="108"/>
      <c r="T573" s="108"/>
      <c r="U573" s="108"/>
      <c r="V573" s="92"/>
      <c r="W573" s="93"/>
      <c r="X573" s="94"/>
      <c r="Y573" s="141"/>
      <c r="Z573" s="141"/>
      <c r="AA573" s="141"/>
      <c r="AB573" s="141"/>
      <c r="AC573" s="141"/>
      <c r="AD573" s="141"/>
      <c r="AE573" s="141"/>
      <c r="AF573" s="141"/>
    </row>
    <row r="574" spans="1:32">
      <c r="A574" s="83" t="s">
        <v>4174</v>
      </c>
      <c r="B574" s="84" t="s">
        <v>4175</v>
      </c>
      <c r="C574" s="85" t="s">
        <v>3538</v>
      </c>
      <c r="D574" s="86" t="e">
        <f>VLOOKUP(C574,#REF!,2,0)</f>
        <v>#REF!</v>
      </c>
      <c r="E574" s="20" t="e">
        <f>VLOOKUP(D574,数据集标准分类!E:F,2,0)</f>
        <v>#REF!</v>
      </c>
      <c r="F574" s="87">
        <v>20</v>
      </c>
      <c r="G574" s="88" t="s">
        <v>2889</v>
      </c>
      <c r="H574" s="88" t="s">
        <v>2890</v>
      </c>
      <c r="I574" s="88" t="s">
        <v>2892</v>
      </c>
      <c r="J574" s="88" t="s">
        <v>2890</v>
      </c>
      <c r="K574" s="88" t="s">
        <v>2892</v>
      </c>
      <c r="L574" s="135"/>
      <c r="M574" s="136"/>
      <c r="N574" s="137"/>
      <c r="O574" s="138">
        <v>23</v>
      </c>
      <c r="P574" s="139"/>
      <c r="Q574" s="140"/>
      <c r="R574" s="139"/>
      <c r="S574" s="108"/>
      <c r="T574" s="108"/>
      <c r="U574" s="108"/>
      <c r="V574" s="92"/>
      <c r="W574" s="93"/>
      <c r="X574" s="94"/>
      <c r="Y574" s="141"/>
      <c r="Z574" s="141"/>
      <c r="AA574" s="141"/>
      <c r="AB574" s="141"/>
      <c r="AC574" s="141"/>
      <c r="AD574" s="141"/>
      <c r="AE574" s="141"/>
      <c r="AF574" s="141"/>
    </row>
    <row r="575" spans="1:32">
      <c r="A575" s="83" t="s">
        <v>4174</v>
      </c>
      <c r="B575" s="84" t="s">
        <v>4175</v>
      </c>
      <c r="C575" s="85" t="s">
        <v>3538</v>
      </c>
      <c r="D575" s="86" t="e">
        <f>VLOOKUP(C575,#REF!,2,0)</f>
        <v>#REF!</v>
      </c>
      <c r="E575" s="20" t="e">
        <f>VLOOKUP(D575,数据集标准分类!E:F,2,0)</f>
        <v>#REF!</v>
      </c>
      <c r="F575" s="87">
        <v>20</v>
      </c>
      <c r="G575" s="88" t="s">
        <v>2935</v>
      </c>
      <c r="H575" s="88" t="s">
        <v>2936</v>
      </c>
      <c r="I575" s="88" t="s">
        <v>2938</v>
      </c>
      <c r="J575" s="88" t="s">
        <v>2936</v>
      </c>
      <c r="K575" s="88" t="s">
        <v>2938</v>
      </c>
      <c r="L575" s="135"/>
      <c r="M575" s="136"/>
      <c r="N575" s="137"/>
      <c r="O575" s="138">
        <v>24</v>
      </c>
      <c r="P575" s="139"/>
      <c r="Q575" s="140"/>
      <c r="R575" s="139"/>
      <c r="S575" s="108"/>
      <c r="T575" s="108"/>
      <c r="U575" s="108"/>
      <c r="V575" s="92"/>
      <c r="W575" s="93"/>
      <c r="X575" s="94"/>
      <c r="Y575" s="141"/>
      <c r="Z575" s="141"/>
      <c r="AA575" s="141"/>
      <c r="AB575" s="141"/>
      <c r="AC575" s="141"/>
      <c r="AD575" s="141"/>
      <c r="AE575" s="141"/>
      <c r="AF575" s="141"/>
    </row>
    <row r="576" spans="1:32">
      <c r="A576" s="83" t="s">
        <v>4174</v>
      </c>
      <c r="B576" s="84" t="s">
        <v>4175</v>
      </c>
      <c r="C576" s="85" t="s">
        <v>3538</v>
      </c>
      <c r="D576" s="86" t="e">
        <f>VLOOKUP(C576,#REF!,2,0)</f>
        <v>#REF!</v>
      </c>
      <c r="E576" s="20" t="e">
        <f>VLOOKUP(D576,数据集标准分类!E:F,2,0)</f>
        <v>#REF!</v>
      </c>
      <c r="F576" s="87">
        <v>20</v>
      </c>
      <c r="G576" s="88" t="s">
        <v>3114</v>
      </c>
      <c r="H576" s="88" t="s">
        <v>3115</v>
      </c>
      <c r="I576" s="88" t="s">
        <v>3117</v>
      </c>
      <c r="J576" s="88" t="s">
        <v>3115</v>
      </c>
      <c r="K576" s="88" t="s">
        <v>3117</v>
      </c>
      <c r="L576" s="135"/>
      <c r="M576" s="136"/>
      <c r="N576" s="137"/>
      <c r="O576" s="138">
        <v>25</v>
      </c>
      <c r="P576" s="139"/>
      <c r="Q576" s="140"/>
      <c r="R576" s="139"/>
      <c r="S576" s="108"/>
      <c r="T576" s="108"/>
      <c r="U576" s="108"/>
      <c r="V576" s="92"/>
      <c r="W576" s="93"/>
      <c r="X576" s="94"/>
      <c r="Y576" s="141"/>
      <c r="Z576" s="141"/>
      <c r="AA576" s="141"/>
      <c r="AB576" s="141"/>
      <c r="AC576" s="141"/>
      <c r="AD576" s="141"/>
      <c r="AE576" s="141"/>
      <c r="AF576" s="141"/>
    </row>
    <row r="577" spans="1:32">
      <c r="A577" s="83" t="s">
        <v>4174</v>
      </c>
      <c r="B577" s="84" t="s">
        <v>4175</v>
      </c>
      <c r="C577" s="85" t="s">
        <v>3538</v>
      </c>
      <c r="D577" s="86" t="e">
        <f>VLOOKUP(C577,#REF!,2,0)</f>
        <v>#REF!</v>
      </c>
      <c r="E577" s="20" t="e">
        <f>VLOOKUP(D577,数据集标准分类!E:F,2,0)</f>
        <v>#REF!</v>
      </c>
      <c r="F577" s="87">
        <v>20</v>
      </c>
      <c r="G577" s="88" t="s">
        <v>1774</v>
      </c>
      <c r="H577" s="88" t="s">
        <v>1775</v>
      </c>
      <c r="I577" s="88" t="s">
        <v>1777</v>
      </c>
      <c r="J577" s="88" t="s">
        <v>1775</v>
      </c>
      <c r="K577" s="88" t="s">
        <v>1777</v>
      </c>
      <c r="L577" s="135"/>
      <c r="M577" s="136"/>
      <c r="N577" s="137"/>
      <c r="O577" s="138">
        <v>26</v>
      </c>
      <c r="P577" s="139"/>
      <c r="Q577" s="140"/>
      <c r="R577" s="139"/>
      <c r="S577" s="108"/>
      <c r="T577" s="108"/>
      <c r="U577" s="108"/>
      <c r="V577" s="92"/>
      <c r="W577" s="93"/>
      <c r="X577" s="94"/>
      <c r="Y577" s="141"/>
      <c r="Z577" s="141"/>
      <c r="AA577" s="141"/>
      <c r="AB577" s="141"/>
      <c r="AC577" s="141"/>
      <c r="AD577" s="141"/>
      <c r="AE577" s="141"/>
      <c r="AF577" s="141"/>
    </row>
    <row r="578" spans="1:32">
      <c r="A578" s="83" t="s">
        <v>4174</v>
      </c>
      <c r="B578" s="84" t="s">
        <v>4175</v>
      </c>
      <c r="C578" s="85" t="s">
        <v>3538</v>
      </c>
      <c r="D578" s="86" t="e">
        <f>VLOOKUP(C578,#REF!,2,0)</f>
        <v>#REF!</v>
      </c>
      <c r="E578" s="20" t="e">
        <f>VLOOKUP(D578,数据集标准分类!E:F,2,0)</f>
        <v>#REF!</v>
      </c>
      <c r="F578" s="87">
        <v>20</v>
      </c>
      <c r="G578" s="88" t="s">
        <v>5556</v>
      </c>
      <c r="H578" s="88" t="s">
        <v>5557</v>
      </c>
      <c r="I578" s="88" t="s">
        <v>5570</v>
      </c>
      <c r="J578" s="88" t="s">
        <v>5557</v>
      </c>
      <c r="K578" s="88" t="s">
        <v>5570</v>
      </c>
      <c r="L578" s="135"/>
      <c r="M578" s="136"/>
      <c r="N578" s="137"/>
      <c r="O578" s="138">
        <v>27</v>
      </c>
      <c r="P578" s="139"/>
      <c r="Q578" s="140"/>
      <c r="R578" s="139"/>
      <c r="S578" s="108"/>
      <c r="T578" s="108"/>
      <c r="U578" s="108"/>
      <c r="V578" s="92"/>
      <c r="W578" s="93"/>
      <c r="X578" s="94"/>
      <c r="Y578" s="141"/>
      <c r="Z578" s="141"/>
      <c r="AA578" s="141"/>
      <c r="AB578" s="141"/>
      <c r="AC578" s="141"/>
      <c r="AD578" s="141"/>
      <c r="AE578" s="141"/>
      <c r="AF578" s="141"/>
    </row>
    <row r="579" spans="1:32">
      <c r="A579" s="83" t="s">
        <v>4174</v>
      </c>
      <c r="B579" s="84" t="s">
        <v>4175</v>
      </c>
      <c r="C579" s="85" t="s">
        <v>3538</v>
      </c>
      <c r="D579" s="86" t="e">
        <f>VLOOKUP(C579,#REF!,2,0)</f>
        <v>#REF!</v>
      </c>
      <c r="E579" s="20" t="e">
        <f>VLOOKUP(D579,数据集标准分类!E:F,2,0)</f>
        <v>#REF!</v>
      </c>
      <c r="F579" s="87">
        <v>20</v>
      </c>
      <c r="G579" s="88" t="s">
        <v>3118</v>
      </c>
      <c r="H579" s="88" t="s">
        <v>3119</v>
      </c>
      <c r="I579" s="88" t="s">
        <v>3121</v>
      </c>
      <c r="J579" s="88" t="s">
        <v>3119</v>
      </c>
      <c r="K579" s="88" t="s">
        <v>3121</v>
      </c>
      <c r="L579" s="142" t="s">
        <v>3122</v>
      </c>
      <c r="M579" s="136"/>
      <c r="N579" s="137"/>
      <c r="O579" s="138">
        <v>28</v>
      </c>
      <c r="P579" s="139"/>
      <c r="Q579" s="140"/>
      <c r="R579" s="139"/>
      <c r="S579" s="108"/>
      <c r="T579" s="108"/>
      <c r="U579" s="108"/>
      <c r="V579" s="92"/>
      <c r="W579" s="93"/>
      <c r="X579" s="94"/>
      <c r="Y579" s="141"/>
      <c r="Z579" s="141"/>
      <c r="AA579" s="141"/>
      <c r="AB579" s="141"/>
      <c r="AC579" s="141"/>
      <c r="AD579" s="141"/>
      <c r="AE579" s="141"/>
      <c r="AF579" s="141"/>
    </row>
    <row r="580" spans="1:32">
      <c r="A580" s="83" t="s">
        <v>4174</v>
      </c>
      <c r="B580" s="84" t="s">
        <v>4175</v>
      </c>
      <c r="C580" s="85" t="s">
        <v>3538</v>
      </c>
      <c r="D580" s="86" t="e">
        <f>VLOOKUP(C580,#REF!,2,0)</f>
        <v>#REF!</v>
      </c>
      <c r="E580" s="20" t="e">
        <f>VLOOKUP(D580,数据集标准分类!E:F,2,0)</f>
        <v>#REF!</v>
      </c>
      <c r="F580" s="87">
        <v>20</v>
      </c>
      <c r="G580" s="88" t="s">
        <v>3123</v>
      </c>
      <c r="H580" s="88" t="s">
        <v>3124</v>
      </c>
      <c r="I580" s="88" t="s">
        <v>3125</v>
      </c>
      <c r="J580" s="88" t="s">
        <v>3124</v>
      </c>
      <c r="K580" s="88" t="s">
        <v>3125</v>
      </c>
      <c r="L580" s="143"/>
      <c r="M580" s="136"/>
      <c r="N580" s="137"/>
      <c r="O580" s="138">
        <v>29</v>
      </c>
      <c r="P580" s="139"/>
      <c r="Q580" s="140"/>
      <c r="R580" s="139"/>
      <c r="S580" s="108"/>
      <c r="T580" s="108"/>
      <c r="U580" s="108"/>
      <c r="V580" s="92"/>
      <c r="W580" s="93"/>
      <c r="X580" s="94"/>
      <c r="Y580" s="141"/>
      <c r="Z580" s="141"/>
      <c r="AA580" s="141"/>
      <c r="AB580" s="141"/>
      <c r="AC580" s="141"/>
      <c r="AD580" s="141"/>
      <c r="AE580" s="141"/>
      <c r="AF580" s="141"/>
    </row>
    <row r="581" spans="1:32">
      <c r="A581" s="83" t="s">
        <v>4174</v>
      </c>
      <c r="B581" s="84" t="s">
        <v>4175</v>
      </c>
      <c r="C581" s="85" t="s">
        <v>3538</v>
      </c>
      <c r="D581" s="86" t="e">
        <f>VLOOKUP(C581,#REF!,2,0)</f>
        <v>#REF!</v>
      </c>
      <c r="E581" s="20" t="e">
        <f>VLOOKUP(D581,数据集标准分类!E:F,2,0)</f>
        <v>#REF!</v>
      </c>
      <c r="F581" s="87">
        <v>20</v>
      </c>
      <c r="G581" s="88" t="s">
        <v>3126</v>
      </c>
      <c r="H581" s="88" t="s">
        <v>3127</v>
      </c>
      <c r="I581" s="88" t="s">
        <v>3129</v>
      </c>
      <c r="J581" s="88" t="s">
        <v>3127</v>
      </c>
      <c r="K581" s="88" t="s">
        <v>3129</v>
      </c>
      <c r="L581" s="143"/>
      <c r="M581" s="136"/>
      <c r="N581" s="137"/>
      <c r="O581" s="138">
        <v>30</v>
      </c>
      <c r="P581" s="139"/>
      <c r="Q581" s="140"/>
      <c r="R581" s="139"/>
      <c r="S581" s="108"/>
      <c r="T581" s="108"/>
      <c r="U581" s="108"/>
      <c r="V581" s="92"/>
      <c r="W581" s="93"/>
      <c r="X581" s="94"/>
      <c r="Y581" s="141"/>
      <c r="Z581" s="141"/>
      <c r="AA581" s="141"/>
      <c r="AB581" s="141"/>
      <c r="AC581" s="141"/>
      <c r="AD581" s="141"/>
      <c r="AE581" s="141"/>
      <c r="AF581" s="141"/>
    </row>
    <row r="582" spans="1:32">
      <c r="A582" s="83" t="s">
        <v>4174</v>
      </c>
      <c r="B582" s="84" t="s">
        <v>4175</v>
      </c>
      <c r="C582" s="85" t="s">
        <v>3538</v>
      </c>
      <c r="D582" s="86" t="e">
        <f>VLOOKUP(C582,#REF!,2,0)</f>
        <v>#REF!</v>
      </c>
      <c r="E582" s="20" t="e">
        <f>VLOOKUP(D582,数据集标准分类!E:F,2,0)</f>
        <v>#REF!</v>
      </c>
      <c r="F582" s="87">
        <v>20</v>
      </c>
      <c r="G582" s="88" t="s">
        <v>3130</v>
      </c>
      <c r="H582" s="88" t="s">
        <v>3131</v>
      </c>
      <c r="I582" s="88" t="s">
        <v>3133</v>
      </c>
      <c r="J582" s="88" t="s">
        <v>3131</v>
      </c>
      <c r="K582" s="88" t="s">
        <v>3133</v>
      </c>
      <c r="L582" s="143"/>
      <c r="M582" s="136"/>
      <c r="N582" s="137"/>
      <c r="O582" s="138">
        <v>31</v>
      </c>
      <c r="P582" s="139"/>
      <c r="Q582" s="140"/>
      <c r="R582" s="139"/>
      <c r="S582" s="108"/>
      <c r="T582" s="108"/>
      <c r="U582" s="108"/>
      <c r="V582" s="92"/>
      <c r="W582" s="93"/>
      <c r="X582" s="94"/>
      <c r="Y582" s="141"/>
      <c r="Z582" s="141"/>
      <c r="AA582" s="141"/>
      <c r="AB582" s="141"/>
      <c r="AC582" s="141"/>
      <c r="AD582" s="141"/>
      <c r="AE582" s="141"/>
      <c r="AF582" s="141"/>
    </row>
    <row r="583" spans="1:32">
      <c r="A583" s="83" t="s">
        <v>4174</v>
      </c>
      <c r="B583" s="84" t="s">
        <v>4175</v>
      </c>
      <c r="C583" s="85" t="s">
        <v>3538</v>
      </c>
      <c r="D583" s="86" t="e">
        <f>VLOOKUP(C583,#REF!,2,0)</f>
        <v>#REF!</v>
      </c>
      <c r="E583" s="20" t="e">
        <f>VLOOKUP(D583,数据集标准分类!E:F,2,0)</f>
        <v>#REF!</v>
      </c>
      <c r="F583" s="87">
        <v>20</v>
      </c>
      <c r="G583" s="88" t="s">
        <v>3134</v>
      </c>
      <c r="H583" s="88" t="s">
        <v>3135</v>
      </c>
      <c r="I583" s="88" t="s">
        <v>3137</v>
      </c>
      <c r="J583" s="88" t="s">
        <v>3135</v>
      </c>
      <c r="K583" s="88" t="s">
        <v>3137</v>
      </c>
      <c r="L583" s="143"/>
      <c r="M583" s="136"/>
      <c r="N583" s="137"/>
      <c r="O583" s="138">
        <v>32</v>
      </c>
      <c r="P583" s="139"/>
      <c r="Q583" s="140"/>
      <c r="R583" s="139"/>
      <c r="S583" s="108"/>
      <c r="T583" s="108"/>
      <c r="U583" s="108"/>
      <c r="V583" s="92"/>
      <c r="W583" s="93"/>
      <c r="X583" s="94"/>
      <c r="Y583" s="141"/>
      <c r="Z583" s="141"/>
      <c r="AA583" s="141"/>
      <c r="AB583" s="141"/>
      <c r="AC583" s="141"/>
      <c r="AD583" s="141"/>
      <c r="AE583" s="141"/>
      <c r="AF583" s="141"/>
    </row>
    <row r="584" ht="31" spans="1:32">
      <c r="A584" s="83" t="s">
        <v>4174</v>
      </c>
      <c r="B584" s="84" t="s">
        <v>4175</v>
      </c>
      <c r="C584" s="85" t="s">
        <v>3538</v>
      </c>
      <c r="D584" s="86" t="e">
        <f>VLOOKUP(C584,#REF!,2,0)</f>
        <v>#REF!</v>
      </c>
      <c r="E584" s="20" t="e">
        <f>VLOOKUP(D584,数据集标准分类!E:F,2,0)</f>
        <v>#REF!</v>
      </c>
      <c r="F584" s="87">
        <v>20</v>
      </c>
      <c r="G584" s="88" t="s">
        <v>3138</v>
      </c>
      <c r="H584" s="88" t="s">
        <v>3139</v>
      </c>
      <c r="I584" s="88" t="s">
        <v>3141</v>
      </c>
      <c r="J584" s="88" t="s">
        <v>3139</v>
      </c>
      <c r="K584" s="88" t="s">
        <v>3141</v>
      </c>
      <c r="L584" s="142" t="s">
        <v>3142</v>
      </c>
      <c r="M584" s="136"/>
      <c r="N584" s="137"/>
      <c r="O584" s="138">
        <v>33</v>
      </c>
      <c r="P584" s="139"/>
      <c r="Q584" s="140"/>
      <c r="R584" s="139"/>
      <c r="S584" s="108"/>
      <c r="T584" s="108"/>
      <c r="U584" s="108"/>
      <c r="V584" s="92"/>
      <c r="W584" s="93"/>
      <c r="X584" s="94"/>
      <c r="Y584" s="141"/>
      <c r="Z584" s="141"/>
      <c r="AA584" s="141"/>
      <c r="AB584" s="141"/>
      <c r="AC584" s="141"/>
      <c r="AD584" s="141"/>
      <c r="AE584" s="141"/>
      <c r="AF584" s="141"/>
    </row>
    <row r="585" spans="1:32">
      <c r="A585" s="83" t="s">
        <v>4174</v>
      </c>
      <c r="B585" s="84" t="s">
        <v>4175</v>
      </c>
      <c r="C585" s="144" t="s">
        <v>3699</v>
      </c>
      <c r="D585" s="101" t="s">
        <v>5923</v>
      </c>
      <c r="E585" s="101" t="s">
        <v>4436</v>
      </c>
      <c r="F585" s="145" t="s">
        <v>5924</v>
      </c>
      <c r="G585" s="146" t="s">
        <v>2889</v>
      </c>
      <c r="H585" s="146" t="s">
        <v>2890</v>
      </c>
      <c r="I585" s="146" t="s">
        <v>2892</v>
      </c>
      <c r="J585" s="146" t="s">
        <v>2890</v>
      </c>
      <c r="K585" s="146" t="s">
        <v>2892</v>
      </c>
      <c r="L585" s="143"/>
      <c r="M585" s="136"/>
      <c r="N585" s="137"/>
      <c r="O585" s="147" t="s">
        <v>3351</v>
      </c>
      <c r="P585" s="139"/>
      <c r="Q585" s="140"/>
      <c r="R585" s="139"/>
      <c r="S585" s="108"/>
      <c r="T585" s="108"/>
      <c r="U585" s="108"/>
      <c r="V585" s="92"/>
      <c r="W585" s="93"/>
      <c r="X585" s="94"/>
      <c r="Y585" s="141"/>
      <c r="Z585" s="141"/>
      <c r="AA585" s="141"/>
      <c r="AB585" s="141"/>
      <c r="AC585" s="141"/>
      <c r="AD585" s="141"/>
      <c r="AE585" s="141"/>
      <c r="AF585" s="141"/>
    </row>
    <row r="586" spans="1:32">
      <c r="A586" s="83" t="s">
        <v>4174</v>
      </c>
      <c r="B586" s="84" t="s">
        <v>4175</v>
      </c>
      <c r="C586" s="144" t="s">
        <v>3699</v>
      </c>
      <c r="D586" s="101" t="s">
        <v>5923</v>
      </c>
      <c r="E586" s="101" t="s">
        <v>4436</v>
      </c>
      <c r="F586" s="145" t="s">
        <v>5924</v>
      </c>
      <c r="G586" s="146" t="s">
        <v>3641</v>
      </c>
      <c r="H586" s="146" t="s">
        <v>3642</v>
      </c>
      <c r="I586" s="146" t="s">
        <v>3644</v>
      </c>
      <c r="J586" s="146" t="s">
        <v>3642</v>
      </c>
      <c r="K586" s="146" t="s">
        <v>3644</v>
      </c>
      <c r="L586" s="143"/>
      <c r="M586" s="136"/>
      <c r="N586" s="137"/>
      <c r="O586" s="147" t="s">
        <v>3352</v>
      </c>
      <c r="P586" s="139"/>
      <c r="Q586" s="140"/>
      <c r="R586" s="139"/>
      <c r="S586" s="108"/>
      <c r="T586" s="108"/>
      <c r="U586" s="108"/>
      <c r="V586" s="92"/>
      <c r="W586" s="93"/>
      <c r="X586" s="94"/>
      <c r="Y586" s="141"/>
      <c r="Z586" s="141"/>
      <c r="AA586" s="141"/>
      <c r="AB586" s="141"/>
      <c r="AC586" s="141"/>
      <c r="AD586" s="141"/>
      <c r="AE586" s="141"/>
      <c r="AF586" s="141"/>
    </row>
    <row r="587" spans="1:32">
      <c r="A587" s="83" t="s">
        <v>4174</v>
      </c>
      <c r="B587" s="84" t="s">
        <v>4175</v>
      </c>
      <c r="C587" s="144" t="s">
        <v>3699</v>
      </c>
      <c r="D587" s="101" t="s">
        <v>5923</v>
      </c>
      <c r="E587" s="101" t="s">
        <v>4436</v>
      </c>
      <c r="F587" s="145" t="s">
        <v>5924</v>
      </c>
      <c r="G587" s="146" t="s">
        <v>3700</v>
      </c>
      <c r="H587" s="146" t="s">
        <v>3701</v>
      </c>
      <c r="I587" s="146" t="s">
        <v>3703</v>
      </c>
      <c r="J587" s="146" t="s">
        <v>3701</v>
      </c>
      <c r="K587" s="146" t="s">
        <v>3703</v>
      </c>
      <c r="L587" s="143"/>
      <c r="M587" s="136"/>
      <c r="N587" s="137"/>
      <c r="O587" s="147" t="s">
        <v>3353</v>
      </c>
      <c r="P587" s="139"/>
      <c r="Q587" s="140"/>
      <c r="R587" s="139"/>
      <c r="S587" s="108"/>
      <c r="T587" s="108"/>
      <c r="U587" s="108"/>
      <c r="V587" s="92"/>
      <c r="W587" s="93"/>
      <c r="X587" s="94"/>
      <c r="Y587" s="141"/>
      <c r="Z587" s="141"/>
      <c r="AA587" s="141"/>
      <c r="AB587" s="141"/>
      <c r="AC587" s="141"/>
      <c r="AD587" s="141"/>
      <c r="AE587" s="141"/>
      <c r="AF587" s="141"/>
    </row>
    <row r="588" spans="1:32">
      <c r="A588" s="83" t="s">
        <v>4174</v>
      </c>
      <c r="B588" s="84" t="s">
        <v>4175</v>
      </c>
      <c r="C588" s="144" t="s">
        <v>3699</v>
      </c>
      <c r="D588" s="101" t="s">
        <v>5923</v>
      </c>
      <c r="E588" s="101" t="s">
        <v>4436</v>
      </c>
      <c r="F588" s="145" t="s">
        <v>5924</v>
      </c>
      <c r="G588" s="146" t="s">
        <v>3704</v>
      </c>
      <c r="H588" s="146" t="s">
        <v>3705</v>
      </c>
      <c r="I588" s="146" t="s">
        <v>3707</v>
      </c>
      <c r="J588" s="146" t="s">
        <v>3705</v>
      </c>
      <c r="K588" s="146" t="s">
        <v>3707</v>
      </c>
      <c r="L588" s="143"/>
      <c r="M588" s="136"/>
      <c r="N588" s="137"/>
      <c r="O588" s="147" t="s">
        <v>3365</v>
      </c>
      <c r="P588" s="139"/>
      <c r="Q588" s="140"/>
      <c r="R588" s="139"/>
      <c r="S588" s="108"/>
      <c r="T588" s="108"/>
      <c r="U588" s="108"/>
      <c r="V588" s="92"/>
      <c r="W588" s="93"/>
      <c r="X588" s="94"/>
      <c r="Y588" s="141"/>
      <c r="Z588" s="141"/>
      <c r="AA588" s="141"/>
      <c r="AB588" s="141"/>
      <c r="AC588" s="141"/>
      <c r="AD588" s="141"/>
      <c r="AE588" s="141"/>
      <c r="AF588" s="141"/>
    </row>
    <row r="589" spans="1:32">
      <c r="A589" s="83" t="s">
        <v>4174</v>
      </c>
      <c r="B589" s="84" t="s">
        <v>4175</v>
      </c>
      <c r="C589" s="144" t="s">
        <v>3699</v>
      </c>
      <c r="D589" s="101" t="s">
        <v>5923</v>
      </c>
      <c r="E589" s="101" t="s">
        <v>4436</v>
      </c>
      <c r="F589" s="145" t="s">
        <v>5924</v>
      </c>
      <c r="G589" s="146" t="s">
        <v>3617</v>
      </c>
      <c r="H589" s="146" t="s">
        <v>3618</v>
      </c>
      <c r="I589" s="146" t="s">
        <v>3620</v>
      </c>
      <c r="J589" s="146" t="s">
        <v>3618</v>
      </c>
      <c r="K589" s="146" t="s">
        <v>3620</v>
      </c>
      <c r="L589" s="143"/>
      <c r="M589" s="136"/>
      <c r="N589" s="137"/>
      <c r="O589" s="147" t="s">
        <v>3370</v>
      </c>
      <c r="P589" s="139"/>
      <c r="Q589" s="140"/>
      <c r="R589" s="139"/>
      <c r="S589" s="108"/>
      <c r="T589" s="108"/>
      <c r="U589" s="108"/>
      <c r="V589" s="92"/>
      <c r="W589" s="93"/>
      <c r="X589" s="94"/>
      <c r="Y589" s="141"/>
      <c r="Z589" s="141"/>
      <c r="AA589" s="141"/>
      <c r="AB589" s="141"/>
      <c r="AC589" s="141"/>
      <c r="AD589" s="141"/>
      <c r="AE589" s="141"/>
      <c r="AF589" s="141"/>
    </row>
    <row r="590" spans="1:32">
      <c r="A590" s="83" t="s">
        <v>4174</v>
      </c>
      <c r="B590" s="84" t="s">
        <v>4175</v>
      </c>
      <c r="C590" s="144" t="s">
        <v>3699</v>
      </c>
      <c r="D590" s="101" t="s">
        <v>5923</v>
      </c>
      <c r="E590" s="101" t="s">
        <v>4436</v>
      </c>
      <c r="F590" s="145" t="s">
        <v>5924</v>
      </c>
      <c r="G590" s="146" t="s">
        <v>1774</v>
      </c>
      <c r="H590" s="146" t="s">
        <v>1775</v>
      </c>
      <c r="I590" s="146" t="s">
        <v>1777</v>
      </c>
      <c r="J590" s="146" t="s">
        <v>1775</v>
      </c>
      <c r="K590" s="146" t="s">
        <v>1777</v>
      </c>
      <c r="L590" s="143"/>
      <c r="M590" s="136"/>
      <c r="N590" s="137"/>
      <c r="O590" s="147" t="s">
        <v>3371</v>
      </c>
      <c r="P590" s="139"/>
      <c r="Q590" s="140"/>
      <c r="R590" s="139"/>
      <c r="S590" s="108"/>
      <c r="T590" s="108"/>
      <c r="U590" s="108"/>
      <c r="V590" s="92"/>
      <c r="W590" s="93"/>
      <c r="X590" s="94"/>
      <c r="Y590" s="141"/>
      <c r="Z590" s="141"/>
      <c r="AA590" s="141"/>
      <c r="AB590" s="141"/>
      <c r="AC590" s="141"/>
      <c r="AD590" s="141"/>
      <c r="AE590" s="141"/>
      <c r="AF590" s="141"/>
    </row>
    <row r="591" spans="1:32">
      <c r="A591" s="83" t="s">
        <v>4174</v>
      </c>
      <c r="B591" s="84" t="s">
        <v>4175</v>
      </c>
      <c r="C591" s="144" t="s">
        <v>3699</v>
      </c>
      <c r="D591" s="101" t="s">
        <v>5923</v>
      </c>
      <c r="E591" s="101" t="s">
        <v>4436</v>
      </c>
      <c r="F591" s="145" t="s">
        <v>5924</v>
      </c>
      <c r="G591" s="146" t="s">
        <v>5556</v>
      </c>
      <c r="H591" s="146" t="s">
        <v>5557</v>
      </c>
      <c r="I591" s="146" t="s">
        <v>5559</v>
      </c>
      <c r="J591" s="146" t="s">
        <v>5557</v>
      </c>
      <c r="K591" s="146" t="s">
        <v>5559</v>
      </c>
      <c r="L591" s="143"/>
      <c r="M591" s="136"/>
      <c r="N591" s="137"/>
      <c r="O591" s="147" t="s">
        <v>5555</v>
      </c>
      <c r="P591" s="139"/>
      <c r="Q591" s="140"/>
      <c r="R591" s="139"/>
      <c r="S591" s="108"/>
      <c r="T591" s="108"/>
      <c r="U591" s="108"/>
      <c r="V591" s="92"/>
      <c r="W591" s="93"/>
      <c r="X591" s="94"/>
      <c r="Y591" s="141"/>
      <c r="Z591" s="141"/>
      <c r="AA591" s="141"/>
      <c r="AB591" s="141"/>
      <c r="AC591" s="141"/>
      <c r="AD591" s="141"/>
      <c r="AE591" s="141"/>
      <c r="AF591" s="141"/>
    </row>
    <row r="592" spans="1:32">
      <c r="A592" s="83" t="s">
        <v>4174</v>
      </c>
      <c r="B592" s="84" t="s">
        <v>4175</v>
      </c>
      <c r="C592" s="144" t="s">
        <v>3699</v>
      </c>
      <c r="D592" s="101" t="s">
        <v>5923</v>
      </c>
      <c r="E592" s="101" t="s">
        <v>4436</v>
      </c>
      <c r="F592" s="145" t="s">
        <v>5924</v>
      </c>
      <c r="G592" s="148" t="s">
        <v>3708</v>
      </c>
      <c r="H592" s="148" t="s">
        <v>3709</v>
      </c>
      <c r="I592" s="148" t="s">
        <v>3711</v>
      </c>
      <c r="J592" s="148" t="s">
        <v>3709</v>
      </c>
      <c r="K592" s="148" t="s">
        <v>3711</v>
      </c>
      <c r="L592" s="143"/>
      <c r="M592" s="136"/>
      <c r="N592" s="137"/>
      <c r="O592" s="147" t="s">
        <v>4488</v>
      </c>
      <c r="P592" s="139"/>
      <c r="Q592" s="140"/>
      <c r="R592" s="139"/>
      <c r="S592" s="108"/>
      <c r="T592" s="108"/>
      <c r="U592" s="108"/>
      <c r="V592" s="92"/>
      <c r="W592" s="93"/>
      <c r="X592" s="94"/>
      <c r="Y592" s="141"/>
      <c r="Z592" s="141"/>
      <c r="AA592" s="141"/>
      <c r="AB592" s="141"/>
      <c r="AC592" s="141"/>
      <c r="AD592" s="141"/>
      <c r="AE592" s="141"/>
      <c r="AF592" s="141"/>
    </row>
    <row r="593" spans="1:32">
      <c r="A593" s="83" t="s">
        <v>4174</v>
      </c>
      <c r="B593" s="84" t="s">
        <v>4175</v>
      </c>
      <c r="C593" s="144" t="s">
        <v>3699</v>
      </c>
      <c r="D593" s="101" t="s">
        <v>5923</v>
      </c>
      <c r="E593" s="101" t="s">
        <v>4436</v>
      </c>
      <c r="F593" s="145" t="s">
        <v>5924</v>
      </c>
      <c r="G593" s="148" t="s">
        <v>3712</v>
      </c>
      <c r="H593" s="148" t="s">
        <v>3713</v>
      </c>
      <c r="I593" s="148" t="s">
        <v>3715</v>
      </c>
      <c r="J593" s="148" t="s">
        <v>3713</v>
      </c>
      <c r="K593" s="148" t="s">
        <v>3715</v>
      </c>
      <c r="L593" s="143"/>
      <c r="M593" s="136"/>
      <c r="N593" s="137"/>
      <c r="O593" s="147" t="s">
        <v>4492</v>
      </c>
      <c r="P593" s="139"/>
      <c r="Q593" s="140"/>
      <c r="R593" s="139"/>
      <c r="S593" s="108"/>
      <c r="T593" s="108"/>
      <c r="U593" s="108"/>
      <c r="V593" s="92"/>
      <c r="W593" s="93"/>
      <c r="X593" s="94"/>
      <c r="Y593" s="141"/>
      <c r="Z593" s="141"/>
      <c r="AA593" s="141"/>
      <c r="AB593" s="141"/>
      <c r="AC593" s="141"/>
      <c r="AD593" s="141"/>
      <c r="AE593" s="141"/>
      <c r="AF593" s="141"/>
    </row>
    <row r="594" spans="1:32">
      <c r="A594" s="83" t="s">
        <v>4174</v>
      </c>
      <c r="B594" s="84" t="s">
        <v>4175</v>
      </c>
      <c r="C594" s="144" t="s">
        <v>3699</v>
      </c>
      <c r="D594" s="101" t="s">
        <v>5923</v>
      </c>
      <c r="E594" s="101" t="s">
        <v>4436</v>
      </c>
      <c r="F594" s="145" t="s">
        <v>5924</v>
      </c>
      <c r="G594" s="148" t="s">
        <v>3716</v>
      </c>
      <c r="H594" s="148" t="s">
        <v>3717</v>
      </c>
      <c r="I594" s="148" t="s">
        <v>3719</v>
      </c>
      <c r="J594" s="148" t="s">
        <v>3717</v>
      </c>
      <c r="K594" s="148" t="s">
        <v>3719</v>
      </c>
      <c r="L594" s="143"/>
      <c r="M594" s="136"/>
      <c r="N594" s="137"/>
      <c r="O594" s="147" t="s">
        <v>4495</v>
      </c>
      <c r="P594" s="139"/>
      <c r="Q594" s="140"/>
      <c r="R594" s="139"/>
      <c r="S594" s="108"/>
      <c r="T594" s="108"/>
      <c r="U594" s="108"/>
      <c r="V594" s="92"/>
      <c r="W594" s="93"/>
      <c r="X594" s="94"/>
      <c r="Y594" s="141"/>
      <c r="Z594" s="141"/>
      <c r="AA594" s="141"/>
      <c r="AB594" s="141"/>
      <c r="AC594" s="141"/>
      <c r="AD594" s="141"/>
      <c r="AE594" s="141"/>
      <c r="AF594" s="141"/>
    </row>
    <row r="595" spans="1:32">
      <c r="A595" s="83" t="s">
        <v>4174</v>
      </c>
      <c r="B595" s="84" t="s">
        <v>4175</v>
      </c>
      <c r="C595" s="144" t="s">
        <v>3699</v>
      </c>
      <c r="D595" s="101" t="s">
        <v>5923</v>
      </c>
      <c r="E595" s="101" t="s">
        <v>4436</v>
      </c>
      <c r="F595" s="145" t="s">
        <v>5924</v>
      </c>
      <c r="G595" s="148" t="s">
        <v>3720</v>
      </c>
      <c r="H595" s="148" t="s">
        <v>3721</v>
      </c>
      <c r="I595" s="148" t="s">
        <v>3723</v>
      </c>
      <c r="J595" s="148" t="s">
        <v>3721</v>
      </c>
      <c r="K595" s="148" t="s">
        <v>3723</v>
      </c>
      <c r="L595" s="143"/>
      <c r="M595" s="136"/>
      <c r="N595" s="137"/>
      <c r="O595" s="147" t="s">
        <v>4499</v>
      </c>
      <c r="P595" s="139"/>
      <c r="Q595" s="140"/>
      <c r="R595" s="139"/>
      <c r="S595" s="108"/>
      <c r="T595" s="108"/>
      <c r="U595" s="108"/>
      <c r="V595" s="92"/>
      <c r="W595" s="93"/>
      <c r="X595" s="94"/>
      <c r="Y595" s="141"/>
      <c r="Z595" s="141"/>
      <c r="AA595" s="141"/>
      <c r="AB595" s="141"/>
      <c r="AC595" s="141"/>
      <c r="AD595" s="141"/>
      <c r="AE595" s="141"/>
      <c r="AF595" s="141"/>
    </row>
    <row r="596" spans="1:32">
      <c r="A596" s="83" t="s">
        <v>4174</v>
      </c>
      <c r="B596" s="84" t="s">
        <v>4175</v>
      </c>
      <c r="C596" s="144" t="s">
        <v>3699</v>
      </c>
      <c r="D596" s="101" t="s">
        <v>5923</v>
      </c>
      <c r="E596" s="101" t="s">
        <v>4436</v>
      </c>
      <c r="F596" s="145" t="s">
        <v>5924</v>
      </c>
      <c r="G596" s="148" t="s">
        <v>3724</v>
      </c>
      <c r="H596" s="148" t="s">
        <v>3725</v>
      </c>
      <c r="I596" s="148" t="s">
        <v>3727</v>
      </c>
      <c r="J596" s="148" t="s">
        <v>3725</v>
      </c>
      <c r="K596" s="148" t="s">
        <v>3727</v>
      </c>
      <c r="L596" s="143"/>
      <c r="M596" s="136"/>
      <c r="N596" s="137"/>
      <c r="O596" s="147" t="s">
        <v>4502</v>
      </c>
      <c r="P596" s="139"/>
      <c r="Q596" s="140"/>
      <c r="R596" s="139"/>
      <c r="S596" s="108"/>
      <c r="T596" s="108"/>
      <c r="U596" s="108"/>
      <c r="V596" s="92"/>
      <c r="W596" s="93"/>
      <c r="X596" s="94"/>
      <c r="Y596" s="141"/>
      <c r="Z596" s="141"/>
      <c r="AA596" s="141"/>
      <c r="AB596" s="141"/>
      <c r="AC596" s="141"/>
      <c r="AD596" s="141"/>
      <c r="AE596" s="141"/>
      <c r="AF596" s="141"/>
    </row>
    <row r="597" ht="31" spans="1:32">
      <c r="A597" s="16" t="s">
        <v>4174</v>
      </c>
      <c r="B597" s="17" t="s">
        <v>4175</v>
      </c>
      <c r="C597" s="30" t="s">
        <v>4133</v>
      </c>
      <c r="D597" s="19" t="e">
        <f>VLOOKUP(C597,#REF!,2,0)</f>
        <v>#REF!</v>
      </c>
      <c r="E597" s="20" t="e">
        <f>VLOOKUP(D597,数据集标准分类!E:F,2,0)</f>
        <v>#REF!</v>
      </c>
      <c r="F597" s="21">
        <v>21</v>
      </c>
      <c r="G597" s="22" t="s">
        <v>172</v>
      </c>
      <c r="H597" s="22" t="s">
        <v>5639</v>
      </c>
      <c r="I597" s="22" t="s">
        <v>5640</v>
      </c>
      <c r="J597" s="22" t="s">
        <v>173</v>
      </c>
      <c r="K597" s="22" t="s">
        <v>175</v>
      </c>
      <c r="L597" s="22" t="s">
        <v>1245</v>
      </c>
      <c r="M597" s="16" t="s">
        <v>5593</v>
      </c>
      <c r="N597" s="16" t="s">
        <v>5593</v>
      </c>
      <c r="O597" s="23">
        <v>1</v>
      </c>
      <c r="P597" s="24" t="e">
        <f>VLOOKUP(I597,#REF!,2,0)</f>
        <v>#REF!</v>
      </c>
      <c r="Q597" s="25"/>
      <c r="R597" s="24"/>
      <c r="S597" s="26"/>
      <c r="T597" s="24"/>
      <c r="U597" s="26"/>
      <c r="V597" s="26"/>
      <c r="W597" s="27">
        <v>518</v>
      </c>
      <c r="X597" s="28"/>
    </row>
    <row r="598" ht="31" spans="1:32">
      <c r="A598" s="16" t="s">
        <v>4174</v>
      </c>
      <c r="B598" s="17" t="s">
        <v>4175</v>
      </c>
      <c r="C598" s="30" t="s">
        <v>4133</v>
      </c>
      <c r="D598" s="19" t="e">
        <f>VLOOKUP(C598,#REF!,2,0)</f>
        <v>#REF!</v>
      </c>
      <c r="E598" s="20" t="e">
        <f>VLOOKUP(D598,数据集标准分类!E:F,2,0)</f>
        <v>#REF!</v>
      </c>
      <c r="F598" s="21">
        <v>21</v>
      </c>
      <c r="G598" s="22" t="s">
        <v>1394</v>
      </c>
      <c r="H598" s="22" t="s">
        <v>5636</v>
      </c>
      <c r="I598" s="22" t="s">
        <v>5637</v>
      </c>
      <c r="J598" s="22" t="s">
        <v>1395</v>
      </c>
      <c r="K598" s="22" t="s">
        <v>1397</v>
      </c>
      <c r="L598" s="22" t="s">
        <v>1106</v>
      </c>
      <c r="M598" s="16" t="s">
        <v>5593</v>
      </c>
      <c r="N598" s="16" t="s">
        <v>5593</v>
      </c>
      <c r="O598" s="23">
        <v>2</v>
      </c>
      <c r="P598" s="24" t="e">
        <f>VLOOKUP(I598,#REF!,2,0)</f>
        <v>#REF!</v>
      </c>
      <c r="Q598" s="25"/>
      <c r="R598" s="24"/>
      <c r="S598" s="26"/>
      <c r="T598" s="24"/>
      <c r="U598" s="26"/>
      <c r="V598" s="26"/>
      <c r="W598" s="27">
        <v>519</v>
      </c>
      <c r="X598" s="28"/>
    </row>
    <row r="599" ht="31" spans="1:32">
      <c r="A599" s="16" t="s">
        <v>4174</v>
      </c>
      <c r="B599" s="17" t="s">
        <v>4175</v>
      </c>
      <c r="C599" s="30" t="s">
        <v>4133</v>
      </c>
      <c r="D599" s="19" t="e">
        <f>VLOOKUP(C599,#REF!,2,0)</f>
        <v>#REF!</v>
      </c>
      <c r="E599" s="20" t="e">
        <f>VLOOKUP(D599,数据集标准分类!E:F,2,0)</f>
        <v>#REF!</v>
      </c>
      <c r="F599" s="21">
        <v>21</v>
      </c>
      <c r="G599" s="22" t="s">
        <v>4134</v>
      </c>
      <c r="H599" s="22" t="s">
        <v>5925</v>
      </c>
      <c r="I599" s="22" t="s">
        <v>5926</v>
      </c>
      <c r="J599" s="22" t="s">
        <v>4135</v>
      </c>
      <c r="K599" s="22" t="s">
        <v>4137</v>
      </c>
      <c r="L599" s="22" t="s">
        <v>4138</v>
      </c>
      <c r="M599" s="16" t="s">
        <v>5593</v>
      </c>
      <c r="N599" s="16" t="s">
        <v>5593</v>
      </c>
      <c r="O599" s="23">
        <v>3</v>
      </c>
      <c r="P599" s="24" t="e">
        <f>VLOOKUP(I599,#REF!,2,0)</f>
        <v>#REF!</v>
      </c>
      <c r="Q599" s="25"/>
      <c r="R599" s="24"/>
      <c r="S599" s="26"/>
      <c r="T599" s="24"/>
      <c r="U599" s="26"/>
      <c r="V599" s="26"/>
      <c r="W599" s="27">
        <v>520</v>
      </c>
      <c r="X599" s="28"/>
    </row>
    <row r="600" spans="1:32">
      <c r="A600" s="16" t="s">
        <v>4174</v>
      </c>
      <c r="B600" s="17" t="s">
        <v>4175</v>
      </c>
      <c r="C600" s="30" t="s">
        <v>4133</v>
      </c>
      <c r="D600" s="19" t="e">
        <f>VLOOKUP(C600,#REF!,2,0)</f>
        <v>#REF!</v>
      </c>
      <c r="E600" s="20" t="e">
        <f>VLOOKUP(D600,数据集标准分类!E:F,2,0)</f>
        <v>#REF!</v>
      </c>
      <c r="F600" s="21">
        <v>21</v>
      </c>
      <c r="G600" s="22" t="s">
        <v>1647</v>
      </c>
      <c r="H600" s="22" t="s">
        <v>5675</v>
      </c>
      <c r="I600" s="22" t="s">
        <v>1650</v>
      </c>
      <c r="J600" s="22" t="s">
        <v>1648</v>
      </c>
      <c r="K600" s="22" t="s">
        <v>1650</v>
      </c>
      <c r="L600" s="22" t="s">
        <v>4139</v>
      </c>
      <c r="M600" s="16" t="s">
        <v>5593</v>
      </c>
      <c r="N600" s="16" t="s">
        <v>5595</v>
      </c>
      <c r="O600" s="23">
        <v>4</v>
      </c>
      <c r="P600" s="24" t="e">
        <f>VLOOKUP(I600,#REF!,2,0)</f>
        <v>#REF!</v>
      </c>
      <c r="Q600" s="25"/>
      <c r="R600" s="24"/>
      <c r="S600" s="26"/>
      <c r="T600" s="24"/>
      <c r="U600" s="26"/>
      <c r="V600" s="26"/>
      <c r="W600" s="27">
        <v>521</v>
      </c>
      <c r="X600" s="28"/>
    </row>
    <row r="601" spans="1:32">
      <c r="A601" s="16" t="s">
        <v>4174</v>
      </c>
      <c r="B601" s="17" t="s">
        <v>4175</v>
      </c>
      <c r="C601" s="30" t="s">
        <v>4133</v>
      </c>
      <c r="D601" s="19" t="e">
        <f>VLOOKUP(C601,#REF!,2,0)</f>
        <v>#REF!</v>
      </c>
      <c r="E601" s="20" t="e">
        <f>VLOOKUP(D601,数据集标准分类!E:F,2,0)</f>
        <v>#REF!</v>
      </c>
      <c r="F601" s="21">
        <v>21</v>
      </c>
      <c r="G601" s="22" t="s">
        <v>4140</v>
      </c>
      <c r="H601" s="22" t="s">
        <v>5927</v>
      </c>
      <c r="I601" s="22" t="s">
        <v>4143</v>
      </c>
      <c r="J601" s="22" t="s">
        <v>4141</v>
      </c>
      <c r="K601" s="22" t="s">
        <v>4143</v>
      </c>
      <c r="L601" s="22" t="s">
        <v>4144</v>
      </c>
      <c r="M601" s="16" t="s">
        <v>5593</v>
      </c>
      <c r="N601" s="16" t="s">
        <v>5595</v>
      </c>
      <c r="O601" s="23">
        <v>5</v>
      </c>
      <c r="P601" s="24" t="e">
        <f>VLOOKUP(I601,#REF!,2,0)</f>
        <v>#REF!</v>
      </c>
      <c r="Q601" s="25"/>
      <c r="R601" s="24"/>
      <c r="S601" s="26"/>
      <c r="T601" s="24"/>
      <c r="U601" s="26"/>
      <c r="V601" s="26"/>
      <c r="W601" s="27">
        <v>522</v>
      </c>
      <c r="X601" s="28"/>
    </row>
    <row r="602" ht="14.4" customHeight="1" spans="1:32">
      <c r="A602" s="16" t="s">
        <v>4174</v>
      </c>
      <c r="B602" s="17" t="s">
        <v>4175</v>
      </c>
      <c r="C602" s="30" t="s">
        <v>4133</v>
      </c>
      <c r="D602" s="19" t="e">
        <f>VLOOKUP(C602,#REF!,2,0)</f>
        <v>#REF!</v>
      </c>
      <c r="E602" s="20" t="e">
        <f>VLOOKUP(D602,数据集标准分类!E:F,2,0)</f>
        <v>#REF!</v>
      </c>
      <c r="F602" s="21">
        <v>21</v>
      </c>
      <c r="G602" s="22" t="s">
        <v>4145</v>
      </c>
      <c r="H602" s="22" t="s">
        <v>5928</v>
      </c>
      <c r="I602" s="22" t="s">
        <v>4148</v>
      </c>
      <c r="J602" s="22" t="s">
        <v>4146</v>
      </c>
      <c r="K602" s="22" t="s">
        <v>4148</v>
      </c>
      <c r="L602" s="22" t="s">
        <v>4149</v>
      </c>
      <c r="M602" s="16" t="s">
        <v>5593</v>
      </c>
      <c r="N602" s="16" t="s">
        <v>5595</v>
      </c>
      <c r="O602" s="23">
        <v>6</v>
      </c>
      <c r="P602" s="24" t="e">
        <f>VLOOKUP(I602,#REF!,2,0)</f>
        <v>#REF!</v>
      </c>
      <c r="Q602" s="25"/>
      <c r="R602" s="24"/>
      <c r="S602" s="26"/>
      <c r="T602" s="24"/>
      <c r="U602" s="26"/>
      <c r="V602" s="26"/>
      <c r="W602" s="27">
        <v>523</v>
      </c>
      <c r="X602" s="28"/>
    </row>
    <row r="603" spans="1:32">
      <c r="A603" s="16" t="s">
        <v>4174</v>
      </c>
      <c r="B603" s="17" t="s">
        <v>4175</v>
      </c>
      <c r="C603" s="30" t="s">
        <v>4133</v>
      </c>
      <c r="D603" s="19" t="e">
        <f>VLOOKUP(C603,#REF!,2,0)</f>
        <v>#REF!</v>
      </c>
      <c r="E603" s="20" t="e">
        <f>VLOOKUP(D603,数据集标准分类!E:F,2,0)</f>
        <v>#REF!</v>
      </c>
      <c r="F603" s="21">
        <v>21</v>
      </c>
      <c r="G603" s="22" t="s">
        <v>4150</v>
      </c>
      <c r="H603" s="22" t="s">
        <v>4151</v>
      </c>
      <c r="I603" s="22" t="s">
        <v>4153</v>
      </c>
      <c r="J603" s="22" t="s">
        <v>4151</v>
      </c>
      <c r="K603" s="22" t="s">
        <v>4153</v>
      </c>
      <c r="L603" s="22" t="s">
        <v>4154</v>
      </c>
      <c r="M603" s="16" t="s">
        <v>5595</v>
      </c>
      <c r="N603" s="16" t="s">
        <v>5595</v>
      </c>
      <c r="O603" s="23">
        <v>7</v>
      </c>
      <c r="P603" s="24" t="e">
        <f>VLOOKUP(I603,#REF!,2,0)</f>
        <v>#REF!</v>
      </c>
      <c r="Q603" s="25"/>
      <c r="R603" s="24"/>
      <c r="S603" s="26"/>
      <c r="T603" s="24"/>
      <c r="U603" s="26"/>
      <c r="V603" s="26"/>
      <c r="W603" s="27">
        <v>524</v>
      </c>
      <c r="X603" s="28"/>
    </row>
    <row r="604" ht="31" spans="1:32">
      <c r="A604" s="16" t="s">
        <v>4174</v>
      </c>
      <c r="B604" s="17" t="s">
        <v>4175</v>
      </c>
      <c r="C604" s="30" t="s">
        <v>5065</v>
      </c>
      <c r="D604" s="19" t="e">
        <f>VLOOKUP(C604,#REF!,2,0)</f>
        <v>#REF!</v>
      </c>
      <c r="E604" s="20" t="e">
        <f>VLOOKUP(D604,数据集标准分类!E:F,2,0)</f>
        <v>#REF!</v>
      </c>
      <c r="F604" s="21">
        <v>22</v>
      </c>
      <c r="G604" s="22" t="s">
        <v>56</v>
      </c>
      <c r="H604" s="22" t="s">
        <v>5929</v>
      </c>
      <c r="I604" s="22" t="s">
        <v>5930</v>
      </c>
      <c r="J604" s="22" t="s">
        <v>57</v>
      </c>
      <c r="K604" s="22" t="s">
        <v>59</v>
      </c>
      <c r="L604" s="22" t="s">
        <v>60</v>
      </c>
      <c r="M604" s="16" t="s">
        <v>5593</v>
      </c>
      <c r="N604" s="16" t="s">
        <v>5593</v>
      </c>
      <c r="O604" s="23">
        <v>1</v>
      </c>
      <c r="P604" s="24" t="e">
        <f>VLOOKUP(I604,#REF!,2,0)</f>
        <v>#REF!</v>
      </c>
      <c r="Q604" s="25"/>
      <c r="R604" s="24"/>
      <c r="S604" s="26"/>
      <c r="T604" s="24"/>
      <c r="U604" s="26"/>
      <c r="V604" s="26"/>
      <c r="W604" s="27">
        <v>525</v>
      </c>
      <c r="X604" s="28"/>
    </row>
    <row r="605" ht="46" spans="1:32">
      <c r="A605" s="16" t="s">
        <v>4174</v>
      </c>
      <c r="B605" s="17" t="s">
        <v>4175</v>
      </c>
      <c r="C605" s="30" t="s">
        <v>5065</v>
      </c>
      <c r="D605" s="19" t="e">
        <f>VLOOKUP(C605,#REF!,2,0)</f>
        <v>#REF!</v>
      </c>
      <c r="E605" s="20" t="e">
        <f>VLOOKUP(D605,数据集标准分类!E:F,2,0)</f>
        <v>#REF!</v>
      </c>
      <c r="F605" s="21">
        <v>22</v>
      </c>
      <c r="G605" s="22" t="s">
        <v>3248</v>
      </c>
      <c r="H605" s="22" t="s">
        <v>3249</v>
      </c>
      <c r="I605" s="22" t="s">
        <v>3251</v>
      </c>
      <c r="J605" s="22" t="s">
        <v>3249</v>
      </c>
      <c r="K605" s="22" t="s">
        <v>3251</v>
      </c>
      <c r="L605" s="22" t="s">
        <v>3252</v>
      </c>
      <c r="M605" s="16" t="s">
        <v>5595</v>
      </c>
      <c r="N605" s="16" t="s">
        <v>5595</v>
      </c>
      <c r="O605" s="23">
        <v>2</v>
      </c>
      <c r="P605" s="24" t="e">
        <f>VLOOKUP(I605,#REF!,2,0)</f>
        <v>#REF!</v>
      </c>
      <c r="Q605" s="25"/>
      <c r="R605" s="24"/>
      <c r="S605" s="26"/>
      <c r="T605" s="24"/>
      <c r="U605" s="26"/>
      <c r="V605" s="26"/>
      <c r="W605" s="27">
        <v>526</v>
      </c>
      <c r="X605" s="28"/>
    </row>
    <row r="606" ht="31" spans="1:32">
      <c r="A606" s="16" t="s">
        <v>4174</v>
      </c>
      <c r="B606" s="17" t="s">
        <v>4175</v>
      </c>
      <c r="C606" s="30" t="s">
        <v>5065</v>
      </c>
      <c r="D606" s="19" t="e">
        <f>VLOOKUP(C606,#REF!,2,0)</f>
        <v>#REF!</v>
      </c>
      <c r="E606" s="20" t="e">
        <f>VLOOKUP(D606,数据集标准分类!E:F,2,0)</f>
        <v>#REF!</v>
      </c>
      <c r="F606" s="21">
        <v>22</v>
      </c>
      <c r="G606" s="22" t="s">
        <v>3253</v>
      </c>
      <c r="H606" s="22" t="s">
        <v>3254</v>
      </c>
      <c r="I606" s="22" t="s">
        <v>5931</v>
      </c>
      <c r="J606" s="22" t="s">
        <v>3254</v>
      </c>
      <c r="K606" s="22" t="s">
        <v>3256</v>
      </c>
      <c r="L606" s="22" t="s">
        <v>3257</v>
      </c>
      <c r="M606" s="16" t="s">
        <v>5595</v>
      </c>
      <c r="N606" s="16" t="s">
        <v>5593</v>
      </c>
      <c r="O606" s="23">
        <v>3</v>
      </c>
      <c r="P606" s="24" t="e">
        <f>VLOOKUP(I606,#REF!,2,0)</f>
        <v>#REF!</v>
      </c>
      <c r="Q606" s="25"/>
      <c r="R606" s="24"/>
      <c r="S606" s="26"/>
      <c r="T606" s="24"/>
      <c r="U606" s="26"/>
      <c r="V606" s="26"/>
      <c r="W606" s="27">
        <v>527</v>
      </c>
      <c r="X606" s="28"/>
    </row>
    <row r="607" ht="31" spans="1:32">
      <c r="A607" s="16" t="s">
        <v>4174</v>
      </c>
      <c r="B607" s="17" t="s">
        <v>4175</v>
      </c>
      <c r="C607" s="30" t="s">
        <v>5065</v>
      </c>
      <c r="D607" s="19" t="e">
        <f>VLOOKUP(C607,#REF!,2,0)</f>
        <v>#REF!</v>
      </c>
      <c r="E607" s="20" t="e">
        <f>VLOOKUP(D607,数据集标准分类!E:F,2,0)</f>
        <v>#REF!</v>
      </c>
      <c r="F607" s="21">
        <v>22</v>
      </c>
      <c r="G607" s="22" t="s">
        <v>943</v>
      </c>
      <c r="H607" s="22" t="s">
        <v>5932</v>
      </c>
      <c r="I607" s="22" t="s">
        <v>946</v>
      </c>
      <c r="J607" s="22" t="s">
        <v>944</v>
      </c>
      <c r="K607" s="22" t="s">
        <v>946</v>
      </c>
      <c r="L607" s="22" t="s">
        <v>1561</v>
      </c>
      <c r="M607" s="16" t="s">
        <v>5593</v>
      </c>
      <c r="N607" s="16" t="s">
        <v>5595</v>
      </c>
      <c r="O607" s="23">
        <v>4</v>
      </c>
      <c r="P607" s="24" t="e">
        <f>VLOOKUP(I607,#REF!,2,0)</f>
        <v>#REF!</v>
      </c>
      <c r="Q607" s="25"/>
      <c r="R607" s="24"/>
      <c r="S607" s="26"/>
      <c r="T607" s="24"/>
      <c r="U607" s="26"/>
      <c r="V607" s="26"/>
      <c r="W607" s="27">
        <v>528</v>
      </c>
      <c r="X607" s="28"/>
    </row>
    <row r="608" ht="46" spans="1:32">
      <c r="A608" s="16" t="s">
        <v>4174</v>
      </c>
      <c r="B608" s="17" t="s">
        <v>4175</v>
      </c>
      <c r="C608" s="30" t="s">
        <v>5065</v>
      </c>
      <c r="D608" s="19" t="e">
        <f>VLOOKUP(C608,#REF!,2,0)</f>
        <v>#REF!</v>
      </c>
      <c r="E608" s="20" t="e">
        <f>VLOOKUP(D608,数据集标准分类!E:F,2,0)</f>
        <v>#REF!</v>
      </c>
      <c r="F608" s="21">
        <v>22</v>
      </c>
      <c r="G608" s="22" t="s">
        <v>152</v>
      </c>
      <c r="H608" s="22" t="s">
        <v>5905</v>
      </c>
      <c r="I608" s="22" t="s">
        <v>5906</v>
      </c>
      <c r="J608" s="22" t="s">
        <v>153</v>
      </c>
      <c r="K608" s="22" t="s">
        <v>155</v>
      </c>
      <c r="L608" s="22" t="s">
        <v>156</v>
      </c>
      <c r="M608" s="16" t="s">
        <v>5593</v>
      </c>
      <c r="N608" s="16" t="s">
        <v>5593</v>
      </c>
      <c r="O608" s="23">
        <v>5</v>
      </c>
      <c r="P608" s="24" t="e">
        <f>VLOOKUP(I608,#REF!,2,0)</f>
        <v>#REF!</v>
      </c>
      <c r="Q608" s="25"/>
      <c r="R608" s="24"/>
      <c r="S608" s="26"/>
      <c r="T608" s="24"/>
      <c r="U608" s="26"/>
      <c r="V608" s="26"/>
      <c r="W608" s="27">
        <v>529</v>
      </c>
      <c r="X608" s="28"/>
    </row>
    <row r="609" ht="31" spans="1:24">
      <c r="A609" s="16" t="s">
        <v>4174</v>
      </c>
      <c r="B609" s="17" t="s">
        <v>4175</v>
      </c>
      <c r="C609" s="30" t="s">
        <v>5065</v>
      </c>
      <c r="D609" s="19" t="e">
        <f>VLOOKUP(C609,#REF!,2,0)</f>
        <v>#REF!</v>
      </c>
      <c r="E609" s="20" t="e">
        <f>VLOOKUP(D609,数据集标准分类!E:F,2,0)</f>
        <v>#REF!</v>
      </c>
      <c r="F609" s="21">
        <v>22</v>
      </c>
      <c r="G609" s="22" t="s">
        <v>934</v>
      </c>
      <c r="H609" s="22" t="s">
        <v>935</v>
      </c>
      <c r="I609" s="22" t="s">
        <v>937</v>
      </c>
      <c r="J609" s="22" t="s">
        <v>935</v>
      </c>
      <c r="K609" s="22" t="s">
        <v>937</v>
      </c>
      <c r="L609" s="22" t="s">
        <v>3258</v>
      </c>
      <c r="M609" s="16" t="s">
        <v>5595</v>
      </c>
      <c r="N609" s="16" t="s">
        <v>5595</v>
      </c>
      <c r="O609" s="23">
        <v>6</v>
      </c>
      <c r="P609" s="24" t="e">
        <f>VLOOKUP(I609,#REF!,2,0)</f>
        <v>#REF!</v>
      </c>
      <c r="Q609" s="25"/>
      <c r="R609" s="24"/>
      <c r="S609" s="26"/>
      <c r="T609" s="24"/>
      <c r="U609" s="26"/>
      <c r="V609" s="26"/>
      <c r="W609" s="27">
        <v>530</v>
      </c>
      <c r="X609" s="28"/>
    </row>
    <row r="610" ht="31" spans="1:24">
      <c r="A610" s="16" t="s">
        <v>4174</v>
      </c>
      <c r="B610" s="17" t="s">
        <v>4175</v>
      </c>
      <c r="C610" s="30" t="s">
        <v>5065</v>
      </c>
      <c r="D610" s="19" t="e">
        <f>VLOOKUP(C610,#REF!,2,0)</f>
        <v>#REF!</v>
      </c>
      <c r="E610" s="20" t="e">
        <f>VLOOKUP(D610,数据集标准分类!E:F,2,0)</f>
        <v>#REF!</v>
      </c>
      <c r="F610" s="21">
        <v>22</v>
      </c>
      <c r="G610" s="22" t="s">
        <v>711</v>
      </c>
      <c r="H610" s="22" t="s">
        <v>712</v>
      </c>
      <c r="I610" s="22" t="s">
        <v>713</v>
      </c>
      <c r="J610" s="22" t="s">
        <v>712</v>
      </c>
      <c r="K610" s="22" t="s">
        <v>713</v>
      </c>
      <c r="L610" s="22" t="s">
        <v>714</v>
      </c>
      <c r="M610" s="16" t="s">
        <v>5595</v>
      </c>
      <c r="N610" s="16" t="s">
        <v>5595</v>
      </c>
      <c r="O610" s="23">
        <v>7</v>
      </c>
      <c r="P610" s="24" t="e">
        <f>VLOOKUP(I610,#REF!,2,0)</f>
        <v>#REF!</v>
      </c>
      <c r="Q610" s="25"/>
      <c r="R610" s="24"/>
      <c r="S610" s="26"/>
      <c r="T610" s="24"/>
      <c r="U610" s="26"/>
      <c r="V610" s="26"/>
      <c r="W610" s="27">
        <v>531</v>
      </c>
      <c r="X610" s="28"/>
    </row>
    <row r="611" ht="31" spans="1:24">
      <c r="A611" s="16" t="s">
        <v>4174</v>
      </c>
      <c r="B611" s="17" t="s">
        <v>4175</v>
      </c>
      <c r="C611" s="30" t="s">
        <v>5065</v>
      </c>
      <c r="D611" s="19" t="e">
        <f>VLOOKUP(C611,#REF!,2,0)</f>
        <v>#REF!</v>
      </c>
      <c r="E611" s="20" t="e">
        <f>VLOOKUP(D611,数据集标准分类!E:F,2,0)</f>
        <v>#REF!</v>
      </c>
      <c r="F611" s="21">
        <v>22</v>
      </c>
      <c r="G611" s="22" t="s">
        <v>684</v>
      </c>
      <c r="H611" s="22" t="s">
        <v>5716</v>
      </c>
      <c r="I611" s="22" t="s">
        <v>687</v>
      </c>
      <c r="J611" s="22" t="s">
        <v>685</v>
      </c>
      <c r="K611" s="22" t="s">
        <v>687</v>
      </c>
      <c r="L611" s="22" t="s">
        <v>688</v>
      </c>
      <c r="M611" s="16" t="s">
        <v>5593</v>
      </c>
      <c r="N611" s="16" t="s">
        <v>5595</v>
      </c>
      <c r="O611" s="23">
        <v>8</v>
      </c>
      <c r="P611" s="24" t="e">
        <f>VLOOKUP(I611,#REF!,2,0)</f>
        <v>#REF!</v>
      </c>
      <c r="Q611" s="25"/>
      <c r="R611" s="24"/>
      <c r="S611" s="26"/>
      <c r="T611" s="24"/>
      <c r="U611" s="26"/>
      <c r="V611" s="26"/>
      <c r="W611" s="27">
        <v>532</v>
      </c>
      <c r="X611" s="28"/>
    </row>
    <row r="612" ht="31" spans="1:24">
      <c r="A612" s="16" t="s">
        <v>4174</v>
      </c>
      <c r="B612" s="17" t="s">
        <v>4175</v>
      </c>
      <c r="C612" s="30" t="s">
        <v>5065</v>
      </c>
      <c r="D612" s="19" t="e">
        <f>VLOOKUP(C612,#REF!,2,0)</f>
        <v>#REF!</v>
      </c>
      <c r="E612" s="20" t="e">
        <f>VLOOKUP(D612,数据集标准分类!E:F,2,0)</f>
        <v>#REF!</v>
      </c>
      <c r="F612" s="21">
        <v>22</v>
      </c>
      <c r="G612" s="22" t="s">
        <v>694</v>
      </c>
      <c r="H612" s="22" t="s">
        <v>5717</v>
      </c>
      <c r="I612" s="22" t="s">
        <v>697</v>
      </c>
      <c r="J612" s="22" t="s">
        <v>695</v>
      </c>
      <c r="K612" s="22" t="s">
        <v>697</v>
      </c>
      <c r="L612" s="22" t="s">
        <v>2057</v>
      </c>
      <c r="M612" s="16" t="s">
        <v>5593</v>
      </c>
      <c r="N612" s="16" t="s">
        <v>5595</v>
      </c>
      <c r="O612" s="23">
        <v>9</v>
      </c>
      <c r="P612" s="24" t="e">
        <f>VLOOKUP(I612,#REF!,2,0)</f>
        <v>#REF!</v>
      </c>
      <c r="Q612" s="25"/>
      <c r="R612" s="24"/>
      <c r="S612" s="26"/>
      <c r="T612" s="24"/>
      <c r="U612" s="26"/>
      <c r="V612" s="26"/>
      <c r="W612" s="27">
        <v>533</v>
      </c>
      <c r="X612" s="28"/>
    </row>
    <row r="613" ht="31" spans="1:24">
      <c r="A613" s="16" t="s">
        <v>4174</v>
      </c>
      <c r="B613" s="17" t="s">
        <v>4175</v>
      </c>
      <c r="C613" s="30" t="s">
        <v>5065</v>
      </c>
      <c r="D613" s="19" t="e">
        <f>VLOOKUP(C613,#REF!,2,0)</f>
        <v>#REF!</v>
      </c>
      <c r="E613" s="20" t="e">
        <f>VLOOKUP(D613,数据集标准分类!E:F,2,0)</f>
        <v>#REF!</v>
      </c>
      <c r="F613" s="21">
        <v>22</v>
      </c>
      <c r="G613" s="22" t="s">
        <v>689</v>
      </c>
      <c r="H613" s="22" t="s">
        <v>690</v>
      </c>
      <c r="I613" s="22" t="s">
        <v>692</v>
      </c>
      <c r="J613" s="22" t="s">
        <v>690</v>
      </c>
      <c r="K613" s="22" t="s">
        <v>692</v>
      </c>
      <c r="L613" s="22" t="s">
        <v>693</v>
      </c>
      <c r="M613" s="16" t="s">
        <v>5595</v>
      </c>
      <c r="N613" s="16" t="s">
        <v>5595</v>
      </c>
      <c r="O613" s="23">
        <v>10</v>
      </c>
      <c r="P613" s="24" t="e">
        <f>VLOOKUP(I613,#REF!,2,0)</f>
        <v>#REF!</v>
      </c>
      <c r="Q613" s="25"/>
      <c r="R613" s="24"/>
      <c r="S613" s="26"/>
      <c r="T613" s="24"/>
      <c r="U613" s="26"/>
      <c r="V613" s="26"/>
      <c r="W613" s="27">
        <v>534</v>
      </c>
      <c r="X613" s="28"/>
    </row>
    <row r="614" ht="31" spans="1:24">
      <c r="A614" s="16" t="s">
        <v>4174</v>
      </c>
      <c r="B614" s="17" t="s">
        <v>4175</v>
      </c>
      <c r="C614" s="30" t="s">
        <v>5065</v>
      </c>
      <c r="D614" s="19" t="e">
        <f>VLOOKUP(C614,#REF!,2,0)</f>
        <v>#REF!</v>
      </c>
      <c r="E614" s="20" t="e">
        <f>VLOOKUP(D614,数据集标准分类!E:F,2,0)</f>
        <v>#REF!</v>
      </c>
      <c r="F614" s="21">
        <v>22</v>
      </c>
      <c r="G614" s="22" t="s">
        <v>699</v>
      </c>
      <c r="H614" s="22" t="s">
        <v>700</v>
      </c>
      <c r="I614" s="22" t="s">
        <v>701</v>
      </c>
      <c r="J614" s="22" t="s">
        <v>700</v>
      </c>
      <c r="K614" s="22" t="s">
        <v>701</v>
      </c>
      <c r="L614" s="22" t="s">
        <v>702</v>
      </c>
      <c r="M614" s="16" t="s">
        <v>5595</v>
      </c>
      <c r="N614" s="16" t="s">
        <v>5595</v>
      </c>
      <c r="O614" s="23">
        <v>11</v>
      </c>
      <c r="P614" s="24" t="e">
        <f>VLOOKUP(I614,#REF!,2,0)</f>
        <v>#REF!</v>
      </c>
      <c r="Q614" s="25"/>
      <c r="R614" s="24"/>
      <c r="S614" s="26"/>
      <c r="T614" s="24"/>
      <c r="U614" s="26"/>
      <c r="V614" s="26"/>
      <c r="W614" s="27">
        <v>535</v>
      </c>
      <c r="X614" s="28"/>
    </row>
    <row r="615" ht="31" spans="1:24">
      <c r="A615" s="16" t="s">
        <v>4174</v>
      </c>
      <c r="B615" s="17" t="s">
        <v>4175</v>
      </c>
      <c r="C615" s="30" t="s">
        <v>5065</v>
      </c>
      <c r="D615" s="19" t="e">
        <f>VLOOKUP(C615,#REF!,2,0)</f>
        <v>#REF!</v>
      </c>
      <c r="E615" s="20" t="e">
        <f>VLOOKUP(D615,数据集标准分类!E:F,2,0)</f>
        <v>#REF!</v>
      </c>
      <c r="F615" s="21">
        <v>22</v>
      </c>
      <c r="G615" s="22" t="s">
        <v>703</v>
      </c>
      <c r="H615" s="22" t="s">
        <v>704</v>
      </c>
      <c r="I615" s="22" t="s">
        <v>705</v>
      </c>
      <c r="J615" s="22" t="s">
        <v>704</v>
      </c>
      <c r="K615" s="22" t="s">
        <v>705</v>
      </c>
      <c r="L615" s="22" t="s">
        <v>706</v>
      </c>
      <c r="M615" s="16" t="s">
        <v>5595</v>
      </c>
      <c r="N615" s="16" t="s">
        <v>5595</v>
      </c>
      <c r="O615" s="23">
        <v>12</v>
      </c>
      <c r="P615" s="24" t="e">
        <f>VLOOKUP(I615,#REF!,2,0)</f>
        <v>#REF!</v>
      </c>
      <c r="Q615" s="25"/>
      <c r="R615" s="24"/>
      <c r="S615" s="26"/>
      <c r="T615" s="24"/>
      <c r="U615" s="26"/>
      <c r="V615" s="26"/>
      <c r="W615" s="27">
        <v>536</v>
      </c>
      <c r="X615" s="28"/>
    </row>
    <row r="616" ht="31" spans="1:24">
      <c r="A616" s="16" t="s">
        <v>4174</v>
      </c>
      <c r="B616" s="17" t="s">
        <v>4175</v>
      </c>
      <c r="C616" s="30" t="s">
        <v>5065</v>
      </c>
      <c r="D616" s="19" t="e">
        <f>VLOOKUP(C616,#REF!,2,0)</f>
        <v>#REF!</v>
      </c>
      <c r="E616" s="20" t="e">
        <f>VLOOKUP(D616,数据集标准分类!E:F,2,0)</f>
        <v>#REF!</v>
      </c>
      <c r="F616" s="21">
        <v>22</v>
      </c>
      <c r="G616" s="22" t="s">
        <v>167</v>
      </c>
      <c r="H616" s="22" t="s">
        <v>168</v>
      </c>
      <c r="I616" s="22" t="s">
        <v>170</v>
      </c>
      <c r="J616" s="22" t="s">
        <v>168</v>
      </c>
      <c r="K616" s="22" t="s">
        <v>170</v>
      </c>
      <c r="L616" s="22" t="s">
        <v>3259</v>
      </c>
      <c r="M616" s="16" t="s">
        <v>5595</v>
      </c>
      <c r="N616" s="16" t="s">
        <v>5595</v>
      </c>
      <c r="O616" s="23">
        <v>13</v>
      </c>
      <c r="P616" s="24" t="e">
        <f>VLOOKUP(I616,#REF!,2,0)</f>
        <v>#REF!</v>
      </c>
      <c r="Q616" s="25"/>
      <c r="R616" s="24"/>
      <c r="S616" s="26"/>
      <c r="T616" s="24"/>
      <c r="U616" s="26"/>
      <c r="V616" s="26"/>
      <c r="W616" s="27">
        <v>537</v>
      </c>
      <c r="X616" s="28"/>
    </row>
    <row r="617" ht="31" spans="1:24">
      <c r="A617" s="16" t="s">
        <v>4174</v>
      </c>
      <c r="B617" s="17" t="s">
        <v>4175</v>
      </c>
      <c r="C617" s="30" t="s">
        <v>5065</v>
      </c>
      <c r="D617" s="19" t="e">
        <f>VLOOKUP(C617,#REF!,2,0)</f>
        <v>#REF!</v>
      </c>
      <c r="E617" s="20" t="e">
        <f>VLOOKUP(D617,数据集标准分类!E:F,2,0)</f>
        <v>#REF!</v>
      </c>
      <c r="F617" s="21">
        <v>22</v>
      </c>
      <c r="G617" s="22" t="s">
        <v>340</v>
      </c>
      <c r="H617" s="22" t="s">
        <v>341</v>
      </c>
      <c r="I617" s="22" t="s">
        <v>343</v>
      </c>
      <c r="J617" s="22" t="s">
        <v>341</v>
      </c>
      <c r="K617" s="22" t="s">
        <v>343</v>
      </c>
      <c r="L617" s="22" t="s">
        <v>344</v>
      </c>
      <c r="M617" s="16" t="s">
        <v>5595</v>
      </c>
      <c r="N617" s="16" t="s">
        <v>5595</v>
      </c>
      <c r="O617" s="23">
        <v>14</v>
      </c>
      <c r="P617" s="24" t="e">
        <f>VLOOKUP(I617,#REF!,2,0)</f>
        <v>#REF!</v>
      </c>
      <c r="Q617" s="25"/>
      <c r="R617" s="24"/>
      <c r="S617" s="26"/>
      <c r="T617" s="24"/>
      <c r="U617" s="26"/>
      <c r="V617" s="26"/>
      <c r="W617" s="27">
        <v>538</v>
      </c>
      <c r="X617" s="28"/>
    </row>
    <row r="618" ht="61" spans="1:24">
      <c r="A618" s="16" t="s">
        <v>4174</v>
      </c>
      <c r="B618" s="17" t="s">
        <v>4175</v>
      </c>
      <c r="C618" s="30" t="s">
        <v>5065</v>
      </c>
      <c r="D618" s="19" t="e">
        <f>VLOOKUP(C618,#REF!,2,0)</f>
        <v>#REF!</v>
      </c>
      <c r="E618" s="20" t="e">
        <f>VLOOKUP(D618,数据集标准分类!E:F,2,0)</f>
        <v>#REF!</v>
      </c>
      <c r="F618" s="21">
        <v>22</v>
      </c>
      <c r="G618" s="22" t="s">
        <v>1989</v>
      </c>
      <c r="H618" s="22" t="s">
        <v>1990</v>
      </c>
      <c r="I618" s="22" t="s">
        <v>1992</v>
      </c>
      <c r="J618" s="22" t="s">
        <v>1990</v>
      </c>
      <c r="K618" s="22" t="s">
        <v>1992</v>
      </c>
      <c r="L618" s="22" t="s">
        <v>1993</v>
      </c>
      <c r="M618" s="16" t="s">
        <v>5595</v>
      </c>
      <c r="N618" s="16" t="s">
        <v>5595</v>
      </c>
      <c r="O618" s="23">
        <v>15</v>
      </c>
      <c r="P618" s="24" t="e">
        <f>VLOOKUP(I618,#REF!,2,0)</f>
        <v>#REF!</v>
      </c>
      <c r="Q618" s="25"/>
      <c r="R618" s="24"/>
      <c r="S618" s="26"/>
      <c r="T618" s="24"/>
      <c r="U618" s="26"/>
      <c r="V618" s="26"/>
      <c r="W618" s="27">
        <v>539</v>
      </c>
      <c r="X618" s="28"/>
    </row>
    <row r="619" ht="31" spans="1:24">
      <c r="A619" s="16" t="s">
        <v>4174</v>
      </c>
      <c r="B619" s="17" t="s">
        <v>4175</v>
      </c>
      <c r="C619" s="30" t="s">
        <v>5065</v>
      </c>
      <c r="D619" s="19" t="e">
        <f>VLOOKUP(C619,#REF!,2,0)</f>
        <v>#REF!</v>
      </c>
      <c r="E619" s="20" t="e">
        <f>VLOOKUP(D619,数据集标准分类!E:F,2,0)</f>
        <v>#REF!</v>
      </c>
      <c r="F619" s="21">
        <v>22</v>
      </c>
      <c r="G619" s="22" t="s">
        <v>3260</v>
      </c>
      <c r="H619" s="22" t="s">
        <v>5865</v>
      </c>
      <c r="I619" s="22" t="s">
        <v>3263</v>
      </c>
      <c r="J619" s="22" t="s">
        <v>3261</v>
      </c>
      <c r="K619" s="22" t="s">
        <v>3263</v>
      </c>
      <c r="L619" s="22" t="s">
        <v>3264</v>
      </c>
      <c r="M619" s="16" t="s">
        <v>5593</v>
      </c>
      <c r="N619" s="16" t="s">
        <v>5595</v>
      </c>
      <c r="O619" s="23">
        <v>16</v>
      </c>
      <c r="P619" s="24" t="e">
        <f>VLOOKUP(I619,#REF!,2,0)</f>
        <v>#REF!</v>
      </c>
      <c r="Q619" s="25"/>
      <c r="R619" s="24"/>
      <c r="S619" s="26"/>
      <c r="T619" s="24"/>
      <c r="U619" s="26"/>
      <c r="V619" s="26"/>
      <c r="W619" s="27">
        <v>540</v>
      </c>
      <c r="X619" s="28"/>
    </row>
    <row r="620" ht="31" spans="1:24">
      <c r="A620" s="16" t="s">
        <v>4174</v>
      </c>
      <c r="B620" s="17" t="s">
        <v>4175</v>
      </c>
      <c r="C620" s="30" t="s">
        <v>5065</v>
      </c>
      <c r="D620" s="19" t="e">
        <f>VLOOKUP(C620,#REF!,2,0)</f>
        <v>#REF!</v>
      </c>
      <c r="E620" s="20" t="e">
        <f>VLOOKUP(D620,数据集标准分类!E:F,2,0)</f>
        <v>#REF!</v>
      </c>
      <c r="F620" s="21">
        <v>22</v>
      </c>
      <c r="G620" s="22" t="s">
        <v>3265</v>
      </c>
      <c r="H620" s="22" t="s">
        <v>3266</v>
      </c>
      <c r="I620" s="22" t="s">
        <v>3268</v>
      </c>
      <c r="J620" s="22" t="s">
        <v>3266</v>
      </c>
      <c r="K620" s="22" t="s">
        <v>3268</v>
      </c>
      <c r="L620" s="22" t="s">
        <v>3269</v>
      </c>
      <c r="M620" s="16" t="s">
        <v>5595</v>
      </c>
      <c r="N620" s="16" t="s">
        <v>5595</v>
      </c>
      <c r="O620" s="23">
        <v>17</v>
      </c>
      <c r="P620" s="24" t="e">
        <f>VLOOKUP(I620,#REF!,2,0)</f>
        <v>#REF!</v>
      </c>
      <c r="Q620" s="25"/>
      <c r="R620" s="24"/>
      <c r="S620" s="26"/>
      <c r="T620" s="24"/>
      <c r="U620" s="26"/>
      <c r="V620" s="26"/>
      <c r="W620" s="27">
        <v>541</v>
      </c>
      <c r="X620" s="28"/>
    </row>
    <row r="621" ht="31" spans="1:24">
      <c r="A621" s="16" t="s">
        <v>4174</v>
      </c>
      <c r="B621" s="17" t="s">
        <v>4175</v>
      </c>
      <c r="C621" s="30" t="s">
        <v>5065</v>
      </c>
      <c r="D621" s="19" t="e">
        <f>VLOOKUP(C621,#REF!,2,0)</f>
        <v>#REF!</v>
      </c>
      <c r="E621" s="20" t="e">
        <f>VLOOKUP(D621,数据集标准分类!E:F,2,0)</f>
        <v>#REF!</v>
      </c>
      <c r="F621" s="21">
        <v>22</v>
      </c>
      <c r="G621" s="22" t="s">
        <v>2199</v>
      </c>
      <c r="H621" s="22" t="s">
        <v>5698</v>
      </c>
      <c r="I621" s="22" t="s">
        <v>5699</v>
      </c>
      <c r="J621" s="22" t="s">
        <v>2200</v>
      </c>
      <c r="K621" s="22" t="s">
        <v>2202</v>
      </c>
      <c r="L621" s="22" t="s">
        <v>2203</v>
      </c>
      <c r="M621" s="16" t="s">
        <v>5593</v>
      </c>
      <c r="N621" s="16" t="s">
        <v>5593</v>
      </c>
      <c r="O621" s="23">
        <v>18</v>
      </c>
      <c r="P621" s="24" t="e">
        <f>VLOOKUP(I621,#REF!,2,0)</f>
        <v>#REF!</v>
      </c>
      <c r="Q621" s="25"/>
      <c r="R621" s="24"/>
      <c r="S621" s="26"/>
      <c r="T621" s="24"/>
      <c r="U621" s="26"/>
      <c r="V621" s="26"/>
      <c r="W621" s="27">
        <v>542</v>
      </c>
      <c r="X621" s="28"/>
    </row>
    <row r="622" spans="1:24">
      <c r="A622" s="16" t="s">
        <v>4174</v>
      </c>
      <c r="B622" s="17" t="s">
        <v>4175</v>
      </c>
      <c r="C622" s="30" t="s">
        <v>5065</v>
      </c>
      <c r="D622" s="19" t="e">
        <f>VLOOKUP(C622,#REF!,2,0)</f>
        <v>#REF!</v>
      </c>
      <c r="E622" s="20" t="e">
        <f>VLOOKUP(D622,数据集标准分类!E:F,2,0)</f>
        <v>#REF!</v>
      </c>
      <c r="F622" s="21">
        <v>22</v>
      </c>
      <c r="G622" s="22" t="s">
        <v>3270</v>
      </c>
      <c r="H622" s="22" t="s">
        <v>3271</v>
      </c>
      <c r="I622" s="22" t="s">
        <v>3273</v>
      </c>
      <c r="J622" s="22" t="s">
        <v>3271</v>
      </c>
      <c r="K622" s="22" t="s">
        <v>3273</v>
      </c>
      <c r="L622" s="22" t="s">
        <v>3274</v>
      </c>
      <c r="M622" s="16" t="s">
        <v>5595</v>
      </c>
      <c r="N622" s="16" t="s">
        <v>5595</v>
      </c>
      <c r="O622" s="23">
        <v>19</v>
      </c>
      <c r="P622" s="24" t="e">
        <f>VLOOKUP(I622,#REF!,2,0)</f>
        <v>#REF!</v>
      </c>
      <c r="Q622" s="25"/>
      <c r="R622" s="24"/>
      <c r="S622" s="26"/>
      <c r="T622" s="24"/>
      <c r="U622" s="26"/>
      <c r="V622" s="26"/>
      <c r="W622" s="27">
        <v>543</v>
      </c>
      <c r="X622" s="28"/>
    </row>
    <row r="623" spans="1:24">
      <c r="A623" s="16" t="s">
        <v>4174</v>
      </c>
      <c r="B623" s="17" t="s">
        <v>4175</v>
      </c>
      <c r="C623" s="30" t="s">
        <v>5065</v>
      </c>
      <c r="D623" s="19" t="e">
        <f>VLOOKUP(C623,#REF!,2,0)</f>
        <v>#REF!</v>
      </c>
      <c r="E623" s="20" t="e">
        <f>VLOOKUP(D623,数据集标准分类!E:F,2,0)</f>
        <v>#REF!</v>
      </c>
      <c r="F623" s="21">
        <v>22</v>
      </c>
      <c r="G623" s="22" t="s">
        <v>2123</v>
      </c>
      <c r="H623" s="22" t="s">
        <v>5731</v>
      </c>
      <c r="I623" s="22" t="s">
        <v>2126</v>
      </c>
      <c r="J623" s="22" t="s">
        <v>2124</v>
      </c>
      <c r="K623" s="22" t="s">
        <v>2126</v>
      </c>
      <c r="L623" s="22" t="s">
        <v>2127</v>
      </c>
      <c r="M623" s="16" t="s">
        <v>5593</v>
      </c>
      <c r="N623" s="16" t="s">
        <v>5595</v>
      </c>
      <c r="O623" s="23">
        <v>20</v>
      </c>
      <c r="P623" s="24" t="e">
        <f>VLOOKUP(I623,#REF!,2,0)</f>
        <v>#REF!</v>
      </c>
      <c r="Q623" s="25"/>
      <c r="R623" s="24"/>
      <c r="S623" s="26"/>
      <c r="T623" s="24"/>
      <c r="U623" s="26"/>
      <c r="V623" s="26"/>
      <c r="W623" s="27">
        <v>544</v>
      </c>
      <c r="X623" s="28"/>
    </row>
    <row r="624" ht="31" spans="1:24">
      <c r="A624" s="16" t="s">
        <v>4174</v>
      </c>
      <c r="B624" s="17" t="s">
        <v>4175</v>
      </c>
      <c r="C624" s="30" t="s">
        <v>5065</v>
      </c>
      <c r="D624" s="19" t="e">
        <f>VLOOKUP(C624,#REF!,2,0)</f>
        <v>#REF!</v>
      </c>
      <c r="E624" s="20" t="e">
        <f>VLOOKUP(D624,数据集标准分类!E:F,2,0)</f>
        <v>#REF!</v>
      </c>
      <c r="F624" s="21">
        <v>22</v>
      </c>
      <c r="G624" s="22" t="s">
        <v>3275</v>
      </c>
      <c r="H624" s="22" t="s">
        <v>5933</v>
      </c>
      <c r="I624" s="22" t="s">
        <v>3278</v>
      </c>
      <c r="J624" s="22" t="s">
        <v>3276</v>
      </c>
      <c r="K624" s="22" t="s">
        <v>3278</v>
      </c>
      <c r="L624" s="22" t="s">
        <v>3279</v>
      </c>
      <c r="M624" s="16" t="s">
        <v>5593</v>
      </c>
      <c r="N624" s="16" t="s">
        <v>5595</v>
      </c>
      <c r="O624" s="23">
        <v>21</v>
      </c>
      <c r="P624" s="24" t="e">
        <f>VLOOKUP(I624,#REF!,2,0)</f>
        <v>#REF!</v>
      </c>
      <c r="Q624" s="25"/>
      <c r="R624" s="24"/>
      <c r="S624" s="26"/>
      <c r="T624" s="24"/>
      <c r="U624" s="26"/>
      <c r="V624" s="26"/>
      <c r="W624" s="27">
        <v>545</v>
      </c>
      <c r="X624" s="28"/>
    </row>
    <row r="625" ht="31" spans="1:32">
      <c r="A625" s="16" t="s">
        <v>4174</v>
      </c>
      <c r="B625" s="17" t="s">
        <v>4175</v>
      </c>
      <c r="C625" s="30" t="s">
        <v>5065</v>
      </c>
      <c r="D625" s="19" t="e">
        <f>VLOOKUP(C625,#REF!,2,0)</f>
        <v>#REF!</v>
      </c>
      <c r="E625" s="20" t="e">
        <f>VLOOKUP(D625,数据集标准分类!E:F,2,0)</f>
        <v>#REF!</v>
      </c>
      <c r="F625" s="21">
        <v>22</v>
      </c>
      <c r="G625" s="22" t="s">
        <v>3280</v>
      </c>
      <c r="H625" s="22" t="s">
        <v>3281</v>
      </c>
      <c r="I625" s="22" t="s">
        <v>3283</v>
      </c>
      <c r="J625" s="22" t="s">
        <v>3281</v>
      </c>
      <c r="K625" s="22" t="s">
        <v>3283</v>
      </c>
      <c r="L625" s="22" t="s">
        <v>3284</v>
      </c>
      <c r="M625" s="16" t="s">
        <v>5595</v>
      </c>
      <c r="N625" s="16" t="s">
        <v>5595</v>
      </c>
      <c r="O625" s="23">
        <v>22</v>
      </c>
      <c r="P625" s="24" t="e">
        <f>VLOOKUP(I625,#REF!,2,0)</f>
        <v>#REF!</v>
      </c>
      <c r="Q625" s="25"/>
      <c r="R625" s="24"/>
      <c r="S625" s="26"/>
      <c r="T625" s="24"/>
      <c r="U625" s="26"/>
      <c r="V625" s="26"/>
      <c r="W625" s="27">
        <v>546</v>
      </c>
      <c r="X625" s="28"/>
    </row>
    <row r="626" ht="31" spans="1:32">
      <c r="A626" s="16" t="s">
        <v>4174</v>
      </c>
      <c r="B626" s="17" t="s">
        <v>4175</v>
      </c>
      <c r="C626" s="30" t="s">
        <v>5065</v>
      </c>
      <c r="D626" s="19" t="e">
        <f>VLOOKUP(C626,#REF!,2,0)</f>
        <v>#REF!</v>
      </c>
      <c r="E626" s="20" t="e">
        <f>VLOOKUP(D626,数据集标准分类!E:F,2,0)</f>
        <v>#REF!</v>
      </c>
      <c r="F626" s="21">
        <v>22</v>
      </c>
      <c r="G626" s="22" t="s">
        <v>3285</v>
      </c>
      <c r="H626" s="22" t="s">
        <v>3286</v>
      </c>
      <c r="I626" s="22" t="s">
        <v>3288</v>
      </c>
      <c r="J626" s="22" t="s">
        <v>3286</v>
      </c>
      <c r="K626" s="22" t="s">
        <v>3288</v>
      </c>
      <c r="L626" s="22" t="s">
        <v>3289</v>
      </c>
      <c r="M626" s="16" t="s">
        <v>5595</v>
      </c>
      <c r="N626" s="16" t="s">
        <v>5595</v>
      </c>
      <c r="O626" s="23">
        <v>23</v>
      </c>
      <c r="P626" s="24" t="e">
        <f>VLOOKUP(I626,#REF!,2,0)</f>
        <v>#REF!</v>
      </c>
      <c r="Q626" s="25"/>
      <c r="R626" s="24"/>
      <c r="S626" s="26"/>
      <c r="T626" s="24"/>
      <c r="U626" s="26"/>
      <c r="V626" s="26"/>
      <c r="W626" s="27">
        <v>547</v>
      </c>
      <c r="X626" s="28"/>
    </row>
    <row r="627" ht="31" spans="1:32">
      <c r="A627" s="16" t="s">
        <v>4174</v>
      </c>
      <c r="B627" s="17" t="s">
        <v>4175</v>
      </c>
      <c r="C627" s="30" t="s">
        <v>5065</v>
      </c>
      <c r="D627" s="19" t="e">
        <f>VLOOKUP(C627,#REF!,2,0)</f>
        <v>#REF!</v>
      </c>
      <c r="E627" s="20" t="e">
        <f>VLOOKUP(D627,数据集标准分类!E:F,2,0)</f>
        <v>#REF!</v>
      </c>
      <c r="F627" s="21">
        <v>22</v>
      </c>
      <c r="G627" s="22" t="s">
        <v>508</v>
      </c>
      <c r="H627" s="22" t="s">
        <v>5594</v>
      </c>
      <c r="I627" s="22" t="s">
        <v>511</v>
      </c>
      <c r="J627" s="22" t="s">
        <v>509</v>
      </c>
      <c r="K627" s="22" t="s">
        <v>511</v>
      </c>
      <c r="L627" s="22" t="s">
        <v>116</v>
      </c>
      <c r="M627" s="16" t="s">
        <v>5593</v>
      </c>
      <c r="N627" s="16" t="s">
        <v>5595</v>
      </c>
      <c r="O627" s="23">
        <v>24</v>
      </c>
      <c r="P627" s="24" t="e">
        <f>VLOOKUP(I627,#REF!,2,0)</f>
        <v>#REF!</v>
      </c>
      <c r="Q627" s="25"/>
      <c r="R627" s="24"/>
      <c r="S627" s="26"/>
      <c r="T627" s="24"/>
      <c r="U627" s="26"/>
      <c r="V627" s="26"/>
      <c r="W627" s="27">
        <v>548</v>
      </c>
      <c r="X627" s="28"/>
    </row>
    <row r="628" ht="31" spans="1:32">
      <c r="A628" s="16" t="s">
        <v>4174</v>
      </c>
      <c r="B628" s="17" t="s">
        <v>4175</v>
      </c>
      <c r="C628" s="30" t="s">
        <v>5065</v>
      </c>
      <c r="D628" s="19" t="e">
        <f>VLOOKUP(C628,#REF!,2,0)</f>
        <v>#REF!</v>
      </c>
      <c r="E628" s="20" t="e">
        <f>VLOOKUP(D628,数据集标准分类!E:F,2,0)</f>
        <v>#REF!</v>
      </c>
      <c r="F628" s="21">
        <v>22</v>
      </c>
      <c r="G628" s="22" t="s">
        <v>673</v>
      </c>
      <c r="H628" s="22" t="s">
        <v>5934</v>
      </c>
      <c r="I628" s="22" t="s">
        <v>5935</v>
      </c>
      <c r="J628" s="22" t="s">
        <v>674</v>
      </c>
      <c r="K628" s="22" t="s">
        <v>676</v>
      </c>
      <c r="L628" s="22" t="s">
        <v>677</v>
      </c>
      <c r="M628" s="16" t="s">
        <v>5593</v>
      </c>
      <c r="N628" s="16" t="s">
        <v>5593</v>
      </c>
      <c r="O628" s="23">
        <v>25</v>
      </c>
      <c r="P628" s="24" t="e">
        <f>VLOOKUP(I628,#REF!,2,0)</f>
        <v>#REF!</v>
      </c>
      <c r="Q628" s="25"/>
      <c r="R628" s="24"/>
      <c r="S628" s="26"/>
      <c r="T628" s="24"/>
      <c r="U628" s="26"/>
      <c r="V628" s="26"/>
      <c r="W628" s="27">
        <v>549</v>
      </c>
      <c r="X628" s="28"/>
    </row>
    <row r="629" ht="31" spans="1:32">
      <c r="A629" s="16" t="s">
        <v>4174</v>
      </c>
      <c r="B629" s="17" t="s">
        <v>4175</v>
      </c>
      <c r="C629" s="30" t="s">
        <v>5065</v>
      </c>
      <c r="D629" s="19" t="e">
        <f>VLOOKUP(C629,#REF!,2,0)</f>
        <v>#REF!</v>
      </c>
      <c r="E629" s="20" t="e">
        <f>VLOOKUP(D629,数据集标准分类!E:F,2,0)</f>
        <v>#REF!</v>
      </c>
      <c r="F629" s="21">
        <v>22</v>
      </c>
      <c r="G629" s="22" t="s">
        <v>87</v>
      </c>
      <c r="H629" s="22" t="s">
        <v>5936</v>
      </c>
      <c r="I629" s="22" t="s">
        <v>90</v>
      </c>
      <c r="J629" s="22" t="s">
        <v>88</v>
      </c>
      <c r="K629" s="22" t="s">
        <v>90</v>
      </c>
      <c r="L629" s="22" t="s">
        <v>91</v>
      </c>
      <c r="M629" s="16" t="s">
        <v>5593</v>
      </c>
      <c r="N629" s="16" t="s">
        <v>5595</v>
      </c>
      <c r="O629" s="23">
        <v>26</v>
      </c>
      <c r="P629" s="24" t="e">
        <f>VLOOKUP(I629,#REF!,2,0)</f>
        <v>#REF!</v>
      </c>
      <c r="Q629" s="25"/>
      <c r="R629" s="24"/>
      <c r="S629" s="26"/>
      <c r="T629" s="24"/>
      <c r="U629" s="26"/>
      <c r="V629" s="26"/>
      <c r="W629" s="27">
        <v>550</v>
      </c>
      <c r="X629" s="28"/>
    </row>
    <row r="630" ht="31" spans="1:32">
      <c r="A630" s="16" t="s">
        <v>4174</v>
      </c>
      <c r="B630" s="17" t="s">
        <v>4175</v>
      </c>
      <c r="C630" s="30" t="s">
        <v>5065</v>
      </c>
      <c r="D630" s="19" t="e">
        <f>VLOOKUP(C630,#REF!,2,0)</f>
        <v>#REF!</v>
      </c>
      <c r="E630" s="20" t="e">
        <f>VLOOKUP(D630,数据集标准分类!E:F,2,0)</f>
        <v>#REF!</v>
      </c>
      <c r="F630" s="21">
        <v>22</v>
      </c>
      <c r="G630" s="22" t="s">
        <v>678</v>
      </c>
      <c r="H630" s="22" t="s">
        <v>5937</v>
      </c>
      <c r="I630" s="22" t="s">
        <v>5938</v>
      </c>
      <c r="J630" s="22" t="s">
        <v>679</v>
      </c>
      <c r="K630" s="22" t="s">
        <v>681</v>
      </c>
      <c r="L630" s="22" t="s">
        <v>682</v>
      </c>
      <c r="M630" s="16" t="s">
        <v>5593</v>
      </c>
      <c r="N630" s="16" t="s">
        <v>5593</v>
      </c>
      <c r="O630" s="23">
        <v>27</v>
      </c>
      <c r="P630" s="24" t="e">
        <f>VLOOKUP(I630,#REF!,2,0)</f>
        <v>#REF!</v>
      </c>
      <c r="Q630" s="25"/>
      <c r="R630" s="24"/>
      <c r="S630" s="26"/>
      <c r="T630" s="24"/>
      <c r="U630" s="26"/>
      <c r="V630" s="26"/>
      <c r="W630" s="27">
        <v>551</v>
      </c>
      <c r="X630" s="28"/>
    </row>
    <row r="631" ht="46" spans="1:32">
      <c r="A631" s="66" t="s">
        <v>4174</v>
      </c>
      <c r="B631" s="67" t="s">
        <v>4175</v>
      </c>
      <c r="C631" s="68" t="s">
        <v>5065</v>
      </c>
      <c r="D631" s="69" t="e">
        <f>VLOOKUP(C631,#REF!,2,0)</f>
        <v>#REF!</v>
      </c>
      <c r="E631" s="70" t="e">
        <f>VLOOKUP(D631,数据集标准分类!E:F,2,0)</f>
        <v>#REF!</v>
      </c>
      <c r="F631" s="71">
        <v>22</v>
      </c>
      <c r="G631" s="72" t="s">
        <v>92</v>
      </c>
      <c r="H631" s="72" t="s">
        <v>5939</v>
      </c>
      <c r="I631" s="72" t="s">
        <v>95</v>
      </c>
      <c r="J631" s="72" t="s">
        <v>93</v>
      </c>
      <c r="K631" s="72" t="s">
        <v>95</v>
      </c>
      <c r="L631" s="72" t="s">
        <v>96</v>
      </c>
      <c r="M631" s="66" t="s">
        <v>5593</v>
      </c>
      <c r="N631" s="66" t="s">
        <v>5595</v>
      </c>
      <c r="O631" s="73">
        <v>28</v>
      </c>
      <c r="P631" s="74" t="e">
        <f>VLOOKUP(I631,#REF!,2,0)</f>
        <v>#REF!</v>
      </c>
      <c r="Q631" s="75"/>
      <c r="R631" s="74"/>
      <c r="S631" s="76"/>
      <c r="T631" s="74"/>
      <c r="U631" s="76"/>
      <c r="V631" s="76"/>
      <c r="W631" s="77">
        <v>552</v>
      </c>
      <c r="X631" s="78"/>
      <c r="Y631" s="79"/>
      <c r="Z631" s="79"/>
      <c r="AA631" s="79"/>
      <c r="AB631" s="79"/>
      <c r="AC631" s="79"/>
      <c r="AD631" s="79"/>
      <c r="AE631" s="79"/>
      <c r="AF631" s="79"/>
    </row>
    <row r="632" ht="31" spans="1:32">
      <c r="A632" s="16" t="s">
        <v>4174</v>
      </c>
      <c r="B632" s="17" t="s">
        <v>4175</v>
      </c>
      <c r="C632" s="30" t="s">
        <v>5065</v>
      </c>
      <c r="D632" s="19" t="e">
        <f>VLOOKUP(C632,#REF!,2,0)</f>
        <v>#REF!</v>
      </c>
      <c r="E632" s="20" t="e">
        <f>VLOOKUP(D632,数据集标准分类!E:F,2,0)</f>
        <v>#REF!</v>
      </c>
      <c r="F632" s="21">
        <v>22</v>
      </c>
      <c r="G632" s="22" t="s">
        <v>107</v>
      </c>
      <c r="H632" s="22" t="s">
        <v>5940</v>
      </c>
      <c r="I632" s="22" t="s">
        <v>110</v>
      </c>
      <c r="J632" s="22" t="s">
        <v>108</v>
      </c>
      <c r="K632" s="22" t="s">
        <v>110</v>
      </c>
      <c r="L632" s="22" t="s">
        <v>101</v>
      </c>
      <c r="M632" s="16" t="s">
        <v>5593</v>
      </c>
      <c r="N632" s="16" t="s">
        <v>5595</v>
      </c>
      <c r="O632" s="23">
        <v>29</v>
      </c>
      <c r="P632" s="24" t="e">
        <f>VLOOKUP(I632,#REF!,2,0)</f>
        <v>#REF!</v>
      </c>
      <c r="Q632" s="25"/>
      <c r="R632" s="24"/>
      <c r="S632" s="26"/>
      <c r="T632" s="24"/>
      <c r="U632" s="26"/>
      <c r="V632" s="26"/>
      <c r="W632" s="27">
        <v>553</v>
      </c>
      <c r="X632" s="28"/>
    </row>
    <row r="633" ht="31" spans="1:32">
      <c r="A633" s="16" t="s">
        <v>4174</v>
      </c>
      <c r="B633" s="17" t="s">
        <v>4175</v>
      </c>
      <c r="C633" s="30" t="s">
        <v>5065</v>
      </c>
      <c r="D633" s="19" t="e">
        <f>VLOOKUP(C633,#REF!,2,0)</f>
        <v>#REF!</v>
      </c>
      <c r="E633" s="20" t="e">
        <f>VLOOKUP(D633,数据集标准分类!E:F,2,0)</f>
        <v>#REF!</v>
      </c>
      <c r="F633" s="21">
        <v>22</v>
      </c>
      <c r="G633" s="22" t="s">
        <v>97</v>
      </c>
      <c r="H633" s="22" t="s">
        <v>5755</v>
      </c>
      <c r="I633" s="22" t="s">
        <v>100</v>
      </c>
      <c r="J633" s="22" t="s">
        <v>98</v>
      </c>
      <c r="K633" s="22" t="s">
        <v>100</v>
      </c>
      <c r="L633" s="22" t="s">
        <v>106</v>
      </c>
      <c r="M633" s="16" t="s">
        <v>5593</v>
      </c>
      <c r="N633" s="16" t="s">
        <v>5595</v>
      </c>
      <c r="O633" s="23">
        <v>30</v>
      </c>
      <c r="P633" s="24" t="e">
        <f>VLOOKUP(I633,#REF!,2,0)</f>
        <v>#REF!</v>
      </c>
      <c r="Q633" s="25"/>
      <c r="R633" s="24"/>
      <c r="S633" s="26"/>
      <c r="T633" s="24"/>
      <c r="U633" s="26"/>
      <c r="V633" s="26"/>
      <c r="W633" s="27">
        <v>554</v>
      </c>
      <c r="X633" s="28"/>
    </row>
    <row r="634" ht="31" spans="1:32">
      <c r="A634" s="16" t="s">
        <v>4174</v>
      </c>
      <c r="B634" s="17" t="s">
        <v>4175</v>
      </c>
      <c r="C634" s="30" t="s">
        <v>5065</v>
      </c>
      <c r="D634" s="19" t="e">
        <f>VLOOKUP(C634,#REF!,2,0)</f>
        <v>#REF!</v>
      </c>
      <c r="E634" s="20" t="e">
        <f>VLOOKUP(D634,数据集标准分类!E:F,2,0)</f>
        <v>#REF!</v>
      </c>
      <c r="F634" s="21">
        <v>22</v>
      </c>
      <c r="G634" s="22" t="s">
        <v>112</v>
      </c>
      <c r="H634" s="22" t="s">
        <v>5941</v>
      </c>
      <c r="I634" s="22" t="s">
        <v>115</v>
      </c>
      <c r="J634" s="22" t="s">
        <v>113</v>
      </c>
      <c r="K634" s="22" t="s">
        <v>115</v>
      </c>
      <c r="L634" s="22" t="s">
        <v>111</v>
      </c>
      <c r="M634" s="16" t="s">
        <v>5593</v>
      </c>
      <c r="N634" s="16" t="s">
        <v>5595</v>
      </c>
      <c r="O634" s="23">
        <v>31</v>
      </c>
      <c r="P634" s="24" t="e">
        <f>VLOOKUP(I634,#REF!,2,0)</f>
        <v>#REF!</v>
      </c>
      <c r="Q634" s="25"/>
      <c r="R634" s="24"/>
      <c r="S634" s="26"/>
      <c r="T634" s="24"/>
      <c r="U634" s="26"/>
      <c r="V634" s="26"/>
      <c r="W634" s="27">
        <v>555</v>
      </c>
      <c r="X634" s="28"/>
    </row>
    <row r="635" ht="31" spans="1:32">
      <c r="A635" s="16" t="s">
        <v>4174</v>
      </c>
      <c r="B635" s="17" t="s">
        <v>4175</v>
      </c>
      <c r="C635" s="30" t="s">
        <v>5065</v>
      </c>
      <c r="D635" s="19" t="e">
        <f>VLOOKUP(C635,#REF!,2,0)</f>
        <v>#REF!</v>
      </c>
      <c r="E635" s="20" t="e">
        <f>VLOOKUP(D635,数据集标准分类!E:F,2,0)</f>
        <v>#REF!</v>
      </c>
      <c r="F635" s="21">
        <v>22</v>
      </c>
      <c r="G635" s="22" t="s">
        <v>508</v>
      </c>
      <c r="H635" s="22" t="s">
        <v>5594</v>
      </c>
      <c r="I635" s="22" t="s">
        <v>511</v>
      </c>
      <c r="J635" s="22" t="s">
        <v>509</v>
      </c>
      <c r="K635" s="22" t="s">
        <v>511</v>
      </c>
      <c r="L635" s="22" t="s">
        <v>116</v>
      </c>
      <c r="M635" s="16" t="s">
        <v>5593</v>
      </c>
      <c r="N635" s="16" t="s">
        <v>5595</v>
      </c>
      <c r="O635" s="23">
        <v>32</v>
      </c>
      <c r="P635" s="24" t="e">
        <f>VLOOKUP(I635,#REF!,2,0)</f>
        <v>#REF!</v>
      </c>
      <c r="Q635" s="25"/>
      <c r="R635" s="24"/>
      <c r="S635" s="26"/>
      <c r="T635" s="24"/>
      <c r="U635" s="26"/>
      <c r="V635" s="26"/>
      <c r="W635" s="27">
        <v>556</v>
      </c>
      <c r="X635" s="28"/>
    </row>
    <row r="636" ht="46" spans="1:32">
      <c r="A636" s="16" t="s">
        <v>4174</v>
      </c>
      <c r="B636" s="17" t="s">
        <v>4175</v>
      </c>
      <c r="C636" s="30" t="s">
        <v>5065</v>
      </c>
      <c r="D636" s="19" t="e">
        <f>VLOOKUP(C636,#REF!,2,0)</f>
        <v>#REF!</v>
      </c>
      <c r="E636" s="20" t="e">
        <f>VLOOKUP(D636,数据集标准分类!E:F,2,0)</f>
        <v>#REF!</v>
      </c>
      <c r="F636" s="21">
        <v>22</v>
      </c>
      <c r="G636" s="22" t="s">
        <v>126</v>
      </c>
      <c r="H636" s="22" t="s">
        <v>5942</v>
      </c>
      <c r="I636" s="22" t="s">
        <v>129</v>
      </c>
      <c r="J636" s="22" t="s">
        <v>127</v>
      </c>
      <c r="K636" s="22" t="s">
        <v>129</v>
      </c>
      <c r="L636" s="22" t="s">
        <v>130</v>
      </c>
      <c r="M636" s="16" t="s">
        <v>5593</v>
      </c>
      <c r="N636" s="16" t="s">
        <v>5595</v>
      </c>
      <c r="O636" s="23">
        <v>33</v>
      </c>
      <c r="P636" s="24" t="e">
        <f>VLOOKUP(I636,#REF!,2,0)</f>
        <v>#REF!</v>
      </c>
      <c r="Q636" s="25"/>
      <c r="R636" s="24"/>
      <c r="S636" s="26"/>
      <c r="T636" s="24"/>
      <c r="U636" s="26"/>
      <c r="V636" s="26"/>
      <c r="W636" s="27">
        <v>557</v>
      </c>
      <c r="X636" s="28"/>
    </row>
    <row r="637" ht="92" spans="1:32">
      <c r="A637" s="16" t="s">
        <v>4174</v>
      </c>
      <c r="B637" s="17" t="s">
        <v>4175</v>
      </c>
      <c r="C637" s="30" t="s">
        <v>5065</v>
      </c>
      <c r="D637" s="19" t="e">
        <f>VLOOKUP(C637,#REF!,2,0)</f>
        <v>#REF!</v>
      </c>
      <c r="E637" s="20" t="e">
        <f>VLOOKUP(D637,数据集标准分类!E:F,2,0)</f>
        <v>#REF!</v>
      </c>
      <c r="F637" s="21">
        <v>22</v>
      </c>
      <c r="G637" s="22" t="s">
        <v>3229</v>
      </c>
      <c r="H637" s="22" t="s">
        <v>3230</v>
      </c>
      <c r="I637" s="22" t="s">
        <v>3232</v>
      </c>
      <c r="J637" s="22" t="s">
        <v>3230</v>
      </c>
      <c r="K637" s="22" t="s">
        <v>3232</v>
      </c>
      <c r="L637" s="22" t="s">
        <v>3233</v>
      </c>
      <c r="M637" s="16" t="s">
        <v>5595</v>
      </c>
      <c r="N637" s="16" t="s">
        <v>5595</v>
      </c>
      <c r="O637" s="23">
        <v>34</v>
      </c>
      <c r="P637" s="24" t="e">
        <f>VLOOKUP(I637,#REF!,2,0)</f>
        <v>#REF!</v>
      </c>
      <c r="Q637" s="25"/>
      <c r="R637" s="24"/>
      <c r="S637" s="26"/>
      <c r="T637" s="24"/>
      <c r="U637" s="26"/>
      <c r="V637" s="26"/>
      <c r="W637" s="27">
        <v>558</v>
      </c>
      <c r="X637" s="28"/>
    </row>
    <row r="638" ht="31" spans="1:32">
      <c r="A638" s="16" t="s">
        <v>4174</v>
      </c>
      <c r="B638" s="17" t="s">
        <v>4175</v>
      </c>
      <c r="C638" s="30" t="s">
        <v>5065</v>
      </c>
      <c r="D638" s="19" t="e">
        <f>VLOOKUP(C638,#REF!,2,0)</f>
        <v>#REF!</v>
      </c>
      <c r="E638" s="20" t="e">
        <f>VLOOKUP(D638,数据集标准分类!E:F,2,0)</f>
        <v>#REF!</v>
      </c>
      <c r="F638" s="21">
        <v>22</v>
      </c>
      <c r="G638" s="22" t="s">
        <v>784</v>
      </c>
      <c r="H638" s="22" t="s">
        <v>785</v>
      </c>
      <c r="I638" s="22" t="s">
        <v>787</v>
      </c>
      <c r="J638" s="22" t="s">
        <v>785</v>
      </c>
      <c r="K638" s="22" t="s">
        <v>787</v>
      </c>
      <c r="L638" s="22" t="s">
        <v>3234</v>
      </c>
      <c r="M638" s="16" t="s">
        <v>5595</v>
      </c>
      <c r="N638" s="16" t="s">
        <v>5595</v>
      </c>
      <c r="O638" s="23">
        <v>35</v>
      </c>
      <c r="P638" s="24" t="e">
        <f>VLOOKUP(I638,#REF!,2,0)</f>
        <v>#REF!</v>
      </c>
      <c r="Q638" s="25"/>
      <c r="R638" s="24"/>
      <c r="S638" s="26"/>
      <c r="T638" s="24"/>
      <c r="U638" s="26"/>
      <c r="V638" s="26"/>
      <c r="W638" s="27">
        <v>559</v>
      </c>
      <c r="X638" s="28"/>
    </row>
    <row r="639" spans="1:32">
      <c r="A639" s="16" t="s">
        <v>4174</v>
      </c>
      <c r="B639" s="17" t="s">
        <v>4175</v>
      </c>
      <c r="C639" s="30" t="s">
        <v>5065</v>
      </c>
      <c r="D639" s="19" t="e">
        <f>VLOOKUP(C639,#REF!,2,0)</f>
        <v>#REF!</v>
      </c>
      <c r="E639" s="20" t="e">
        <f>VLOOKUP(D639,数据集标准分类!E:F,2,0)</f>
        <v>#REF!</v>
      </c>
      <c r="F639" s="21">
        <v>22</v>
      </c>
      <c r="G639" s="22" t="s">
        <v>3290</v>
      </c>
      <c r="H639" s="22" t="s">
        <v>5943</v>
      </c>
      <c r="I639" s="22" t="s">
        <v>5944</v>
      </c>
      <c r="J639" s="22" t="s">
        <v>3291</v>
      </c>
      <c r="K639" s="22" t="s">
        <v>3293</v>
      </c>
      <c r="L639" s="22" t="s">
        <v>3294</v>
      </c>
      <c r="M639" s="16" t="s">
        <v>5593</v>
      </c>
      <c r="N639" s="16" t="s">
        <v>5593</v>
      </c>
      <c r="O639" s="23">
        <v>36</v>
      </c>
      <c r="P639" s="24" t="e">
        <f>VLOOKUP(I639,#REF!,2,0)</f>
        <v>#REF!</v>
      </c>
      <c r="Q639" s="25"/>
      <c r="R639" s="24"/>
      <c r="S639" s="26"/>
      <c r="T639" s="24"/>
      <c r="U639" s="26"/>
      <c r="V639" s="26"/>
      <c r="W639" s="27">
        <v>560</v>
      </c>
      <c r="X639" s="28"/>
    </row>
    <row r="640" ht="31" spans="1:32">
      <c r="A640" s="16" t="s">
        <v>4174</v>
      </c>
      <c r="B640" s="17" t="s">
        <v>4175</v>
      </c>
      <c r="C640" s="30" t="s">
        <v>5065</v>
      </c>
      <c r="D640" s="19" t="e">
        <f>VLOOKUP(C640,#REF!,2,0)</f>
        <v>#REF!</v>
      </c>
      <c r="E640" s="20" t="e">
        <f>VLOOKUP(D640,数据集标准分类!E:F,2,0)</f>
        <v>#REF!</v>
      </c>
      <c r="F640" s="21">
        <v>22</v>
      </c>
      <c r="G640" s="22" t="s">
        <v>3295</v>
      </c>
      <c r="H640" s="22" t="s">
        <v>5945</v>
      </c>
      <c r="I640" s="22" t="s">
        <v>3298</v>
      </c>
      <c r="J640" s="22" t="s">
        <v>3296</v>
      </c>
      <c r="K640" s="22" t="s">
        <v>3298</v>
      </c>
      <c r="L640" s="22" t="s">
        <v>3299</v>
      </c>
      <c r="M640" s="16" t="s">
        <v>5593</v>
      </c>
      <c r="N640" s="16" t="s">
        <v>5595</v>
      </c>
      <c r="O640" s="23">
        <v>37</v>
      </c>
      <c r="P640" s="24" t="e">
        <f>VLOOKUP(I640,#REF!,2,0)</f>
        <v>#REF!</v>
      </c>
      <c r="Q640" s="25"/>
      <c r="R640" s="24"/>
      <c r="S640" s="26"/>
      <c r="T640" s="24"/>
      <c r="U640" s="26"/>
      <c r="V640" s="26"/>
      <c r="W640" s="27">
        <v>561</v>
      </c>
      <c r="X640" s="28"/>
    </row>
    <row r="641" ht="31" spans="1:24">
      <c r="A641" s="16" t="s">
        <v>4174</v>
      </c>
      <c r="B641" s="17" t="s">
        <v>4175</v>
      </c>
      <c r="C641" s="30" t="s">
        <v>5065</v>
      </c>
      <c r="D641" s="19" t="e">
        <f>VLOOKUP(C641,#REF!,2,0)</f>
        <v>#REF!</v>
      </c>
      <c r="E641" s="20" t="e">
        <f>VLOOKUP(D641,数据集标准分类!E:F,2,0)</f>
        <v>#REF!</v>
      </c>
      <c r="F641" s="21">
        <v>22</v>
      </c>
      <c r="G641" s="22" t="s">
        <v>3300</v>
      </c>
      <c r="H641" s="22" t="s">
        <v>3301</v>
      </c>
      <c r="I641" s="22" t="s">
        <v>3303</v>
      </c>
      <c r="J641" s="22" t="s">
        <v>3301</v>
      </c>
      <c r="K641" s="22" t="s">
        <v>3303</v>
      </c>
      <c r="L641" s="22" t="s">
        <v>3304</v>
      </c>
      <c r="M641" s="16" t="s">
        <v>5595</v>
      </c>
      <c r="N641" s="16" t="s">
        <v>5595</v>
      </c>
      <c r="O641" s="23">
        <v>38</v>
      </c>
      <c r="P641" s="24" t="e">
        <f>VLOOKUP(I641,#REF!,2,0)</f>
        <v>#REF!</v>
      </c>
      <c r="Q641" s="25"/>
      <c r="R641" s="24"/>
      <c r="S641" s="26"/>
      <c r="T641" s="24"/>
      <c r="U641" s="26"/>
      <c r="V641" s="26"/>
      <c r="W641" s="27">
        <v>562</v>
      </c>
      <c r="X641" s="28"/>
    </row>
    <row r="642" ht="31" spans="1:24">
      <c r="A642" s="16" t="s">
        <v>4174</v>
      </c>
      <c r="B642" s="17" t="s">
        <v>4175</v>
      </c>
      <c r="C642" s="30" t="s">
        <v>5065</v>
      </c>
      <c r="D642" s="19" t="e">
        <f>VLOOKUP(C642,#REF!,2,0)</f>
        <v>#REF!</v>
      </c>
      <c r="E642" s="20" t="e">
        <f>VLOOKUP(D642,数据集标准分类!E:F,2,0)</f>
        <v>#REF!</v>
      </c>
      <c r="F642" s="21">
        <v>22</v>
      </c>
      <c r="G642" s="22" t="s">
        <v>3305</v>
      </c>
      <c r="H642" s="22" t="s">
        <v>3306</v>
      </c>
      <c r="I642" s="22" t="s">
        <v>3308</v>
      </c>
      <c r="J642" s="22" t="s">
        <v>3306</v>
      </c>
      <c r="K642" s="22" t="s">
        <v>3308</v>
      </c>
      <c r="L642" s="22" t="s">
        <v>3309</v>
      </c>
      <c r="M642" s="16" t="s">
        <v>5595</v>
      </c>
      <c r="N642" s="16" t="s">
        <v>5595</v>
      </c>
      <c r="O642" s="23">
        <v>39</v>
      </c>
      <c r="P642" s="24" t="e">
        <f>VLOOKUP(I642,#REF!,2,0)</f>
        <v>#REF!</v>
      </c>
      <c r="Q642" s="25"/>
      <c r="R642" s="24"/>
      <c r="S642" s="26"/>
      <c r="T642" s="24"/>
      <c r="U642" s="26"/>
      <c r="V642" s="26"/>
      <c r="W642" s="27">
        <v>563</v>
      </c>
      <c r="X642" s="28"/>
    </row>
    <row r="643" spans="1:24">
      <c r="A643" s="16" t="s">
        <v>4174</v>
      </c>
      <c r="B643" s="17" t="s">
        <v>4175</v>
      </c>
      <c r="C643" s="30" t="s">
        <v>5065</v>
      </c>
      <c r="D643" s="19" t="e">
        <f>VLOOKUP(C643,#REF!,2,0)</f>
        <v>#REF!</v>
      </c>
      <c r="E643" s="20" t="e">
        <f>VLOOKUP(D643,数据集标准分类!E:F,2,0)</f>
        <v>#REF!</v>
      </c>
      <c r="F643" s="21">
        <v>22</v>
      </c>
      <c r="G643" s="22" t="s">
        <v>3310</v>
      </c>
      <c r="H643" s="22" t="s">
        <v>5946</v>
      </c>
      <c r="I643" s="22" t="s">
        <v>5947</v>
      </c>
      <c r="J643" s="22" t="s">
        <v>3311</v>
      </c>
      <c r="K643" s="22" t="s">
        <v>3313</v>
      </c>
      <c r="L643" s="22" t="s">
        <v>3314</v>
      </c>
      <c r="M643" s="16" t="s">
        <v>5593</v>
      </c>
      <c r="N643" s="16" t="s">
        <v>5593</v>
      </c>
      <c r="O643" s="23">
        <v>40</v>
      </c>
      <c r="P643" s="24" t="e">
        <f>VLOOKUP(I643,#REF!,2,0)</f>
        <v>#REF!</v>
      </c>
      <c r="Q643" s="25"/>
      <c r="R643" s="24"/>
      <c r="S643" s="26"/>
      <c r="T643" s="24"/>
      <c r="U643" s="26"/>
      <c r="V643" s="26"/>
      <c r="W643" s="27">
        <v>564</v>
      </c>
      <c r="X643" s="28"/>
    </row>
    <row r="644" ht="31" spans="1:24">
      <c r="A644" s="16" t="s">
        <v>4174</v>
      </c>
      <c r="B644" s="17" t="s">
        <v>4175</v>
      </c>
      <c r="C644" s="30" t="s">
        <v>5065</v>
      </c>
      <c r="D644" s="19" t="e">
        <f>VLOOKUP(C644,#REF!,2,0)</f>
        <v>#REF!</v>
      </c>
      <c r="E644" s="20" t="e">
        <f>VLOOKUP(D644,数据集标准分类!E:F,2,0)</f>
        <v>#REF!</v>
      </c>
      <c r="F644" s="21">
        <v>22</v>
      </c>
      <c r="G644" s="22" t="s">
        <v>3315</v>
      </c>
      <c r="H644" s="22" t="s">
        <v>5948</v>
      </c>
      <c r="I644" s="22" t="s">
        <v>3318</v>
      </c>
      <c r="J644" s="22" t="s">
        <v>3316</v>
      </c>
      <c r="K644" s="22" t="s">
        <v>3318</v>
      </c>
      <c r="L644" s="22" t="s">
        <v>3319</v>
      </c>
      <c r="M644" s="16" t="s">
        <v>5593</v>
      </c>
      <c r="N644" s="16" t="s">
        <v>5595</v>
      </c>
      <c r="O644" s="23">
        <v>41</v>
      </c>
      <c r="P644" s="24" t="e">
        <f>VLOOKUP(I644,#REF!,2,0)</f>
        <v>#REF!</v>
      </c>
      <c r="Q644" s="25"/>
      <c r="R644" s="24"/>
      <c r="S644" s="26"/>
      <c r="T644" s="24"/>
      <c r="U644" s="26"/>
      <c r="V644" s="26"/>
      <c r="W644" s="27">
        <v>565</v>
      </c>
      <c r="X644" s="28"/>
    </row>
    <row r="645" ht="24" customHeight="1" spans="1:24">
      <c r="A645" s="16" t="s">
        <v>4174</v>
      </c>
      <c r="B645" s="17" t="s">
        <v>4175</v>
      </c>
      <c r="C645" s="30" t="s">
        <v>5065</v>
      </c>
      <c r="D645" s="19" t="e">
        <f>VLOOKUP(C645,#REF!,2,0)</f>
        <v>#REF!</v>
      </c>
      <c r="E645" s="20" t="e">
        <f>VLOOKUP(D645,数据集标准分类!E:F,2,0)</f>
        <v>#REF!</v>
      </c>
      <c r="F645" s="21">
        <v>22</v>
      </c>
      <c r="G645" s="22" t="s">
        <v>3320</v>
      </c>
      <c r="H645" s="22" t="s">
        <v>5949</v>
      </c>
      <c r="I645" s="22" t="s">
        <v>3323</v>
      </c>
      <c r="J645" s="22" t="s">
        <v>3321</v>
      </c>
      <c r="K645" s="22" t="s">
        <v>3323</v>
      </c>
      <c r="L645" s="22" t="s">
        <v>3324</v>
      </c>
      <c r="M645" s="16" t="s">
        <v>5593</v>
      </c>
      <c r="N645" s="16" t="s">
        <v>5595</v>
      </c>
      <c r="O645" s="23">
        <v>42</v>
      </c>
      <c r="P645" s="24" t="e">
        <f>VLOOKUP(I645,#REF!,2,0)</f>
        <v>#REF!</v>
      </c>
      <c r="Q645" s="25"/>
      <c r="R645" s="24"/>
      <c r="S645" s="26"/>
      <c r="T645" s="24"/>
      <c r="U645" s="26"/>
      <c r="V645" s="26"/>
      <c r="W645" s="27">
        <v>566</v>
      </c>
      <c r="X645" s="28"/>
    </row>
    <row r="646" ht="46" spans="1:24">
      <c r="A646" s="16" t="s">
        <v>4174</v>
      </c>
      <c r="B646" s="17" t="s">
        <v>4175</v>
      </c>
      <c r="C646" s="30" t="s">
        <v>5065</v>
      </c>
      <c r="D646" s="19" t="e">
        <f>VLOOKUP(C646,#REF!,2,0)</f>
        <v>#REF!</v>
      </c>
      <c r="E646" s="20" t="e">
        <f>VLOOKUP(D646,数据集标准分类!E:F,2,0)</f>
        <v>#REF!</v>
      </c>
      <c r="F646" s="21">
        <v>22</v>
      </c>
      <c r="G646" s="22" t="s">
        <v>3192</v>
      </c>
      <c r="H646" s="22" t="s">
        <v>5950</v>
      </c>
      <c r="I646" s="22" t="s">
        <v>5951</v>
      </c>
      <c r="J646" s="22" t="s">
        <v>3193</v>
      </c>
      <c r="K646" s="22" t="s">
        <v>3195</v>
      </c>
      <c r="L646" s="22" t="s">
        <v>3325</v>
      </c>
      <c r="M646" s="16" t="s">
        <v>5593</v>
      </c>
      <c r="N646" s="16" t="s">
        <v>5593</v>
      </c>
      <c r="O646" s="23">
        <v>43</v>
      </c>
      <c r="P646" s="24" t="e">
        <f>VLOOKUP(I646,#REF!,2,0)</f>
        <v>#REF!</v>
      </c>
      <c r="Q646" s="25"/>
      <c r="R646" s="24"/>
      <c r="S646" s="26"/>
      <c r="T646" s="24"/>
      <c r="U646" s="26"/>
      <c r="V646" s="26"/>
      <c r="W646" s="27">
        <v>567</v>
      </c>
      <c r="X646" s="28"/>
    </row>
    <row r="647" spans="1:24">
      <c r="A647" s="149" t="s">
        <v>4174</v>
      </c>
      <c r="B647" s="17" t="s">
        <v>4175</v>
      </c>
      <c r="C647" s="30" t="s">
        <v>3235</v>
      </c>
      <c r="D647" s="19" t="e">
        <f>VLOOKUP(C647,#REF!,2,0)</f>
        <v>#REF!</v>
      </c>
      <c r="E647" s="20" t="e">
        <f>VLOOKUP(D647,数据集标准分类!E:F,2,0)</f>
        <v>#REF!</v>
      </c>
      <c r="F647" s="21">
        <v>22</v>
      </c>
      <c r="G647" s="146" t="s">
        <v>5561</v>
      </c>
      <c r="H647" s="146" t="s">
        <v>5562</v>
      </c>
      <c r="I647" s="150" t="s">
        <v>5564</v>
      </c>
      <c r="J647" s="146" t="s">
        <v>5562</v>
      </c>
      <c r="K647" s="150" t="s">
        <v>5564</v>
      </c>
      <c r="L647" s="151"/>
      <c r="M647" s="149"/>
      <c r="N647" s="152"/>
      <c r="O647" s="23">
        <v>44</v>
      </c>
      <c r="P647" s="153"/>
      <c r="Q647" s="154"/>
      <c r="R647" s="153"/>
      <c r="S647" s="108"/>
      <c r="T647" s="108"/>
      <c r="U647" s="108"/>
      <c r="V647" s="26"/>
      <c r="W647" s="27"/>
      <c r="X647" s="28"/>
    </row>
    <row r="648" spans="1:24">
      <c r="A648" s="149" t="s">
        <v>4174</v>
      </c>
      <c r="B648" s="17" t="s">
        <v>4175</v>
      </c>
      <c r="C648" s="30" t="s">
        <v>3235</v>
      </c>
      <c r="D648" s="19" t="e">
        <f>VLOOKUP(C648,#REF!,2,0)</f>
        <v>#REF!</v>
      </c>
      <c r="E648" s="20" t="e">
        <f>VLOOKUP(D648,数据集标准分类!E:F,2,0)</f>
        <v>#REF!</v>
      </c>
      <c r="F648" s="21">
        <v>22</v>
      </c>
      <c r="G648" s="146" t="s">
        <v>3641</v>
      </c>
      <c r="H648" s="146" t="s">
        <v>3642</v>
      </c>
      <c r="I648" s="150" t="s">
        <v>3644</v>
      </c>
      <c r="J648" s="146" t="s">
        <v>3642</v>
      </c>
      <c r="K648" s="150" t="s">
        <v>3644</v>
      </c>
      <c r="L648" s="151"/>
      <c r="M648" s="155"/>
      <c r="N648" s="156"/>
      <c r="O648" s="23">
        <v>45</v>
      </c>
      <c r="P648" s="156"/>
      <c r="Q648" s="156"/>
      <c r="R648" s="156"/>
      <c r="S648" s="108"/>
      <c r="T648" s="108"/>
      <c r="U648" s="108"/>
      <c r="V648" s="26"/>
      <c r="W648" s="27"/>
      <c r="X648" s="28"/>
    </row>
    <row r="649" spans="1:24">
      <c r="A649" s="149" t="s">
        <v>4174</v>
      </c>
      <c r="B649" s="17" t="s">
        <v>4175</v>
      </c>
      <c r="C649" s="30" t="s">
        <v>3235</v>
      </c>
      <c r="D649" s="19" t="e">
        <f>VLOOKUP(C649,#REF!,2,0)</f>
        <v>#REF!</v>
      </c>
      <c r="E649" s="20" t="e">
        <f>VLOOKUP(D649,数据集标准分类!E:F,2,0)</f>
        <v>#REF!</v>
      </c>
      <c r="F649" s="21">
        <v>22</v>
      </c>
      <c r="G649" s="146" t="s">
        <v>2889</v>
      </c>
      <c r="H649" s="146" t="s">
        <v>2890</v>
      </c>
      <c r="I649" s="146" t="s">
        <v>2892</v>
      </c>
      <c r="J649" s="146" t="s">
        <v>2890</v>
      </c>
      <c r="K649" s="146" t="s">
        <v>2892</v>
      </c>
      <c r="L649" s="151"/>
      <c r="M649" s="155"/>
      <c r="N649" s="156"/>
      <c r="O649" s="157">
        <v>46</v>
      </c>
      <c r="P649" s="156"/>
      <c r="Q649" s="156"/>
      <c r="R649" s="156"/>
      <c r="S649" s="108"/>
      <c r="T649" s="108"/>
      <c r="U649" s="108"/>
      <c r="V649" s="26"/>
      <c r="W649" s="27"/>
      <c r="X649" s="28"/>
    </row>
    <row r="650" spans="1:24">
      <c r="A650" s="149" t="s">
        <v>4174</v>
      </c>
      <c r="B650" s="17" t="s">
        <v>4175</v>
      </c>
      <c r="C650" s="30" t="s">
        <v>3235</v>
      </c>
      <c r="D650" s="19" t="e">
        <f>VLOOKUP(C650,#REF!,2,0)</f>
        <v>#REF!</v>
      </c>
      <c r="E650" s="20"/>
      <c r="F650" s="21">
        <v>22</v>
      </c>
      <c r="G650" s="146" t="s">
        <v>2935</v>
      </c>
      <c r="H650" s="146" t="s">
        <v>2936</v>
      </c>
      <c r="I650" s="146" t="s">
        <v>2938</v>
      </c>
      <c r="J650" s="146" t="s">
        <v>2936</v>
      </c>
      <c r="K650" s="146" t="s">
        <v>2938</v>
      </c>
      <c r="L650" s="151"/>
      <c r="M650" s="155"/>
      <c r="N650" s="158"/>
      <c r="O650" s="159">
        <v>47</v>
      </c>
      <c r="P650" s="158"/>
      <c r="Q650" s="158"/>
      <c r="R650" s="158"/>
      <c r="S650" s="108"/>
      <c r="T650" s="108"/>
      <c r="U650" s="108"/>
      <c r="V650" s="26"/>
      <c r="W650" s="27"/>
      <c r="X650" s="28"/>
    </row>
    <row r="651" spans="1:24">
      <c r="A651" s="149" t="s">
        <v>4174</v>
      </c>
      <c r="B651" s="17" t="s">
        <v>4175</v>
      </c>
      <c r="C651" s="30" t="s">
        <v>3235</v>
      </c>
      <c r="D651" s="19" t="e">
        <f>VLOOKUP(C651,#REF!,2,0)</f>
        <v>#REF!</v>
      </c>
      <c r="E651" s="20" t="e">
        <f>VLOOKUP(D651,数据集标准分类!E:F,2,0)</f>
        <v>#REF!</v>
      </c>
      <c r="F651" s="21">
        <v>22</v>
      </c>
      <c r="G651" s="146" t="s">
        <v>3236</v>
      </c>
      <c r="H651" s="146" t="s">
        <v>3237</v>
      </c>
      <c r="I651" s="146" t="s">
        <v>3239</v>
      </c>
      <c r="J651" s="146" t="s">
        <v>3237</v>
      </c>
      <c r="K651" s="146" t="s">
        <v>3239</v>
      </c>
      <c r="L651" s="151"/>
      <c r="M651" s="155"/>
      <c r="N651" s="158"/>
      <c r="O651" s="159">
        <v>48</v>
      </c>
      <c r="P651" s="158"/>
      <c r="Q651" s="158"/>
      <c r="R651" s="158"/>
      <c r="S651" s="108"/>
      <c r="T651" s="108"/>
      <c r="U651" s="108"/>
      <c r="V651" s="26"/>
      <c r="W651" s="27"/>
      <c r="X651" s="28"/>
    </row>
    <row r="652" spans="1:24">
      <c r="A652" s="149" t="s">
        <v>4174</v>
      </c>
      <c r="B652" s="17" t="s">
        <v>4175</v>
      </c>
      <c r="C652" s="30" t="s">
        <v>3235</v>
      </c>
      <c r="D652" s="19" t="e">
        <f>VLOOKUP(C652,#REF!,2,0)</f>
        <v>#REF!</v>
      </c>
      <c r="E652" s="20" t="e">
        <f>VLOOKUP(D652,数据集标准分类!E:F,2,0)</f>
        <v>#REF!</v>
      </c>
      <c r="F652" s="21">
        <v>22</v>
      </c>
      <c r="G652" s="146" t="s">
        <v>3196</v>
      </c>
      <c r="H652" s="146" t="s">
        <v>3197</v>
      </c>
      <c r="I652" s="146" t="s">
        <v>2740</v>
      </c>
      <c r="J652" s="146" t="s">
        <v>3197</v>
      </c>
      <c r="K652" s="146" t="s">
        <v>2740</v>
      </c>
      <c r="L652" s="151"/>
      <c r="M652" s="155"/>
      <c r="N652" s="158"/>
      <c r="O652" s="159">
        <v>49</v>
      </c>
      <c r="P652" s="158"/>
      <c r="Q652" s="158"/>
      <c r="R652" s="158"/>
      <c r="S652" s="108"/>
      <c r="T652" s="108"/>
      <c r="U652" s="108"/>
      <c r="V652" s="26"/>
      <c r="W652" s="27"/>
      <c r="X652" s="28"/>
    </row>
    <row r="653" spans="1:24">
      <c r="A653" s="149" t="s">
        <v>4174</v>
      </c>
      <c r="B653" s="17" t="s">
        <v>4175</v>
      </c>
      <c r="C653" s="30" t="s">
        <v>3235</v>
      </c>
      <c r="D653" s="19" t="e">
        <f>VLOOKUP(C653,#REF!,2,0)</f>
        <v>#REF!</v>
      </c>
      <c r="E653" s="20" t="e">
        <f>VLOOKUP(D653,数据集标准分类!E:F,2,0)</f>
        <v>#REF!</v>
      </c>
      <c r="F653" s="21">
        <v>22</v>
      </c>
      <c r="G653" s="146" t="s">
        <v>3240</v>
      </c>
      <c r="H653" s="146" t="s">
        <v>3241</v>
      </c>
      <c r="I653" s="146" t="s">
        <v>3243</v>
      </c>
      <c r="J653" s="146" t="s">
        <v>3241</v>
      </c>
      <c r="K653" s="146" t="s">
        <v>3243</v>
      </c>
      <c r="L653" s="151"/>
      <c r="M653" s="155"/>
      <c r="N653" s="158"/>
      <c r="O653" s="160">
        <v>50</v>
      </c>
      <c r="P653" s="158"/>
      <c r="Q653" s="158"/>
      <c r="R653" s="158"/>
      <c r="S653" s="108"/>
      <c r="T653" s="108"/>
      <c r="U653" s="108"/>
      <c r="V653" s="26"/>
      <c r="W653" s="27"/>
      <c r="X653" s="28"/>
    </row>
    <row r="654" spans="1:24">
      <c r="A654" s="149" t="s">
        <v>4174</v>
      </c>
      <c r="B654" s="17" t="s">
        <v>4175</v>
      </c>
      <c r="C654" s="30" t="s">
        <v>3235</v>
      </c>
      <c r="D654" s="19" t="e">
        <f>VLOOKUP(C654,#REF!,2,0)</f>
        <v>#REF!</v>
      </c>
      <c r="E654" s="20" t="e">
        <f>VLOOKUP(D654,数据集标准分类!E:F,2,0)</f>
        <v>#REF!</v>
      </c>
      <c r="F654" s="21">
        <v>22</v>
      </c>
      <c r="G654" s="146" t="s">
        <v>3199</v>
      </c>
      <c r="H654" s="146" t="s">
        <v>3200</v>
      </c>
      <c r="I654" s="146" t="s">
        <v>3202</v>
      </c>
      <c r="J654" s="146" t="s">
        <v>3200</v>
      </c>
      <c r="K654" s="146" t="s">
        <v>3202</v>
      </c>
      <c r="L654" s="151"/>
      <c r="M654" s="155"/>
      <c r="N654" s="158"/>
      <c r="O654" s="159">
        <v>51</v>
      </c>
      <c r="P654" s="158"/>
      <c r="Q654" s="158"/>
      <c r="R654" s="158"/>
      <c r="S654" s="108"/>
      <c r="T654" s="108"/>
      <c r="U654" s="108"/>
      <c r="V654" s="26"/>
      <c r="W654" s="27"/>
      <c r="X654" s="28"/>
    </row>
    <row r="655" spans="1:24">
      <c r="A655" s="149" t="s">
        <v>4174</v>
      </c>
      <c r="B655" s="17" t="s">
        <v>4175</v>
      </c>
      <c r="C655" s="30" t="s">
        <v>3235</v>
      </c>
      <c r="D655" s="19" t="e">
        <f>VLOOKUP(C655,#REF!,2,0)</f>
        <v>#REF!</v>
      </c>
      <c r="E655" s="20" t="e">
        <f>VLOOKUP(D655,数据集标准分类!E:F,2,0)</f>
        <v>#REF!</v>
      </c>
      <c r="F655" s="21">
        <v>22</v>
      </c>
      <c r="G655" s="146" t="s">
        <v>3244</v>
      </c>
      <c r="H655" s="146" t="s">
        <v>3245</v>
      </c>
      <c r="I655" s="146" t="s">
        <v>3247</v>
      </c>
      <c r="J655" s="146" t="s">
        <v>3245</v>
      </c>
      <c r="K655" s="146" t="s">
        <v>3247</v>
      </c>
      <c r="L655" s="151"/>
      <c r="M655" s="155"/>
      <c r="N655" s="158"/>
      <c r="O655" s="159">
        <v>52</v>
      </c>
      <c r="P655" s="158"/>
      <c r="Q655" s="158"/>
      <c r="R655" s="158"/>
      <c r="S655" s="108"/>
      <c r="T655" s="108"/>
      <c r="U655" s="108"/>
      <c r="V655" s="26"/>
      <c r="W655" s="27"/>
      <c r="X655" s="28"/>
    </row>
    <row r="656" spans="1:24">
      <c r="A656" s="149" t="s">
        <v>4174</v>
      </c>
      <c r="B656" s="17" t="s">
        <v>4175</v>
      </c>
      <c r="C656" s="30" t="s">
        <v>3235</v>
      </c>
      <c r="D656" s="19" t="e">
        <f>VLOOKUP(C656,#REF!,2,0)</f>
        <v>#REF!</v>
      </c>
      <c r="E656" s="20" t="e">
        <f>VLOOKUP(D656,数据集标准分类!E:F,2,0)</f>
        <v>#REF!</v>
      </c>
      <c r="F656" s="21">
        <v>22</v>
      </c>
      <c r="G656" s="146" t="s">
        <v>1774</v>
      </c>
      <c r="H656" s="146" t="s">
        <v>1775</v>
      </c>
      <c r="I656" s="146" t="s">
        <v>1777</v>
      </c>
      <c r="J656" s="146" t="s">
        <v>1775</v>
      </c>
      <c r="K656" s="146" t="s">
        <v>1777</v>
      </c>
      <c r="L656" s="151"/>
      <c r="M656" s="155"/>
      <c r="N656" s="158"/>
      <c r="O656" s="159">
        <v>53</v>
      </c>
      <c r="P656" s="158"/>
      <c r="Q656" s="158"/>
      <c r="R656" s="158"/>
      <c r="S656" s="108"/>
      <c r="T656" s="108"/>
      <c r="U656" s="108"/>
      <c r="V656" s="26"/>
      <c r="W656" s="27"/>
      <c r="X656" s="28"/>
    </row>
    <row r="657" ht="31" spans="1:32">
      <c r="A657" s="31" t="s">
        <v>4174</v>
      </c>
      <c r="B657" s="32" t="s">
        <v>4175</v>
      </c>
      <c r="C657" s="33" t="s">
        <v>3653</v>
      </c>
      <c r="D657" s="34" t="e">
        <f>VLOOKUP(C657,#REF!,2,0)</f>
        <v>#REF!</v>
      </c>
      <c r="E657" s="35" t="e">
        <f>VLOOKUP(D657,数据集标准分类!E:F,2,0)</f>
        <v>#REF!</v>
      </c>
      <c r="F657" s="36">
        <v>23</v>
      </c>
      <c r="G657" s="37" t="s">
        <v>172</v>
      </c>
      <c r="H657" s="37" t="s">
        <v>5639</v>
      </c>
      <c r="I657" s="37" t="s">
        <v>5640</v>
      </c>
      <c r="J657" s="37" t="s">
        <v>173</v>
      </c>
      <c r="K657" s="37" t="s">
        <v>175</v>
      </c>
      <c r="L657" s="37" t="s">
        <v>1245</v>
      </c>
      <c r="M657" s="31" t="s">
        <v>5593</v>
      </c>
      <c r="N657" s="31" t="s">
        <v>5593</v>
      </c>
      <c r="O657" s="38">
        <v>1</v>
      </c>
      <c r="P657" s="39" t="e">
        <f>VLOOKUP(I657,#REF!,2,0)</f>
        <v>#REF!</v>
      </c>
      <c r="Q657" s="40"/>
      <c r="R657" s="39"/>
      <c r="S657" s="41"/>
      <c r="T657" s="39"/>
      <c r="U657" s="41"/>
      <c r="V657" s="41"/>
      <c r="W657" s="42">
        <v>568</v>
      </c>
      <c r="X657" s="43"/>
      <c r="Y657" s="44"/>
      <c r="Z657" s="44"/>
      <c r="AA657" s="44"/>
      <c r="AB657" s="44"/>
      <c r="AC657" s="44"/>
      <c r="AD657" s="44"/>
      <c r="AE657" s="44"/>
      <c r="AF657" s="44"/>
    </row>
    <row r="658" ht="31" spans="1:32">
      <c r="A658" s="83" t="s">
        <v>4174</v>
      </c>
      <c r="B658" s="84" t="s">
        <v>4175</v>
      </c>
      <c r="C658" s="85" t="s">
        <v>3653</v>
      </c>
      <c r="D658" s="86" t="e">
        <f>VLOOKUP(C658,#REF!,2,0)</f>
        <v>#REF!</v>
      </c>
      <c r="E658" s="20" t="e">
        <f>VLOOKUP(D658,数据集标准分类!E:F,2,0)</f>
        <v>#REF!</v>
      </c>
      <c r="F658" s="87">
        <v>23</v>
      </c>
      <c r="G658" s="88" t="s">
        <v>3436</v>
      </c>
      <c r="H658" s="88" t="s">
        <v>3437</v>
      </c>
      <c r="I658" s="88" t="s">
        <v>3439</v>
      </c>
      <c r="J658" s="88" t="s">
        <v>3437</v>
      </c>
      <c r="K658" s="88" t="s">
        <v>3439</v>
      </c>
      <c r="L658" s="88" t="s">
        <v>3440</v>
      </c>
      <c r="M658" s="83" t="s">
        <v>5595</v>
      </c>
      <c r="N658" s="83" t="s">
        <v>5595</v>
      </c>
      <c r="O658" s="89">
        <v>2</v>
      </c>
      <c r="P658" s="90" t="e">
        <f>VLOOKUP(I658,#REF!,2,0)</f>
        <v>#REF!</v>
      </c>
      <c r="Q658" s="91"/>
      <c r="R658" s="90"/>
      <c r="S658" s="92"/>
      <c r="T658" s="90"/>
      <c r="U658" s="92"/>
      <c r="V658" s="92" t="s">
        <v>5593</v>
      </c>
      <c r="W658" s="93">
        <v>569</v>
      </c>
      <c r="X658" s="94"/>
      <c r="Y658" s="95"/>
      <c r="Z658" s="95"/>
      <c r="AA658" s="95"/>
      <c r="AB658" s="95"/>
      <c r="AC658" s="95"/>
      <c r="AD658" s="95"/>
      <c r="AE658" s="95"/>
      <c r="AF658" s="95"/>
    </row>
    <row r="659" ht="31" spans="1:32">
      <c r="A659" s="31" t="s">
        <v>4174</v>
      </c>
      <c r="B659" s="32" t="s">
        <v>4175</v>
      </c>
      <c r="C659" s="33" t="s">
        <v>3653</v>
      </c>
      <c r="D659" s="34" t="e">
        <f>VLOOKUP(C659,#REF!,2,0)</f>
        <v>#REF!</v>
      </c>
      <c r="E659" s="35" t="e">
        <f>VLOOKUP(D659,数据集标准分类!E:F,2,0)</f>
        <v>#REF!</v>
      </c>
      <c r="F659" s="36">
        <v>23</v>
      </c>
      <c r="G659" s="37" t="s">
        <v>3441</v>
      </c>
      <c r="H659" s="37" t="s">
        <v>3442</v>
      </c>
      <c r="I659" s="37" t="s">
        <v>3444</v>
      </c>
      <c r="J659" s="37" t="s">
        <v>3442</v>
      </c>
      <c r="K659" s="37" t="s">
        <v>3444</v>
      </c>
      <c r="L659" s="37" t="s">
        <v>3445</v>
      </c>
      <c r="M659" s="31" t="s">
        <v>5595</v>
      </c>
      <c r="N659" s="31" t="s">
        <v>5595</v>
      </c>
      <c r="O659" s="38">
        <v>3</v>
      </c>
      <c r="P659" s="39" t="e">
        <f>VLOOKUP(I659,#REF!,2,0)</f>
        <v>#REF!</v>
      </c>
      <c r="Q659" s="40"/>
      <c r="R659" s="39"/>
      <c r="S659" s="41"/>
      <c r="T659" s="39"/>
      <c r="U659" s="41"/>
      <c r="V659" s="41"/>
      <c r="W659" s="42">
        <v>570</v>
      </c>
      <c r="X659" s="43"/>
      <c r="Y659" s="44"/>
      <c r="Z659" s="44"/>
      <c r="AA659" s="44"/>
      <c r="AB659" s="44"/>
      <c r="AC659" s="44"/>
      <c r="AD659" s="44"/>
      <c r="AE659" s="44"/>
      <c r="AF659" s="44"/>
    </row>
    <row r="660" ht="31" spans="1:32">
      <c r="A660" s="31" t="s">
        <v>4174</v>
      </c>
      <c r="B660" s="32" t="s">
        <v>4175</v>
      </c>
      <c r="C660" s="33" t="s">
        <v>3653</v>
      </c>
      <c r="D660" s="34" t="e">
        <f>VLOOKUP(C660,#REF!,2,0)</f>
        <v>#REF!</v>
      </c>
      <c r="E660" s="35" t="e">
        <f>VLOOKUP(D660,数据集标准分类!E:F,2,0)</f>
        <v>#REF!</v>
      </c>
      <c r="F660" s="36">
        <v>23</v>
      </c>
      <c r="G660" s="37" t="s">
        <v>3654</v>
      </c>
      <c r="H660" s="37" t="s">
        <v>3655</v>
      </c>
      <c r="I660" s="37" t="s">
        <v>3657</v>
      </c>
      <c r="J660" s="37" t="s">
        <v>3655</v>
      </c>
      <c r="K660" s="37" t="s">
        <v>3657</v>
      </c>
      <c r="L660" s="37" t="s">
        <v>3658</v>
      </c>
      <c r="M660" s="31" t="s">
        <v>5595</v>
      </c>
      <c r="N660" s="31" t="s">
        <v>5595</v>
      </c>
      <c r="O660" s="38">
        <v>4</v>
      </c>
      <c r="P660" s="39" t="e">
        <f>VLOOKUP(I660,#REF!,2,0)</f>
        <v>#REF!</v>
      </c>
      <c r="Q660" s="40"/>
      <c r="R660" s="39"/>
      <c r="S660" s="41"/>
      <c r="T660" s="39"/>
      <c r="U660" s="41"/>
      <c r="V660" s="41"/>
      <c r="W660" s="42">
        <v>571</v>
      </c>
      <c r="X660" s="43"/>
      <c r="Y660" s="44"/>
      <c r="Z660" s="44"/>
      <c r="AA660" s="44"/>
      <c r="AB660" s="44"/>
      <c r="AC660" s="44"/>
      <c r="AD660" s="44"/>
      <c r="AE660" s="44"/>
      <c r="AF660" s="44"/>
    </row>
    <row r="661" spans="1:32">
      <c r="A661" s="83" t="s">
        <v>4174</v>
      </c>
      <c r="B661" s="84" t="s">
        <v>4175</v>
      </c>
      <c r="C661" s="85" t="s">
        <v>3653</v>
      </c>
      <c r="D661" s="86" t="e">
        <f>VLOOKUP(C661,#REF!,2,0)</f>
        <v>#REF!</v>
      </c>
      <c r="E661" s="20" t="e">
        <f>VLOOKUP(D661,数据集标准分类!E:F,2,0)</f>
        <v>#REF!</v>
      </c>
      <c r="F661" s="87">
        <v>23</v>
      </c>
      <c r="G661" s="88" t="s">
        <v>3498</v>
      </c>
      <c r="H661" s="88" t="s">
        <v>5873</v>
      </c>
      <c r="I661" s="88" t="s">
        <v>3501</v>
      </c>
      <c r="J661" s="88" t="s">
        <v>3499</v>
      </c>
      <c r="K661" s="88" t="s">
        <v>3501</v>
      </c>
      <c r="L661" s="88" t="s">
        <v>3502</v>
      </c>
      <c r="M661" s="83" t="s">
        <v>5593</v>
      </c>
      <c r="N661" s="83" t="s">
        <v>5595</v>
      </c>
      <c r="O661" s="89">
        <v>5</v>
      </c>
      <c r="P661" s="90" t="e">
        <f>VLOOKUP(I661,#REF!,2,0)</f>
        <v>#REF!</v>
      </c>
      <c r="Q661" s="91"/>
      <c r="R661" s="90"/>
      <c r="S661" s="92"/>
      <c r="T661" s="90"/>
      <c r="U661" s="92"/>
      <c r="V661" s="92" t="s">
        <v>5593</v>
      </c>
      <c r="W661" s="93">
        <v>572</v>
      </c>
      <c r="X661" s="94"/>
      <c r="Y661" s="95"/>
      <c r="Z661" s="95"/>
      <c r="AA661" s="95"/>
      <c r="AB661" s="95"/>
      <c r="AC661" s="95"/>
      <c r="AD661" s="95"/>
      <c r="AE661" s="95"/>
      <c r="AF661" s="95"/>
    </row>
    <row r="662" spans="1:32">
      <c r="A662" s="31" t="s">
        <v>4174</v>
      </c>
      <c r="B662" s="32" t="s">
        <v>4175</v>
      </c>
      <c r="C662" s="33" t="s">
        <v>3653</v>
      </c>
      <c r="D662" s="34" t="e">
        <f>VLOOKUP(C662,#REF!,2,0)</f>
        <v>#REF!</v>
      </c>
      <c r="E662" s="35" t="e">
        <f>VLOOKUP(D662,数据集标准分类!E:F,2,0)</f>
        <v>#REF!</v>
      </c>
      <c r="F662" s="36">
        <v>23</v>
      </c>
      <c r="G662" s="37" t="s">
        <v>3493</v>
      </c>
      <c r="H662" s="37" t="s">
        <v>5872</v>
      </c>
      <c r="I662" s="37" t="s">
        <v>3496</v>
      </c>
      <c r="J662" s="37" t="s">
        <v>3494</v>
      </c>
      <c r="K662" s="37" t="s">
        <v>3496</v>
      </c>
      <c r="L662" s="37" t="s">
        <v>3497</v>
      </c>
      <c r="M662" s="31" t="s">
        <v>5593</v>
      </c>
      <c r="N662" s="31" t="s">
        <v>5595</v>
      </c>
      <c r="O662" s="38">
        <v>6</v>
      </c>
      <c r="P662" s="39" t="e">
        <f>VLOOKUP(I662,#REF!,2,0)</f>
        <v>#REF!</v>
      </c>
      <c r="Q662" s="40"/>
      <c r="R662" s="39"/>
      <c r="S662" s="41"/>
      <c r="T662" s="39"/>
      <c r="U662" s="41"/>
      <c r="V662" s="41"/>
      <c r="W662" s="42">
        <v>573</v>
      </c>
      <c r="X662" s="43"/>
      <c r="Y662" s="44"/>
      <c r="Z662" s="44"/>
      <c r="AA662" s="44"/>
      <c r="AB662" s="44"/>
      <c r="AC662" s="44"/>
      <c r="AD662" s="44"/>
      <c r="AE662" s="44"/>
      <c r="AF662" s="44"/>
    </row>
    <row r="663" ht="31" spans="1:32">
      <c r="A663" s="31" t="s">
        <v>4174</v>
      </c>
      <c r="B663" s="32" t="s">
        <v>4175</v>
      </c>
      <c r="C663" s="33" t="s">
        <v>3653</v>
      </c>
      <c r="D663" s="34" t="e">
        <f>VLOOKUP(C663,#REF!,2,0)</f>
        <v>#REF!</v>
      </c>
      <c r="E663" s="35" t="e">
        <f>VLOOKUP(D663,数据集标准分类!E:F,2,0)</f>
        <v>#REF!</v>
      </c>
      <c r="F663" s="36">
        <v>23</v>
      </c>
      <c r="G663" s="37" t="s">
        <v>3503</v>
      </c>
      <c r="H663" s="37" t="s">
        <v>5874</v>
      </c>
      <c r="I663" s="37" t="s">
        <v>3506</v>
      </c>
      <c r="J663" s="37" t="s">
        <v>3504</v>
      </c>
      <c r="K663" s="37" t="s">
        <v>3506</v>
      </c>
      <c r="L663" s="37" t="s">
        <v>3507</v>
      </c>
      <c r="M663" s="31" t="s">
        <v>5593</v>
      </c>
      <c r="N663" s="31" t="s">
        <v>5595</v>
      </c>
      <c r="O663" s="38">
        <v>7</v>
      </c>
      <c r="P663" s="39" t="e">
        <f>VLOOKUP(I663,#REF!,2,0)</f>
        <v>#REF!</v>
      </c>
      <c r="Q663" s="40"/>
      <c r="R663" s="39"/>
      <c r="S663" s="41"/>
      <c r="T663" s="39"/>
      <c r="U663" s="41"/>
      <c r="V663" s="41"/>
      <c r="W663" s="42">
        <v>574</v>
      </c>
      <c r="X663" s="43"/>
      <c r="Y663" s="44"/>
      <c r="Z663" s="44"/>
      <c r="AA663" s="44"/>
      <c r="AB663" s="44"/>
      <c r="AC663" s="44"/>
      <c r="AD663" s="44"/>
      <c r="AE663" s="44"/>
      <c r="AF663" s="44"/>
    </row>
    <row r="664" ht="31" spans="1:32">
      <c r="A664" s="83" t="s">
        <v>4174</v>
      </c>
      <c r="B664" s="84" t="s">
        <v>4175</v>
      </c>
      <c r="C664" s="85" t="s">
        <v>3653</v>
      </c>
      <c r="D664" s="86" t="e">
        <f>VLOOKUP(C664,#REF!,2,0)</f>
        <v>#REF!</v>
      </c>
      <c r="E664" s="20" t="e">
        <f>VLOOKUP(D664,数据集标准分类!E:F,2,0)</f>
        <v>#REF!</v>
      </c>
      <c r="F664" s="87">
        <v>23</v>
      </c>
      <c r="G664" s="161" t="s">
        <v>3457</v>
      </c>
      <c r="H664" s="161" t="s">
        <v>5866</v>
      </c>
      <c r="I664" s="162" t="s">
        <v>3460</v>
      </c>
      <c r="J664" s="88" t="s">
        <v>3458</v>
      </c>
      <c r="K664" s="88" t="s">
        <v>3460</v>
      </c>
      <c r="L664" s="88" t="s">
        <v>3461</v>
      </c>
      <c r="M664" s="83" t="s">
        <v>5593</v>
      </c>
      <c r="N664" s="83" t="s">
        <v>5595</v>
      </c>
      <c r="O664" s="89">
        <v>8</v>
      </c>
      <c r="P664" s="90" t="e">
        <f>VLOOKUP(I664,#REF!,2,0)</f>
        <v>#REF!</v>
      </c>
      <c r="Q664" s="91"/>
      <c r="R664" s="90"/>
      <c r="S664" s="92"/>
      <c r="T664" s="90"/>
      <c r="U664" s="92"/>
      <c r="V664" s="92" t="s">
        <v>5593</v>
      </c>
      <c r="W664" s="93">
        <v>575</v>
      </c>
      <c r="X664" s="94"/>
      <c r="Y664" s="95"/>
      <c r="Z664" s="95"/>
      <c r="AA664" s="95"/>
      <c r="AB664" s="95"/>
      <c r="AC664" s="95"/>
      <c r="AD664" s="95"/>
      <c r="AE664" s="95"/>
      <c r="AF664" s="95"/>
    </row>
    <row r="665" spans="1:32">
      <c r="A665" s="83" t="s">
        <v>4174</v>
      </c>
      <c r="B665" s="84" t="s">
        <v>4175</v>
      </c>
      <c r="C665" s="85" t="s">
        <v>3653</v>
      </c>
      <c r="D665" s="86" t="e">
        <f>VLOOKUP(C665,#REF!,2,0)</f>
        <v>#REF!</v>
      </c>
      <c r="E665" s="20" t="e">
        <f>VLOOKUP(D665,数据集标准分类!E:F,2,0)</f>
        <v>#REF!</v>
      </c>
      <c r="F665" s="87">
        <v>23</v>
      </c>
      <c r="G665" s="88" t="s">
        <v>3467</v>
      </c>
      <c r="H665" s="88" t="s">
        <v>5867</v>
      </c>
      <c r="I665" s="88" t="s">
        <v>3470</v>
      </c>
      <c r="J665" s="88" t="s">
        <v>3468</v>
      </c>
      <c r="K665" s="88" t="s">
        <v>3470</v>
      </c>
      <c r="L665" s="88" t="s">
        <v>3471</v>
      </c>
      <c r="M665" s="83" t="s">
        <v>5593</v>
      </c>
      <c r="N665" s="83" t="s">
        <v>5595</v>
      </c>
      <c r="O665" s="89">
        <v>9</v>
      </c>
      <c r="P665" s="90" t="e">
        <f>VLOOKUP(I665,#REF!,2,0)</f>
        <v>#REF!</v>
      </c>
      <c r="Q665" s="91"/>
      <c r="R665" s="90"/>
      <c r="S665" s="92"/>
      <c r="T665" s="90"/>
      <c r="U665" s="92"/>
      <c r="V665" s="92" t="s">
        <v>5593</v>
      </c>
      <c r="W665" s="93">
        <v>576</v>
      </c>
      <c r="X665" s="94"/>
      <c r="Y665" s="95"/>
      <c r="Z665" s="95"/>
      <c r="AA665" s="95"/>
      <c r="AB665" s="95"/>
      <c r="AC665" s="95"/>
      <c r="AD665" s="95"/>
      <c r="AE665" s="95"/>
      <c r="AF665" s="95"/>
    </row>
    <row r="666" spans="1:32">
      <c r="A666" s="83" t="s">
        <v>4174</v>
      </c>
      <c r="B666" s="84" t="s">
        <v>4175</v>
      </c>
      <c r="C666" s="85" t="s">
        <v>3653</v>
      </c>
      <c r="D666" s="86" t="e">
        <f>VLOOKUP(C666,#REF!,2,0)</f>
        <v>#REF!</v>
      </c>
      <c r="E666" s="20" t="e">
        <f>VLOOKUP(D666,数据集标准分类!E:F,2,0)</f>
        <v>#REF!</v>
      </c>
      <c r="F666" s="87">
        <v>23</v>
      </c>
      <c r="G666" s="88" t="s">
        <v>3472</v>
      </c>
      <c r="H666" s="88" t="s">
        <v>5868</v>
      </c>
      <c r="I666" s="88" t="s">
        <v>3475</v>
      </c>
      <c r="J666" s="88" t="s">
        <v>3473</v>
      </c>
      <c r="K666" s="88" t="s">
        <v>3475</v>
      </c>
      <c r="L666" s="88" t="s">
        <v>3476</v>
      </c>
      <c r="M666" s="83" t="s">
        <v>5593</v>
      </c>
      <c r="N666" s="83" t="s">
        <v>5595</v>
      </c>
      <c r="O666" s="89">
        <v>10</v>
      </c>
      <c r="P666" s="90" t="e">
        <f>VLOOKUP(I666,#REF!,2,0)</f>
        <v>#REF!</v>
      </c>
      <c r="Q666" s="91"/>
      <c r="R666" s="90"/>
      <c r="S666" s="92"/>
      <c r="T666" s="90"/>
      <c r="U666" s="92"/>
      <c r="V666" s="92" t="s">
        <v>5593</v>
      </c>
      <c r="W666" s="93">
        <v>577</v>
      </c>
      <c r="X666" s="94"/>
      <c r="Y666" s="95"/>
      <c r="Z666" s="95"/>
      <c r="AA666" s="95"/>
      <c r="AB666" s="95"/>
      <c r="AC666" s="95"/>
      <c r="AD666" s="95"/>
      <c r="AE666" s="95"/>
      <c r="AF666" s="95"/>
    </row>
    <row r="667" spans="1:32">
      <c r="A667" s="83" t="s">
        <v>4174</v>
      </c>
      <c r="B667" s="84" t="s">
        <v>4175</v>
      </c>
      <c r="C667" s="85" t="s">
        <v>3653</v>
      </c>
      <c r="D667" s="86" t="e">
        <f>VLOOKUP(C667,#REF!,2,0)</f>
        <v>#REF!</v>
      </c>
      <c r="E667" s="20" t="e">
        <f>VLOOKUP(D667,数据集标准分类!E:F,2,0)</f>
        <v>#REF!</v>
      </c>
      <c r="F667" s="87">
        <v>23</v>
      </c>
      <c r="G667" s="88" t="s">
        <v>3462</v>
      </c>
      <c r="H667" s="88" t="s">
        <v>3463</v>
      </c>
      <c r="I667" s="88" t="s">
        <v>3465</v>
      </c>
      <c r="J667" s="88" t="s">
        <v>3463</v>
      </c>
      <c r="K667" s="88" t="s">
        <v>3465</v>
      </c>
      <c r="L667" s="88" t="s">
        <v>3466</v>
      </c>
      <c r="M667" s="83" t="s">
        <v>5595</v>
      </c>
      <c r="N667" s="83" t="s">
        <v>5595</v>
      </c>
      <c r="O667" s="89">
        <v>11</v>
      </c>
      <c r="P667" s="90" t="e">
        <f>VLOOKUP(I667,#REF!,2,0)</f>
        <v>#REF!</v>
      </c>
      <c r="Q667" s="91"/>
      <c r="R667" s="90"/>
      <c r="S667" s="92"/>
      <c r="T667" s="90"/>
      <c r="U667" s="92"/>
      <c r="V667" s="92" t="s">
        <v>5593</v>
      </c>
      <c r="W667" s="93">
        <v>578</v>
      </c>
      <c r="X667" s="94"/>
      <c r="Y667" s="95"/>
      <c r="Z667" s="95"/>
      <c r="AA667" s="95"/>
      <c r="AB667" s="95"/>
      <c r="AC667" s="95"/>
      <c r="AD667" s="95"/>
      <c r="AE667" s="95"/>
      <c r="AF667" s="95"/>
    </row>
    <row r="668" ht="14.4" customHeight="1" spans="1:32">
      <c r="A668" s="83" t="s">
        <v>4174</v>
      </c>
      <c r="B668" s="84" t="s">
        <v>4175</v>
      </c>
      <c r="C668" s="85" t="s">
        <v>3653</v>
      </c>
      <c r="D668" s="86" t="e">
        <f>VLOOKUP(C668,#REF!,2,0)</f>
        <v>#REF!</v>
      </c>
      <c r="E668" s="20" t="e">
        <f>VLOOKUP(D668,数据集标准分类!E:F,2,0)</f>
        <v>#REF!</v>
      </c>
      <c r="F668" s="87">
        <v>23</v>
      </c>
      <c r="G668" s="88" t="s">
        <v>3487</v>
      </c>
      <c r="H668" s="88" t="s">
        <v>3488</v>
      </c>
      <c r="I668" s="88" t="s">
        <v>3490</v>
      </c>
      <c r="J668" s="88" t="s">
        <v>3488</v>
      </c>
      <c r="K668" s="88" t="s">
        <v>3490</v>
      </c>
      <c r="L668" s="88" t="s">
        <v>3491</v>
      </c>
      <c r="M668" s="83" t="s">
        <v>5595</v>
      </c>
      <c r="N668" s="83" t="s">
        <v>5595</v>
      </c>
      <c r="O668" s="89">
        <v>12</v>
      </c>
      <c r="P668" s="90" t="e">
        <f>VLOOKUP(I668,#REF!,2,0)</f>
        <v>#REF!</v>
      </c>
      <c r="Q668" s="91"/>
      <c r="R668" s="90"/>
      <c r="S668" s="92"/>
      <c r="T668" s="90"/>
      <c r="U668" s="92"/>
      <c r="V668" s="92" t="s">
        <v>5593</v>
      </c>
      <c r="W668" s="93">
        <v>579</v>
      </c>
      <c r="X668" s="94"/>
      <c r="Y668" s="95"/>
      <c r="Z668" s="95"/>
      <c r="AA668" s="95"/>
      <c r="AB668" s="95"/>
      <c r="AC668" s="95"/>
      <c r="AD668" s="95"/>
      <c r="AE668" s="95"/>
      <c r="AF668" s="95"/>
    </row>
    <row r="669" ht="31" spans="1:32">
      <c r="A669" s="83" t="s">
        <v>4174</v>
      </c>
      <c r="B669" s="84" t="s">
        <v>4175</v>
      </c>
      <c r="C669" s="85" t="s">
        <v>3653</v>
      </c>
      <c r="D669" s="86" t="e">
        <f>VLOOKUP(C669,#REF!,2,0)</f>
        <v>#REF!</v>
      </c>
      <c r="E669" s="20" t="e">
        <f>VLOOKUP(D669,数据集标准分类!E:F,2,0)</f>
        <v>#REF!</v>
      </c>
      <c r="F669" s="87">
        <v>23</v>
      </c>
      <c r="G669" s="88" t="s">
        <v>3391</v>
      </c>
      <c r="H669" s="88" t="s">
        <v>5869</v>
      </c>
      <c r="I669" s="88" t="s">
        <v>3394</v>
      </c>
      <c r="J669" s="88" t="s">
        <v>3392</v>
      </c>
      <c r="K669" s="88" t="s">
        <v>3394</v>
      </c>
      <c r="L669" s="88" t="s">
        <v>3395</v>
      </c>
      <c r="M669" s="83" t="s">
        <v>5593</v>
      </c>
      <c r="N669" s="83" t="s">
        <v>5595</v>
      </c>
      <c r="O669" s="89">
        <v>13</v>
      </c>
      <c r="P669" s="90" t="e">
        <f>VLOOKUP(I669,#REF!,2,0)</f>
        <v>#REF!</v>
      </c>
      <c r="Q669" s="91"/>
      <c r="R669" s="90"/>
      <c r="S669" s="92"/>
      <c r="T669" s="90"/>
      <c r="U669" s="92"/>
      <c r="V669" s="92" t="s">
        <v>5593</v>
      </c>
      <c r="W669" s="93">
        <v>580</v>
      </c>
      <c r="X669" s="94"/>
      <c r="Y669" s="95"/>
      <c r="Z669" s="95"/>
      <c r="AA669" s="95"/>
      <c r="AB669" s="95"/>
      <c r="AC669" s="95"/>
      <c r="AD669" s="95"/>
      <c r="AE669" s="95"/>
      <c r="AF669" s="95"/>
    </row>
    <row r="670" spans="1:32">
      <c r="A670" s="83" t="s">
        <v>4174</v>
      </c>
      <c r="B670" s="84" t="s">
        <v>4175</v>
      </c>
      <c r="C670" s="85" t="s">
        <v>3653</v>
      </c>
      <c r="D670" s="86" t="e">
        <f>VLOOKUP(C670,#REF!,2,0)</f>
        <v>#REF!</v>
      </c>
      <c r="E670" s="20" t="e">
        <f>VLOOKUP(D670,数据集标准分类!E:F,2,0)</f>
        <v>#REF!</v>
      </c>
      <c r="F670" s="87">
        <v>23</v>
      </c>
      <c r="G670" s="144" t="s">
        <v>2242</v>
      </c>
      <c r="H670" s="144" t="s">
        <v>2243</v>
      </c>
      <c r="I670" s="144" t="s">
        <v>2836</v>
      </c>
      <c r="J670" s="144" t="s">
        <v>2243</v>
      </c>
      <c r="K670" s="144" t="s">
        <v>2836</v>
      </c>
      <c r="L670" s="135"/>
      <c r="M670" s="136"/>
      <c r="N670" s="137"/>
      <c r="O670" s="147" t="s">
        <v>4510</v>
      </c>
      <c r="P670" s="139"/>
      <c r="Q670" s="140"/>
      <c r="R670" s="139"/>
      <c r="S670" s="108"/>
      <c r="T670" s="108"/>
      <c r="U670" s="108"/>
      <c r="V670" s="92"/>
      <c r="W670" s="93"/>
      <c r="X670" s="94"/>
      <c r="Y670" s="141"/>
      <c r="Z670" s="141"/>
      <c r="AA670" s="141"/>
      <c r="AB670" s="141"/>
      <c r="AC670" s="141"/>
      <c r="AD670" s="141"/>
      <c r="AE670" s="141"/>
      <c r="AF670" s="141"/>
    </row>
    <row r="671" spans="1:32">
      <c r="A671" s="83" t="s">
        <v>4174</v>
      </c>
      <c r="B671" s="84" t="s">
        <v>4175</v>
      </c>
      <c r="C671" s="85" t="s">
        <v>3653</v>
      </c>
      <c r="D671" s="86" t="e">
        <f>VLOOKUP(C671,#REF!,2,0)</f>
        <v>#REF!</v>
      </c>
      <c r="E671" s="20" t="e">
        <f>VLOOKUP(D671,数据集标准分类!E:F,2,0)</f>
        <v>#REF!</v>
      </c>
      <c r="F671" s="87">
        <v>23</v>
      </c>
      <c r="G671" s="144" t="s">
        <v>3617</v>
      </c>
      <c r="H671" s="144" t="s">
        <v>3618</v>
      </c>
      <c r="I671" s="144" t="s">
        <v>3620</v>
      </c>
      <c r="J671" s="144" t="s">
        <v>3618</v>
      </c>
      <c r="K671" s="144" t="s">
        <v>3620</v>
      </c>
      <c r="L671" s="135"/>
      <c r="M671" s="136"/>
      <c r="N671" s="137"/>
      <c r="O671" s="147" t="s">
        <v>4514</v>
      </c>
      <c r="P671" s="139"/>
      <c r="Q671" s="140"/>
      <c r="R671" s="139"/>
      <c r="S671" s="108"/>
      <c r="T671" s="108"/>
      <c r="U671" s="108"/>
      <c r="V671" s="92"/>
      <c r="W671" s="93"/>
      <c r="X671" s="94"/>
      <c r="Y671" s="141"/>
      <c r="Z671" s="141"/>
      <c r="AA671" s="141"/>
      <c r="AB671" s="141"/>
      <c r="AC671" s="141"/>
      <c r="AD671" s="141"/>
      <c r="AE671" s="141"/>
      <c r="AF671" s="141"/>
    </row>
    <row r="672" spans="1:32">
      <c r="A672" s="83" t="s">
        <v>4174</v>
      </c>
      <c r="B672" s="84" t="s">
        <v>4175</v>
      </c>
      <c r="C672" s="85" t="s">
        <v>3653</v>
      </c>
      <c r="D672" s="86" t="e">
        <f>VLOOKUP(C672,#REF!,2,0)</f>
        <v>#REF!</v>
      </c>
      <c r="E672" s="20" t="e">
        <f>VLOOKUP(D672,数据集标准分类!E:F,2,0)</f>
        <v>#REF!</v>
      </c>
      <c r="F672" s="87">
        <v>23</v>
      </c>
      <c r="G672" s="144" t="s">
        <v>5556</v>
      </c>
      <c r="H672" s="144" t="s">
        <v>5557</v>
      </c>
      <c r="I672" s="144" t="s">
        <v>5559</v>
      </c>
      <c r="J672" s="144" t="s">
        <v>5557</v>
      </c>
      <c r="K672" s="144" t="s">
        <v>5559</v>
      </c>
      <c r="L672" s="135"/>
      <c r="M672" s="136"/>
      <c r="N672" s="137"/>
      <c r="O672" s="147" t="s">
        <v>4518</v>
      </c>
      <c r="P672" s="139"/>
      <c r="Q672" s="140"/>
      <c r="R672" s="139"/>
      <c r="S672" s="108"/>
      <c r="T672" s="108"/>
      <c r="U672" s="108"/>
      <c r="V672" s="92"/>
      <c r="W672" s="93"/>
      <c r="X672" s="94"/>
      <c r="Y672" s="141"/>
      <c r="Z672" s="141"/>
      <c r="AA672" s="141"/>
      <c r="AB672" s="141"/>
      <c r="AC672" s="141"/>
      <c r="AD672" s="141"/>
      <c r="AE672" s="141"/>
      <c r="AF672" s="141"/>
    </row>
    <row r="673" spans="1:32">
      <c r="A673" s="83" t="s">
        <v>4174</v>
      </c>
      <c r="B673" s="84" t="s">
        <v>4175</v>
      </c>
      <c r="C673" s="85" t="s">
        <v>3653</v>
      </c>
      <c r="D673" s="86" t="e">
        <f>VLOOKUP(C673,#REF!,2,0)</f>
        <v>#REF!</v>
      </c>
      <c r="E673" s="20" t="e">
        <f>VLOOKUP(D673,数据集标准分类!E:F,2,0)</f>
        <v>#REF!</v>
      </c>
      <c r="F673" s="87">
        <v>23</v>
      </c>
      <c r="G673" s="144" t="s">
        <v>1774</v>
      </c>
      <c r="H673" s="144" t="s">
        <v>1775</v>
      </c>
      <c r="I673" s="144" t="s">
        <v>1777</v>
      </c>
      <c r="J673" s="144" t="s">
        <v>1775</v>
      </c>
      <c r="K673" s="144" t="s">
        <v>1777</v>
      </c>
      <c r="L673" s="135"/>
      <c r="M673" s="136"/>
      <c r="N673" s="137"/>
      <c r="O673" s="147" t="s">
        <v>4522</v>
      </c>
      <c r="P673" s="139"/>
      <c r="Q673" s="140"/>
      <c r="R673" s="139"/>
      <c r="S673" s="108"/>
      <c r="T673" s="108"/>
      <c r="U673" s="108"/>
      <c r="V673" s="92"/>
      <c r="W673" s="93"/>
      <c r="X673" s="94"/>
      <c r="Y673" s="141"/>
      <c r="Z673" s="141"/>
      <c r="AA673" s="141"/>
      <c r="AB673" s="141"/>
      <c r="AC673" s="141"/>
      <c r="AD673" s="141"/>
      <c r="AE673" s="141"/>
      <c r="AF673" s="141"/>
    </row>
    <row r="674" spans="1:32">
      <c r="A674" s="83" t="s">
        <v>4174</v>
      </c>
      <c r="B674" s="84" t="s">
        <v>4175</v>
      </c>
      <c r="C674" s="85" t="s">
        <v>3653</v>
      </c>
      <c r="D674" s="86" t="e">
        <f>VLOOKUP(C674,#REF!,2,0)</f>
        <v>#REF!</v>
      </c>
      <c r="E674" s="20" t="e">
        <f>VLOOKUP(D674,数据集标准分类!E:F,2,0)</f>
        <v>#REF!</v>
      </c>
      <c r="F674" s="87">
        <v>23</v>
      </c>
      <c r="G674" s="144" t="s">
        <v>3621</v>
      </c>
      <c r="H674" s="144" t="s">
        <v>3622</v>
      </c>
      <c r="I674" s="144" t="s">
        <v>3624</v>
      </c>
      <c r="J674" s="144" t="s">
        <v>3622</v>
      </c>
      <c r="K674" s="144" t="s">
        <v>3624</v>
      </c>
      <c r="L674" s="135"/>
      <c r="M674" s="136"/>
      <c r="N674" s="137"/>
      <c r="O674" s="147" t="s">
        <v>4524</v>
      </c>
      <c r="P674" s="139"/>
      <c r="Q674" s="140"/>
      <c r="R674" s="139"/>
      <c r="S674" s="108"/>
      <c r="T674" s="108"/>
      <c r="U674" s="108"/>
      <c r="V674" s="92"/>
      <c r="W674" s="93"/>
      <c r="X674" s="94"/>
      <c r="Y674" s="141"/>
      <c r="Z674" s="141"/>
      <c r="AA674" s="141"/>
      <c r="AB674" s="141"/>
      <c r="AC674" s="141"/>
      <c r="AD674" s="141"/>
      <c r="AE674" s="141"/>
      <c r="AF674" s="141"/>
    </row>
    <row r="675" spans="1:32">
      <c r="A675" s="83" t="s">
        <v>4174</v>
      </c>
      <c r="B675" s="84" t="s">
        <v>4175</v>
      </c>
      <c r="C675" s="85" t="s">
        <v>3653</v>
      </c>
      <c r="D675" s="86" t="e">
        <f>VLOOKUP(C675,#REF!,2,0)</f>
        <v>#REF!</v>
      </c>
      <c r="E675" s="20" t="e">
        <f>VLOOKUP(D675,数据集标准分类!E:F,2,0)</f>
        <v>#REF!</v>
      </c>
      <c r="F675" s="87">
        <v>23</v>
      </c>
      <c r="G675" s="144" t="s">
        <v>3625</v>
      </c>
      <c r="H675" s="144" t="s">
        <v>3626</v>
      </c>
      <c r="I675" s="144" t="s">
        <v>3628</v>
      </c>
      <c r="J675" s="144" t="s">
        <v>3626</v>
      </c>
      <c r="K675" s="144" t="s">
        <v>3628</v>
      </c>
      <c r="L675" s="135"/>
      <c r="M675" s="136"/>
      <c r="N675" s="137"/>
      <c r="O675" s="147" t="s">
        <v>4527</v>
      </c>
      <c r="P675" s="139"/>
      <c r="Q675" s="140"/>
      <c r="R675" s="139"/>
      <c r="S675" s="108"/>
      <c r="T675" s="108"/>
      <c r="U675" s="108"/>
      <c r="V675" s="92"/>
      <c r="W675" s="93"/>
      <c r="X675" s="94"/>
      <c r="Y675" s="141"/>
      <c r="Z675" s="141"/>
      <c r="AA675" s="141"/>
      <c r="AB675" s="141"/>
      <c r="AC675" s="141"/>
      <c r="AD675" s="141"/>
      <c r="AE675" s="141"/>
      <c r="AF675" s="141"/>
    </row>
    <row r="676" spans="1:32">
      <c r="A676" s="83" t="s">
        <v>4174</v>
      </c>
      <c r="B676" s="84" t="s">
        <v>4175</v>
      </c>
      <c r="C676" s="85" t="s">
        <v>3653</v>
      </c>
      <c r="D676" s="86" t="e">
        <f>VLOOKUP(C676,#REF!,2,0)</f>
        <v>#REF!</v>
      </c>
      <c r="E676" s="20" t="e">
        <f>VLOOKUP(D676,数据集标准分类!E:F,2,0)</f>
        <v>#REF!</v>
      </c>
      <c r="F676" s="87">
        <v>23</v>
      </c>
      <c r="G676" s="144" t="s">
        <v>3629</v>
      </c>
      <c r="H676" s="144" t="s">
        <v>3630</v>
      </c>
      <c r="I676" s="144" t="s">
        <v>3631</v>
      </c>
      <c r="J676" s="144" t="s">
        <v>3630</v>
      </c>
      <c r="K676" s="144" t="s">
        <v>3631</v>
      </c>
      <c r="L676" s="135"/>
      <c r="M676" s="136"/>
      <c r="N676" s="137"/>
      <c r="O676" s="147" t="s">
        <v>5575</v>
      </c>
      <c r="P676" s="139"/>
      <c r="Q676" s="140"/>
      <c r="R676" s="139"/>
      <c r="S676" s="108"/>
      <c r="T676" s="108"/>
      <c r="U676" s="108"/>
      <c r="V676" s="92"/>
      <c r="W676" s="93"/>
      <c r="X676" s="94"/>
      <c r="Y676" s="141"/>
      <c r="Z676" s="141"/>
      <c r="AA676" s="141"/>
      <c r="AB676" s="141"/>
      <c r="AC676" s="141"/>
      <c r="AD676" s="141"/>
      <c r="AE676" s="141"/>
      <c r="AF676" s="141"/>
    </row>
    <row r="677" spans="1:32">
      <c r="A677" s="83" t="s">
        <v>4174</v>
      </c>
      <c r="B677" s="84" t="s">
        <v>4175</v>
      </c>
      <c r="C677" s="85" t="s">
        <v>3653</v>
      </c>
      <c r="D677" s="86" t="e">
        <f>VLOOKUP(C677,#REF!,2,0)</f>
        <v>#REF!</v>
      </c>
      <c r="E677" s="20" t="e">
        <f>VLOOKUP(D677,数据集标准分类!E:F,2,0)</f>
        <v>#REF!</v>
      </c>
      <c r="F677" s="87">
        <v>23</v>
      </c>
      <c r="G677" s="144" t="s">
        <v>3632</v>
      </c>
      <c r="H677" s="144" t="s">
        <v>3633</v>
      </c>
      <c r="I677" s="144" t="s">
        <v>3635</v>
      </c>
      <c r="J677" s="144" t="s">
        <v>3633</v>
      </c>
      <c r="K677" s="144" t="s">
        <v>3635</v>
      </c>
      <c r="L677" s="135"/>
      <c r="M677" s="136"/>
      <c r="N677" s="137"/>
      <c r="O677" s="147" t="s">
        <v>5576</v>
      </c>
      <c r="P677" s="139"/>
      <c r="Q677" s="140"/>
      <c r="R677" s="139"/>
      <c r="S677" s="108"/>
      <c r="T677" s="108"/>
      <c r="U677" s="108"/>
      <c r="V677" s="92"/>
      <c r="W677" s="93"/>
      <c r="X677" s="94"/>
      <c r="Y677" s="141"/>
      <c r="Z677" s="141"/>
      <c r="AA677" s="141"/>
      <c r="AB677" s="141"/>
      <c r="AC677" s="141"/>
      <c r="AD677" s="141"/>
      <c r="AE677" s="141"/>
      <c r="AF677" s="141"/>
    </row>
    <row r="678" spans="1:32">
      <c r="A678" s="83" t="s">
        <v>4174</v>
      </c>
      <c r="B678" s="84" t="s">
        <v>4175</v>
      </c>
      <c r="C678" s="85" t="s">
        <v>3653</v>
      </c>
      <c r="D678" s="86" t="e">
        <f>VLOOKUP(C678,#REF!,2,0)</f>
        <v>#REF!</v>
      </c>
      <c r="E678" s="20" t="e">
        <f>VLOOKUP(D678,数据集标准分类!E:F,2,0)</f>
        <v>#REF!</v>
      </c>
      <c r="F678" s="87">
        <v>23</v>
      </c>
      <c r="G678" s="144" t="s">
        <v>3636</v>
      </c>
      <c r="H678" s="144" t="s">
        <v>3637</v>
      </c>
      <c r="I678" s="144" t="s">
        <v>3639</v>
      </c>
      <c r="J678" s="144" t="s">
        <v>3637</v>
      </c>
      <c r="K678" s="144" t="s">
        <v>3639</v>
      </c>
      <c r="L678" s="135"/>
      <c r="M678" s="136"/>
      <c r="N678" s="137"/>
      <c r="O678" s="147" t="s">
        <v>4531</v>
      </c>
      <c r="P678" s="139"/>
      <c r="Q678" s="140"/>
      <c r="R678" s="139"/>
      <c r="S678" s="108"/>
      <c r="T678" s="108"/>
      <c r="U678" s="108"/>
      <c r="V678" s="92"/>
      <c r="W678" s="93"/>
      <c r="X678" s="94"/>
      <c r="Y678" s="141"/>
      <c r="Z678" s="141"/>
      <c r="AA678" s="141"/>
      <c r="AB678" s="141"/>
      <c r="AC678" s="141"/>
      <c r="AD678" s="141"/>
      <c r="AE678" s="141"/>
      <c r="AF678" s="141"/>
    </row>
    <row r="679" spans="1:32">
      <c r="A679" s="90" t="s">
        <v>4174</v>
      </c>
      <c r="B679" s="93" t="s">
        <v>4175</v>
      </c>
      <c r="C679" s="144" t="s">
        <v>3640</v>
      </c>
      <c r="D679" s="109" t="s">
        <v>5952</v>
      </c>
      <c r="E679" s="109" t="s">
        <v>5953</v>
      </c>
      <c r="F679" s="145" t="s">
        <v>5954</v>
      </c>
      <c r="G679" s="144" t="s">
        <v>2889</v>
      </c>
      <c r="H679" s="144" t="s">
        <v>2890</v>
      </c>
      <c r="I679" s="144" t="s">
        <v>2892</v>
      </c>
      <c r="J679" s="144" t="s">
        <v>2890</v>
      </c>
      <c r="K679" s="144" t="s">
        <v>2892</v>
      </c>
      <c r="L679" s="135"/>
      <c r="N679" s="135"/>
      <c r="O679" s="163" t="s">
        <v>3351</v>
      </c>
      <c r="P679" s="139"/>
      <c r="Q679" s="140"/>
      <c r="R679" s="139"/>
      <c r="S679" s="108"/>
      <c r="T679" s="108"/>
      <c r="U679" s="108"/>
      <c r="V679" s="92"/>
      <c r="W679" s="93"/>
      <c r="X679" s="94"/>
      <c r="Y679" s="141"/>
      <c r="Z679" s="141"/>
      <c r="AA679" s="141"/>
      <c r="AB679" s="141"/>
      <c r="AC679" s="141"/>
      <c r="AD679" s="141"/>
      <c r="AE679" s="141"/>
      <c r="AF679" s="141"/>
    </row>
    <row r="680" spans="1:32">
      <c r="A680" s="90" t="s">
        <v>4174</v>
      </c>
      <c r="B680" s="93" t="s">
        <v>4175</v>
      </c>
      <c r="C680" s="144" t="s">
        <v>3640</v>
      </c>
      <c r="D680" s="109" t="s">
        <v>5952</v>
      </c>
      <c r="E680" s="109" t="s">
        <v>5953</v>
      </c>
      <c r="F680" s="145" t="s">
        <v>5954</v>
      </c>
      <c r="G680" s="144" t="s">
        <v>3641</v>
      </c>
      <c r="H680" s="144" t="s">
        <v>3642</v>
      </c>
      <c r="I680" s="144" t="s">
        <v>3644</v>
      </c>
      <c r="J680" s="144" t="s">
        <v>3642</v>
      </c>
      <c r="K680" s="144" t="s">
        <v>3644</v>
      </c>
      <c r="L680" s="135"/>
      <c r="M680" s="164"/>
      <c r="N680" s="135"/>
      <c r="O680" s="163" t="s">
        <v>3352</v>
      </c>
      <c r="P680" s="139"/>
      <c r="Q680" s="140"/>
      <c r="R680" s="139"/>
      <c r="S680" s="108"/>
      <c r="T680" s="108"/>
      <c r="U680" s="108"/>
      <c r="V680" s="92"/>
      <c r="W680" s="93"/>
      <c r="X680" s="94"/>
      <c r="Y680" s="141"/>
      <c r="Z680" s="141"/>
      <c r="AA680" s="141"/>
      <c r="AB680" s="141"/>
      <c r="AC680" s="141"/>
      <c r="AD680" s="141"/>
      <c r="AE680" s="141"/>
      <c r="AF680" s="141"/>
    </row>
    <row r="681" spans="1:32">
      <c r="A681" s="90" t="s">
        <v>4174</v>
      </c>
      <c r="B681" s="93" t="s">
        <v>4175</v>
      </c>
      <c r="C681" s="144" t="s">
        <v>3640</v>
      </c>
      <c r="D681" s="109" t="s">
        <v>5952</v>
      </c>
      <c r="E681" s="109" t="s">
        <v>5953</v>
      </c>
      <c r="F681" s="145" t="s">
        <v>5954</v>
      </c>
      <c r="G681" s="144" t="s">
        <v>3617</v>
      </c>
      <c r="H681" s="144" t="s">
        <v>3618</v>
      </c>
      <c r="I681" s="144" t="s">
        <v>3620</v>
      </c>
      <c r="J681" s="144" t="s">
        <v>3618</v>
      </c>
      <c r="K681" s="144" t="s">
        <v>3620</v>
      </c>
      <c r="L681" s="135"/>
      <c r="M681" s="164"/>
      <c r="N681" s="135"/>
      <c r="O681" s="163" t="s">
        <v>3353</v>
      </c>
      <c r="P681" s="139"/>
      <c r="Q681" s="140"/>
      <c r="R681" s="139"/>
      <c r="S681" s="108"/>
      <c r="T681" s="108"/>
      <c r="U681" s="108"/>
      <c r="V681" s="92"/>
      <c r="W681" s="93"/>
      <c r="X681" s="94"/>
      <c r="Y681" s="141"/>
      <c r="Z681" s="141"/>
      <c r="AA681" s="141"/>
      <c r="AB681" s="141"/>
      <c r="AC681" s="141"/>
      <c r="AD681" s="141"/>
      <c r="AE681" s="141"/>
      <c r="AF681" s="141"/>
    </row>
    <row r="682" spans="1:32">
      <c r="A682" s="90" t="s">
        <v>4174</v>
      </c>
      <c r="B682" s="93" t="s">
        <v>4175</v>
      </c>
      <c r="C682" s="144" t="s">
        <v>3640</v>
      </c>
      <c r="D682" s="109" t="s">
        <v>5952</v>
      </c>
      <c r="E682" s="109" t="s">
        <v>5953</v>
      </c>
      <c r="F682" s="145" t="s">
        <v>5954</v>
      </c>
      <c r="G682" s="144" t="s">
        <v>5556</v>
      </c>
      <c r="H682" s="144" t="s">
        <v>5557</v>
      </c>
      <c r="I682" s="144" t="s">
        <v>5559</v>
      </c>
      <c r="J682" s="144" t="s">
        <v>5557</v>
      </c>
      <c r="K682" s="144" t="s">
        <v>5559</v>
      </c>
      <c r="L682" s="135"/>
      <c r="M682" s="164"/>
      <c r="N682" s="135"/>
      <c r="O682" s="163" t="s">
        <v>3365</v>
      </c>
      <c r="P682" s="139"/>
      <c r="Q682" s="140"/>
      <c r="R682" s="139"/>
      <c r="S682" s="108"/>
      <c r="T682" s="108"/>
      <c r="U682" s="108"/>
      <c r="V682" s="92"/>
      <c r="W682" s="93"/>
      <c r="X682" s="94"/>
      <c r="Y682" s="141"/>
      <c r="Z682" s="141"/>
      <c r="AA682" s="141"/>
      <c r="AB682" s="141"/>
      <c r="AC682" s="141"/>
      <c r="AD682" s="141"/>
      <c r="AE682" s="141"/>
      <c r="AF682" s="141"/>
    </row>
    <row r="683" spans="1:32">
      <c r="A683" s="90" t="s">
        <v>4174</v>
      </c>
      <c r="B683" s="93" t="s">
        <v>4175</v>
      </c>
      <c r="C683" s="144" t="s">
        <v>3640</v>
      </c>
      <c r="D683" s="109" t="s">
        <v>5952</v>
      </c>
      <c r="E683" s="109" t="s">
        <v>5953</v>
      </c>
      <c r="F683" s="145" t="s">
        <v>5954</v>
      </c>
      <c r="G683" s="144" t="s">
        <v>1774</v>
      </c>
      <c r="H683" s="144" t="s">
        <v>1775</v>
      </c>
      <c r="I683" s="144" t="s">
        <v>1777</v>
      </c>
      <c r="J683" s="144" t="s">
        <v>1775</v>
      </c>
      <c r="K683" s="144" t="s">
        <v>1777</v>
      </c>
      <c r="L683" s="135"/>
      <c r="M683" s="164"/>
      <c r="N683" s="135"/>
      <c r="O683" s="163" t="s">
        <v>3370</v>
      </c>
      <c r="P683" s="139"/>
      <c r="Q683" s="140"/>
      <c r="R683" s="139"/>
      <c r="S683" s="108"/>
      <c r="T683" s="108"/>
      <c r="U683" s="108"/>
      <c r="V683" s="92"/>
      <c r="W683" s="93"/>
      <c r="X683" s="94"/>
      <c r="Y683" s="141"/>
      <c r="Z683" s="141"/>
      <c r="AA683" s="141"/>
      <c r="AB683" s="141"/>
      <c r="AC683" s="141"/>
      <c r="AD683" s="141"/>
      <c r="AE683" s="141"/>
      <c r="AF683" s="141"/>
    </row>
    <row r="684" ht="31" spans="1:32">
      <c r="A684" s="90" t="s">
        <v>4174</v>
      </c>
      <c r="B684" s="93" t="s">
        <v>4175</v>
      </c>
      <c r="C684" s="144" t="s">
        <v>3640</v>
      </c>
      <c r="D684" s="109" t="s">
        <v>5952</v>
      </c>
      <c r="E684" s="109" t="s">
        <v>5953</v>
      </c>
      <c r="F684" s="145" t="s">
        <v>5954</v>
      </c>
      <c r="G684" s="144" t="s">
        <v>3645</v>
      </c>
      <c r="H684" s="144" t="s">
        <v>3646</v>
      </c>
      <c r="I684" s="144" t="s">
        <v>3648</v>
      </c>
      <c r="J684" s="144" t="s">
        <v>3646</v>
      </c>
      <c r="K684" s="144" t="s">
        <v>3648</v>
      </c>
      <c r="L684" s="135"/>
      <c r="M684" s="164"/>
      <c r="N684" s="135"/>
      <c r="O684" s="163" t="s">
        <v>3371</v>
      </c>
      <c r="P684" s="139"/>
      <c r="Q684" s="140"/>
      <c r="R684" s="139"/>
      <c r="S684" s="108"/>
      <c r="T684" s="108"/>
      <c r="U684" s="108"/>
      <c r="V684" s="92"/>
      <c r="W684" s="93"/>
      <c r="X684" s="94"/>
      <c r="Y684" s="141"/>
      <c r="Z684" s="141"/>
      <c r="AA684" s="141"/>
      <c r="AB684" s="141"/>
      <c r="AC684" s="141"/>
      <c r="AD684" s="141"/>
      <c r="AE684" s="141"/>
      <c r="AF684" s="141"/>
    </row>
    <row r="685" ht="31" spans="1:32">
      <c r="A685" s="90" t="s">
        <v>4174</v>
      </c>
      <c r="B685" s="93" t="s">
        <v>4175</v>
      </c>
      <c r="C685" s="144" t="s">
        <v>3640</v>
      </c>
      <c r="D685" s="109" t="s">
        <v>5952</v>
      </c>
      <c r="E685" s="109" t="s">
        <v>5953</v>
      </c>
      <c r="F685" s="145" t="s">
        <v>5954</v>
      </c>
      <c r="G685" s="144" t="s">
        <v>3649</v>
      </c>
      <c r="H685" s="144" t="s">
        <v>3650</v>
      </c>
      <c r="I685" s="144" t="s">
        <v>3652</v>
      </c>
      <c r="J685" s="144" t="s">
        <v>3650</v>
      </c>
      <c r="K685" s="144" t="s">
        <v>3652</v>
      </c>
      <c r="L685" s="135"/>
      <c r="M685" s="164"/>
      <c r="N685" s="135"/>
      <c r="O685" s="163" t="s">
        <v>5555</v>
      </c>
      <c r="P685" s="139"/>
      <c r="Q685" s="140"/>
      <c r="R685" s="139"/>
      <c r="S685" s="108"/>
      <c r="T685" s="108"/>
      <c r="U685" s="108"/>
      <c r="V685" s="92"/>
      <c r="W685" s="93"/>
      <c r="X685" s="94"/>
      <c r="Y685" s="141"/>
      <c r="Z685" s="141"/>
      <c r="AA685" s="141"/>
      <c r="AB685" s="141"/>
      <c r="AC685" s="141"/>
      <c r="AD685" s="141"/>
      <c r="AE685" s="141"/>
      <c r="AF685" s="141"/>
    </row>
    <row r="686" spans="1:32">
      <c r="A686" s="90" t="s">
        <v>4174</v>
      </c>
      <c r="B686" s="93" t="s">
        <v>4175</v>
      </c>
      <c r="C686" s="144" t="s">
        <v>3640</v>
      </c>
      <c r="D686" s="109" t="s">
        <v>5952</v>
      </c>
      <c r="E686" s="109" t="s">
        <v>5953</v>
      </c>
      <c r="F686" s="145" t="s">
        <v>5954</v>
      </c>
      <c r="G686" s="144" t="s">
        <v>3632</v>
      </c>
      <c r="H686" s="144" t="s">
        <v>3633</v>
      </c>
      <c r="I686" s="144" t="s">
        <v>3635</v>
      </c>
      <c r="J686" s="144" t="s">
        <v>3633</v>
      </c>
      <c r="K686" s="144" t="s">
        <v>3635</v>
      </c>
      <c r="L686" s="135"/>
      <c r="M686" s="164"/>
      <c r="N686" s="135"/>
      <c r="O686" s="163" t="s">
        <v>4488</v>
      </c>
      <c r="P686" s="139"/>
      <c r="Q686" s="140"/>
      <c r="R686" s="139"/>
      <c r="S686" s="108"/>
      <c r="T686" s="108"/>
      <c r="U686" s="108"/>
      <c r="V686" s="92"/>
      <c r="W686" s="93"/>
      <c r="X686" s="94"/>
      <c r="Y686" s="141"/>
      <c r="Z686" s="141"/>
      <c r="AA686" s="141"/>
      <c r="AB686" s="141"/>
      <c r="AC686" s="141"/>
      <c r="AD686" s="141"/>
      <c r="AE686" s="141"/>
      <c r="AF686" s="141"/>
    </row>
    <row r="687" ht="31" spans="1:32">
      <c r="A687" s="16" t="s">
        <v>4174</v>
      </c>
      <c r="B687" s="17" t="s">
        <v>4175</v>
      </c>
      <c r="C687" s="30" t="s">
        <v>3388</v>
      </c>
      <c r="D687" s="19" t="e">
        <f>VLOOKUP(C687,#REF!,2,0)</f>
        <v>#REF!</v>
      </c>
      <c r="E687" s="20" t="e">
        <f>VLOOKUP(D687,数据集标准分类!E:F,2,0)</f>
        <v>#REF!</v>
      </c>
      <c r="F687" s="21">
        <v>24</v>
      </c>
      <c r="G687" s="22" t="s">
        <v>172</v>
      </c>
      <c r="H687" s="22" t="s">
        <v>5639</v>
      </c>
      <c r="I687" s="22" t="s">
        <v>5640</v>
      </c>
      <c r="J687" s="22" t="s">
        <v>173</v>
      </c>
      <c r="K687" s="22" t="s">
        <v>175</v>
      </c>
      <c r="L687" s="22" t="s">
        <v>3389</v>
      </c>
      <c r="M687" s="16" t="s">
        <v>5593</v>
      </c>
      <c r="N687" s="16" t="s">
        <v>5593</v>
      </c>
      <c r="O687" s="23">
        <v>1</v>
      </c>
      <c r="P687" s="24" t="e">
        <f>VLOOKUP(I687,#REF!,2,0)</f>
        <v>#REF!</v>
      </c>
      <c r="Q687" s="25"/>
      <c r="R687" s="24"/>
      <c r="S687" s="26"/>
      <c r="T687" s="24"/>
      <c r="U687" s="26"/>
      <c r="V687" s="26"/>
      <c r="W687" s="27">
        <v>581</v>
      </c>
      <c r="X687" s="28"/>
    </row>
    <row r="688" ht="46" spans="1:32">
      <c r="A688" s="16" t="s">
        <v>4174</v>
      </c>
      <c r="B688" s="17" t="s">
        <v>4175</v>
      </c>
      <c r="C688" s="30" t="s">
        <v>3388</v>
      </c>
      <c r="D688" s="19" t="e">
        <f>VLOOKUP(C688,#REF!,2,0)</f>
        <v>#REF!</v>
      </c>
      <c r="E688" s="20" t="e">
        <f>VLOOKUP(D688,数据集标准分类!E:F,2,0)</f>
        <v>#REF!</v>
      </c>
      <c r="F688" s="21">
        <v>24</v>
      </c>
      <c r="G688" s="22" t="s">
        <v>157</v>
      </c>
      <c r="H688" s="22" t="s">
        <v>158</v>
      </c>
      <c r="I688" s="22" t="s">
        <v>5955</v>
      </c>
      <c r="J688" s="22" t="s">
        <v>158</v>
      </c>
      <c r="K688" s="22" t="s">
        <v>160</v>
      </c>
      <c r="L688" s="22" t="s">
        <v>161</v>
      </c>
      <c r="M688" s="16" t="s">
        <v>5595</v>
      </c>
      <c r="N688" s="16" t="s">
        <v>5593</v>
      </c>
      <c r="O688" s="23">
        <v>2</v>
      </c>
      <c r="P688" s="24" t="e">
        <f>VLOOKUP(I688,#REF!,2,0)</f>
        <v>#REF!</v>
      </c>
      <c r="Q688" s="25"/>
      <c r="R688" s="24"/>
      <c r="S688" s="26"/>
      <c r="T688" s="24"/>
      <c r="U688" s="26"/>
      <c r="V688" s="26"/>
      <c r="W688" s="27">
        <v>582</v>
      </c>
      <c r="X688" s="28"/>
    </row>
    <row r="689" ht="31" spans="1:24">
      <c r="A689" s="16" t="s">
        <v>4174</v>
      </c>
      <c r="B689" s="17" t="s">
        <v>4175</v>
      </c>
      <c r="C689" s="30" t="s">
        <v>3388</v>
      </c>
      <c r="D689" s="19" t="e">
        <f>VLOOKUP(C689,#REF!,2,0)</f>
        <v>#REF!</v>
      </c>
      <c r="E689" s="20" t="e">
        <f>VLOOKUP(D689,数据集标准分类!E:F,2,0)</f>
        <v>#REF!</v>
      </c>
      <c r="F689" s="21">
        <v>24</v>
      </c>
      <c r="G689" s="22" t="s">
        <v>3260</v>
      </c>
      <c r="H689" s="22" t="s">
        <v>5865</v>
      </c>
      <c r="I689" s="22" t="s">
        <v>3263</v>
      </c>
      <c r="J689" s="22" t="s">
        <v>3261</v>
      </c>
      <c r="K689" s="22" t="s">
        <v>3263</v>
      </c>
      <c r="L689" s="22" t="s">
        <v>3264</v>
      </c>
      <c r="M689" s="16" t="s">
        <v>5593</v>
      </c>
      <c r="N689" s="16" t="s">
        <v>5595</v>
      </c>
      <c r="O689" s="23">
        <v>3</v>
      </c>
      <c r="P689" s="24" t="e">
        <f>VLOOKUP(I689,#REF!,2,0)</f>
        <v>#REF!</v>
      </c>
      <c r="Q689" s="25"/>
      <c r="R689" s="24"/>
      <c r="S689" s="26"/>
      <c r="T689" s="24"/>
      <c r="U689" s="26"/>
      <c r="V689" s="26"/>
      <c r="W689" s="27">
        <v>583</v>
      </c>
      <c r="X689" s="28"/>
    </row>
    <row r="690" ht="31" spans="1:24">
      <c r="A690" s="16" t="s">
        <v>4174</v>
      </c>
      <c r="B690" s="17" t="s">
        <v>4175</v>
      </c>
      <c r="C690" s="30" t="s">
        <v>3388</v>
      </c>
      <c r="D690" s="19" t="e">
        <f>VLOOKUP(C690,#REF!,2,0)</f>
        <v>#REF!</v>
      </c>
      <c r="E690" s="20" t="e">
        <f>VLOOKUP(D690,数据集标准分类!E:F,2,0)</f>
        <v>#REF!</v>
      </c>
      <c r="F690" s="21">
        <v>24</v>
      </c>
      <c r="G690" s="22" t="s">
        <v>3285</v>
      </c>
      <c r="H690" s="22" t="s">
        <v>3286</v>
      </c>
      <c r="I690" s="22" t="s">
        <v>3288</v>
      </c>
      <c r="J690" s="22" t="s">
        <v>3286</v>
      </c>
      <c r="K690" s="22" t="s">
        <v>3288</v>
      </c>
      <c r="L690" s="22" t="s">
        <v>3289</v>
      </c>
      <c r="M690" s="16" t="s">
        <v>5595</v>
      </c>
      <c r="N690" s="16" t="s">
        <v>5595</v>
      </c>
      <c r="O690" s="23">
        <v>4</v>
      </c>
      <c r="P690" s="24" t="e">
        <f>VLOOKUP(I690,#REF!,2,0)</f>
        <v>#REF!</v>
      </c>
      <c r="Q690" s="25"/>
      <c r="R690" s="24"/>
      <c r="S690" s="26"/>
      <c r="T690" s="24"/>
      <c r="U690" s="26"/>
      <c r="V690" s="26"/>
      <c r="W690" s="27">
        <v>584</v>
      </c>
      <c r="X690" s="28"/>
    </row>
    <row r="691" spans="1:24">
      <c r="A691" s="16" t="s">
        <v>4174</v>
      </c>
      <c r="B691" s="17" t="s">
        <v>4175</v>
      </c>
      <c r="C691" s="30" t="s">
        <v>3388</v>
      </c>
      <c r="D691" s="19" t="e">
        <f>VLOOKUP(C691,#REF!,2,0)</f>
        <v>#REF!</v>
      </c>
      <c r="E691" s="20" t="e">
        <f>VLOOKUP(D691,数据集标准分类!E:F,2,0)</f>
        <v>#REF!</v>
      </c>
      <c r="F691" s="21">
        <v>24</v>
      </c>
      <c r="G691" s="22" t="s">
        <v>971</v>
      </c>
      <c r="H691" s="22" t="s">
        <v>5956</v>
      </c>
      <c r="I691" s="22" t="s">
        <v>974</v>
      </c>
      <c r="J691" s="22" t="s">
        <v>972</v>
      </c>
      <c r="K691" s="22" t="s">
        <v>974</v>
      </c>
      <c r="L691" s="22" t="s">
        <v>975</v>
      </c>
      <c r="M691" s="16" t="s">
        <v>5593</v>
      </c>
      <c r="N691" s="16" t="s">
        <v>5595</v>
      </c>
      <c r="O691" s="23">
        <v>5</v>
      </c>
      <c r="P691" s="24" t="e">
        <f>VLOOKUP(I691,#REF!,2,0)</f>
        <v>#REF!</v>
      </c>
      <c r="Q691" s="25"/>
      <c r="R691" s="24"/>
      <c r="S691" s="26"/>
      <c r="T691" s="24"/>
      <c r="U691" s="26"/>
      <c r="V691" s="26"/>
      <c r="W691" s="27">
        <v>585</v>
      </c>
      <c r="X691" s="28"/>
    </row>
    <row r="692" ht="31" spans="1:24">
      <c r="A692" s="16" t="s">
        <v>4174</v>
      </c>
      <c r="B692" s="17" t="s">
        <v>4175</v>
      </c>
      <c r="C692" s="30" t="s">
        <v>3388</v>
      </c>
      <c r="D692" s="19" t="e">
        <f>VLOOKUP(C692,#REF!,2,0)</f>
        <v>#REF!</v>
      </c>
      <c r="E692" s="20" t="e">
        <f>VLOOKUP(D692,数据集标准分类!E:F,2,0)</f>
        <v>#REF!</v>
      </c>
      <c r="F692" s="21">
        <v>24</v>
      </c>
      <c r="G692" s="22" t="s">
        <v>355</v>
      </c>
      <c r="H692" s="22" t="s">
        <v>356</v>
      </c>
      <c r="I692" s="22" t="s">
        <v>358</v>
      </c>
      <c r="J692" s="22" t="s">
        <v>356</v>
      </c>
      <c r="K692" s="22" t="s">
        <v>358</v>
      </c>
      <c r="L692" s="22" t="s">
        <v>359</v>
      </c>
      <c r="M692" s="16" t="s">
        <v>5595</v>
      </c>
      <c r="N692" s="16" t="s">
        <v>5595</v>
      </c>
      <c r="O692" s="23">
        <v>6</v>
      </c>
      <c r="P692" s="24" t="e">
        <f>VLOOKUP(I692,#REF!,2,0)</f>
        <v>#REF!</v>
      </c>
      <c r="Q692" s="25"/>
      <c r="R692" s="24"/>
      <c r="S692" s="26"/>
      <c r="T692" s="24"/>
      <c r="U692" s="26"/>
      <c r="V692" s="26"/>
      <c r="W692" s="27">
        <v>586</v>
      </c>
      <c r="X692" s="28"/>
    </row>
    <row r="693" spans="1:24">
      <c r="A693" s="16" t="s">
        <v>4174</v>
      </c>
      <c r="B693" s="17" t="s">
        <v>4175</v>
      </c>
      <c r="C693" s="30" t="s">
        <v>3388</v>
      </c>
      <c r="D693" s="19" t="e">
        <f>VLOOKUP(C693,#REF!,2,0)</f>
        <v>#REF!</v>
      </c>
      <c r="E693" s="20" t="e">
        <f>VLOOKUP(D693,数据集标准分类!E:F,2,0)</f>
        <v>#REF!</v>
      </c>
      <c r="F693" s="21">
        <v>24</v>
      </c>
      <c r="G693" s="22" t="s">
        <v>201</v>
      </c>
      <c r="H693" s="22" t="s">
        <v>5646</v>
      </c>
      <c r="I693" s="22" t="s">
        <v>5647</v>
      </c>
      <c r="J693" s="22" t="s">
        <v>202</v>
      </c>
      <c r="K693" s="22" t="s">
        <v>204</v>
      </c>
      <c r="L693" s="22" t="s">
        <v>3390</v>
      </c>
      <c r="M693" s="16" t="s">
        <v>5593</v>
      </c>
      <c r="N693" s="16" t="s">
        <v>5593</v>
      </c>
      <c r="O693" s="23">
        <v>7</v>
      </c>
      <c r="P693" s="24" t="e">
        <f>VLOOKUP(I693,#REF!,2,0)</f>
        <v>#REF!</v>
      </c>
      <c r="Q693" s="25"/>
      <c r="R693" s="24"/>
      <c r="S693" s="26"/>
      <c r="T693" s="24"/>
      <c r="U693" s="26"/>
      <c r="V693" s="26"/>
      <c r="W693" s="27">
        <v>587</v>
      </c>
      <c r="X693" s="28"/>
    </row>
    <row r="694" ht="31" spans="1:24">
      <c r="A694" s="16" t="s">
        <v>4174</v>
      </c>
      <c r="B694" s="17" t="s">
        <v>4175</v>
      </c>
      <c r="C694" s="30" t="s">
        <v>3388</v>
      </c>
      <c r="D694" s="19" t="e">
        <f>VLOOKUP(C694,#REF!,2,0)</f>
        <v>#REF!</v>
      </c>
      <c r="E694" s="20" t="e">
        <f>VLOOKUP(D694,数据集标准分类!E:F,2,0)</f>
        <v>#REF!</v>
      </c>
      <c r="F694" s="21">
        <v>24</v>
      </c>
      <c r="G694" s="22" t="s">
        <v>3391</v>
      </c>
      <c r="H694" s="22" t="s">
        <v>5869</v>
      </c>
      <c r="I694" s="22" t="s">
        <v>3394</v>
      </c>
      <c r="J694" s="22" t="s">
        <v>3392</v>
      </c>
      <c r="K694" s="22" t="s">
        <v>3394</v>
      </c>
      <c r="L694" s="22" t="s">
        <v>3395</v>
      </c>
      <c r="M694" s="16" t="s">
        <v>5593</v>
      </c>
      <c r="N694" s="16" t="s">
        <v>5595</v>
      </c>
      <c r="O694" s="23">
        <v>8</v>
      </c>
      <c r="P694" s="24" t="e">
        <f>VLOOKUP(I694,#REF!,2,0)</f>
        <v>#REF!</v>
      </c>
      <c r="Q694" s="25"/>
      <c r="R694" s="24"/>
      <c r="S694" s="26"/>
      <c r="T694" s="24"/>
      <c r="U694" s="26"/>
      <c r="V694" s="26"/>
      <c r="W694" s="27">
        <v>588</v>
      </c>
      <c r="X694" s="28"/>
    </row>
    <row r="695" ht="31" spans="1:24">
      <c r="A695" s="16" t="s">
        <v>4174</v>
      </c>
      <c r="B695" s="17" t="s">
        <v>4175</v>
      </c>
      <c r="C695" s="30" t="s">
        <v>3388</v>
      </c>
      <c r="D695" s="19" t="e">
        <f>VLOOKUP(C695,#REF!,2,0)</f>
        <v>#REF!</v>
      </c>
      <c r="E695" s="20" t="e">
        <f>VLOOKUP(D695,数据集标准分类!E:F,2,0)</f>
        <v>#REF!</v>
      </c>
      <c r="F695" s="21">
        <v>24</v>
      </c>
      <c r="G695" s="22" t="s">
        <v>3396</v>
      </c>
      <c r="H695" s="22" t="s">
        <v>5957</v>
      </c>
      <c r="I695" s="22" t="s">
        <v>3399</v>
      </c>
      <c r="J695" s="22" t="s">
        <v>3397</v>
      </c>
      <c r="K695" s="22" t="s">
        <v>3399</v>
      </c>
      <c r="L695" s="22" t="s">
        <v>3400</v>
      </c>
      <c r="M695" s="16" t="s">
        <v>5593</v>
      </c>
      <c r="N695" s="16" t="s">
        <v>5595</v>
      </c>
      <c r="O695" s="23">
        <v>9</v>
      </c>
      <c r="P695" s="24" t="e">
        <f>VLOOKUP(I695,#REF!,2,0)</f>
        <v>#REF!</v>
      </c>
      <c r="Q695" s="25"/>
      <c r="R695" s="24"/>
      <c r="S695" s="26"/>
      <c r="T695" s="24"/>
      <c r="U695" s="26"/>
      <c r="V695" s="26"/>
      <c r="W695" s="27">
        <v>589</v>
      </c>
      <c r="X695" s="28"/>
    </row>
    <row r="696" ht="24" customHeight="1" spans="1:24">
      <c r="A696" s="16" t="s">
        <v>4174</v>
      </c>
      <c r="B696" s="17" t="s">
        <v>4175</v>
      </c>
      <c r="C696" s="30" t="s">
        <v>3388</v>
      </c>
      <c r="D696" s="19" t="e">
        <f>VLOOKUP(C696,#REF!,2,0)</f>
        <v>#REF!</v>
      </c>
      <c r="E696" s="20" t="e">
        <f>VLOOKUP(D696,数据集标准分类!E:F,2,0)</f>
        <v>#REF!</v>
      </c>
      <c r="F696" s="21">
        <v>24</v>
      </c>
      <c r="G696" s="22" t="s">
        <v>3401</v>
      </c>
      <c r="H696" s="22" t="s">
        <v>3402</v>
      </c>
      <c r="I696" s="22" t="s">
        <v>3404</v>
      </c>
      <c r="J696" s="22" t="s">
        <v>3402</v>
      </c>
      <c r="K696" s="22" t="s">
        <v>3404</v>
      </c>
      <c r="L696" s="22" t="s">
        <v>3405</v>
      </c>
      <c r="M696" s="16" t="s">
        <v>5595</v>
      </c>
      <c r="N696" s="16" t="s">
        <v>5595</v>
      </c>
      <c r="O696" s="23">
        <v>10</v>
      </c>
      <c r="P696" s="24" t="e">
        <f>VLOOKUP(I696,#REF!,2,0)</f>
        <v>#REF!</v>
      </c>
      <c r="Q696" s="25"/>
      <c r="R696" s="24"/>
      <c r="S696" s="26"/>
      <c r="T696" s="24"/>
      <c r="U696" s="26"/>
      <c r="V696" s="26"/>
      <c r="W696" s="27">
        <v>590</v>
      </c>
      <c r="X696" s="28"/>
    </row>
    <row r="697" ht="31" spans="1:24">
      <c r="A697" s="16" t="s">
        <v>4174</v>
      </c>
      <c r="B697" s="17" t="s">
        <v>4175</v>
      </c>
      <c r="C697" s="30" t="s">
        <v>3388</v>
      </c>
      <c r="D697" s="19" t="e">
        <f>VLOOKUP(C697,#REF!,2,0)</f>
        <v>#REF!</v>
      </c>
      <c r="E697" s="20" t="e">
        <f>VLOOKUP(D697,数据集标准分类!E:F,2,0)</f>
        <v>#REF!</v>
      </c>
      <c r="F697" s="21">
        <v>24</v>
      </c>
      <c r="G697" s="22" t="s">
        <v>3406</v>
      </c>
      <c r="H697" s="22" t="s">
        <v>5958</v>
      </c>
      <c r="I697" s="22" t="s">
        <v>3409</v>
      </c>
      <c r="J697" s="22" t="s">
        <v>3407</v>
      </c>
      <c r="K697" s="22" t="s">
        <v>3409</v>
      </c>
      <c r="L697" s="22" t="s">
        <v>3410</v>
      </c>
      <c r="M697" s="16" t="s">
        <v>5593</v>
      </c>
      <c r="N697" s="16" t="s">
        <v>5595</v>
      </c>
      <c r="O697" s="23">
        <v>11</v>
      </c>
      <c r="P697" s="24" t="e">
        <f>VLOOKUP(I697,#REF!,2,0)</f>
        <v>#REF!</v>
      </c>
      <c r="Q697" s="25"/>
      <c r="R697" s="24"/>
      <c r="S697" s="26"/>
      <c r="T697" s="24"/>
      <c r="U697" s="26"/>
      <c r="V697" s="26"/>
      <c r="W697" s="27">
        <v>591</v>
      </c>
      <c r="X697" s="28"/>
    </row>
    <row r="698" spans="1:24">
      <c r="A698" s="16" t="s">
        <v>4174</v>
      </c>
      <c r="B698" s="17" t="s">
        <v>4175</v>
      </c>
      <c r="C698" s="30" t="s">
        <v>5959</v>
      </c>
      <c r="D698" s="19" t="e">
        <f>VLOOKUP(C698,#REF!,2,0)</f>
        <v>#REF!</v>
      </c>
      <c r="E698" s="20" t="e">
        <f>VLOOKUP(D698,数据集标准分类!E:F,2,0)</f>
        <v>#REF!</v>
      </c>
      <c r="F698" s="21">
        <v>76</v>
      </c>
      <c r="G698" s="22" t="s">
        <v>3192</v>
      </c>
      <c r="H698" s="22" t="s">
        <v>3193</v>
      </c>
      <c r="I698" s="22" t="s">
        <v>3195</v>
      </c>
      <c r="J698" s="22" t="s">
        <v>3193</v>
      </c>
      <c r="K698" s="22" t="s">
        <v>3195</v>
      </c>
      <c r="L698" s="22"/>
      <c r="M698" s="16"/>
      <c r="N698" s="16"/>
      <c r="O698" s="23">
        <v>1</v>
      </c>
      <c r="P698" s="24"/>
      <c r="Q698" s="25"/>
      <c r="R698" s="24"/>
      <c r="S698" s="26"/>
      <c r="T698" s="24"/>
      <c r="U698" s="26"/>
      <c r="V698" s="26"/>
      <c r="W698" s="27"/>
      <c r="X698" s="28"/>
    </row>
    <row r="699" spans="1:24">
      <c r="A699" s="16" t="s">
        <v>4174</v>
      </c>
      <c r="B699" s="17" t="s">
        <v>4175</v>
      </c>
      <c r="C699" s="30" t="s">
        <v>5959</v>
      </c>
      <c r="D699" s="19" t="e">
        <f>VLOOKUP(C699,#REF!,2,0)</f>
        <v>#REF!</v>
      </c>
      <c r="E699" s="20" t="e">
        <f>VLOOKUP(D699,数据集标准分类!E:F,2,0)</f>
        <v>#REF!</v>
      </c>
      <c r="F699" s="21">
        <v>76</v>
      </c>
      <c r="G699" s="22" t="s">
        <v>3361</v>
      </c>
      <c r="H699" s="22" t="s">
        <v>3362</v>
      </c>
      <c r="I699" s="22" t="s">
        <v>3364</v>
      </c>
      <c r="J699" s="22" t="s">
        <v>3362</v>
      </c>
      <c r="K699" s="22" t="s">
        <v>3364</v>
      </c>
      <c r="L699" s="22"/>
      <c r="M699" s="16"/>
      <c r="N699" s="16"/>
      <c r="O699" s="23">
        <v>2</v>
      </c>
      <c r="P699" s="24"/>
      <c r="Q699" s="25"/>
      <c r="R699" s="24"/>
      <c r="S699" s="26"/>
      <c r="T699" s="24"/>
      <c r="U699" s="26"/>
      <c r="V699" s="26"/>
      <c r="W699" s="27"/>
      <c r="X699" s="28"/>
    </row>
    <row r="700" spans="1:24">
      <c r="A700" s="16" t="s">
        <v>4174</v>
      </c>
      <c r="B700" s="17" t="s">
        <v>4175</v>
      </c>
      <c r="C700" s="30" t="s">
        <v>5959</v>
      </c>
      <c r="D700" s="19" t="e">
        <f>VLOOKUP(C700,#REF!,2,0)</f>
        <v>#REF!</v>
      </c>
      <c r="E700" s="20" t="e">
        <f>VLOOKUP(D700,数据集标准分类!E:F,2,0)</f>
        <v>#REF!</v>
      </c>
      <c r="F700" s="21">
        <v>76</v>
      </c>
      <c r="G700" s="22" t="s">
        <v>1496</v>
      </c>
      <c r="H700" s="22" t="s">
        <v>1497</v>
      </c>
      <c r="I700" s="22" t="s">
        <v>1499</v>
      </c>
      <c r="J700" s="22" t="s">
        <v>1497</v>
      </c>
      <c r="K700" s="22" t="s">
        <v>1499</v>
      </c>
      <c r="L700" s="22"/>
      <c r="M700" s="16"/>
      <c r="N700" s="16"/>
      <c r="O700" s="23">
        <v>3</v>
      </c>
      <c r="P700" s="24"/>
      <c r="Q700" s="25"/>
      <c r="R700" s="24"/>
      <c r="S700" s="26"/>
      <c r="T700" s="24"/>
      <c r="U700" s="26"/>
      <c r="V700" s="26"/>
      <c r="W700" s="27"/>
      <c r="X700" s="28"/>
    </row>
    <row r="701" spans="1:24">
      <c r="A701" s="16" t="s">
        <v>4174</v>
      </c>
      <c r="B701" s="17" t="s">
        <v>4175</v>
      </c>
      <c r="C701" s="30" t="s">
        <v>5959</v>
      </c>
      <c r="D701" s="19" t="e">
        <f>VLOOKUP(C701,#REF!,2,0)</f>
        <v>#REF!</v>
      </c>
      <c r="E701" s="20" t="e">
        <f>VLOOKUP(D701,数据集标准分类!E:F,2,0)</f>
        <v>#REF!</v>
      </c>
      <c r="F701" s="21">
        <v>76</v>
      </c>
      <c r="G701" s="22" t="s">
        <v>3199</v>
      </c>
      <c r="H701" s="22" t="s">
        <v>3200</v>
      </c>
      <c r="I701" s="22" t="s">
        <v>3202</v>
      </c>
      <c r="J701" s="22" t="s">
        <v>3200</v>
      </c>
      <c r="K701" s="22" t="s">
        <v>3202</v>
      </c>
      <c r="L701" s="22"/>
      <c r="M701" s="16"/>
      <c r="N701" s="16"/>
      <c r="O701" s="23">
        <v>4</v>
      </c>
      <c r="P701" s="24"/>
      <c r="Q701" s="25"/>
      <c r="R701" s="24"/>
      <c r="S701" s="26"/>
      <c r="T701" s="24"/>
      <c r="U701" s="26"/>
      <c r="V701" s="26"/>
      <c r="W701" s="27"/>
      <c r="X701" s="28"/>
    </row>
    <row r="702" spans="1:24">
      <c r="A702" s="16" t="s">
        <v>4174</v>
      </c>
      <c r="B702" s="17" t="s">
        <v>4175</v>
      </c>
      <c r="C702" s="30" t="s">
        <v>5959</v>
      </c>
      <c r="D702" s="19" t="e">
        <f>VLOOKUP(C702,#REF!,2,0)</f>
        <v>#REF!</v>
      </c>
      <c r="E702" s="20" t="e">
        <f>VLOOKUP(D702,数据集标准分类!E:F,2,0)</f>
        <v>#REF!</v>
      </c>
      <c r="F702" s="21">
        <v>76</v>
      </c>
      <c r="G702" s="22" t="s">
        <v>3366</v>
      </c>
      <c r="H702" s="22" t="s">
        <v>3367</v>
      </c>
      <c r="I702" s="22" t="s">
        <v>3369</v>
      </c>
      <c r="J702" s="22" t="s">
        <v>3367</v>
      </c>
      <c r="K702" s="22" t="s">
        <v>3369</v>
      </c>
      <c r="L702" s="22"/>
      <c r="M702" s="16"/>
      <c r="N702" s="16"/>
      <c r="O702" s="23">
        <v>5</v>
      </c>
      <c r="P702" s="24"/>
      <c r="Q702" s="25"/>
      <c r="R702" s="24"/>
      <c r="S702" s="26"/>
      <c r="T702" s="24"/>
      <c r="U702" s="26"/>
      <c r="V702" s="26"/>
      <c r="W702" s="27"/>
      <c r="X702" s="28"/>
    </row>
    <row r="703" spans="1:24">
      <c r="A703" s="16" t="s">
        <v>4174</v>
      </c>
      <c r="B703" s="17" t="s">
        <v>4175</v>
      </c>
      <c r="C703" s="30" t="s">
        <v>5959</v>
      </c>
      <c r="D703" s="19" t="e">
        <f>VLOOKUP(C703,#REF!,2,0)</f>
        <v>#REF!</v>
      </c>
      <c r="E703" s="20" t="e">
        <f>VLOOKUP(D703,数据集标准分类!E:F,2,0)</f>
        <v>#REF!</v>
      </c>
      <c r="F703" s="21">
        <v>76</v>
      </c>
      <c r="G703" s="22" t="s">
        <v>3336</v>
      </c>
      <c r="H703" s="22" t="s">
        <v>3337</v>
      </c>
      <c r="I703" s="22" t="s">
        <v>3339</v>
      </c>
      <c r="J703" s="22" t="s">
        <v>3337</v>
      </c>
      <c r="K703" s="22" t="s">
        <v>3339</v>
      </c>
      <c r="L703" s="22"/>
      <c r="M703" s="16"/>
      <c r="N703" s="16"/>
      <c r="O703" s="23">
        <v>6</v>
      </c>
      <c r="P703" s="24"/>
      <c r="Q703" s="25"/>
      <c r="R703" s="24"/>
      <c r="S703" s="26"/>
      <c r="T703" s="24"/>
      <c r="U703" s="26"/>
      <c r="V703" s="26"/>
      <c r="W703" s="27"/>
      <c r="X703" s="28"/>
    </row>
    <row r="704" spans="1:24">
      <c r="A704" s="16" t="s">
        <v>4174</v>
      </c>
      <c r="B704" s="17" t="s">
        <v>4175</v>
      </c>
      <c r="C704" s="65" t="s">
        <v>5960</v>
      </c>
      <c r="D704" s="165" t="s">
        <v>5961</v>
      </c>
      <c r="E704" s="20" t="s">
        <v>4341</v>
      </c>
      <c r="F704" s="166" t="s">
        <v>4655</v>
      </c>
      <c r="G704" s="146" t="s">
        <v>5565</v>
      </c>
      <c r="H704" s="167" t="s">
        <v>5566</v>
      </c>
      <c r="I704" s="146" t="s">
        <v>5568</v>
      </c>
      <c r="J704" s="167" t="s">
        <v>5566</v>
      </c>
      <c r="K704" s="146" t="s">
        <v>5568</v>
      </c>
      <c r="L704" s="151"/>
      <c r="M704" s="149"/>
      <c r="N704" s="168"/>
      <c r="O704" s="169" t="s">
        <v>3351</v>
      </c>
      <c r="P704" s="170"/>
      <c r="Q704" s="25"/>
      <c r="R704" s="24"/>
      <c r="S704" s="26"/>
      <c r="T704" s="24"/>
      <c r="U704" s="26"/>
      <c r="V704" s="26"/>
      <c r="W704" s="27"/>
      <c r="X704" s="28"/>
    </row>
    <row r="705" spans="1:32">
      <c r="A705" s="16" t="s">
        <v>4174</v>
      </c>
      <c r="B705" s="17" t="s">
        <v>4175</v>
      </c>
      <c r="C705" s="65" t="s">
        <v>5960</v>
      </c>
      <c r="D705" s="165" t="s">
        <v>5961</v>
      </c>
      <c r="E705" s="20" t="s">
        <v>4341</v>
      </c>
      <c r="F705" s="166" t="s">
        <v>4655</v>
      </c>
      <c r="G705" s="146" t="s">
        <v>5561</v>
      </c>
      <c r="H705" s="171" t="s">
        <v>5562</v>
      </c>
      <c r="I705" s="146" t="s">
        <v>5564</v>
      </c>
      <c r="J705" s="171" t="s">
        <v>5562</v>
      </c>
      <c r="K705" s="146" t="s">
        <v>5564</v>
      </c>
      <c r="L705" s="151"/>
      <c r="M705" s="149"/>
      <c r="N705" s="168"/>
      <c r="O705" s="169" t="s">
        <v>3352</v>
      </c>
      <c r="P705" s="170"/>
      <c r="Q705" s="25"/>
      <c r="R705" s="24"/>
      <c r="S705" s="26"/>
      <c r="T705" s="24"/>
      <c r="U705" s="26"/>
      <c r="V705" s="26"/>
      <c r="W705" s="27"/>
      <c r="X705" s="28"/>
    </row>
    <row r="706" spans="1:32">
      <c r="A706" s="16" t="s">
        <v>4174</v>
      </c>
      <c r="B706" s="17" t="s">
        <v>4175</v>
      </c>
      <c r="C706" s="65" t="s">
        <v>5960</v>
      </c>
      <c r="D706" s="165" t="s">
        <v>5961</v>
      </c>
      <c r="E706" s="20" t="s">
        <v>4341</v>
      </c>
      <c r="F706" s="166" t="s">
        <v>4655</v>
      </c>
      <c r="G706" s="146" t="s">
        <v>3641</v>
      </c>
      <c r="H706" s="172" t="s">
        <v>3642</v>
      </c>
      <c r="I706" s="146" t="s">
        <v>3644</v>
      </c>
      <c r="J706" s="172" t="s">
        <v>3642</v>
      </c>
      <c r="K706" s="146" t="s">
        <v>3644</v>
      </c>
      <c r="L706" s="151"/>
      <c r="M706" s="149"/>
      <c r="N706" s="168"/>
      <c r="O706" s="169" t="s">
        <v>3353</v>
      </c>
      <c r="P706" s="170"/>
      <c r="Q706" s="25"/>
      <c r="R706" s="24"/>
      <c r="S706" s="26"/>
      <c r="T706" s="24"/>
      <c r="U706" s="26"/>
      <c r="V706" s="26"/>
      <c r="W706" s="27"/>
      <c r="X706" s="28"/>
    </row>
    <row r="707" spans="1:32">
      <c r="A707" s="16" t="s">
        <v>4174</v>
      </c>
      <c r="B707" s="17" t="s">
        <v>4175</v>
      </c>
      <c r="C707" s="65" t="s">
        <v>5960</v>
      </c>
      <c r="D707" s="165" t="s">
        <v>5961</v>
      </c>
      <c r="E707" s="20" t="s">
        <v>4341</v>
      </c>
      <c r="F707" s="166" t="s">
        <v>4655</v>
      </c>
      <c r="G707" s="146" t="s">
        <v>2889</v>
      </c>
      <c r="H707" s="167" t="s">
        <v>2890</v>
      </c>
      <c r="I707" s="146" t="s">
        <v>2892</v>
      </c>
      <c r="J707" s="167" t="s">
        <v>2890</v>
      </c>
      <c r="K707" s="146" t="s">
        <v>2892</v>
      </c>
      <c r="L707" s="151"/>
      <c r="M707" s="149"/>
      <c r="N707" s="168"/>
      <c r="O707" s="169" t="s">
        <v>3365</v>
      </c>
      <c r="P707" s="170"/>
      <c r="Q707" s="25"/>
      <c r="R707" s="24"/>
      <c r="S707" s="26"/>
      <c r="T707" s="24"/>
      <c r="U707" s="26"/>
      <c r="V707" s="26"/>
      <c r="W707" s="27"/>
      <c r="X707" s="28"/>
    </row>
    <row r="708" spans="1:32">
      <c r="A708" s="16" t="s">
        <v>4174</v>
      </c>
      <c r="B708" s="17" t="s">
        <v>4175</v>
      </c>
      <c r="C708" s="65" t="s">
        <v>5960</v>
      </c>
      <c r="D708" s="165" t="s">
        <v>5961</v>
      </c>
      <c r="E708" s="20" t="s">
        <v>4341</v>
      </c>
      <c r="F708" s="166" t="s">
        <v>4655</v>
      </c>
      <c r="G708" s="173" t="s">
        <v>2935</v>
      </c>
      <c r="H708" s="171" t="s">
        <v>2936</v>
      </c>
      <c r="I708" s="174" t="s">
        <v>5571</v>
      </c>
      <c r="J708" s="171" t="s">
        <v>2936</v>
      </c>
      <c r="K708" s="174" t="s">
        <v>5571</v>
      </c>
      <c r="L708" s="151"/>
      <c r="M708" s="149"/>
      <c r="N708" s="168"/>
      <c r="O708" s="169" t="s">
        <v>3370</v>
      </c>
      <c r="P708" s="170"/>
      <c r="Q708" s="25"/>
      <c r="R708" s="24"/>
      <c r="S708" s="26"/>
      <c r="T708" s="24"/>
      <c r="U708" s="26"/>
      <c r="V708" s="26"/>
      <c r="W708" s="27"/>
      <c r="X708" s="28"/>
    </row>
    <row r="709" spans="1:32">
      <c r="A709" s="16" t="s">
        <v>4174</v>
      </c>
      <c r="B709" s="17" t="s">
        <v>4175</v>
      </c>
      <c r="C709" s="65" t="s">
        <v>5960</v>
      </c>
      <c r="D709" s="165" t="s">
        <v>5961</v>
      </c>
      <c r="E709" s="20" t="s">
        <v>4341</v>
      </c>
      <c r="F709" s="166" t="s">
        <v>4655</v>
      </c>
      <c r="G709" s="173" t="s">
        <v>3196</v>
      </c>
      <c r="H709" s="171" t="s">
        <v>3197</v>
      </c>
      <c r="I709" s="174" t="s">
        <v>2740</v>
      </c>
      <c r="J709" s="171" t="s">
        <v>3197</v>
      </c>
      <c r="K709" s="174" t="s">
        <v>2740</v>
      </c>
      <c r="L709" s="151"/>
      <c r="M709" s="149"/>
      <c r="N709" s="168"/>
      <c r="O709" s="169" t="s">
        <v>3371</v>
      </c>
      <c r="P709" s="170"/>
      <c r="Q709" s="25"/>
      <c r="R709" s="24"/>
      <c r="S709" s="26"/>
      <c r="T709" s="24"/>
      <c r="U709" s="26"/>
      <c r="V709" s="26"/>
      <c r="W709" s="27"/>
      <c r="X709" s="28"/>
    </row>
    <row r="710" spans="1:32">
      <c r="A710" s="16" t="s">
        <v>4174</v>
      </c>
      <c r="B710" s="17" t="s">
        <v>4175</v>
      </c>
      <c r="C710" s="65" t="s">
        <v>5960</v>
      </c>
      <c r="D710" s="165" t="s">
        <v>5961</v>
      </c>
      <c r="E710" s="20" t="s">
        <v>4341</v>
      </c>
      <c r="F710" s="166" t="s">
        <v>4655</v>
      </c>
      <c r="G710" s="173" t="s">
        <v>1774</v>
      </c>
      <c r="H710" s="171" t="s">
        <v>1775</v>
      </c>
      <c r="I710" s="174" t="s">
        <v>1777</v>
      </c>
      <c r="J710" s="171" t="s">
        <v>1775</v>
      </c>
      <c r="K710" s="174" t="s">
        <v>1777</v>
      </c>
      <c r="L710" s="151"/>
      <c r="M710" s="149"/>
      <c r="N710" s="168"/>
      <c r="O710" s="169" t="s">
        <v>5555</v>
      </c>
      <c r="P710" s="170"/>
      <c r="Q710" s="25"/>
      <c r="R710" s="24"/>
      <c r="S710" s="26"/>
      <c r="T710" s="24"/>
      <c r="U710" s="26"/>
      <c r="V710" s="26"/>
      <c r="W710" s="27"/>
      <c r="X710" s="28"/>
    </row>
    <row r="711" spans="1:32">
      <c r="A711" s="16" t="s">
        <v>4174</v>
      </c>
      <c r="B711" s="17" t="s">
        <v>4175</v>
      </c>
      <c r="C711" s="65" t="s">
        <v>5960</v>
      </c>
      <c r="D711" s="165" t="s">
        <v>5961</v>
      </c>
      <c r="E711" s="20" t="s">
        <v>4341</v>
      </c>
      <c r="F711" s="166" t="s">
        <v>4655</v>
      </c>
      <c r="G711" s="173" t="s">
        <v>5556</v>
      </c>
      <c r="H711" s="171" t="s">
        <v>5557</v>
      </c>
      <c r="I711" s="174" t="s">
        <v>5559</v>
      </c>
      <c r="J711" s="171" t="s">
        <v>5557</v>
      </c>
      <c r="K711" s="174" t="s">
        <v>5559</v>
      </c>
      <c r="L711" s="151"/>
      <c r="M711" s="149"/>
      <c r="N711" s="168"/>
      <c r="O711" s="169" t="s">
        <v>4488</v>
      </c>
      <c r="P711" s="170"/>
      <c r="Q711" s="25"/>
      <c r="R711" s="24"/>
      <c r="S711" s="26"/>
      <c r="T711" s="24"/>
      <c r="U711" s="26"/>
      <c r="V711" s="26"/>
      <c r="W711" s="27"/>
      <c r="X711" s="28"/>
    </row>
    <row r="712" spans="1:32">
      <c r="A712" s="16" t="s">
        <v>4174</v>
      </c>
      <c r="B712" s="17" t="s">
        <v>4175</v>
      </c>
      <c r="C712" s="65" t="s">
        <v>5960</v>
      </c>
      <c r="D712" s="165" t="s">
        <v>5961</v>
      </c>
      <c r="E712" s="20" t="s">
        <v>4341</v>
      </c>
      <c r="F712" s="166" t="s">
        <v>4655</v>
      </c>
      <c r="G712" s="175" t="s">
        <v>3192</v>
      </c>
      <c r="H712" s="176" t="s">
        <v>3193</v>
      </c>
      <c r="I712" s="174" t="s">
        <v>3195</v>
      </c>
      <c r="J712" s="176" t="s">
        <v>3193</v>
      </c>
      <c r="K712" s="174" t="s">
        <v>3195</v>
      </c>
      <c r="L712" s="151"/>
      <c r="M712" s="149"/>
      <c r="N712" s="168"/>
      <c r="O712" s="169" t="s">
        <v>4492</v>
      </c>
      <c r="P712" s="170"/>
      <c r="Q712" s="25"/>
      <c r="R712" s="24"/>
      <c r="S712" s="26"/>
      <c r="T712" s="24"/>
      <c r="U712" s="26"/>
      <c r="V712" s="26"/>
      <c r="W712" s="27"/>
      <c r="X712" s="28"/>
    </row>
    <row r="713" spans="1:32">
      <c r="A713" s="16" t="s">
        <v>4174</v>
      </c>
      <c r="B713" s="17" t="s">
        <v>4175</v>
      </c>
      <c r="C713" s="65" t="s">
        <v>5960</v>
      </c>
      <c r="D713" s="165" t="s">
        <v>5961</v>
      </c>
      <c r="E713" s="20" t="s">
        <v>4341</v>
      </c>
      <c r="F713" s="166" t="s">
        <v>4655</v>
      </c>
      <c r="G713" s="171" t="s">
        <v>3332</v>
      </c>
      <c r="H713" s="171" t="s">
        <v>3333</v>
      </c>
      <c r="I713" s="171" t="s">
        <v>3335</v>
      </c>
      <c r="J713" s="171" t="s">
        <v>3333</v>
      </c>
      <c r="K713" s="171" t="s">
        <v>3335</v>
      </c>
      <c r="L713" s="151"/>
      <c r="M713" s="149"/>
      <c r="N713" s="168"/>
      <c r="O713" s="169" t="s">
        <v>4495</v>
      </c>
      <c r="P713" s="170"/>
      <c r="Q713" s="25"/>
      <c r="R713" s="24"/>
      <c r="S713" s="26"/>
      <c r="T713" s="24"/>
      <c r="U713" s="26"/>
      <c r="V713" s="26"/>
      <c r="W713" s="27"/>
      <c r="X713" s="28"/>
    </row>
    <row r="714" spans="1:32">
      <c r="A714" s="16" t="s">
        <v>4174</v>
      </c>
      <c r="B714" s="17" t="s">
        <v>4175</v>
      </c>
      <c r="C714" s="65" t="s">
        <v>5960</v>
      </c>
      <c r="D714" s="165" t="s">
        <v>5961</v>
      </c>
      <c r="E714" s="20" t="s">
        <v>4341</v>
      </c>
      <c r="F714" s="166" t="s">
        <v>4655</v>
      </c>
      <c r="G714" s="171" t="s">
        <v>3336</v>
      </c>
      <c r="H714" s="171" t="s">
        <v>3337</v>
      </c>
      <c r="I714" s="101" t="s">
        <v>3339</v>
      </c>
      <c r="J714" s="171" t="s">
        <v>3337</v>
      </c>
      <c r="K714" s="101" t="s">
        <v>3339</v>
      </c>
      <c r="L714" s="151"/>
      <c r="M714" s="149"/>
      <c r="N714" s="168"/>
      <c r="O714" s="169" t="s">
        <v>4499</v>
      </c>
      <c r="P714" s="170"/>
      <c r="Q714" s="25"/>
      <c r="R714" s="24"/>
      <c r="S714" s="26"/>
      <c r="T714" s="24"/>
      <c r="U714" s="26"/>
      <c r="V714" s="26"/>
      <c r="W714" s="27"/>
      <c r="X714" s="28"/>
    </row>
    <row r="715" spans="1:32">
      <c r="A715" s="16" t="s">
        <v>4174</v>
      </c>
      <c r="B715" s="17" t="s">
        <v>4175</v>
      </c>
      <c r="C715" s="19" t="s">
        <v>5962</v>
      </c>
      <c r="D715" s="19" t="e">
        <f>VLOOKUP(C715,#REF!,2,0)</f>
        <v>#REF!</v>
      </c>
      <c r="E715" s="20" t="e">
        <f>VLOOKUP(D715,数据集标准分类!E:F,2,0)</f>
        <v>#REF!</v>
      </c>
      <c r="F715" s="21">
        <v>81</v>
      </c>
      <c r="G715" s="22" t="s">
        <v>3192</v>
      </c>
      <c r="H715" s="22" t="s">
        <v>3193</v>
      </c>
      <c r="I715" s="22" t="s">
        <v>3195</v>
      </c>
      <c r="J715" s="22" t="s">
        <v>3193</v>
      </c>
      <c r="K715" s="22" t="s">
        <v>3195</v>
      </c>
      <c r="L715" s="22"/>
      <c r="M715" s="16"/>
      <c r="N715" s="16"/>
      <c r="O715" s="23">
        <v>1</v>
      </c>
      <c r="P715" s="24"/>
      <c r="Q715" s="25"/>
      <c r="R715" s="24"/>
      <c r="S715" s="26"/>
      <c r="T715" s="24"/>
      <c r="U715" s="26"/>
      <c r="V715" s="26"/>
      <c r="W715" s="27"/>
      <c r="X715" s="28"/>
      <c r="Y715" s="5"/>
      <c r="Z715" s="5"/>
      <c r="AA715" s="5"/>
      <c r="AB715" s="5"/>
      <c r="AC715" s="5"/>
      <c r="AD715" s="5"/>
      <c r="AE715" s="5"/>
      <c r="AF715" s="5"/>
    </row>
    <row r="716" spans="1:32">
      <c r="A716" s="16" t="s">
        <v>4174</v>
      </c>
      <c r="B716" s="17" t="s">
        <v>4175</v>
      </c>
      <c r="C716" s="19" t="s">
        <v>5962</v>
      </c>
      <c r="D716" s="19" t="e">
        <f>VLOOKUP(C716,#REF!,2,0)</f>
        <v>#REF!</v>
      </c>
      <c r="E716" s="20" t="e">
        <f>VLOOKUP(D716,数据集标准分类!E:F,2,0)</f>
        <v>#REF!</v>
      </c>
      <c r="F716" s="21">
        <v>81</v>
      </c>
      <c r="G716" s="22" t="s">
        <v>3361</v>
      </c>
      <c r="H716" s="22" t="s">
        <v>3362</v>
      </c>
      <c r="I716" s="22" t="s">
        <v>3364</v>
      </c>
      <c r="J716" s="22" t="s">
        <v>3362</v>
      </c>
      <c r="K716" s="22" t="s">
        <v>3364</v>
      </c>
      <c r="L716" s="22"/>
      <c r="M716" s="16"/>
      <c r="N716" s="16"/>
      <c r="O716" s="23">
        <v>2</v>
      </c>
      <c r="P716" s="24"/>
      <c r="Q716" s="25"/>
      <c r="R716" s="24"/>
      <c r="S716" s="26"/>
      <c r="T716" s="24"/>
      <c r="U716" s="26"/>
      <c r="V716" s="26"/>
      <c r="W716" s="27"/>
      <c r="X716" s="28"/>
      <c r="Y716" s="5"/>
      <c r="Z716" s="5"/>
      <c r="AA716" s="5"/>
      <c r="AB716" s="5"/>
      <c r="AC716" s="5"/>
      <c r="AD716" s="5"/>
      <c r="AE716" s="5"/>
      <c r="AF716" s="5"/>
    </row>
    <row r="717" spans="1:32">
      <c r="A717" s="16" t="s">
        <v>4174</v>
      </c>
      <c r="B717" s="17" t="s">
        <v>4175</v>
      </c>
      <c r="C717" s="19" t="s">
        <v>5962</v>
      </c>
      <c r="D717" s="19" t="e">
        <f>VLOOKUP(C717,#REF!,2,0)</f>
        <v>#REF!</v>
      </c>
      <c r="E717" s="20" t="e">
        <f>VLOOKUP(D717,数据集标准分类!E:F,2,0)</f>
        <v>#REF!</v>
      </c>
      <c r="F717" s="21">
        <v>81</v>
      </c>
      <c r="G717" s="22" t="s">
        <v>1496</v>
      </c>
      <c r="H717" s="22" t="s">
        <v>1497</v>
      </c>
      <c r="I717" s="22" t="s">
        <v>1499</v>
      </c>
      <c r="J717" s="22" t="s">
        <v>1497</v>
      </c>
      <c r="K717" s="22" t="s">
        <v>1499</v>
      </c>
      <c r="L717" s="22"/>
      <c r="M717" s="16"/>
      <c r="N717" s="16"/>
      <c r="O717" s="23">
        <v>3</v>
      </c>
      <c r="P717" s="24"/>
      <c r="Q717" s="25"/>
      <c r="R717" s="24"/>
      <c r="S717" s="26"/>
      <c r="T717" s="24"/>
      <c r="U717" s="26"/>
      <c r="V717" s="26"/>
      <c r="W717" s="27"/>
      <c r="X717" s="28"/>
      <c r="Y717" s="5"/>
      <c r="Z717" s="5"/>
      <c r="AA717" s="5"/>
      <c r="AB717" s="5"/>
      <c r="AC717" s="5"/>
      <c r="AD717" s="5"/>
      <c r="AE717" s="5"/>
      <c r="AF717" s="5"/>
    </row>
    <row r="718" spans="1:32">
      <c r="A718" s="16" t="s">
        <v>4174</v>
      </c>
      <c r="B718" s="17" t="s">
        <v>4175</v>
      </c>
      <c r="C718" s="19" t="s">
        <v>5962</v>
      </c>
      <c r="D718" s="19" t="e">
        <f>VLOOKUP(C718,#REF!,2,0)</f>
        <v>#REF!</v>
      </c>
      <c r="E718" s="20" t="e">
        <f>VLOOKUP(D718,数据集标准分类!E:F,2,0)</f>
        <v>#REF!</v>
      </c>
      <c r="F718" s="21">
        <v>81</v>
      </c>
      <c r="G718" s="22" t="s">
        <v>3199</v>
      </c>
      <c r="H718" s="22" t="s">
        <v>3200</v>
      </c>
      <c r="I718" s="22" t="s">
        <v>3202</v>
      </c>
      <c r="J718" s="22" t="s">
        <v>3200</v>
      </c>
      <c r="K718" s="22" t="s">
        <v>3202</v>
      </c>
      <c r="L718" s="22"/>
      <c r="M718" s="16"/>
      <c r="N718" s="16"/>
      <c r="O718" s="23">
        <v>4</v>
      </c>
      <c r="P718" s="24"/>
      <c r="Q718" s="25"/>
      <c r="R718" s="24"/>
      <c r="S718" s="26"/>
      <c r="T718" s="24"/>
      <c r="U718" s="26"/>
      <c r="V718" s="26"/>
      <c r="W718" s="27"/>
      <c r="X718" s="28"/>
      <c r="Y718" s="5"/>
      <c r="Z718" s="5"/>
      <c r="AA718" s="5"/>
      <c r="AB718" s="5"/>
      <c r="AC718" s="5"/>
      <c r="AD718" s="5"/>
      <c r="AE718" s="5"/>
      <c r="AF718" s="5"/>
    </row>
    <row r="719" spans="1:32">
      <c r="A719" s="16" t="s">
        <v>4174</v>
      </c>
      <c r="B719" s="17" t="s">
        <v>4175</v>
      </c>
      <c r="C719" s="19" t="s">
        <v>5962</v>
      </c>
      <c r="D719" s="19" t="e">
        <f>VLOOKUP(C719,#REF!,2,0)</f>
        <v>#REF!</v>
      </c>
      <c r="E719" s="20" t="e">
        <f>VLOOKUP(D719,数据集标准分类!E:F,2,0)</f>
        <v>#REF!</v>
      </c>
      <c r="F719" s="21">
        <v>81</v>
      </c>
      <c r="G719" s="22" t="s">
        <v>3366</v>
      </c>
      <c r="H719" s="22" t="s">
        <v>3367</v>
      </c>
      <c r="I719" s="22" t="s">
        <v>3369</v>
      </c>
      <c r="J719" s="22" t="s">
        <v>3367</v>
      </c>
      <c r="K719" s="22" t="s">
        <v>3369</v>
      </c>
      <c r="L719" s="22"/>
      <c r="M719" s="16"/>
      <c r="N719" s="16"/>
      <c r="O719" s="23">
        <v>5</v>
      </c>
      <c r="P719" s="24"/>
      <c r="Q719" s="25"/>
      <c r="R719" s="24"/>
      <c r="S719" s="26"/>
      <c r="T719" s="24"/>
      <c r="U719" s="26"/>
      <c r="V719" s="26"/>
      <c r="W719" s="27"/>
      <c r="X719" s="28"/>
      <c r="Y719" s="5"/>
      <c r="Z719" s="5"/>
      <c r="AA719" s="5"/>
      <c r="AB719" s="5"/>
      <c r="AC719" s="5"/>
      <c r="AD719" s="5"/>
      <c r="AE719" s="5"/>
      <c r="AF719" s="5"/>
    </row>
    <row r="720" spans="1:32">
      <c r="A720" s="16" t="s">
        <v>4174</v>
      </c>
      <c r="B720" s="17" t="s">
        <v>4175</v>
      </c>
      <c r="C720" s="19" t="s">
        <v>5962</v>
      </c>
      <c r="D720" s="19" t="e">
        <f>VLOOKUP(C720,#REF!,2,0)</f>
        <v>#REF!</v>
      </c>
      <c r="E720" s="20" t="e">
        <f>VLOOKUP(D720,数据集标准分类!E:F,2,0)</f>
        <v>#REF!</v>
      </c>
      <c r="F720" s="21">
        <v>81</v>
      </c>
      <c r="G720" s="22" t="s">
        <v>3336</v>
      </c>
      <c r="H720" s="22" t="s">
        <v>3337</v>
      </c>
      <c r="I720" s="22" t="s">
        <v>3339</v>
      </c>
      <c r="J720" s="22" t="s">
        <v>3337</v>
      </c>
      <c r="K720" s="22" t="s">
        <v>3339</v>
      </c>
      <c r="L720" s="22"/>
      <c r="M720" s="16"/>
      <c r="N720" s="16"/>
      <c r="O720" s="23">
        <v>6</v>
      </c>
      <c r="P720" s="24"/>
      <c r="Q720" s="25"/>
      <c r="R720" s="24"/>
      <c r="S720" s="26"/>
      <c r="T720" s="24"/>
      <c r="U720" s="26"/>
      <c r="V720" s="26"/>
      <c r="W720" s="27"/>
      <c r="X720" s="28"/>
      <c r="Y720" s="5"/>
      <c r="Z720" s="5"/>
      <c r="AA720" s="5"/>
      <c r="AB720" s="5"/>
      <c r="AC720" s="5"/>
      <c r="AD720" s="5"/>
      <c r="AE720" s="5"/>
      <c r="AF720" s="5"/>
    </row>
    <row r="721" spans="1:24">
      <c r="A721" s="16" t="s">
        <v>4174</v>
      </c>
      <c r="B721" s="17" t="s">
        <v>4175</v>
      </c>
      <c r="C721" s="150" t="s">
        <v>3326</v>
      </c>
      <c r="D721" s="109" t="s">
        <v>5963</v>
      </c>
      <c r="E721" s="101" t="s">
        <v>4339</v>
      </c>
      <c r="F721" s="177">
        <v>59</v>
      </c>
      <c r="G721" s="146" t="s">
        <v>5565</v>
      </c>
      <c r="H721" s="167" t="s">
        <v>5566</v>
      </c>
      <c r="I721" s="146" t="s">
        <v>5568</v>
      </c>
      <c r="J721" s="167" t="s">
        <v>5566</v>
      </c>
      <c r="K721" s="146" t="s">
        <v>5568</v>
      </c>
      <c r="L721" s="151"/>
      <c r="M721" s="149"/>
      <c r="N721" s="16"/>
      <c r="O721" s="178">
        <v>1</v>
      </c>
      <c r="P721" s="24"/>
      <c r="Q721" s="25"/>
      <c r="R721" s="24"/>
      <c r="S721" s="26"/>
      <c r="T721" s="24"/>
      <c r="U721" s="26"/>
      <c r="V721" s="26"/>
      <c r="W721" s="27"/>
      <c r="X721" s="28"/>
    </row>
    <row r="722" spans="1:24">
      <c r="A722" s="16" t="s">
        <v>4174</v>
      </c>
      <c r="B722" s="17" t="s">
        <v>4175</v>
      </c>
      <c r="C722" s="150" t="s">
        <v>3326</v>
      </c>
      <c r="D722" s="109" t="s">
        <v>5963</v>
      </c>
      <c r="E722" s="101" t="s">
        <v>4339</v>
      </c>
      <c r="F722" s="177">
        <v>59</v>
      </c>
      <c r="G722" s="146" t="s">
        <v>5561</v>
      </c>
      <c r="H722" s="171" t="s">
        <v>5562</v>
      </c>
      <c r="I722" s="146" t="s">
        <v>5564</v>
      </c>
      <c r="J722" s="171" t="s">
        <v>5562</v>
      </c>
      <c r="K722" s="146" t="s">
        <v>5564</v>
      </c>
      <c r="L722" s="151"/>
      <c r="M722" s="149"/>
      <c r="N722" s="16"/>
      <c r="O722" s="178">
        <v>2</v>
      </c>
      <c r="P722" s="24"/>
      <c r="Q722" s="25"/>
      <c r="R722" s="24"/>
      <c r="S722" s="26"/>
      <c r="T722" s="24"/>
      <c r="U722" s="26"/>
      <c r="V722" s="26"/>
      <c r="W722" s="27"/>
      <c r="X722" s="28"/>
    </row>
    <row r="723" spans="1:24">
      <c r="A723" s="16" t="s">
        <v>4174</v>
      </c>
      <c r="B723" s="17" t="s">
        <v>4175</v>
      </c>
      <c r="C723" s="150" t="s">
        <v>3326</v>
      </c>
      <c r="D723" s="109" t="s">
        <v>5963</v>
      </c>
      <c r="E723" s="101" t="s">
        <v>4339</v>
      </c>
      <c r="F723" s="177">
        <v>59</v>
      </c>
      <c r="G723" s="146" t="s">
        <v>3641</v>
      </c>
      <c r="H723" s="172" t="s">
        <v>3642</v>
      </c>
      <c r="I723" s="146" t="s">
        <v>3644</v>
      </c>
      <c r="J723" s="172" t="s">
        <v>3642</v>
      </c>
      <c r="K723" s="146" t="s">
        <v>3644</v>
      </c>
      <c r="L723" s="151"/>
      <c r="M723" s="149"/>
      <c r="N723" s="16"/>
      <c r="O723" s="178">
        <v>3</v>
      </c>
      <c r="P723" s="24"/>
      <c r="Q723" s="25"/>
      <c r="R723" s="24"/>
      <c r="S723" s="26"/>
      <c r="T723" s="24"/>
      <c r="U723" s="26"/>
      <c r="V723" s="26"/>
      <c r="W723" s="27"/>
      <c r="X723" s="28"/>
    </row>
    <row r="724" spans="1:24">
      <c r="A724" s="16" t="s">
        <v>4174</v>
      </c>
      <c r="B724" s="17" t="s">
        <v>4175</v>
      </c>
      <c r="C724" s="150" t="s">
        <v>3326</v>
      </c>
      <c r="D724" s="109" t="s">
        <v>5963</v>
      </c>
      <c r="E724" s="101" t="s">
        <v>4339</v>
      </c>
      <c r="F724" s="177">
        <v>59</v>
      </c>
      <c r="G724" s="146" t="s">
        <v>2889</v>
      </c>
      <c r="H724" s="167" t="s">
        <v>2890</v>
      </c>
      <c r="I724" s="146" t="s">
        <v>2892</v>
      </c>
      <c r="J724" s="167" t="s">
        <v>2890</v>
      </c>
      <c r="K724" s="146" t="s">
        <v>2892</v>
      </c>
      <c r="L724" s="151"/>
      <c r="M724" s="149"/>
      <c r="N724" s="16"/>
      <c r="O724" s="178">
        <v>4</v>
      </c>
      <c r="P724" s="24"/>
      <c r="Q724" s="25"/>
      <c r="R724" s="24"/>
      <c r="S724" s="26"/>
      <c r="T724" s="24"/>
      <c r="U724" s="26"/>
      <c r="V724" s="26"/>
      <c r="W724" s="27"/>
      <c r="X724" s="28"/>
    </row>
    <row r="725" spans="1:24">
      <c r="A725" s="16" t="s">
        <v>4174</v>
      </c>
      <c r="B725" s="17" t="s">
        <v>4175</v>
      </c>
      <c r="C725" s="150" t="s">
        <v>3326</v>
      </c>
      <c r="D725" s="109" t="s">
        <v>5963</v>
      </c>
      <c r="E725" s="101" t="s">
        <v>4339</v>
      </c>
      <c r="F725" s="177">
        <v>59</v>
      </c>
      <c r="G725" s="173" t="s">
        <v>2935</v>
      </c>
      <c r="H725" s="171" t="s">
        <v>2936</v>
      </c>
      <c r="I725" s="146" t="s">
        <v>5569</v>
      </c>
      <c r="J725" s="171" t="s">
        <v>2936</v>
      </c>
      <c r="K725" s="146" t="s">
        <v>5569</v>
      </c>
      <c r="L725" s="151"/>
      <c r="M725" s="149"/>
      <c r="N725" s="16"/>
      <c r="O725" s="178">
        <v>5</v>
      </c>
      <c r="P725" s="24"/>
      <c r="Q725" s="25"/>
      <c r="R725" s="24"/>
      <c r="S725" s="26"/>
      <c r="T725" s="24"/>
      <c r="U725" s="26"/>
      <c r="V725" s="26"/>
      <c r="W725" s="27"/>
      <c r="X725" s="28"/>
    </row>
    <row r="726" spans="1:24">
      <c r="A726" s="16" t="s">
        <v>4174</v>
      </c>
      <c r="B726" s="17" t="s">
        <v>4175</v>
      </c>
      <c r="C726" s="150" t="s">
        <v>3326</v>
      </c>
      <c r="D726" s="109" t="s">
        <v>5963</v>
      </c>
      <c r="E726" s="101" t="s">
        <v>4339</v>
      </c>
      <c r="F726" s="177">
        <v>59</v>
      </c>
      <c r="G726" s="173" t="s">
        <v>3196</v>
      </c>
      <c r="H726" s="171" t="s">
        <v>3197</v>
      </c>
      <c r="I726" s="146" t="s">
        <v>2740</v>
      </c>
      <c r="J726" s="171" t="s">
        <v>3197</v>
      </c>
      <c r="K726" s="146" t="s">
        <v>2740</v>
      </c>
      <c r="L726" s="151"/>
      <c r="M726" s="149"/>
      <c r="N726" s="16"/>
      <c r="O726" s="178">
        <v>6</v>
      </c>
      <c r="P726" s="24"/>
      <c r="Q726" s="25"/>
      <c r="R726" s="24"/>
      <c r="S726" s="26"/>
      <c r="T726" s="24"/>
      <c r="U726" s="26"/>
      <c r="V726" s="26"/>
      <c r="W726" s="27"/>
      <c r="X726" s="28"/>
    </row>
    <row r="727" spans="1:24">
      <c r="A727" s="16" t="s">
        <v>4174</v>
      </c>
      <c r="B727" s="17" t="s">
        <v>4175</v>
      </c>
      <c r="C727" s="150" t="s">
        <v>3326</v>
      </c>
      <c r="D727" s="109" t="s">
        <v>5963</v>
      </c>
      <c r="E727" s="101" t="s">
        <v>4339</v>
      </c>
      <c r="F727" s="177">
        <v>59</v>
      </c>
      <c r="G727" s="173" t="s">
        <v>3199</v>
      </c>
      <c r="H727" s="171" t="s">
        <v>3200</v>
      </c>
      <c r="I727" s="146" t="s">
        <v>3327</v>
      </c>
      <c r="J727" s="171" t="s">
        <v>3200</v>
      </c>
      <c r="K727" s="146" t="s">
        <v>3327</v>
      </c>
      <c r="L727" s="151"/>
      <c r="M727" s="149"/>
      <c r="N727" s="16"/>
      <c r="O727" s="178">
        <v>7</v>
      </c>
      <c r="P727" s="24"/>
      <c r="Q727" s="25"/>
      <c r="R727" s="24"/>
      <c r="S727" s="26"/>
      <c r="T727" s="24"/>
      <c r="U727" s="26"/>
      <c r="V727" s="26"/>
      <c r="W727" s="27"/>
      <c r="X727" s="28"/>
    </row>
    <row r="728" spans="1:24">
      <c r="A728" s="16" t="s">
        <v>4174</v>
      </c>
      <c r="B728" s="17" t="s">
        <v>4175</v>
      </c>
      <c r="C728" s="150" t="s">
        <v>3326</v>
      </c>
      <c r="D728" s="109" t="s">
        <v>5963</v>
      </c>
      <c r="E728" s="101" t="s">
        <v>4339</v>
      </c>
      <c r="F728" s="177">
        <v>59</v>
      </c>
      <c r="G728" s="173" t="s">
        <v>3328</v>
      </c>
      <c r="H728" s="171" t="s">
        <v>3329</v>
      </c>
      <c r="I728" s="146" t="s">
        <v>1499</v>
      </c>
      <c r="J728" s="171" t="s">
        <v>3329</v>
      </c>
      <c r="K728" s="146" t="s">
        <v>1499</v>
      </c>
      <c r="L728" s="151"/>
      <c r="M728" s="149"/>
      <c r="N728" s="16"/>
      <c r="O728" s="178">
        <v>8</v>
      </c>
      <c r="P728" s="24"/>
      <c r="Q728" s="25"/>
      <c r="R728" s="24"/>
      <c r="S728" s="26"/>
      <c r="T728" s="24"/>
      <c r="U728" s="26"/>
      <c r="V728" s="26"/>
      <c r="W728" s="27"/>
      <c r="X728" s="28"/>
    </row>
    <row r="729" spans="1:24">
      <c r="A729" s="16" t="s">
        <v>4174</v>
      </c>
      <c r="B729" s="17" t="s">
        <v>4175</v>
      </c>
      <c r="C729" s="150" t="s">
        <v>3326</v>
      </c>
      <c r="D729" s="109" t="s">
        <v>5963</v>
      </c>
      <c r="E729" s="101" t="s">
        <v>4339</v>
      </c>
      <c r="F729" s="177">
        <v>59</v>
      </c>
      <c r="G729" s="173" t="s">
        <v>1774</v>
      </c>
      <c r="H729" s="171" t="s">
        <v>1775</v>
      </c>
      <c r="I729" s="146" t="s">
        <v>1777</v>
      </c>
      <c r="J729" s="171" t="s">
        <v>1775</v>
      </c>
      <c r="K729" s="146" t="s">
        <v>1777</v>
      </c>
      <c r="L729" s="151"/>
      <c r="M729" s="149"/>
      <c r="N729" s="16"/>
      <c r="O729" s="178">
        <v>9</v>
      </c>
      <c r="P729" s="24"/>
      <c r="Q729" s="25"/>
      <c r="R729" s="24"/>
      <c r="S729" s="26"/>
      <c r="T729" s="24"/>
      <c r="U729" s="26"/>
      <c r="V729" s="26"/>
      <c r="W729" s="27"/>
      <c r="X729" s="28"/>
    </row>
    <row r="730" spans="1:24">
      <c r="A730" s="16" t="s">
        <v>4174</v>
      </c>
      <c r="B730" s="17" t="s">
        <v>4175</v>
      </c>
      <c r="C730" s="150" t="s">
        <v>3326</v>
      </c>
      <c r="D730" s="109" t="s">
        <v>5963</v>
      </c>
      <c r="E730" s="101" t="s">
        <v>4339</v>
      </c>
      <c r="F730" s="177">
        <v>59</v>
      </c>
      <c r="G730" s="173" t="s">
        <v>5556</v>
      </c>
      <c r="H730" s="171" t="s">
        <v>5557</v>
      </c>
      <c r="I730" s="146" t="s">
        <v>5570</v>
      </c>
      <c r="J730" s="171" t="s">
        <v>5557</v>
      </c>
      <c r="K730" s="146" t="s">
        <v>5570</v>
      </c>
      <c r="L730" s="151"/>
      <c r="M730" s="149"/>
      <c r="N730" s="16"/>
      <c r="O730" s="178">
        <v>10</v>
      </c>
      <c r="P730" s="24"/>
      <c r="Q730" s="25"/>
      <c r="R730" s="24"/>
      <c r="S730" s="26"/>
      <c r="T730" s="24"/>
      <c r="U730" s="26"/>
      <c r="V730" s="26"/>
      <c r="W730" s="27"/>
      <c r="X730" s="28"/>
    </row>
    <row r="731" spans="1:24">
      <c r="A731" s="16" t="s">
        <v>4174</v>
      </c>
      <c r="B731" s="17" t="s">
        <v>4175</v>
      </c>
      <c r="C731" s="150" t="s">
        <v>3326</v>
      </c>
      <c r="D731" s="109" t="s">
        <v>5963</v>
      </c>
      <c r="E731" s="101" t="s">
        <v>4339</v>
      </c>
      <c r="F731" s="177">
        <v>59</v>
      </c>
      <c r="G731" s="173" t="s">
        <v>3192</v>
      </c>
      <c r="H731" s="171" t="s">
        <v>3193</v>
      </c>
      <c r="I731" s="146" t="s">
        <v>3195</v>
      </c>
      <c r="J731" s="171" t="s">
        <v>3193</v>
      </c>
      <c r="K731" s="146" t="s">
        <v>3195</v>
      </c>
      <c r="L731" s="151"/>
      <c r="M731" s="149"/>
      <c r="N731" s="16"/>
      <c r="O731" s="178">
        <v>11</v>
      </c>
      <c r="P731" s="24"/>
      <c r="Q731" s="25"/>
      <c r="R731" s="24"/>
      <c r="S731" s="26"/>
      <c r="T731" s="24"/>
      <c r="U731" s="26"/>
      <c r="V731" s="26"/>
      <c r="W731" s="27"/>
      <c r="X731" s="28"/>
    </row>
    <row r="732" ht="17" spans="1:24">
      <c r="A732" s="16" t="s">
        <v>4174</v>
      </c>
      <c r="B732" s="17" t="s">
        <v>4175</v>
      </c>
      <c r="C732" s="179" t="s">
        <v>5964</v>
      </c>
      <c r="D732" s="101" t="s">
        <v>5965</v>
      </c>
      <c r="E732" s="101" t="s">
        <v>5966</v>
      </c>
      <c r="F732" s="166" t="s">
        <v>4659</v>
      </c>
      <c r="G732" s="167" t="s">
        <v>5565</v>
      </c>
      <c r="H732" s="167" t="s">
        <v>5566</v>
      </c>
      <c r="I732" s="146" t="s">
        <v>5568</v>
      </c>
      <c r="J732" s="167" t="s">
        <v>5566</v>
      </c>
      <c r="K732" s="146" t="s">
        <v>5568</v>
      </c>
      <c r="L732" s="151"/>
      <c r="M732" s="149"/>
      <c r="N732" s="168"/>
      <c r="O732" s="169" t="s">
        <v>3351</v>
      </c>
      <c r="P732" s="170"/>
      <c r="Q732" s="180"/>
      <c r="R732" s="170"/>
      <c r="S732" s="108"/>
      <c r="T732" s="108"/>
      <c r="U732" s="108"/>
      <c r="V732" s="26"/>
      <c r="W732" s="27"/>
      <c r="X732" s="28"/>
    </row>
    <row r="733" ht="17" spans="1:24">
      <c r="A733" s="16" t="s">
        <v>4174</v>
      </c>
      <c r="B733" s="17" t="s">
        <v>4175</v>
      </c>
      <c r="C733" s="179" t="s">
        <v>5964</v>
      </c>
      <c r="D733" s="101" t="s">
        <v>5965</v>
      </c>
      <c r="E733" s="101" t="s">
        <v>5966</v>
      </c>
      <c r="F733" s="181" t="s">
        <v>4659</v>
      </c>
      <c r="G733" s="146" t="s">
        <v>5561</v>
      </c>
      <c r="H733" s="171" t="s">
        <v>5562</v>
      </c>
      <c r="I733" s="174" t="s">
        <v>5564</v>
      </c>
      <c r="J733" s="171" t="s">
        <v>5562</v>
      </c>
      <c r="K733" s="174" t="s">
        <v>5564</v>
      </c>
      <c r="L733" s="151"/>
      <c r="M733" s="149"/>
      <c r="N733" s="168"/>
      <c r="O733" s="169" t="s">
        <v>3352</v>
      </c>
      <c r="P733" s="170"/>
      <c r="Q733" s="180"/>
      <c r="R733" s="170"/>
      <c r="S733" s="108"/>
      <c r="T733" s="108"/>
      <c r="U733" s="108"/>
      <c r="V733" s="26"/>
      <c r="W733" s="27"/>
      <c r="X733" s="28"/>
    </row>
    <row r="734" ht="17" spans="1:24">
      <c r="A734" s="16" t="s">
        <v>4174</v>
      </c>
      <c r="B734" s="17" t="s">
        <v>4175</v>
      </c>
      <c r="C734" s="179" t="s">
        <v>5964</v>
      </c>
      <c r="D734" s="101" t="s">
        <v>5965</v>
      </c>
      <c r="E734" s="101" t="s">
        <v>5966</v>
      </c>
      <c r="F734" s="181" t="s">
        <v>4659</v>
      </c>
      <c r="G734" s="146" t="s">
        <v>3641</v>
      </c>
      <c r="H734" s="146" t="s">
        <v>3642</v>
      </c>
      <c r="I734" s="174" t="s">
        <v>3644</v>
      </c>
      <c r="J734" s="146" t="s">
        <v>3642</v>
      </c>
      <c r="K734" s="174" t="s">
        <v>3644</v>
      </c>
      <c r="L734" s="151"/>
      <c r="M734" s="149"/>
      <c r="N734" s="168"/>
      <c r="O734" s="169" t="s">
        <v>3353</v>
      </c>
      <c r="P734" s="170"/>
      <c r="Q734" s="180"/>
      <c r="R734" s="170"/>
      <c r="S734" s="108"/>
      <c r="T734" s="108"/>
      <c r="U734" s="108"/>
      <c r="V734" s="26"/>
      <c r="W734" s="27"/>
      <c r="X734" s="28"/>
    </row>
    <row r="735" ht="17" spans="1:24">
      <c r="A735" s="16" t="s">
        <v>4174</v>
      </c>
      <c r="B735" s="17" t="s">
        <v>4175</v>
      </c>
      <c r="C735" s="179" t="s">
        <v>5964</v>
      </c>
      <c r="D735" s="101" t="s">
        <v>5965</v>
      </c>
      <c r="E735" s="101" t="s">
        <v>5966</v>
      </c>
      <c r="F735" s="181" t="s">
        <v>4659</v>
      </c>
      <c r="G735" s="146" t="s">
        <v>2889</v>
      </c>
      <c r="H735" s="146" t="s">
        <v>2890</v>
      </c>
      <c r="I735" s="174" t="s">
        <v>2892</v>
      </c>
      <c r="J735" s="146" t="s">
        <v>2890</v>
      </c>
      <c r="K735" s="174" t="s">
        <v>2892</v>
      </c>
      <c r="L735" s="151"/>
      <c r="M735" s="149"/>
      <c r="N735" s="168"/>
      <c r="O735" s="169" t="s">
        <v>3365</v>
      </c>
      <c r="P735" s="170"/>
      <c r="Q735" s="180"/>
      <c r="R735" s="170"/>
      <c r="S735" s="108"/>
      <c r="T735" s="108"/>
      <c r="U735" s="108"/>
      <c r="V735" s="26"/>
      <c r="W735" s="27"/>
      <c r="X735" s="28"/>
    </row>
    <row r="736" ht="17" spans="1:24">
      <c r="A736" s="16" t="s">
        <v>4174</v>
      </c>
      <c r="B736" s="17" t="s">
        <v>4175</v>
      </c>
      <c r="C736" s="179" t="s">
        <v>5964</v>
      </c>
      <c r="D736" s="101" t="s">
        <v>5965</v>
      </c>
      <c r="E736" s="101" t="s">
        <v>5966</v>
      </c>
      <c r="F736" s="181" t="s">
        <v>4659</v>
      </c>
      <c r="G736" s="146" t="s">
        <v>2935</v>
      </c>
      <c r="H736" s="171" t="s">
        <v>2936</v>
      </c>
      <c r="I736" s="174" t="s">
        <v>5571</v>
      </c>
      <c r="J736" s="171" t="s">
        <v>2936</v>
      </c>
      <c r="K736" s="174" t="s">
        <v>5571</v>
      </c>
      <c r="L736" s="151"/>
      <c r="M736" s="149"/>
      <c r="N736" s="168"/>
      <c r="O736" s="169" t="s">
        <v>3370</v>
      </c>
      <c r="P736" s="170"/>
      <c r="Q736" s="180"/>
      <c r="R736" s="170"/>
      <c r="S736" s="108"/>
      <c r="T736" s="108"/>
      <c r="U736" s="108"/>
      <c r="V736" s="26"/>
      <c r="W736" s="27"/>
      <c r="X736" s="28"/>
    </row>
    <row r="737" ht="17" spans="1:24">
      <c r="A737" s="16" t="s">
        <v>4174</v>
      </c>
      <c r="B737" s="17" t="s">
        <v>4175</v>
      </c>
      <c r="C737" s="179" t="s">
        <v>5964</v>
      </c>
      <c r="D737" s="101" t="s">
        <v>5965</v>
      </c>
      <c r="E737" s="101" t="s">
        <v>5966</v>
      </c>
      <c r="F737" s="181" t="s">
        <v>4659</v>
      </c>
      <c r="G737" s="146" t="s">
        <v>3236</v>
      </c>
      <c r="H737" s="171" t="s">
        <v>3237</v>
      </c>
      <c r="I737" s="174" t="s">
        <v>3239</v>
      </c>
      <c r="J737" s="171" t="s">
        <v>3237</v>
      </c>
      <c r="K737" s="174" t="s">
        <v>3239</v>
      </c>
      <c r="L737" s="151"/>
      <c r="M737" s="149"/>
      <c r="N737" s="168"/>
      <c r="O737" s="169" t="s">
        <v>3371</v>
      </c>
      <c r="P737" s="170"/>
      <c r="Q737" s="180"/>
      <c r="R737" s="170"/>
      <c r="S737" s="108"/>
      <c r="T737" s="108"/>
      <c r="U737" s="108"/>
      <c r="V737" s="26"/>
      <c r="W737" s="27"/>
      <c r="X737" s="28"/>
    </row>
    <row r="738" ht="17" spans="1:24">
      <c r="A738" s="16" t="s">
        <v>4174</v>
      </c>
      <c r="B738" s="17" t="s">
        <v>4175</v>
      </c>
      <c r="C738" s="179" t="s">
        <v>5964</v>
      </c>
      <c r="D738" s="101" t="s">
        <v>5965</v>
      </c>
      <c r="E738" s="101" t="s">
        <v>5966</v>
      </c>
      <c r="F738" s="181" t="s">
        <v>4659</v>
      </c>
      <c r="G738" s="146" t="s">
        <v>3196</v>
      </c>
      <c r="H738" s="171" t="s">
        <v>3197</v>
      </c>
      <c r="I738" s="174" t="s">
        <v>2740</v>
      </c>
      <c r="J738" s="171" t="s">
        <v>3197</v>
      </c>
      <c r="K738" s="174" t="s">
        <v>2740</v>
      </c>
      <c r="L738" s="151"/>
      <c r="M738" s="149"/>
      <c r="N738" s="168"/>
      <c r="O738" s="169" t="s">
        <v>5555</v>
      </c>
      <c r="P738" s="170"/>
      <c r="Q738" s="180"/>
      <c r="R738" s="170"/>
      <c r="S738" s="108"/>
      <c r="T738" s="108"/>
      <c r="U738" s="108"/>
      <c r="V738" s="26"/>
      <c r="W738" s="27"/>
      <c r="X738" s="28"/>
    </row>
    <row r="739" ht="17" spans="1:24">
      <c r="A739" s="16" t="s">
        <v>4174</v>
      </c>
      <c r="B739" s="17" t="s">
        <v>4175</v>
      </c>
      <c r="C739" s="179" t="s">
        <v>5964</v>
      </c>
      <c r="D739" s="101" t="s">
        <v>5965</v>
      </c>
      <c r="E739" s="101" t="s">
        <v>5966</v>
      </c>
      <c r="F739" s="181" t="s">
        <v>4659</v>
      </c>
      <c r="G739" s="146" t="s">
        <v>3199</v>
      </c>
      <c r="H739" s="171" t="s">
        <v>3200</v>
      </c>
      <c r="I739" s="174" t="s">
        <v>3202</v>
      </c>
      <c r="J739" s="171" t="s">
        <v>3200</v>
      </c>
      <c r="K739" s="174" t="s">
        <v>3202</v>
      </c>
      <c r="L739" s="151"/>
      <c r="M739" s="149"/>
      <c r="N739" s="168"/>
      <c r="O739" s="169" t="s">
        <v>4488</v>
      </c>
      <c r="P739" s="170"/>
      <c r="Q739" s="180"/>
      <c r="R739" s="170"/>
      <c r="S739" s="108"/>
      <c r="T739" s="108"/>
      <c r="U739" s="108"/>
      <c r="V739" s="26"/>
      <c r="W739" s="27"/>
      <c r="X739" s="28"/>
    </row>
    <row r="740" ht="17" spans="1:24">
      <c r="A740" s="16" t="s">
        <v>4174</v>
      </c>
      <c r="B740" s="17" t="s">
        <v>4175</v>
      </c>
      <c r="C740" s="179" t="s">
        <v>5964</v>
      </c>
      <c r="D740" s="101" t="s">
        <v>5965</v>
      </c>
      <c r="E740" s="101" t="s">
        <v>5966</v>
      </c>
      <c r="F740" s="181" t="s">
        <v>4659</v>
      </c>
      <c r="G740" s="146" t="s">
        <v>3244</v>
      </c>
      <c r="H740" s="171" t="s">
        <v>3245</v>
      </c>
      <c r="I740" s="174" t="s">
        <v>3247</v>
      </c>
      <c r="J740" s="171" t="s">
        <v>3245</v>
      </c>
      <c r="K740" s="174" t="s">
        <v>3247</v>
      </c>
      <c r="L740" s="151"/>
      <c r="M740" s="149"/>
      <c r="N740" s="168"/>
      <c r="O740" s="169" t="s">
        <v>4492</v>
      </c>
      <c r="P740" s="170"/>
      <c r="Q740" s="180"/>
      <c r="R740" s="170"/>
      <c r="S740" s="108"/>
      <c r="T740" s="108"/>
      <c r="U740" s="108"/>
      <c r="V740" s="26"/>
      <c r="W740" s="27"/>
      <c r="X740" s="28"/>
    </row>
    <row r="741" ht="17" spans="1:24">
      <c r="A741" s="16" t="s">
        <v>4174</v>
      </c>
      <c r="B741" s="17" t="s">
        <v>4175</v>
      </c>
      <c r="C741" s="179" t="s">
        <v>5964</v>
      </c>
      <c r="D741" s="101" t="s">
        <v>5965</v>
      </c>
      <c r="E741" s="101" t="s">
        <v>5966</v>
      </c>
      <c r="F741" s="181" t="s">
        <v>4659</v>
      </c>
      <c r="G741" s="146" t="s">
        <v>3192</v>
      </c>
      <c r="H741" s="171" t="s">
        <v>3193</v>
      </c>
      <c r="I741" s="174" t="s">
        <v>3195</v>
      </c>
      <c r="J741" s="171" t="s">
        <v>3193</v>
      </c>
      <c r="K741" s="174" t="s">
        <v>3195</v>
      </c>
      <c r="L741" s="151"/>
      <c r="M741" s="149"/>
      <c r="N741" s="168"/>
      <c r="O741" s="169" t="s">
        <v>4495</v>
      </c>
      <c r="P741" s="170"/>
      <c r="Q741" s="180"/>
      <c r="R741" s="170"/>
      <c r="S741" s="108"/>
      <c r="T741" s="108"/>
      <c r="U741" s="108"/>
      <c r="V741" s="26"/>
      <c r="W741" s="27"/>
      <c r="X741" s="28"/>
    </row>
    <row r="742" ht="17" spans="1:24">
      <c r="A742" s="16" t="s">
        <v>4174</v>
      </c>
      <c r="B742" s="17" t="s">
        <v>4175</v>
      </c>
      <c r="C742" s="179" t="s">
        <v>5964</v>
      </c>
      <c r="D742" s="101" t="s">
        <v>5965</v>
      </c>
      <c r="E742" s="101" t="s">
        <v>5966</v>
      </c>
      <c r="F742" s="181" t="s">
        <v>4659</v>
      </c>
      <c r="G742" s="146" t="s">
        <v>1774</v>
      </c>
      <c r="H742" s="171" t="s">
        <v>1775</v>
      </c>
      <c r="I742" s="174" t="s">
        <v>1777</v>
      </c>
      <c r="J742" s="171" t="s">
        <v>1775</v>
      </c>
      <c r="K742" s="174" t="s">
        <v>1777</v>
      </c>
      <c r="L742" s="151"/>
      <c r="M742" s="182"/>
      <c r="N742" s="168"/>
      <c r="O742" s="178">
        <v>11</v>
      </c>
      <c r="P742" s="170"/>
      <c r="Q742" s="180"/>
      <c r="R742" s="170"/>
      <c r="S742" s="108"/>
      <c r="T742" s="108"/>
      <c r="U742" s="108"/>
      <c r="V742" s="26"/>
      <c r="W742" s="27"/>
      <c r="X742" s="28"/>
    </row>
    <row r="743" ht="17" spans="1:24">
      <c r="A743" s="16" t="s">
        <v>4174</v>
      </c>
      <c r="B743" s="17" t="s">
        <v>4175</v>
      </c>
      <c r="C743" s="179" t="s">
        <v>5964</v>
      </c>
      <c r="D743" s="101" t="s">
        <v>5965</v>
      </c>
      <c r="E743" s="101" t="s">
        <v>5966</v>
      </c>
      <c r="F743" s="181" t="s">
        <v>4659</v>
      </c>
      <c r="G743" s="146" t="s">
        <v>5556</v>
      </c>
      <c r="H743" s="171" t="s">
        <v>5557</v>
      </c>
      <c r="I743" s="174" t="s">
        <v>5559</v>
      </c>
      <c r="J743" s="171" t="s">
        <v>5557</v>
      </c>
      <c r="K743" s="174" t="s">
        <v>5559</v>
      </c>
      <c r="L743" s="151"/>
      <c r="M743" s="149"/>
      <c r="N743" s="168"/>
      <c r="O743" s="169" t="s">
        <v>4502</v>
      </c>
      <c r="P743" s="170"/>
      <c r="Q743" s="180"/>
      <c r="R743" s="170"/>
      <c r="S743" s="108"/>
      <c r="T743" s="108"/>
      <c r="U743" s="108"/>
      <c r="V743" s="26"/>
      <c r="W743" s="27"/>
      <c r="X743" s="28"/>
    </row>
    <row r="744" ht="17" spans="1:24">
      <c r="A744" s="16" t="s">
        <v>4174</v>
      </c>
      <c r="B744" s="17" t="s">
        <v>4175</v>
      </c>
      <c r="C744" s="179" t="s">
        <v>5964</v>
      </c>
      <c r="D744" s="101" t="s">
        <v>5965</v>
      </c>
      <c r="E744" s="101" t="s">
        <v>5966</v>
      </c>
      <c r="F744" s="181" t="s">
        <v>4659</v>
      </c>
      <c r="G744" s="146" t="s">
        <v>3240</v>
      </c>
      <c r="H744" s="146" t="s">
        <v>3241</v>
      </c>
      <c r="I744" s="146" t="s">
        <v>3243</v>
      </c>
      <c r="J744" s="146" t="s">
        <v>3241</v>
      </c>
      <c r="K744" s="146" t="s">
        <v>3243</v>
      </c>
      <c r="L744" s="151"/>
      <c r="M744" s="149"/>
      <c r="N744" s="168"/>
      <c r="O744" s="169" t="s">
        <v>4506</v>
      </c>
      <c r="P744" s="170"/>
      <c r="Q744" s="180"/>
      <c r="R744" s="170"/>
      <c r="S744" s="108"/>
      <c r="T744" s="108"/>
      <c r="U744" s="108"/>
      <c r="V744" s="26"/>
      <c r="W744" s="27"/>
      <c r="X744" s="28"/>
    </row>
    <row r="745" ht="17" spans="1:24">
      <c r="A745" s="24" t="s">
        <v>4174</v>
      </c>
      <c r="B745" s="27" t="s">
        <v>4175</v>
      </c>
      <c r="C745" s="179" t="s">
        <v>5572</v>
      </c>
      <c r="D745" s="101" t="s">
        <v>5967</v>
      </c>
      <c r="E745" s="101" t="s">
        <v>4385</v>
      </c>
      <c r="F745" s="181" t="s">
        <v>4663</v>
      </c>
      <c r="G745" s="167" t="s">
        <v>5565</v>
      </c>
      <c r="H745" s="167" t="s">
        <v>5566</v>
      </c>
      <c r="I745" s="146" t="s">
        <v>5568</v>
      </c>
      <c r="J745" s="167" t="s">
        <v>5566</v>
      </c>
      <c r="K745" s="146" t="s">
        <v>5568</v>
      </c>
      <c r="L745" s="151"/>
      <c r="M745" s="183"/>
      <c r="N745" s="151"/>
      <c r="O745" s="184" t="s">
        <v>3351</v>
      </c>
      <c r="P745" s="170"/>
      <c r="Q745" s="180"/>
      <c r="R745" s="170"/>
      <c r="S745" s="108"/>
      <c r="T745" s="108"/>
      <c r="U745" s="108"/>
      <c r="V745" s="26"/>
      <c r="W745" s="27"/>
      <c r="X745" s="28"/>
    </row>
    <row r="746" ht="17" spans="1:24">
      <c r="A746" s="24" t="s">
        <v>4174</v>
      </c>
      <c r="B746" s="27" t="s">
        <v>4175</v>
      </c>
      <c r="C746" s="179" t="s">
        <v>5572</v>
      </c>
      <c r="D746" s="101" t="s">
        <v>5967</v>
      </c>
      <c r="E746" s="101" t="s">
        <v>4385</v>
      </c>
      <c r="F746" s="181" t="s">
        <v>4663</v>
      </c>
      <c r="G746" s="146" t="s">
        <v>5561</v>
      </c>
      <c r="H746" s="171" t="s">
        <v>5562</v>
      </c>
      <c r="I746" s="174" t="s">
        <v>5564</v>
      </c>
      <c r="J746" s="171" t="s">
        <v>5562</v>
      </c>
      <c r="K746" s="174" t="s">
        <v>5564</v>
      </c>
      <c r="L746" s="151"/>
      <c r="M746" s="183"/>
      <c r="N746" s="151"/>
      <c r="O746" s="184" t="s">
        <v>3352</v>
      </c>
      <c r="P746" s="170"/>
      <c r="Q746" s="180"/>
      <c r="R746" s="170"/>
      <c r="S746" s="108"/>
      <c r="T746" s="108"/>
      <c r="U746" s="108"/>
      <c r="V746" s="26"/>
      <c r="W746" s="27"/>
      <c r="X746" s="28"/>
    </row>
    <row r="747" ht="17" spans="1:24">
      <c r="A747" s="24" t="s">
        <v>4174</v>
      </c>
      <c r="B747" s="27" t="s">
        <v>4175</v>
      </c>
      <c r="C747" s="179" t="s">
        <v>5572</v>
      </c>
      <c r="D747" s="101" t="s">
        <v>5967</v>
      </c>
      <c r="E747" s="101" t="s">
        <v>4385</v>
      </c>
      <c r="F747" s="181" t="s">
        <v>4663</v>
      </c>
      <c r="G747" s="146" t="s">
        <v>3641</v>
      </c>
      <c r="H747" s="146" t="s">
        <v>3642</v>
      </c>
      <c r="I747" s="174" t="s">
        <v>3644</v>
      </c>
      <c r="J747" s="146" t="s">
        <v>3642</v>
      </c>
      <c r="K747" s="174" t="s">
        <v>3644</v>
      </c>
      <c r="L747" s="151"/>
      <c r="M747" s="183"/>
      <c r="N747" s="151"/>
      <c r="O747" s="184" t="s">
        <v>3353</v>
      </c>
      <c r="P747" s="170"/>
      <c r="Q747" s="180"/>
      <c r="R747" s="170"/>
      <c r="S747" s="108"/>
      <c r="T747" s="108"/>
      <c r="U747" s="108"/>
      <c r="V747" s="26"/>
      <c r="W747" s="27"/>
      <c r="X747" s="28"/>
    </row>
    <row r="748" ht="17" spans="1:24">
      <c r="A748" s="24" t="s">
        <v>4174</v>
      </c>
      <c r="B748" s="27" t="s">
        <v>4175</v>
      </c>
      <c r="C748" s="179" t="s">
        <v>5572</v>
      </c>
      <c r="D748" s="101" t="s">
        <v>5967</v>
      </c>
      <c r="E748" s="101" t="s">
        <v>4385</v>
      </c>
      <c r="F748" s="181" t="s">
        <v>4663</v>
      </c>
      <c r="G748" s="146" t="s">
        <v>2889</v>
      </c>
      <c r="H748" s="146" t="s">
        <v>2890</v>
      </c>
      <c r="I748" s="174" t="s">
        <v>2892</v>
      </c>
      <c r="J748" s="146" t="s">
        <v>2890</v>
      </c>
      <c r="K748" s="174" t="s">
        <v>2892</v>
      </c>
      <c r="L748" s="151"/>
      <c r="M748" s="183"/>
      <c r="N748" s="151"/>
      <c r="O748" s="184" t="s">
        <v>3365</v>
      </c>
      <c r="P748" s="170"/>
      <c r="Q748" s="180"/>
      <c r="R748" s="170"/>
      <c r="S748" s="108"/>
      <c r="T748" s="108"/>
      <c r="U748" s="108"/>
      <c r="V748" s="26"/>
      <c r="W748" s="27"/>
      <c r="X748" s="28"/>
    </row>
    <row r="749" ht="17" spans="1:24">
      <c r="A749" s="24" t="s">
        <v>4174</v>
      </c>
      <c r="B749" s="27" t="s">
        <v>4175</v>
      </c>
      <c r="C749" s="179" t="s">
        <v>5572</v>
      </c>
      <c r="D749" s="101" t="s">
        <v>5967</v>
      </c>
      <c r="E749" s="101" t="s">
        <v>4385</v>
      </c>
      <c r="F749" s="181" t="s">
        <v>4663</v>
      </c>
      <c r="G749" s="146" t="s">
        <v>2935</v>
      </c>
      <c r="H749" s="171" t="s">
        <v>2936</v>
      </c>
      <c r="I749" s="174" t="s">
        <v>5571</v>
      </c>
      <c r="J749" s="171" t="s">
        <v>2936</v>
      </c>
      <c r="K749" s="174" t="s">
        <v>5571</v>
      </c>
      <c r="L749" s="151"/>
      <c r="M749" s="183"/>
      <c r="N749" s="151"/>
      <c r="O749" s="184" t="s">
        <v>3370</v>
      </c>
      <c r="P749" s="170"/>
      <c r="Q749" s="180"/>
      <c r="R749" s="170"/>
      <c r="S749" s="108"/>
      <c r="T749" s="108"/>
      <c r="U749" s="108"/>
      <c r="V749" s="26"/>
      <c r="W749" s="27"/>
      <c r="X749" s="28"/>
    </row>
    <row r="750" ht="17" spans="1:24">
      <c r="A750" s="24" t="s">
        <v>4174</v>
      </c>
      <c r="B750" s="27" t="s">
        <v>4175</v>
      </c>
      <c r="C750" s="179" t="s">
        <v>5572</v>
      </c>
      <c r="D750" s="101" t="s">
        <v>5967</v>
      </c>
      <c r="E750" s="101" t="s">
        <v>4385</v>
      </c>
      <c r="F750" s="181" t="s">
        <v>4663</v>
      </c>
      <c r="G750" s="146" t="s">
        <v>3196</v>
      </c>
      <c r="H750" s="171" t="s">
        <v>3197</v>
      </c>
      <c r="I750" s="174" t="s">
        <v>2740</v>
      </c>
      <c r="J750" s="171" t="s">
        <v>3197</v>
      </c>
      <c r="K750" s="174" t="s">
        <v>2740</v>
      </c>
      <c r="L750" s="151"/>
      <c r="M750" s="183"/>
      <c r="N750" s="151"/>
      <c r="O750" s="184" t="s">
        <v>3371</v>
      </c>
      <c r="P750" s="170"/>
      <c r="Q750" s="180"/>
      <c r="R750" s="170"/>
      <c r="S750" s="108"/>
      <c r="T750" s="108"/>
      <c r="U750" s="108"/>
      <c r="V750" s="26"/>
      <c r="W750" s="27"/>
      <c r="X750" s="28"/>
    </row>
    <row r="751" ht="17" spans="1:24">
      <c r="A751" s="24" t="s">
        <v>4174</v>
      </c>
      <c r="B751" s="27" t="s">
        <v>4175</v>
      </c>
      <c r="C751" s="179" t="s">
        <v>5572</v>
      </c>
      <c r="D751" s="101" t="s">
        <v>5967</v>
      </c>
      <c r="E751" s="101" t="s">
        <v>4385</v>
      </c>
      <c r="F751" s="181" t="s">
        <v>4663</v>
      </c>
      <c r="G751" s="146" t="s">
        <v>1774</v>
      </c>
      <c r="H751" s="171" t="s">
        <v>1775</v>
      </c>
      <c r="I751" s="174" t="s">
        <v>1777</v>
      </c>
      <c r="J751" s="171" t="s">
        <v>1775</v>
      </c>
      <c r="K751" s="174" t="s">
        <v>1777</v>
      </c>
      <c r="L751" s="151"/>
      <c r="M751" s="183"/>
      <c r="N751" s="151"/>
      <c r="O751" s="184" t="s">
        <v>5555</v>
      </c>
      <c r="P751" s="170"/>
      <c r="Q751" s="180"/>
      <c r="R751" s="170"/>
      <c r="S751" s="108"/>
      <c r="T751" s="108"/>
      <c r="U751" s="108"/>
      <c r="V751" s="26"/>
      <c r="W751" s="27"/>
      <c r="X751" s="28"/>
    </row>
    <row r="752" ht="17" spans="1:24">
      <c r="A752" s="24" t="s">
        <v>4174</v>
      </c>
      <c r="B752" s="27" t="s">
        <v>4175</v>
      </c>
      <c r="C752" s="179" t="s">
        <v>5572</v>
      </c>
      <c r="D752" s="101" t="s">
        <v>5967</v>
      </c>
      <c r="E752" s="101" t="s">
        <v>4385</v>
      </c>
      <c r="F752" s="181" t="s">
        <v>4663</v>
      </c>
      <c r="G752" s="146" t="s">
        <v>5556</v>
      </c>
      <c r="H752" s="171" t="s">
        <v>5557</v>
      </c>
      <c r="I752" s="174" t="s">
        <v>5559</v>
      </c>
      <c r="J752" s="171" t="s">
        <v>5557</v>
      </c>
      <c r="K752" s="174" t="s">
        <v>5559</v>
      </c>
      <c r="L752" s="151"/>
      <c r="M752" s="183"/>
      <c r="N752" s="151"/>
      <c r="O752" s="184" t="s">
        <v>4488</v>
      </c>
      <c r="P752" s="170"/>
      <c r="Q752" s="180"/>
      <c r="R752" s="170"/>
      <c r="S752" s="108"/>
      <c r="T752" s="108"/>
      <c r="U752" s="108"/>
      <c r="V752" s="26"/>
      <c r="W752" s="27"/>
      <c r="X752" s="28"/>
    </row>
    <row r="753" ht="17" spans="1:24">
      <c r="A753" s="24" t="s">
        <v>4174</v>
      </c>
      <c r="B753" s="27" t="s">
        <v>4175</v>
      </c>
      <c r="C753" s="179" t="s">
        <v>5572</v>
      </c>
      <c r="D753" s="101" t="s">
        <v>5967</v>
      </c>
      <c r="E753" s="101" t="s">
        <v>4385</v>
      </c>
      <c r="F753" s="181" t="s">
        <v>4663</v>
      </c>
      <c r="G753" s="171" t="s">
        <v>3192</v>
      </c>
      <c r="H753" s="171" t="s">
        <v>3193</v>
      </c>
      <c r="I753" s="171" t="s">
        <v>3195</v>
      </c>
      <c r="J753" s="171" t="s">
        <v>3193</v>
      </c>
      <c r="K753" s="171" t="s">
        <v>3195</v>
      </c>
      <c r="L753" s="151"/>
      <c r="M753" s="183"/>
      <c r="N753" s="151"/>
      <c r="O753" s="184" t="s">
        <v>4492</v>
      </c>
      <c r="P753" s="170"/>
      <c r="Q753" s="180"/>
      <c r="R753" s="170"/>
      <c r="S753" s="108"/>
      <c r="T753" s="108"/>
      <c r="U753" s="108"/>
      <c r="V753" s="26"/>
      <c r="W753" s="27"/>
      <c r="X753" s="28"/>
    </row>
    <row r="754" ht="17" spans="1:24">
      <c r="A754" s="24" t="s">
        <v>4174</v>
      </c>
      <c r="B754" s="27" t="s">
        <v>4175</v>
      </c>
      <c r="C754" s="179" t="s">
        <v>5572</v>
      </c>
      <c r="D754" s="101" t="s">
        <v>5967</v>
      </c>
      <c r="E754" s="101" t="s">
        <v>4385</v>
      </c>
      <c r="F754" s="181" t="s">
        <v>4663</v>
      </c>
      <c r="G754" s="171" t="s">
        <v>3332</v>
      </c>
      <c r="H754" s="171" t="s">
        <v>3333</v>
      </c>
      <c r="I754" s="171" t="s">
        <v>3335</v>
      </c>
      <c r="J754" s="171" t="s">
        <v>3333</v>
      </c>
      <c r="K754" s="171" t="s">
        <v>3335</v>
      </c>
      <c r="L754" s="151"/>
      <c r="M754" s="183"/>
      <c r="N754" s="151"/>
      <c r="O754" s="184" t="s">
        <v>4495</v>
      </c>
      <c r="P754" s="170"/>
      <c r="Q754" s="180"/>
      <c r="R754" s="170"/>
      <c r="S754" s="108"/>
      <c r="T754" s="108"/>
      <c r="U754" s="108"/>
      <c r="V754" s="26"/>
      <c r="W754" s="27"/>
      <c r="X754" s="28"/>
    </row>
    <row r="755" ht="17" spans="1:24">
      <c r="A755" s="24" t="s">
        <v>4174</v>
      </c>
      <c r="B755" s="27" t="s">
        <v>4175</v>
      </c>
      <c r="C755" s="179" t="s">
        <v>5572</v>
      </c>
      <c r="D755" s="101" t="s">
        <v>5967</v>
      </c>
      <c r="E755" s="101" t="s">
        <v>4385</v>
      </c>
      <c r="F755" s="181" t="s">
        <v>4663</v>
      </c>
      <c r="G755" s="171" t="s">
        <v>3336</v>
      </c>
      <c r="H755" s="171" t="s">
        <v>3337</v>
      </c>
      <c r="I755" s="171" t="s">
        <v>3339</v>
      </c>
      <c r="J755" s="171" t="s">
        <v>3337</v>
      </c>
      <c r="K755" s="171" t="s">
        <v>3339</v>
      </c>
      <c r="L755" s="151"/>
      <c r="M755" s="183"/>
      <c r="N755" s="151"/>
      <c r="O755" s="184" t="s">
        <v>4499</v>
      </c>
      <c r="P755" s="170"/>
      <c r="Q755" s="180"/>
      <c r="R755" s="170"/>
      <c r="S755" s="108"/>
      <c r="T755" s="108"/>
      <c r="U755" s="108"/>
      <c r="V755" s="26"/>
      <c r="W755" s="27"/>
      <c r="X755" s="28"/>
    </row>
    <row r="756" ht="17" spans="1:24">
      <c r="A756" s="24" t="s">
        <v>4174</v>
      </c>
      <c r="B756" s="27" t="s">
        <v>4175</v>
      </c>
      <c r="C756" s="179" t="s">
        <v>5573</v>
      </c>
      <c r="D756" s="101" t="s">
        <v>5968</v>
      </c>
      <c r="E756" s="101" t="s">
        <v>4387</v>
      </c>
      <c r="F756" s="181" t="s">
        <v>4667</v>
      </c>
      <c r="G756" s="167" t="s">
        <v>5565</v>
      </c>
      <c r="H756" s="167" t="s">
        <v>5566</v>
      </c>
      <c r="I756" s="146" t="s">
        <v>5568</v>
      </c>
      <c r="J756" s="167" t="s">
        <v>5566</v>
      </c>
      <c r="K756" s="146" t="s">
        <v>5568</v>
      </c>
      <c r="L756" s="151"/>
      <c r="M756" s="183"/>
      <c r="N756" s="151"/>
      <c r="O756" s="184" t="s">
        <v>3351</v>
      </c>
      <c r="P756" s="170"/>
      <c r="Q756" s="180"/>
      <c r="R756" s="170"/>
      <c r="S756" s="108"/>
      <c r="T756" s="108"/>
      <c r="U756" s="108"/>
      <c r="V756" s="26"/>
      <c r="W756" s="27"/>
      <c r="X756" s="28"/>
    </row>
    <row r="757" ht="17" spans="1:24">
      <c r="A757" s="24" t="s">
        <v>4174</v>
      </c>
      <c r="B757" s="27" t="s">
        <v>4175</v>
      </c>
      <c r="C757" s="179" t="s">
        <v>5573</v>
      </c>
      <c r="D757" s="101" t="s">
        <v>5968</v>
      </c>
      <c r="E757" s="101" t="s">
        <v>4387</v>
      </c>
      <c r="F757" s="181" t="s">
        <v>4667</v>
      </c>
      <c r="G757" s="146" t="s">
        <v>5561</v>
      </c>
      <c r="H757" s="171" t="s">
        <v>5562</v>
      </c>
      <c r="I757" s="174" t="s">
        <v>5564</v>
      </c>
      <c r="J757" s="171" t="s">
        <v>5562</v>
      </c>
      <c r="K757" s="174" t="s">
        <v>5564</v>
      </c>
      <c r="L757" s="151"/>
      <c r="M757" s="183"/>
      <c r="N757" s="151"/>
      <c r="O757" s="184" t="s">
        <v>3352</v>
      </c>
      <c r="P757" s="170"/>
      <c r="Q757" s="180"/>
      <c r="R757" s="170"/>
      <c r="S757" s="108"/>
      <c r="T757" s="108"/>
      <c r="U757" s="108"/>
      <c r="V757" s="26"/>
      <c r="W757" s="27"/>
      <c r="X757" s="28"/>
    </row>
    <row r="758" ht="17" spans="1:24">
      <c r="A758" s="24" t="s">
        <v>4174</v>
      </c>
      <c r="B758" s="27" t="s">
        <v>4175</v>
      </c>
      <c r="C758" s="179" t="s">
        <v>5573</v>
      </c>
      <c r="D758" s="101" t="s">
        <v>5968</v>
      </c>
      <c r="E758" s="101" t="s">
        <v>4387</v>
      </c>
      <c r="F758" s="181" t="s">
        <v>4667</v>
      </c>
      <c r="G758" s="146" t="s">
        <v>3641</v>
      </c>
      <c r="H758" s="146" t="s">
        <v>3642</v>
      </c>
      <c r="I758" s="174" t="s">
        <v>3644</v>
      </c>
      <c r="J758" s="146" t="s">
        <v>3642</v>
      </c>
      <c r="K758" s="174" t="s">
        <v>3644</v>
      </c>
      <c r="L758" s="151"/>
      <c r="M758" s="183"/>
      <c r="N758" s="151"/>
      <c r="O758" s="184" t="s">
        <v>3353</v>
      </c>
      <c r="P758" s="170"/>
      <c r="Q758" s="180"/>
      <c r="R758" s="170"/>
      <c r="S758" s="108"/>
      <c r="T758" s="108"/>
      <c r="U758" s="108"/>
      <c r="V758" s="26"/>
      <c r="W758" s="27"/>
      <c r="X758" s="28"/>
    </row>
    <row r="759" ht="17" spans="1:24">
      <c r="A759" s="24" t="s">
        <v>4174</v>
      </c>
      <c r="B759" s="27" t="s">
        <v>4175</v>
      </c>
      <c r="C759" s="179" t="s">
        <v>5573</v>
      </c>
      <c r="D759" s="101" t="s">
        <v>5968</v>
      </c>
      <c r="E759" s="101" t="s">
        <v>4387</v>
      </c>
      <c r="F759" s="181" t="s">
        <v>4667</v>
      </c>
      <c r="G759" s="146" t="s">
        <v>2889</v>
      </c>
      <c r="H759" s="146" t="s">
        <v>2890</v>
      </c>
      <c r="I759" s="174" t="s">
        <v>2892</v>
      </c>
      <c r="J759" s="146" t="s">
        <v>2890</v>
      </c>
      <c r="K759" s="174" t="s">
        <v>2892</v>
      </c>
      <c r="L759" s="151"/>
      <c r="M759" s="183"/>
      <c r="N759" s="151"/>
      <c r="O759" s="184" t="s">
        <v>3365</v>
      </c>
      <c r="P759" s="170"/>
      <c r="Q759" s="180"/>
      <c r="R759" s="170"/>
      <c r="S759" s="108"/>
      <c r="T759" s="108"/>
      <c r="U759" s="108"/>
      <c r="V759" s="26"/>
      <c r="W759" s="27"/>
      <c r="X759" s="28"/>
    </row>
    <row r="760" ht="17" spans="1:24">
      <c r="A760" s="24" t="s">
        <v>4174</v>
      </c>
      <c r="B760" s="27" t="s">
        <v>4175</v>
      </c>
      <c r="C760" s="179" t="s">
        <v>5573</v>
      </c>
      <c r="D760" s="101" t="s">
        <v>5968</v>
      </c>
      <c r="E760" s="101" t="s">
        <v>4387</v>
      </c>
      <c r="F760" s="181" t="s">
        <v>4667</v>
      </c>
      <c r="G760" s="146" t="s">
        <v>2935</v>
      </c>
      <c r="H760" s="171" t="s">
        <v>2936</v>
      </c>
      <c r="I760" s="174" t="s">
        <v>5571</v>
      </c>
      <c r="J760" s="171" t="s">
        <v>2936</v>
      </c>
      <c r="K760" s="174" t="s">
        <v>5571</v>
      </c>
      <c r="L760" s="151"/>
      <c r="M760" s="183"/>
      <c r="N760" s="151"/>
      <c r="O760" s="184" t="s">
        <v>3370</v>
      </c>
      <c r="P760" s="170"/>
      <c r="Q760" s="180"/>
      <c r="R760" s="170"/>
      <c r="S760" s="108"/>
      <c r="T760" s="108"/>
      <c r="U760" s="108"/>
      <c r="V760" s="26"/>
      <c r="W760" s="27"/>
      <c r="X760" s="28"/>
    </row>
    <row r="761" ht="17" spans="1:24">
      <c r="A761" s="24" t="s">
        <v>4174</v>
      </c>
      <c r="B761" s="27" t="s">
        <v>4175</v>
      </c>
      <c r="C761" s="179" t="s">
        <v>5573</v>
      </c>
      <c r="D761" s="101" t="s">
        <v>5968</v>
      </c>
      <c r="E761" s="101" t="s">
        <v>4387</v>
      </c>
      <c r="F761" s="181" t="s">
        <v>4667</v>
      </c>
      <c r="G761" s="146" t="s">
        <v>3196</v>
      </c>
      <c r="H761" s="171" t="s">
        <v>3197</v>
      </c>
      <c r="I761" s="174" t="s">
        <v>2740</v>
      </c>
      <c r="J761" s="171" t="s">
        <v>3197</v>
      </c>
      <c r="K761" s="174" t="s">
        <v>2740</v>
      </c>
      <c r="L761" s="151"/>
      <c r="M761" s="183"/>
      <c r="N761" s="151"/>
      <c r="O761" s="184" t="s">
        <v>3371</v>
      </c>
      <c r="P761" s="170"/>
      <c r="Q761" s="180"/>
      <c r="R761" s="170"/>
      <c r="S761" s="108"/>
      <c r="T761" s="108"/>
      <c r="U761" s="108"/>
      <c r="V761" s="26"/>
      <c r="W761" s="27"/>
      <c r="X761" s="28"/>
    </row>
    <row r="762" ht="17" spans="1:24">
      <c r="A762" s="24" t="s">
        <v>4174</v>
      </c>
      <c r="B762" s="27" t="s">
        <v>4175</v>
      </c>
      <c r="C762" s="179" t="s">
        <v>5573</v>
      </c>
      <c r="D762" s="101" t="s">
        <v>5968</v>
      </c>
      <c r="E762" s="101" t="s">
        <v>4387</v>
      </c>
      <c r="F762" s="181" t="s">
        <v>4667</v>
      </c>
      <c r="G762" s="146" t="s">
        <v>1774</v>
      </c>
      <c r="H762" s="171" t="s">
        <v>1775</v>
      </c>
      <c r="I762" s="174" t="s">
        <v>1777</v>
      </c>
      <c r="J762" s="171" t="s">
        <v>1775</v>
      </c>
      <c r="K762" s="174" t="s">
        <v>1777</v>
      </c>
      <c r="L762" s="151"/>
      <c r="M762" s="183"/>
      <c r="N762" s="151"/>
      <c r="O762" s="184" t="s">
        <v>5555</v>
      </c>
      <c r="P762" s="170"/>
      <c r="Q762" s="180"/>
      <c r="R762" s="170"/>
      <c r="S762" s="108"/>
      <c r="T762" s="108"/>
      <c r="U762" s="108"/>
      <c r="V762" s="26"/>
      <c r="W762" s="27"/>
      <c r="X762" s="28"/>
    </row>
    <row r="763" ht="17" spans="1:24">
      <c r="A763" s="24" t="s">
        <v>4174</v>
      </c>
      <c r="B763" s="27" t="s">
        <v>4175</v>
      </c>
      <c r="C763" s="179" t="s">
        <v>5573</v>
      </c>
      <c r="D763" s="101" t="s">
        <v>5968</v>
      </c>
      <c r="E763" s="101" t="s">
        <v>4387</v>
      </c>
      <c r="F763" s="181" t="s">
        <v>4667</v>
      </c>
      <c r="G763" s="146" t="s">
        <v>5556</v>
      </c>
      <c r="H763" s="171" t="s">
        <v>5557</v>
      </c>
      <c r="I763" s="174" t="s">
        <v>5559</v>
      </c>
      <c r="J763" s="171" t="s">
        <v>5557</v>
      </c>
      <c r="K763" s="174" t="s">
        <v>5559</v>
      </c>
      <c r="L763" s="151"/>
      <c r="M763" s="183"/>
      <c r="N763" s="151"/>
      <c r="O763" s="184" t="s">
        <v>4488</v>
      </c>
      <c r="P763" s="170"/>
      <c r="Q763" s="180"/>
      <c r="R763" s="170"/>
      <c r="S763" s="108"/>
      <c r="T763" s="108"/>
      <c r="U763" s="108"/>
      <c r="V763" s="26"/>
      <c r="W763" s="27"/>
      <c r="X763" s="28"/>
    </row>
    <row r="764" ht="17" spans="1:24">
      <c r="A764" s="24" t="s">
        <v>4174</v>
      </c>
      <c r="B764" s="27" t="s">
        <v>4175</v>
      </c>
      <c r="C764" s="179" t="s">
        <v>5573</v>
      </c>
      <c r="D764" s="101" t="s">
        <v>5968</v>
      </c>
      <c r="E764" s="101" t="s">
        <v>4387</v>
      </c>
      <c r="F764" s="181" t="s">
        <v>4667</v>
      </c>
      <c r="G764" s="146" t="s">
        <v>3192</v>
      </c>
      <c r="H764" s="171" t="s">
        <v>3193</v>
      </c>
      <c r="I764" s="171" t="s">
        <v>3195</v>
      </c>
      <c r="J764" s="171" t="s">
        <v>3193</v>
      </c>
      <c r="K764" s="171" t="s">
        <v>3195</v>
      </c>
      <c r="L764" s="151"/>
      <c r="M764" s="183"/>
      <c r="N764" s="151"/>
      <c r="O764" s="184" t="s">
        <v>4492</v>
      </c>
      <c r="P764" s="170"/>
      <c r="Q764" s="180"/>
      <c r="R764" s="170"/>
      <c r="S764" s="108"/>
      <c r="T764" s="108"/>
      <c r="U764" s="108"/>
      <c r="V764" s="26"/>
      <c r="W764" s="27"/>
      <c r="X764" s="28"/>
    </row>
    <row r="765" ht="17" spans="1:24">
      <c r="A765" s="24" t="s">
        <v>4174</v>
      </c>
      <c r="B765" s="27" t="s">
        <v>4175</v>
      </c>
      <c r="C765" s="179" t="s">
        <v>5573</v>
      </c>
      <c r="D765" s="101" t="s">
        <v>5968</v>
      </c>
      <c r="E765" s="101" t="s">
        <v>4387</v>
      </c>
      <c r="F765" s="181" t="s">
        <v>4667</v>
      </c>
      <c r="G765" s="146" t="s">
        <v>3332</v>
      </c>
      <c r="H765" s="171" t="s">
        <v>3333</v>
      </c>
      <c r="I765" s="171" t="s">
        <v>3335</v>
      </c>
      <c r="J765" s="171" t="s">
        <v>3333</v>
      </c>
      <c r="K765" s="171" t="s">
        <v>3335</v>
      </c>
      <c r="L765" s="151"/>
      <c r="M765" s="183"/>
      <c r="N765" s="151"/>
      <c r="O765" s="184" t="s">
        <v>4495</v>
      </c>
      <c r="P765" s="170"/>
      <c r="Q765" s="180"/>
      <c r="R765" s="170"/>
      <c r="S765" s="108"/>
      <c r="T765" s="108"/>
      <c r="U765" s="108"/>
      <c r="V765" s="26"/>
      <c r="W765" s="27"/>
      <c r="X765" s="28"/>
    </row>
    <row r="766" ht="17" spans="1:24">
      <c r="A766" s="24" t="s">
        <v>4174</v>
      </c>
      <c r="B766" s="27" t="s">
        <v>4175</v>
      </c>
      <c r="C766" s="179" t="s">
        <v>5573</v>
      </c>
      <c r="D766" s="101" t="s">
        <v>5968</v>
      </c>
      <c r="E766" s="101" t="s">
        <v>4387</v>
      </c>
      <c r="F766" s="181" t="s">
        <v>4667</v>
      </c>
      <c r="G766" s="146" t="s">
        <v>3336</v>
      </c>
      <c r="H766" s="171" t="s">
        <v>3337</v>
      </c>
      <c r="I766" s="171" t="s">
        <v>3339</v>
      </c>
      <c r="J766" s="171" t="s">
        <v>3337</v>
      </c>
      <c r="K766" s="171" t="s">
        <v>3339</v>
      </c>
      <c r="L766" s="151"/>
      <c r="M766" s="183"/>
      <c r="N766" s="151"/>
      <c r="O766" s="184" t="s">
        <v>4499</v>
      </c>
      <c r="P766" s="170"/>
      <c r="Q766" s="180"/>
      <c r="R766" s="170"/>
      <c r="S766" s="108"/>
      <c r="T766" s="108"/>
      <c r="U766" s="108"/>
      <c r="V766" s="26"/>
      <c r="W766" s="27"/>
      <c r="X766" s="28"/>
    </row>
    <row r="767" ht="34" spans="1:24">
      <c r="A767" s="24" t="s">
        <v>4174</v>
      </c>
      <c r="B767" s="27" t="s">
        <v>4175</v>
      </c>
      <c r="C767" s="179" t="s">
        <v>5574</v>
      </c>
      <c r="D767" s="101" t="s">
        <v>5969</v>
      </c>
      <c r="E767" s="101" t="s">
        <v>4389</v>
      </c>
      <c r="F767" s="181" t="s">
        <v>5970</v>
      </c>
      <c r="G767" s="167" t="s">
        <v>5565</v>
      </c>
      <c r="H767" s="167" t="s">
        <v>5566</v>
      </c>
      <c r="I767" s="146" t="s">
        <v>5568</v>
      </c>
      <c r="J767" s="167" t="s">
        <v>5566</v>
      </c>
      <c r="K767" s="146" t="s">
        <v>5568</v>
      </c>
      <c r="L767" s="151"/>
      <c r="M767" s="183"/>
      <c r="N767" s="151"/>
      <c r="O767" s="184" t="s">
        <v>3351</v>
      </c>
      <c r="P767" s="170"/>
      <c r="Q767" s="180"/>
      <c r="R767" s="170"/>
      <c r="S767" s="108"/>
      <c r="T767" s="108"/>
      <c r="U767" s="108"/>
      <c r="V767" s="26"/>
      <c r="W767" s="27"/>
      <c r="X767" s="28"/>
    </row>
    <row r="768" ht="34" spans="1:24">
      <c r="A768" s="24" t="s">
        <v>4174</v>
      </c>
      <c r="B768" s="27" t="s">
        <v>4175</v>
      </c>
      <c r="C768" s="179" t="s">
        <v>5574</v>
      </c>
      <c r="D768" s="101" t="s">
        <v>5969</v>
      </c>
      <c r="E768" s="101" t="s">
        <v>4389</v>
      </c>
      <c r="F768" s="181" t="s">
        <v>5970</v>
      </c>
      <c r="G768" s="146" t="s">
        <v>5561</v>
      </c>
      <c r="H768" s="171" t="s">
        <v>5562</v>
      </c>
      <c r="I768" s="174" t="s">
        <v>5564</v>
      </c>
      <c r="J768" s="171" t="s">
        <v>5562</v>
      </c>
      <c r="K768" s="174" t="s">
        <v>5564</v>
      </c>
      <c r="L768" s="151"/>
      <c r="M768" s="183"/>
      <c r="N768" s="151"/>
      <c r="O768" s="184" t="s">
        <v>3352</v>
      </c>
      <c r="P768" s="170"/>
      <c r="Q768" s="180"/>
      <c r="R768" s="170"/>
      <c r="S768" s="108"/>
      <c r="T768" s="108"/>
      <c r="U768" s="108"/>
      <c r="V768" s="26"/>
      <c r="W768" s="27"/>
      <c r="X768" s="28"/>
    </row>
    <row r="769" ht="34" spans="1:24">
      <c r="A769" s="24" t="s">
        <v>4174</v>
      </c>
      <c r="B769" s="27" t="s">
        <v>4175</v>
      </c>
      <c r="C769" s="179" t="s">
        <v>5574</v>
      </c>
      <c r="D769" s="101" t="s">
        <v>5969</v>
      </c>
      <c r="E769" s="101" t="s">
        <v>4389</v>
      </c>
      <c r="F769" s="181" t="s">
        <v>5970</v>
      </c>
      <c r="G769" s="146" t="s">
        <v>3641</v>
      </c>
      <c r="H769" s="146" t="s">
        <v>3642</v>
      </c>
      <c r="I769" s="174" t="s">
        <v>3644</v>
      </c>
      <c r="J769" s="146" t="s">
        <v>3642</v>
      </c>
      <c r="K769" s="174" t="s">
        <v>3644</v>
      </c>
      <c r="L769" s="151"/>
      <c r="M769" s="183"/>
      <c r="N769" s="151"/>
      <c r="O769" s="184" t="s">
        <v>3353</v>
      </c>
      <c r="P769" s="170"/>
      <c r="Q769" s="180"/>
      <c r="R769" s="170"/>
      <c r="S769" s="108"/>
      <c r="T769" s="108"/>
      <c r="U769" s="108"/>
      <c r="V769" s="26"/>
      <c r="W769" s="27"/>
      <c r="X769" s="28"/>
    </row>
    <row r="770" ht="34" spans="1:24">
      <c r="A770" s="24" t="s">
        <v>4174</v>
      </c>
      <c r="B770" s="27" t="s">
        <v>4175</v>
      </c>
      <c r="C770" s="179" t="s">
        <v>5574</v>
      </c>
      <c r="D770" s="101" t="s">
        <v>5969</v>
      </c>
      <c r="E770" s="101" t="s">
        <v>4389</v>
      </c>
      <c r="F770" s="181" t="s">
        <v>5970</v>
      </c>
      <c r="G770" s="146" t="s">
        <v>2889</v>
      </c>
      <c r="H770" s="146" t="s">
        <v>2890</v>
      </c>
      <c r="I770" s="174" t="s">
        <v>2892</v>
      </c>
      <c r="J770" s="146" t="s">
        <v>2890</v>
      </c>
      <c r="K770" s="174" t="s">
        <v>2892</v>
      </c>
      <c r="L770" s="151"/>
      <c r="M770" s="183"/>
      <c r="N770" s="151"/>
      <c r="O770" s="184" t="s">
        <v>3365</v>
      </c>
      <c r="P770" s="170"/>
      <c r="Q770" s="180"/>
      <c r="R770" s="170"/>
      <c r="S770" s="108"/>
      <c r="T770" s="108"/>
      <c r="U770" s="108"/>
      <c r="V770" s="26"/>
      <c r="W770" s="27"/>
      <c r="X770" s="28"/>
    </row>
    <row r="771" ht="34" spans="1:24">
      <c r="A771" s="24" t="s">
        <v>4174</v>
      </c>
      <c r="B771" s="27" t="s">
        <v>4175</v>
      </c>
      <c r="C771" s="179" t="s">
        <v>5574</v>
      </c>
      <c r="D771" s="101" t="s">
        <v>5969</v>
      </c>
      <c r="E771" s="101" t="s">
        <v>4389</v>
      </c>
      <c r="F771" s="181" t="s">
        <v>5970</v>
      </c>
      <c r="G771" s="146" t="s">
        <v>2935</v>
      </c>
      <c r="H771" s="171" t="s">
        <v>2936</v>
      </c>
      <c r="I771" s="174" t="s">
        <v>5571</v>
      </c>
      <c r="J771" s="171" t="s">
        <v>2936</v>
      </c>
      <c r="K771" s="174" t="s">
        <v>5571</v>
      </c>
      <c r="L771" s="151"/>
      <c r="M771" s="183"/>
      <c r="N771" s="151"/>
      <c r="O771" s="184" t="s">
        <v>3370</v>
      </c>
      <c r="P771" s="170"/>
      <c r="Q771" s="180"/>
      <c r="R771" s="170"/>
      <c r="S771" s="108"/>
      <c r="T771" s="108"/>
      <c r="U771" s="108"/>
      <c r="V771" s="26"/>
      <c r="W771" s="27"/>
      <c r="X771" s="28"/>
    </row>
    <row r="772" ht="34" spans="1:24">
      <c r="A772" s="24" t="s">
        <v>4174</v>
      </c>
      <c r="B772" s="27" t="s">
        <v>4175</v>
      </c>
      <c r="C772" s="179" t="s">
        <v>5574</v>
      </c>
      <c r="D772" s="101" t="s">
        <v>5969</v>
      </c>
      <c r="E772" s="101" t="s">
        <v>4389</v>
      </c>
      <c r="F772" s="181" t="s">
        <v>5970</v>
      </c>
      <c r="G772" s="146" t="s">
        <v>3196</v>
      </c>
      <c r="H772" s="171" t="s">
        <v>3197</v>
      </c>
      <c r="I772" s="174" t="s">
        <v>2740</v>
      </c>
      <c r="J772" s="171" t="s">
        <v>3197</v>
      </c>
      <c r="K772" s="174" t="s">
        <v>2740</v>
      </c>
      <c r="L772" s="151"/>
      <c r="M772" s="183"/>
      <c r="N772" s="151"/>
      <c r="O772" s="184" t="s">
        <v>3371</v>
      </c>
      <c r="P772" s="170"/>
      <c r="Q772" s="180"/>
      <c r="R772" s="170"/>
      <c r="S772" s="108"/>
      <c r="T772" s="108"/>
      <c r="U772" s="108"/>
      <c r="V772" s="26"/>
      <c r="W772" s="27"/>
      <c r="X772" s="28"/>
    </row>
    <row r="773" ht="34" spans="1:24">
      <c r="A773" s="24" t="s">
        <v>4174</v>
      </c>
      <c r="B773" s="27" t="s">
        <v>4175</v>
      </c>
      <c r="C773" s="179" t="s">
        <v>5574</v>
      </c>
      <c r="D773" s="101" t="s">
        <v>5969</v>
      </c>
      <c r="E773" s="101" t="s">
        <v>4389</v>
      </c>
      <c r="F773" s="181" t="s">
        <v>5970</v>
      </c>
      <c r="G773" s="146" t="s">
        <v>1774</v>
      </c>
      <c r="H773" s="171" t="s">
        <v>1775</v>
      </c>
      <c r="I773" s="174" t="s">
        <v>1777</v>
      </c>
      <c r="J773" s="171" t="s">
        <v>1775</v>
      </c>
      <c r="K773" s="174" t="s">
        <v>1777</v>
      </c>
      <c r="L773" s="151"/>
      <c r="M773" s="183"/>
      <c r="N773" s="151"/>
      <c r="O773" s="184" t="s">
        <v>5555</v>
      </c>
      <c r="P773" s="170"/>
      <c r="Q773" s="180"/>
      <c r="R773" s="170"/>
      <c r="S773" s="108"/>
      <c r="T773" s="108"/>
      <c r="U773" s="108"/>
      <c r="V773" s="26"/>
      <c r="W773" s="27"/>
      <c r="X773" s="28"/>
    </row>
    <row r="774" ht="34" spans="1:24">
      <c r="A774" s="24" t="s">
        <v>4174</v>
      </c>
      <c r="B774" s="27" t="s">
        <v>4175</v>
      </c>
      <c r="C774" s="179" t="s">
        <v>5574</v>
      </c>
      <c r="D774" s="101" t="s">
        <v>5969</v>
      </c>
      <c r="E774" s="101" t="s">
        <v>4389</v>
      </c>
      <c r="F774" s="181" t="s">
        <v>5970</v>
      </c>
      <c r="G774" s="146" t="s">
        <v>5556</v>
      </c>
      <c r="H774" s="171" t="s">
        <v>5557</v>
      </c>
      <c r="I774" s="174" t="s">
        <v>5559</v>
      </c>
      <c r="J774" s="171" t="s">
        <v>5557</v>
      </c>
      <c r="K774" s="174" t="s">
        <v>5559</v>
      </c>
      <c r="L774" s="151"/>
      <c r="M774" s="183"/>
      <c r="N774" s="151"/>
      <c r="O774" s="184" t="s">
        <v>4488</v>
      </c>
      <c r="P774" s="170"/>
      <c r="Q774" s="180"/>
      <c r="R774" s="170"/>
      <c r="S774" s="108"/>
      <c r="T774" s="108"/>
      <c r="U774" s="108"/>
      <c r="V774" s="26"/>
      <c r="W774" s="27"/>
      <c r="X774" s="28"/>
    </row>
    <row r="775" ht="34" spans="1:24">
      <c r="A775" s="24" t="s">
        <v>4174</v>
      </c>
      <c r="B775" s="27" t="s">
        <v>4175</v>
      </c>
      <c r="C775" s="179" t="s">
        <v>5574</v>
      </c>
      <c r="D775" s="101" t="s">
        <v>5969</v>
      </c>
      <c r="E775" s="101" t="s">
        <v>4389</v>
      </c>
      <c r="F775" s="185" t="s">
        <v>5970</v>
      </c>
      <c r="G775" s="167" t="s">
        <v>3192</v>
      </c>
      <c r="H775" s="176" t="s">
        <v>3193</v>
      </c>
      <c r="I775" s="186" t="s">
        <v>3195</v>
      </c>
      <c r="J775" s="176" t="s">
        <v>3193</v>
      </c>
      <c r="K775" s="186" t="s">
        <v>3195</v>
      </c>
      <c r="L775" s="151"/>
      <c r="M775" s="183"/>
      <c r="N775" s="151"/>
      <c r="O775" s="184" t="s">
        <v>4492</v>
      </c>
      <c r="P775" s="170"/>
      <c r="Q775" s="180"/>
      <c r="R775" s="170"/>
      <c r="S775" s="108"/>
      <c r="T775" s="108"/>
      <c r="U775" s="108"/>
      <c r="V775" s="26"/>
      <c r="W775" s="27"/>
      <c r="X775" s="28"/>
    </row>
    <row r="776" ht="34" spans="1:24">
      <c r="A776" s="24" t="s">
        <v>4174</v>
      </c>
      <c r="B776" s="27" t="s">
        <v>4175</v>
      </c>
      <c r="C776" s="179" t="s">
        <v>5574</v>
      </c>
      <c r="D776" s="101" t="s">
        <v>5969</v>
      </c>
      <c r="E776" s="101" t="s">
        <v>4389</v>
      </c>
      <c r="F776" s="185" t="s">
        <v>5970</v>
      </c>
      <c r="G776" s="146" t="s">
        <v>3332</v>
      </c>
      <c r="H776" s="146" t="s">
        <v>3333</v>
      </c>
      <c r="I776" s="146" t="s">
        <v>3335</v>
      </c>
      <c r="J776" s="146" t="s">
        <v>3333</v>
      </c>
      <c r="K776" s="146" t="s">
        <v>3335</v>
      </c>
      <c r="L776" s="151"/>
      <c r="M776" s="183"/>
      <c r="N776" s="151"/>
      <c r="O776" s="184" t="s">
        <v>4495</v>
      </c>
      <c r="P776" s="170"/>
      <c r="Q776" s="180"/>
      <c r="R776" s="170"/>
      <c r="S776" s="108"/>
      <c r="T776" s="108"/>
      <c r="U776" s="108"/>
      <c r="V776" s="26"/>
      <c r="W776" s="27"/>
      <c r="X776" s="28"/>
    </row>
    <row r="777" ht="34" spans="1:24">
      <c r="A777" s="24" t="s">
        <v>4174</v>
      </c>
      <c r="B777" s="27" t="s">
        <v>4175</v>
      </c>
      <c r="C777" s="179" t="s">
        <v>5574</v>
      </c>
      <c r="D777" s="101" t="s">
        <v>5969</v>
      </c>
      <c r="E777" s="101" t="s">
        <v>4389</v>
      </c>
      <c r="F777" s="185" t="s">
        <v>5970</v>
      </c>
      <c r="G777" s="146" t="s">
        <v>3336</v>
      </c>
      <c r="H777" s="146" t="s">
        <v>3337</v>
      </c>
      <c r="I777" s="146" t="s">
        <v>3339</v>
      </c>
      <c r="J777" s="146" t="s">
        <v>3337</v>
      </c>
      <c r="K777" s="146" t="s">
        <v>3339</v>
      </c>
      <c r="L777" s="151"/>
      <c r="M777" s="183"/>
      <c r="N777" s="151"/>
      <c r="O777" s="184" t="s">
        <v>4499</v>
      </c>
      <c r="P777" s="170"/>
      <c r="Q777" s="180"/>
      <c r="R777" s="170"/>
      <c r="S777" s="108"/>
      <c r="T777" s="108"/>
      <c r="U777" s="108"/>
      <c r="V777" s="26"/>
      <c r="W777" s="27"/>
      <c r="X777" s="28"/>
    </row>
    <row r="778" ht="17" spans="1:24">
      <c r="A778" s="24" t="s">
        <v>4174</v>
      </c>
      <c r="B778" s="17" t="s">
        <v>4175</v>
      </c>
      <c r="C778" s="187" t="s">
        <v>3191</v>
      </c>
      <c r="D778" s="101" t="s">
        <v>5971</v>
      </c>
      <c r="E778" s="101" t="s">
        <v>5972</v>
      </c>
      <c r="F778" s="177">
        <v>66</v>
      </c>
      <c r="G778" s="146" t="s">
        <v>2895</v>
      </c>
      <c r="H778" s="171" t="s">
        <v>2896</v>
      </c>
      <c r="I778" s="146" t="s">
        <v>2898</v>
      </c>
      <c r="J778" s="171" t="s">
        <v>2896</v>
      </c>
      <c r="K778" s="146" t="s">
        <v>2898</v>
      </c>
      <c r="L778" s="151"/>
      <c r="M778" s="149"/>
      <c r="N778" s="168"/>
      <c r="O778" s="188" t="s">
        <v>3351</v>
      </c>
      <c r="P778" s="170"/>
      <c r="Q778" s="180"/>
      <c r="R778" s="170"/>
      <c r="S778" s="108"/>
      <c r="T778" s="108"/>
      <c r="U778" s="108"/>
      <c r="V778" s="26"/>
      <c r="W778" s="27"/>
      <c r="X778" s="28"/>
    </row>
    <row r="779" ht="17" spans="1:24">
      <c r="A779" s="16" t="s">
        <v>4174</v>
      </c>
      <c r="B779" s="17" t="s">
        <v>4175</v>
      </c>
      <c r="C779" s="187" t="s">
        <v>3191</v>
      </c>
      <c r="D779" s="101" t="s">
        <v>5971</v>
      </c>
      <c r="E779" s="101" t="s">
        <v>5972</v>
      </c>
      <c r="F779" s="177">
        <v>66</v>
      </c>
      <c r="G779" s="171" t="s">
        <v>3192</v>
      </c>
      <c r="H779" s="171" t="s">
        <v>3193</v>
      </c>
      <c r="I779" s="146" t="s">
        <v>3195</v>
      </c>
      <c r="J779" s="171" t="s">
        <v>3193</v>
      </c>
      <c r="K779" s="146" t="s">
        <v>3195</v>
      </c>
      <c r="L779" s="151"/>
      <c r="M779" s="149"/>
      <c r="N779" s="168"/>
      <c r="O779" s="188" t="s">
        <v>3352</v>
      </c>
      <c r="P779" s="170"/>
      <c r="Q779" s="180"/>
      <c r="R779" s="170"/>
      <c r="S779" s="108"/>
      <c r="T779" s="108"/>
      <c r="U779" s="108"/>
      <c r="V779" s="26"/>
      <c r="W779" s="27"/>
      <c r="X779" s="28"/>
    </row>
    <row r="780" ht="17" spans="1:24">
      <c r="A780" s="16" t="s">
        <v>4174</v>
      </c>
      <c r="B780" s="17" t="s">
        <v>4175</v>
      </c>
      <c r="C780" s="187" t="s">
        <v>3191</v>
      </c>
      <c r="D780" s="101" t="s">
        <v>5971</v>
      </c>
      <c r="E780" s="101" t="s">
        <v>5972</v>
      </c>
      <c r="F780" s="177">
        <v>66</v>
      </c>
      <c r="G780" s="146" t="s">
        <v>3196</v>
      </c>
      <c r="H780" s="171" t="s">
        <v>3197</v>
      </c>
      <c r="I780" s="174" t="s">
        <v>2740</v>
      </c>
      <c r="J780" s="171" t="s">
        <v>3197</v>
      </c>
      <c r="K780" s="174" t="s">
        <v>2740</v>
      </c>
      <c r="L780" s="151"/>
      <c r="M780" s="189"/>
      <c r="N780" s="168"/>
      <c r="O780" s="188" t="s">
        <v>3353</v>
      </c>
      <c r="P780" s="170"/>
      <c r="Q780" s="180"/>
      <c r="R780" s="170"/>
      <c r="S780" s="108"/>
      <c r="T780" s="108"/>
      <c r="U780" s="108"/>
      <c r="V780" s="26"/>
      <c r="W780" s="27"/>
      <c r="X780" s="28"/>
    </row>
    <row r="781" ht="17" spans="1:24">
      <c r="A781" s="16" t="s">
        <v>4174</v>
      </c>
      <c r="B781" s="17" t="s">
        <v>4175</v>
      </c>
      <c r="C781" s="187" t="s">
        <v>3191</v>
      </c>
      <c r="D781" s="101" t="s">
        <v>5971</v>
      </c>
      <c r="E781" s="101" t="s">
        <v>5972</v>
      </c>
      <c r="F781" s="177">
        <v>66</v>
      </c>
      <c r="G781" s="132" t="s">
        <v>3199</v>
      </c>
      <c r="H781" s="132" t="s">
        <v>3200</v>
      </c>
      <c r="I781" s="146" t="s">
        <v>3202</v>
      </c>
      <c r="J781" s="132" t="s">
        <v>3200</v>
      </c>
      <c r="K781" s="146" t="s">
        <v>3202</v>
      </c>
      <c r="L781" s="151"/>
      <c r="M781" s="149"/>
      <c r="N781" s="168"/>
      <c r="O781" s="188" t="s">
        <v>3365</v>
      </c>
      <c r="P781" s="170"/>
      <c r="Q781" s="180"/>
      <c r="R781" s="170"/>
      <c r="S781" s="108"/>
      <c r="T781" s="108"/>
      <c r="U781" s="108"/>
      <c r="V781" s="26"/>
      <c r="W781" s="27"/>
      <c r="X781" s="28"/>
    </row>
    <row r="782" ht="17" spans="1:24">
      <c r="A782" s="16" t="s">
        <v>4174</v>
      </c>
      <c r="B782" s="17" t="s">
        <v>4175</v>
      </c>
      <c r="C782" s="187" t="s">
        <v>3191</v>
      </c>
      <c r="D782" s="101" t="s">
        <v>5971</v>
      </c>
      <c r="E782" s="101" t="s">
        <v>5972</v>
      </c>
      <c r="F782" s="177">
        <v>66</v>
      </c>
      <c r="G782" s="167" t="s">
        <v>5556</v>
      </c>
      <c r="H782" s="176" t="s">
        <v>5557</v>
      </c>
      <c r="I782" s="146" t="s">
        <v>5560</v>
      </c>
      <c r="J782" s="176" t="s">
        <v>5557</v>
      </c>
      <c r="K782" s="146" t="s">
        <v>5560</v>
      </c>
      <c r="L782" s="151"/>
      <c r="M782" s="149"/>
      <c r="N782" s="168"/>
      <c r="O782" s="188" t="s">
        <v>3370</v>
      </c>
      <c r="P782" s="170"/>
      <c r="Q782" s="180"/>
      <c r="R782" s="170"/>
      <c r="S782" s="108"/>
      <c r="T782" s="108"/>
      <c r="U782" s="108"/>
      <c r="V782" s="26"/>
      <c r="W782" s="27"/>
      <c r="X782" s="28"/>
    </row>
    <row r="783" ht="17" spans="1:24">
      <c r="A783" s="16" t="s">
        <v>4174</v>
      </c>
      <c r="B783" s="17" t="s">
        <v>4175</v>
      </c>
      <c r="C783" s="187" t="s">
        <v>3191</v>
      </c>
      <c r="D783" s="101" t="s">
        <v>5971</v>
      </c>
      <c r="E783" s="101" t="s">
        <v>5972</v>
      </c>
      <c r="F783" s="177">
        <v>66</v>
      </c>
      <c r="G783" s="146" t="s">
        <v>1774</v>
      </c>
      <c r="H783" s="171" t="s">
        <v>1775</v>
      </c>
      <c r="I783" s="174" t="s">
        <v>1777</v>
      </c>
      <c r="J783" s="171" t="s">
        <v>1775</v>
      </c>
      <c r="K783" s="174" t="s">
        <v>1777</v>
      </c>
      <c r="L783" s="151"/>
      <c r="M783" s="149"/>
      <c r="N783" s="168"/>
      <c r="O783" s="188" t="s">
        <v>3371</v>
      </c>
      <c r="P783" s="170"/>
      <c r="Q783" s="180"/>
      <c r="R783" s="170"/>
      <c r="S783" s="108"/>
      <c r="T783" s="108"/>
      <c r="U783" s="108"/>
      <c r="V783" s="26"/>
      <c r="W783" s="27"/>
      <c r="X783" s="28"/>
    </row>
    <row r="784" ht="17" spans="1:24">
      <c r="A784" s="24" t="s">
        <v>4174</v>
      </c>
      <c r="B784" s="27" t="s">
        <v>4175</v>
      </c>
      <c r="C784" s="187" t="s">
        <v>3345</v>
      </c>
      <c r="D784" s="101" t="s">
        <v>5973</v>
      </c>
      <c r="E784" s="101" t="s">
        <v>5974</v>
      </c>
      <c r="F784" s="166" t="s">
        <v>5975</v>
      </c>
      <c r="G784" s="146" t="s">
        <v>2895</v>
      </c>
      <c r="H784" s="171" t="s">
        <v>2896</v>
      </c>
      <c r="I784" s="174" t="s">
        <v>2898</v>
      </c>
      <c r="J784" s="171" t="s">
        <v>2896</v>
      </c>
      <c r="K784" s="174" t="s">
        <v>2898</v>
      </c>
      <c r="L784" s="151"/>
      <c r="M784" s="183"/>
      <c r="N784" s="151"/>
      <c r="O784" s="184" t="s">
        <v>3351</v>
      </c>
      <c r="P784" s="170"/>
      <c r="Q784" s="180"/>
      <c r="R784" s="170"/>
      <c r="S784" s="108"/>
      <c r="T784" s="108"/>
      <c r="U784" s="108"/>
      <c r="V784" s="26"/>
      <c r="W784" s="27"/>
      <c r="X784" s="28"/>
    </row>
    <row r="785" ht="17" spans="1:24">
      <c r="A785" s="24" t="s">
        <v>4174</v>
      </c>
      <c r="B785" s="27" t="s">
        <v>4175</v>
      </c>
      <c r="C785" s="187" t="s">
        <v>3345</v>
      </c>
      <c r="D785" s="101" t="s">
        <v>5973</v>
      </c>
      <c r="E785" s="101" t="s">
        <v>5974</v>
      </c>
      <c r="F785" s="166" t="s">
        <v>5975</v>
      </c>
      <c r="G785" s="146" t="s">
        <v>2889</v>
      </c>
      <c r="H785" s="146" t="s">
        <v>2890</v>
      </c>
      <c r="I785" s="174" t="s">
        <v>2892</v>
      </c>
      <c r="J785" s="146" t="s">
        <v>2890</v>
      </c>
      <c r="K785" s="174" t="s">
        <v>2892</v>
      </c>
      <c r="L785" s="151"/>
      <c r="M785" s="183"/>
      <c r="N785" s="151"/>
      <c r="O785" s="184" t="s">
        <v>3352</v>
      </c>
      <c r="P785" s="170"/>
      <c r="Q785" s="180"/>
      <c r="R785" s="170"/>
      <c r="S785" s="108"/>
      <c r="T785" s="108"/>
      <c r="U785" s="108"/>
      <c r="V785" s="26"/>
      <c r="W785" s="27"/>
      <c r="X785" s="28"/>
    </row>
    <row r="786" ht="17" spans="1:24">
      <c r="A786" s="24" t="s">
        <v>4174</v>
      </c>
      <c r="B786" s="27" t="s">
        <v>4175</v>
      </c>
      <c r="C786" s="187" t="s">
        <v>3345</v>
      </c>
      <c r="D786" s="101" t="s">
        <v>5973</v>
      </c>
      <c r="E786" s="101" t="s">
        <v>5974</v>
      </c>
      <c r="F786" s="166" t="s">
        <v>5975</v>
      </c>
      <c r="G786" s="146" t="s">
        <v>2935</v>
      </c>
      <c r="H786" s="171" t="s">
        <v>2936</v>
      </c>
      <c r="I786" s="174" t="s">
        <v>5569</v>
      </c>
      <c r="J786" s="171" t="s">
        <v>2936</v>
      </c>
      <c r="K786" s="174" t="s">
        <v>5569</v>
      </c>
      <c r="L786" s="151"/>
      <c r="M786" s="183"/>
      <c r="N786" s="151"/>
      <c r="O786" s="184" t="s">
        <v>3353</v>
      </c>
      <c r="P786" s="170"/>
      <c r="Q786" s="180"/>
      <c r="R786" s="170"/>
      <c r="S786" s="108"/>
      <c r="T786" s="108"/>
      <c r="U786" s="108"/>
      <c r="V786" s="26"/>
      <c r="W786" s="27"/>
      <c r="X786" s="28"/>
    </row>
    <row r="787" ht="17" spans="1:24">
      <c r="A787" s="24" t="s">
        <v>4174</v>
      </c>
      <c r="B787" s="27" t="s">
        <v>4175</v>
      </c>
      <c r="C787" s="187" t="s">
        <v>3345</v>
      </c>
      <c r="D787" s="101" t="s">
        <v>5973</v>
      </c>
      <c r="E787" s="101" t="s">
        <v>5974</v>
      </c>
      <c r="F787" s="166" t="s">
        <v>5975</v>
      </c>
      <c r="G787" s="146" t="s">
        <v>3196</v>
      </c>
      <c r="H787" s="171" t="s">
        <v>3197</v>
      </c>
      <c r="I787" s="174" t="s">
        <v>2740</v>
      </c>
      <c r="J787" s="171" t="s">
        <v>3197</v>
      </c>
      <c r="K787" s="174" t="s">
        <v>2740</v>
      </c>
      <c r="L787" s="151"/>
      <c r="M787" s="183"/>
      <c r="N787" s="151"/>
      <c r="O787" s="184" t="s">
        <v>3365</v>
      </c>
      <c r="P787" s="170"/>
      <c r="Q787" s="180"/>
      <c r="R787" s="170"/>
      <c r="S787" s="108"/>
      <c r="T787" s="108"/>
      <c r="U787" s="108"/>
      <c r="V787" s="26"/>
      <c r="W787" s="27"/>
      <c r="X787" s="28"/>
    </row>
    <row r="788" ht="17" spans="1:24">
      <c r="A788" s="24" t="s">
        <v>4174</v>
      </c>
      <c r="B788" s="27" t="s">
        <v>4175</v>
      </c>
      <c r="C788" s="187" t="s">
        <v>3345</v>
      </c>
      <c r="D788" s="101" t="s">
        <v>5973</v>
      </c>
      <c r="E788" s="101" t="s">
        <v>5974</v>
      </c>
      <c r="F788" s="166" t="s">
        <v>5975</v>
      </c>
      <c r="G788" s="171" t="s">
        <v>3199</v>
      </c>
      <c r="H788" s="171" t="s">
        <v>3200</v>
      </c>
      <c r="I788" s="174" t="s">
        <v>3202</v>
      </c>
      <c r="J788" s="171" t="s">
        <v>3200</v>
      </c>
      <c r="K788" s="174" t="s">
        <v>3202</v>
      </c>
      <c r="L788" s="151"/>
      <c r="M788" s="183"/>
      <c r="N788" s="151"/>
      <c r="O788" s="184" t="s">
        <v>3370</v>
      </c>
      <c r="P788" s="170"/>
      <c r="Q788" s="180"/>
      <c r="R788" s="170"/>
      <c r="S788" s="108"/>
      <c r="T788" s="108"/>
      <c r="U788" s="108"/>
      <c r="V788" s="26"/>
      <c r="W788" s="27"/>
      <c r="X788" s="28"/>
    </row>
    <row r="789" ht="17" spans="1:24">
      <c r="A789" s="24" t="s">
        <v>4174</v>
      </c>
      <c r="B789" s="27" t="s">
        <v>4175</v>
      </c>
      <c r="C789" s="187" t="s">
        <v>3345</v>
      </c>
      <c r="D789" s="101" t="s">
        <v>5973</v>
      </c>
      <c r="E789" s="101" t="s">
        <v>5974</v>
      </c>
      <c r="F789" s="166" t="s">
        <v>5975</v>
      </c>
      <c r="G789" s="146" t="s">
        <v>3328</v>
      </c>
      <c r="H789" s="171" t="s">
        <v>3329</v>
      </c>
      <c r="I789" s="174" t="s">
        <v>3346</v>
      </c>
      <c r="J789" s="171" t="s">
        <v>3329</v>
      </c>
      <c r="K789" s="174" t="s">
        <v>3346</v>
      </c>
      <c r="L789" s="151"/>
      <c r="M789" s="183"/>
      <c r="N789" s="151"/>
      <c r="O789" s="184" t="s">
        <v>3371</v>
      </c>
      <c r="P789" s="170"/>
      <c r="Q789" s="180"/>
      <c r="R789" s="170"/>
      <c r="S789" s="108"/>
      <c r="T789" s="108"/>
      <c r="U789" s="108"/>
      <c r="V789" s="26"/>
      <c r="W789" s="27"/>
      <c r="X789" s="28"/>
    </row>
    <row r="790" ht="17" spans="1:24">
      <c r="A790" s="24" t="s">
        <v>4174</v>
      </c>
      <c r="B790" s="27" t="s">
        <v>4175</v>
      </c>
      <c r="C790" s="187" t="s">
        <v>3345</v>
      </c>
      <c r="D790" s="101" t="s">
        <v>5973</v>
      </c>
      <c r="E790" s="101" t="s">
        <v>5974</v>
      </c>
      <c r="F790" s="166" t="s">
        <v>5975</v>
      </c>
      <c r="G790" s="146" t="s">
        <v>1774</v>
      </c>
      <c r="H790" s="171" t="s">
        <v>1775</v>
      </c>
      <c r="I790" s="174" t="s">
        <v>1777</v>
      </c>
      <c r="J790" s="171" t="s">
        <v>1775</v>
      </c>
      <c r="K790" s="174" t="s">
        <v>1777</v>
      </c>
      <c r="L790" s="151"/>
      <c r="M790" s="183"/>
      <c r="N790" s="151"/>
      <c r="O790" s="184" t="s">
        <v>5555</v>
      </c>
      <c r="P790" s="170"/>
      <c r="Q790" s="180"/>
      <c r="R790" s="170"/>
      <c r="S790" s="108"/>
      <c r="T790" s="108"/>
      <c r="U790" s="108"/>
      <c r="V790" s="26"/>
      <c r="W790" s="27"/>
      <c r="X790" s="28"/>
    </row>
    <row r="791" ht="17" spans="1:24">
      <c r="A791" s="24" t="s">
        <v>4174</v>
      </c>
      <c r="B791" s="27" t="s">
        <v>4175</v>
      </c>
      <c r="C791" s="187" t="s">
        <v>3345</v>
      </c>
      <c r="D791" s="101" t="s">
        <v>5973</v>
      </c>
      <c r="E791" s="101" t="s">
        <v>5974</v>
      </c>
      <c r="F791" s="166" t="s">
        <v>5975</v>
      </c>
      <c r="G791" s="146" t="s">
        <v>5556</v>
      </c>
      <c r="H791" s="171" t="s">
        <v>5557</v>
      </c>
      <c r="I791" s="174" t="s">
        <v>5559</v>
      </c>
      <c r="J791" s="171" t="s">
        <v>5557</v>
      </c>
      <c r="K791" s="174" t="s">
        <v>5559</v>
      </c>
      <c r="L791" s="151"/>
      <c r="M791" s="183"/>
      <c r="N791" s="151"/>
      <c r="O791" s="184" t="s">
        <v>4488</v>
      </c>
      <c r="P791" s="170"/>
      <c r="Q791" s="180"/>
      <c r="R791" s="170"/>
      <c r="S791" s="108"/>
      <c r="T791" s="108"/>
      <c r="U791" s="108"/>
      <c r="V791" s="26"/>
      <c r="W791" s="27"/>
      <c r="X791" s="28"/>
    </row>
    <row r="792" ht="17" spans="1:24">
      <c r="A792" s="24" t="s">
        <v>4174</v>
      </c>
      <c r="B792" s="27" t="s">
        <v>4175</v>
      </c>
      <c r="C792" s="187" t="s">
        <v>3345</v>
      </c>
      <c r="D792" s="101" t="s">
        <v>5973</v>
      </c>
      <c r="E792" s="101" t="s">
        <v>5974</v>
      </c>
      <c r="F792" s="166" t="s">
        <v>5975</v>
      </c>
      <c r="G792" s="146" t="s">
        <v>3192</v>
      </c>
      <c r="H792" s="171" t="s">
        <v>3193</v>
      </c>
      <c r="I792" s="186" t="s">
        <v>3195</v>
      </c>
      <c r="J792" s="171" t="s">
        <v>3193</v>
      </c>
      <c r="K792" s="186" t="s">
        <v>3195</v>
      </c>
      <c r="L792" s="151"/>
      <c r="M792" s="183"/>
      <c r="N792" s="151"/>
      <c r="O792" s="184" t="s">
        <v>4492</v>
      </c>
      <c r="P792" s="170"/>
      <c r="Q792" s="180"/>
      <c r="R792" s="170"/>
      <c r="S792" s="108"/>
      <c r="T792" s="108"/>
      <c r="U792" s="108"/>
      <c r="V792" s="26"/>
      <c r="W792" s="27"/>
      <c r="X792" s="28"/>
    </row>
    <row r="793" ht="17" spans="1:24">
      <c r="A793" s="24" t="s">
        <v>4174</v>
      </c>
      <c r="B793" s="27" t="s">
        <v>4175</v>
      </c>
      <c r="C793" s="187" t="s">
        <v>3347</v>
      </c>
      <c r="D793" s="101" t="s">
        <v>5976</v>
      </c>
      <c r="E793" s="101" t="s">
        <v>4345</v>
      </c>
      <c r="F793" s="166" t="s">
        <v>5977</v>
      </c>
      <c r="G793" s="146" t="s">
        <v>2889</v>
      </c>
      <c r="H793" s="146" t="s">
        <v>2890</v>
      </c>
      <c r="I793" s="174" t="s">
        <v>2892</v>
      </c>
      <c r="J793" s="146" t="s">
        <v>2890</v>
      </c>
      <c r="K793" s="174" t="s">
        <v>2892</v>
      </c>
      <c r="L793" s="151"/>
      <c r="M793" s="183"/>
      <c r="N793" s="151"/>
      <c r="O793" s="184" t="s">
        <v>3351</v>
      </c>
      <c r="P793" s="170"/>
      <c r="Q793" s="180"/>
      <c r="R793" s="170"/>
      <c r="S793" s="108"/>
      <c r="T793" s="108"/>
      <c r="U793" s="108"/>
      <c r="V793" s="26"/>
      <c r="W793" s="27"/>
      <c r="X793" s="28"/>
    </row>
    <row r="794" ht="17" spans="1:24">
      <c r="A794" s="24" t="s">
        <v>4174</v>
      </c>
      <c r="B794" s="27" t="s">
        <v>4175</v>
      </c>
      <c r="C794" s="187" t="s">
        <v>3347</v>
      </c>
      <c r="D794" s="101" t="s">
        <v>5976</v>
      </c>
      <c r="E794" s="101" t="s">
        <v>4345</v>
      </c>
      <c r="F794" s="166" t="s">
        <v>5977</v>
      </c>
      <c r="G794" s="146" t="s">
        <v>5561</v>
      </c>
      <c r="H794" s="171" t="s">
        <v>5562</v>
      </c>
      <c r="I794" s="174" t="s">
        <v>5564</v>
      </c>
      <c r="J794" s="171" t="s">
        <v>5562</v>
      </c>
      <c r="K794" s="174" t="s">
        <v>5564</v>
      </c>
      <c r="L794" s="151"/>
      <c r="M794" s="183"/>
      <c r="N794" s="151"/>
      <c r="O794" s="184" t="s">
        <v>3352</v>
      </c>
      <c r="P794" s="170"/>
      <c r="Q794" s="180"/>
      <c r="R794" s="170"/>
      <c r="S794" s="108"/>
      <c r="T794" s="108"/>
      <c r="U794" s="108"/>
      <c r="V794" s="26"/>
      <c r="W794" s="27"/>
      <c r="X794" s="28"/>
    </row>
    <row r="795" ht="17" spans="1:24">
      <c r="A795" s="24" t="s">
        <v>4174</v>
      </c>
      <c r="B795" s="27" t="s">
        <v>4175</v>
      </c>
      <c r="C795" s="187" t="s">
        <v>3347</v>
      </c>
      <c r="D795" s="101" t="s">
        <v>5976</v>
      </c>
      <c r="E795" s="101" t="s">
        <v>4345</v>
      </c>
      <c r="F795" s="166" t="s">
        <v>5977</v>
      </c>
      <c r="G795" s="146" t="s">
        <v>3641</v>
      </c>
      <c r="H795" s="146" t="s">
        <v>3642</v>
      </c>
      <c r="I795" s="174" t="s">
        <v>3644</v>
      </c>
      <c r="J795" s="146" t="s">
        <v>3642</v>
      </c>
      <c r="K795" s="174" t="s">
        <v>3644</v>
      </c>
      <c r="L795" s="151"/>
      <c r="M795" s="183"/>
      <c r="N795" s="151"/>
      <c r="O795" s="184" t="s">
        <v>3353</v>
      </c>
      <c r="P795" s="170"/>
      <c r="Q795" s="180"/>
      <c r="R795" s="170"/>
      <c r="S795" s="108"/>
      <c r="T795" s="108"/>
      <c r="U795" s="108"/>
      <c r="V795" s="26"/>
      <c r="W795" s="27"/>
      <c r="X795" s="28"/>
    </row>
    <row r="796" ht="17" spans="1:24">
      <c r="A796" s="24" t="s">
        <v>4174</v>
      </c>
      <c r="B796" s="27" t="s">
        <v>4175</v>
      </c>
      <c r="C796" s="187" t="s">
        <v>3347</v>
      </c>
      <c r="D796" s="101" t="s">
        <v>5976</v>
      </c>
      <c r="E796" s="101" t="s">
        <v>4345</v>
      </c>
      <c r="F796" s="166" t="s">
        <v>5977</v>
      </c>
      <c r="G796" s="146" t="s">
        <v>3332</v>
      </c>
      <c r="H796" s="146" t="s">
        <v>3333</v>
      </c>
      <c r="I796" s="146" t="s">
        <v>3335</v>
      </c>
      <c r="J796" s="146" t="s">
        <v>3333</v>
      </c>
      <c r="K796" s="146" t="s">
        <v>3335</v>
      </c>
      <c r="L796" s="151"/>
      <c r="M796" s="190"/>
      <c r="N796" s="151"/>
      <c r="O796" s="184" t="s">
        <v>3365</v>
      </c>
      <c r="P796" s="170"/>
      <c r="Q796" s="180"/>
      <c r="R796" s="170"/>
      <c r="S796" s="108"/>
      <c r="T796" s="108"/>
      <c r="U796" s="108"/>
      <c r="V796" s="26"/>
      <c r="W796" s="27"/>
      <c r="X796" s="28"/>
    </row>
    <row r="797" ht="17" spans="1:24">
      <c r="A797" s="24" t="s">
        <v>4174</v>
      </c>
      <c r="B797" s="27" t="s">
        <v>4175</v>
      </c>
      <c r="C797" s="187" t="s">
        <v>3347</v>
      </c>
      <c r="D797" s="101" t="s">
        <v>5976</v>
      </c>
      <c r="E797" s="101" t="s">
        <v>4345</v>
      </c>
      <c r="F797" s="166" t="s">
        <v>5977</v>
      </c>
      <c r="G797" s="146" t="s">
        <v>3192</v>
      </c>
      <c r="H797" s="171" t="s">
        <v>3193</v>
      </c>
      <c r="I797" s="186" t="s">
        <v>3195</v>
      </c>
      <c r="J797" s="171" t="s">
        <v>3193</v>
      </c>
      <c r="K797" s="186" t="s">
        <v>3195</v>
      </c>
      <c r="L797" s="151"/>
      <c r="M797" s="183"/>
      <c r="N797" s="151"/>
      <c r="O797" s="184" t="s">
        <v>3370</v>
      </c>
      <c r="P797" s="170"/>
      <c r="Q797" s="180"/>
      <c r="R797" s="170"/>
      <c r="S797" s="108"/>
      <c r="T797" s="108"/>
      <c r="U797" s="108"/>
      <c r="V797" s="26"/>
      <c r="W797" s="27"/>
      <c r="X797" s="28"/>
    </row>
    <row r="798" ht="17" spans="1:24">
      <c r="A798" s="24" t="s">
        <v>4174</v>
      </c>
      <c r="B798" s="27" t="s">
        <v>4175</v>
      </c>
      <c r="C798" s="187" t="s">
        <v>3347</v>
      </c>
      <c r="D798" s="101" t="s">
        <v>5976</v>
      </c>
      <c r="E798" s="101" t="s">
        <v>4345</v>
      </c>
      <c r="F798" s="166" t="s">
        <v>5977</v>
      </c>
      <c r="G798" s="146" t="s">
        <v>3196</v>
      </c>
      <c r="H798" s="171" t="s">
        <v>3197</v>
      </c>
      <c r="I798" s="174" t="s">
        <v>3348</v>
      </c>
      <c r="J798" s="171" t="s">
        <v>3197</v>
      </c>
      <c r="K798" s="174" t="s">
        <v>3348</v>
      </c>
      <c r="L798" s="151"/>
      <c r="M798" s="183"/>
      <c r="N798" s="151"/>
      <c r="O798" s="184" t="s">
        <v>3371</v>
      </c>
      <c r="P798" s="170"/>
      <c r="Q798" s="180"/>
      <c r="R798" s="170"/>
      <c r="S798" s="108"/>
      <c r="T798" s="108"/>
      <c r="U798" s="108"/>
      <c r="V798" s="26"/>
      <c r="W798" s="27"/>
      <c r="X798" s="28"/>
    </row>
    <row r="799" ht="17" spans="1:24">
      <c r="A799" s="24" t="s">
        <v>4174</v>
      </c>
      <c r="B799" s="27" t="s">
        <v>4175</v>
      </c>
      <c r="C799" s="187" t="s">
        <v>3347</v>
      </c>
      <c r="D799" s="101" t="s">
        <v>5976</v>
      </c>
      <c r="E799" s="101" t="s">
        <v>4345</v>
      </c>
      <c r="F799" s="166" t="s">
        <v>5977</v>
      </c>
      <c r="G799" s="146" t="s">
        <v>5556</v>
      </c>
      <c r="H799" s="171" t="s">
        <v>5557</v>
      </c>
      <c r="I799" s="174" t="s">
        <v>5560</v>
      </c>
      <c r="J799" s="171" t="s">
        <v>5557</v>
      </c>
      <c r="K799" s="174" t="s">
        <v>5560</v>
      </c>
      <c r="L799" s="151"/>
      <c r="M799" s="183"/>
      <c r="N799" s="151"/>
      <c r="O799" s="184" t="s">
        <v>5555</v>
      </c>
      <c r="P799" s="170"/>
      <c r="Q799" s="180"/>
      <c r="R799" s="170"/>
      <c r="S799" s="108"/>
      <c r="T799" s="108"/>
      <c r="U799" s="108"/>
      <c r="V799" s="26"/>
      <c r="W799" s="27"/>
      <c r="X799" s="28"/>
    </row>
    <row r="800" ht="17" spans="1:24">
      <c r="A800" s="24" t="s">
        <v>4174</v>
      </c>
      <c r="B800" s="27" t="s">
        <v>4175</v>
      </c>
      <c r="C800" s="187" t="s">
        <v>3347</v>
      </c>
      <c r="D800" s="101" t="s">
        <v>5976</v>
      </c>
      <c r="E800" s="101" t="s">
        <v>4345</v>
      </c>
      <c r="F800" s="166" t="s">
        <v>5977</v>
      </c>
      <c r="G800" s="146" t="s">
        <v>1774</v>
      </c>
      <c r="H800" s="171" t="s">
        <v>1775</v>
      </c>
      <c r="I800" s="174" t="s">
        <v>1777</v>
      </c>
      <c r="J800" s="171" t="s">
        <v>1775</v>
      </c>
      <c r="K800" s="174" t="s">
        <v>1777</v>
      </c>
      <c r="L800" s="151"/>
      <c r="M800" s="183"/>
      <c r="N800" s="151"/>
      <c r="O800" s="184" t="s">
        <v>4488</v>
      </c>
      <c r="P800" s="170"/>
      <c r="Q800" s="180"/>
      <c r="R800" s="170"/>
      <c r="S800" s="108"/>
      <c r="T800" s="108"/>
      <c r="U800" s="108"/>
      <c r="V800" s="26"/>
      <c r="W800" s="27"/>
      <c r="X800" s="28"/>
    </row>
    <row r="801" ht="17" spans="1:24">
      <c r="A801" s="24" t="s">
        <v>4174</v>
      </c>
      <c r="B801" s="27" t="s">
        <v>4175</v>
      </c>
      <c r="C801" s="187" t="s">
        <v>3347</v>
      </c>
      <c r="D801" s="101" t="s">
        <v>5976</v>
      </c>
      <c r="E801" s="101" t="s">
        <v>4345</v>
      </c>
      <c r="F801" s="166" t="s">
        <v>5977</v>
      </c>
      <c r="G801" s="146" t="s">
        <v>3328</v>
      </c>
      <c r="H801" s="171" t="s">
        <v>3329</v>
      </c>
      <c r="I801" s="174" t="s">
        <v>3346</v>
      </c>
      <c r="J801" s="171" t="s">
        <v>3329</v>
      </c>
      <c r="K801" s="174" t="s">
        <v>3346</v>
      </c>
      <c r="L801" s="151"/>
      <c r="M801" s="183"/>
      <c r="N801" s="151"/>
      <c r="O801" s="184" t="s">
        <v>4492</v>
      </c>
      <c r="P801" s="170"/>
      <c r="Q801" s="180"/>
      <c r="R801" s="170"/>
      <c r="S801" s="108"/>
      <c r="T801" s="108"/>
      <c r="U801" s="108"/>
      <c r="V801" s="26"/>
      <c r="W801" s="27"/>
      <c r="X801" s="28"/>
    </row>
    <row r="802" ht="17" spans="1:24">
      <c r="A802" s="24" t="s">
        <v>4174</v>
      </c>
      <c r="B802" s="27" t="s">
        <v>4175</v>
      </c>
      <c r="C802" s="187" t="s">
        <v>3349</v>
      </c>
      <c r="D802" s="101" t="s">
        <v>5978</v>
      </c>
      <c r="E802" s="101" t="s">
        <v>4347</v>
      </c>
      <c r="F802" s="166" t="s">
        <v>5977</v>
      </c>
      <c r="G802" s="146" t="s">
        <v>2895</v>
      </c>
      <c r="H802" s="171" t="s">
        <v>2896</v>
      </c>
      <c r="I802" s="174" t="s">
        <v>2898</v>
      </c>
      <c r="J802" s="171" t="s">
        <v>2896</v>
      </c>
      <c r="K802" s="174" t="s">
        <v>2898</v>
      </c>
      <c r="L802" s="151"/>
      <c r="M802" s="183"/>
      <c r="N802" s="151"/>
      <c r="O802" s="184" t="s">
        <v>3351</v>
      </c>
      <c r="P802" s="170"/>
      <c r="Q802" s="180"/>
      <c r="R802" s="170"/>
      <c r="S802" s="108"/>
      <c r="T802" s="108"/>
      <c r="U802" s="108"/>
      <c r="V802" s="26"/>
      <c r="W802" s="27"/>
      <c r="X802" s="28"/>
    </row>
    <row r="803" ht="17" spans="1:24">
      <c r="A803" s="24" t="s">
        <v>4174</v>
      </c>
      <c r="B803" s="27" t="s">
        <v>4175</v>
      </c>
      <c r="C803" s="187" t="s">
        <v>3349</v>
      </c>
      <c r="D803" s="101" t="s">
        <v>5978</v>
      </c>
      <c r="E803" s="101" t="s">
        <v>4347</v>
      </c>
      <c r="F803" s="166" t="s">
        <v>5977</v>
      </c>
      <c r="G803" s="146" t="s">
        <v>2889</v>
      </c>
      <c r="H803" s="146" t="s">
        <v>2890</v>
      </c>
      <c r="I803" s="174" t="s">
        <v>2892</v>
      </c>
      <c r="J803" s="146" t="s">
        <v>2890</v>
      </c>
      <c r="K803" s="174" t="s">
        <v>2892</v>
      </c>
      <c r="L803" s="151"/>
      <c r="M803" s="183"/>
      <c r="N803" s="151"/>
      <c r="O803" s="184" t="s">
        <v>3352</v>
      </c>
      <c r="P803" s="170"/>
      <c r="Q803" s="180"/>
      <c r="R803" s="170"/>
      <c r="S803" s="108"/>
      <c r="T803" s="108"/>
      <c r="U803" s="108"/>
      <c r="V803" s="26"/>
      <c r="W803" s="27"/>
      <c r="X803" s="28"/>
    </row>
    <row r="804" ht="17" spans="1:24">
      <c r="A804" s="24" t="s">
        <v>4174</v>
      </c>
      <c r="B804" s="27" t="s">
        <v>4175</v>
      </c>
      <c r="C804" s="187" t="s">
        <v>3349</v>
      </c>
      <c r="D804" s="101" t="s">
        <v>5978</v>
      </c>
      <c r="E804" s="101" t="s">
        <v>4347</v>
      </c>
      <c r="F804" s="166" t="s">
        <v>5977</v>
      </c>
      <c r="G804" s="146" t="s">
        <v>3196</v>
      </c>
      <c r="H804" s="171" t="s">
        <v>3197</v>
      </c>
      <c r="I804" s="174" t="s">
        <v>2740</v>
      </c>
      <c r="J804" s="171" t="s">
        <v>3197</v>
      </c>
      <c r="K804" s="174" t="s">
        <v>2740</v>
      </c>
      <c r="L804" s="151"/>
      <c r="M804" s="183"/>
      <c r="N804" s="151"/>
      <c r="O804" s="184" t="s">
        <v>3353</v>
      </c>
      <c r="P804" s="170"/>
      <c r="Q804" s="180"/>
      <c r="R804" s="170"/>
      <c r="S804" s="108"/>
      <c r="T804" s="108"/>
      <c r="U804" s="108"/>
      <c r="V804" s="26"/>
      <c r="W804" s="27"/>
      <c r="X804" s="28"/>
    </row>
    <row r="805" ht="17" spans="1:24">
      <c r="A805" s="24" t="s">
        <v>4174</v>
      </c>
      <c r="B805" s="27" t="s">
        <v>4175</v>
      </c>
      <c r="C805" s="187" t="s">
        <v>3349</v>
      </c>
      <c r="D805" s="101" t="s">
        <v>5978</v>
      </c>
      <c r="E805" s="101" t="s">
        <v>4347</v>
      </c>
      <c r="F805" s="166" t="s">
        <v>5977</v>
      </c>
      <c r="G805" s="171" t="s">
        <v>3199</v>
      </c>
      <c r="H805" s="171" t="s">
        <v>3200</v>
      </c>
      <c r="I805" s="174" t="s">
        <v>3202</v>
      </c>
      <c r="J805" s="171" t="s">
        <v>3200</v>
      </c>
      <c r="K805" s="174" t="s">
        <v>3202</v>
      </c>
      <c r="L805" s="151"/>
      <c r="M805" s="183"/>
      <c r="N805" s="151"/>
      <c r="O805" s="184" t="s">
        <v>3365</v>
      </c>
      <c r="P805" s="170"/>
      <c r="Q805" s="180"/>
      <c r="R805" s="170"/>
      <c r="S805" s="108"/>
      <c r="T805" s="108"/>
      <c r="U805" s="108"/>
      <c r="V805" s="26"/>
      <c r="W805" s="27"/>
      <c r="X805" s="28"/>
    </row>
    <row r="806" ht="17" spans="1:24">
      <c r="A806" s="24" t="s">
        <v>4174</v>
      </c>
      <c r="B806" s="27" t="s">
        <v>4175</v>
      </c>
      <c r="C806" s="187" t="s">
        <v>3349</v>
      </c>
      <c r="D806" s="101" t="s">
        <v>5978</v>
      </c>
      <c r="E806" s="101" t="s">
        <v>4347</v>
      </c>
      <c r="F806" s="166" t="s">
        <v>5977</v>
      </c>
      <c r="G806" s="146" t="s">
        <v>1774</v>
      </c>
      <c r="H806" s="171" t="s">
        <v>1775</v>
      </c>
      <c r="I806" s="174" t="s">
        <v>1777</v>
      </c>
      <c r="J806" s="171" t="s">
        <v>1775</v>
      </c>
      <c r="K806" s="174" t="s">
        <v>1777</v>
      </c>
      <c r="L806" s="151"/>
      <c r="M806" s="183"/>
      <c r="N806" s="151"/>
      <c r="O806" s="184" t="s">
        <v>3370</v>
      </c>
      <c r="P806" s="170"/>
      <c r="Q806" s="180"/>
      <c r="R806" s="170"/>
      <c r="S806" s="108"/>
      <c r="T806" s="108"/>
      <c r="U806" s="108"/>
      <c r="V806" s="26"/>
      <c r="W806" s="27"/>
      <c r="X806" s="28"/>
    </row>
    <row r="807" ht="17" spans="1:24">
      <c r="A807" s="24" t="s">
        <v>4174</v>
      </c>
      <c r="B807" s="27" t="s">
        <v>4175</v>
      </c>
      <c r="C807" s="187" t="s">
        <v>3349</v>
      </c>
      <c r="D807" s="101" t="s">
        <v>5978</v>
      </c>
      <c r="E807" s="101" t="s">
        <v>4347</v>
      </c>
      <c r="F807" s="166" t="s">
        <v>5977</v>
      </c>
      <c r="G807" s="146" t="s">
        <v>5556</v>
      </c>
      <c r="H807" s="171" t="s">
        <v>5557</v>
      </c>
      <c r="I807" s="174" t="s">
        <v>5559</v>
      </c>
      <c r="J807" s="171" t="s">
        <v>5557</v>
      </c>
      <c r="K807" s="174" t="s">
        <v>5559</v>
      </c>
      <c r="L807" s="151"/>
      <c r="M807" s="183"/>
      <c r="N807" s="151"/>
      <c r="O807" s="184" t="s">
        <v>3371</v>
      </c>
      <c r="P807" s="170"/>
      <c r="Q807" s="180"/>
      <c r="R807" s="170"/>
      <c r="S807" s="108"/>
      <c r="T807" s="108"/>
      <c r="U807" s="108"/>
      <c r="V807" s="26"/>
      <c r="W807" s="27"/>
      <c r="X807" s="28"/>
    </row>
    <row r="808" ht="17" spans="1:24">
      <c r="A808" s="24" t="s">
        <v>4174</v>
      </c>
      <c r="B808" s="27" t="s">
        <v>4175</v>
      </c>
      <c r="C808" s="187" t="s">
        <v>3349</v>
      </c>
      <c r="D808" s="101" t="s">
        <v>5978</v>
      </c>
      <c r="E808" s="101" t="s">
        <v>4347</v>
      </c>
      <c r="F808" s="166" t="s">
        <v>5977</v>
      </c>
      <c r="G808" s="146" t="s">
        <v>3192</v>
      </c>
      <c r="H808" s="171" t="s">
        <v>3193</v>
      </c>
      <c r="I808" s="186" t="s">
        <v>3195</v>
      </c>
      <c r="J808" s="171" t="s">
        <v>3193</v>
      </c>
      <c r="K808" s="186" t="s">
        <v>3195</v>
      </c>
      <c r="L808" s="151"/>
      <c r="M808" s="183"/>
      <c r="N808" s="151"/>
      <c r="O808" s="184" t="s">
        <v>5555</v>
      </c>
      <c r="P808" s="170"/>
      <c r="Q808" s="180"/>
      <c r="R808" s="170"/>
      <c r="S808" s="108"/>
      <c r="T808" s="108"/>
      <c r="U808" s="108"/>
      <c r="V808" s="26"/>
      <c r="W808" s="27"/>
      <c r="X808" s="28"/>
    </row>
    <row r="809" ht="17" spans="1:24">
      <c r="A809" s="24" t="s">
        <v>4174</v>
      </c>
      <c r="B809" s="27" t="s">
        <v>4175</v>
      </c>
      <c r="C809" s="187" t="s">
        <v>3411</v>
      </c>
      <c r="D809" s="101" t="s">
        <v>5979</v>
      </c>
      <c r="E809" s="101" t="s">
        <v>4365</v>
      </c>
      <c r="F809" s="166" t="s">
        <v>5980</v>
      </c>
      <c r="G809" s="146" t="s">
        <v>2895</v>
      </c>
      <c r="H809" s="171" t="s">
        <v>2896</v>
      </c>
      <c r="I809" s="174" t="s">
        <v>2898</v>
      </c>
      <c r="J809" s="171" t="s">
        <v>2896</v>
      </c>
      <c r="K809" s="174" t="s">
        <v>2898</v>
      </c>
      <c r="L809" s="151"/>
      <c r="M809" s="183"/>
      <c r="N809" s="151"/>
      <c r="O809" s="184" t="s">
        <v>3351</v>
      </c>
      <c r="P809" s="170"/>
      <c r="Q809" s="180"/>
      <c r="R809" s="170"/>
      <c r="S809" s="108"/>
      <c r="T809" s="108"/>
      <c r="U809" s="108"/>
      <c r="V809" s="26"/>
      <c r="W809" s="27"/>
      <c r="X809" s="28"/>
    </row>
    <row r="810" ht="17" spans="1:24">
      <c r="A810" s="24" t="s">
        <v>4174</v>
      </c>
      <c r="B810" s="27" t="s">
        <v>4175</v>
      </c>
      <c r="C810" s="187" t="s">
        <v>3411</v>
      </c>
      <c r="D810" s="101" t="s">
        <v>5979</v>
      </c>
      <c r="E810" s="101" t="s">
        <v>4365</v>
      </c>
      <c r="F810" s="166" t="s">
        <v>5980</v>
      </c>
      <c r="G810" s="146" t="s">
        <v>2889</v>
      </c>
      <c r="H810" s="146" t="s">
        <v>2890</v>
      </c>
      <c r="I810" s="174" t="s">
        <v>2892</v>
      </c>
      <c r="J810" s="146" t="s">
        <v>2890</v>
      </c>
      <c r="K810" s="174" t="s">
        <v>2892</v>
      </c>
      <c r="L810" s="151"/>
      <c r="M810" s="183"/>
      <c r="N810" s="151"/>
      <c r="O810" s="184" t="s">
        <v>3352</v>
      </c>
      <c r="P810" s="170"/>
      <c r="Q810" s="180"/>
      <c r="R810" s="170"/>
      <c r="S810" s="108"/>
      <c r="T810" s="108"/>
      <c r="U810" s="108"/>
      <c r="V810" s="26"/>
      <c r="W810" s="27"/>
      <c r="X810" s="28"/>
    </row>
    <row r="811" ht="17" spans="1:24">
      <c r="A811" s="24" t="s">
        <v>4174</v>
      </c>
      <c r="B811" s="27" t="s">
        <v>4175</v>
      </c>
      <c r="C811" s="187" t="s">
        <v>3411</v>
      </c>
      <c r="D811" s="101" t="s">
        <v>5979</v>
      </c>
      <c r="E811" s="101" t="s">
        <v>4365</v>
      </c>
      <c r="F811" s="166" t="s">
        <v>5980</v>
      </c>
      <c r="G811" s="146" t="s">
        <v>3196</v>
      </c>
      <c r="H811" s="171" t="s">
        <v>3197</v>
      </c>
      <c r="I811" s="174" t="s">
        <v>2740</v>
      </c>
      <c r="J811" s="171" t="s">
        <v>3197</v>
      </c>
      <c r="K811" s="174" t="s">
        <v>2740</v>
      </c>
      <c r="L811" s="151"/>
      <c r="M811" s="183"/>
      <c r="N811" s="151"/>
      <c r="O811" s="184" t="s">
        <v>3353</v>
      </c>
      <c r="P811" s="170"/>
      <c r="Q811" s="180"/>
      <c r="R811" s="170"/>
      <c r="S811" s="108"/>
      <c r="T811" s="108"/>
      <c r="U811" s="108"/>
      <c r="V811" s="26"/>
      <c r="W811" s="27"/>
      <c r="X811" s="28"/>
    </row>
    <row r="812" ht="17" spans="1:24">
      <c r="A812" s="24" t="s">
        <v>4174</v>
      </c>
      <c r="B812" s="27" t="s">
        <v>4175</v>
      </c>
      <c r="C812" s="187" t="s">
        <v>3411</v>
      </c>
      <c r="D812" s="101" t="s">
        <v>5979</v>
      </c>
      <c r="E812" s="101" t="s">
        <v>4365</v>
      </c>
      <c r="F812" s="166" t="s">
        <v>5980</v>
      </c>
      <c r="G812" s="171" t="s">
        <v>3199</v>
      </c>
      <c r="H812" s="171" t="s">
        <v>3200</v>
      </c>
      <c r="I812" s="174" t="s">
        <v>3202</v>
      </c>
      <c r="J812" s="171" t="s">
        <v>3200</v>
      </c>
      <c r="K812" s="174" t="s">
        <v>3202</v>
      </c>
      <c r="L812" s="151"/>
      <c r="M812" s="183"/>
      <c r="N812" s="151"/>
      <c r="O812" s="184" t="s">
        <v>3365</v>
      </c>
      <c r="P812" s="170"/>
      <c r="Q812" s="180"/>
      <c r="R812" s="170"/>
      <c r="S812" s="108"/>
      <c r="T812" s="108"/>
      <c r="U812" s="108"/>
      <c r="V812" s="26"/>
      <c r="W812" s="27"/>
      <c r="X812" s="28"/>
    </row>
    <row r="813" ht="17" spans="1:24">
      <c r="A813" s="24" t="s">
        <v>4174</v>
      </c>
      <c r="B813" s="27" t="s">
        <v>4175</v>
      </c>
      <c r="C813" s="187" t="s">
        <v>3411</v>
      </c>
      <c r="D813" s="101" t="s">
        <v>5979</v>
      </c>
      <c r="E813" s="101" t="s">
        <v>4365</v>
      </c>
      <c r="F813" s="166" t="s">
        <v>5980</v>
      </c>
      <c r="G813" s="146" t="s">
        <v>3328</v>
      </c>
      <c r="H813" s="171" t="s">
        <v>3329</v>
      </c>
      <c r="I813" s="174" t="s">
        <v>3346</v>
      </c>
      <c r="J813" s="171" t="s">
        <v>3329</v>
      </c>
      <c r="K813" s="174" t="s">
        <v>3346</v>
      </c>
      <c r="L813" s="151"/>
      <c r="M813" s="183"/>
      <c r="N813" s="151"/>
      <c r="O813" s="184" t="s">
        <v>3370</v>
      </c>
      <c r="P813" s="170"/>
      <c r="Q813" s="180"/>
      <c r="R813" s="170"/>
      <c r="S813" s="108"/>
      <c r="T813" s="108"/>
      <c r="U813" s="108"/>
      <c r="V813" s="26"/>
      <c r="W813" s="27"/>
      <c r="X813" s="28"/>
    </row>
    <row r="814" ht="17" spans="1:24">
      <c r="A814" s="24" t="s">
        <v>4174</v>
      </c>
      <c r="B814" s="27" t="s">
        <v>4175</v>
      </c>
      <c r="C814" s="187" t="s">
        <v>3411</v>
      </c>
      <c r="D814" s="101" t="s">
        <v>5979</v>
      </c>
      <c r="E814" s="101" t="s">
        <v>4365</v>
      </c>
      <c r="F814" s="166" t="s">
        <v>5980</v>
      </c>
      <c r="G814" s="146" t="s">
        <v>1774</v>
      </c>
      <c r="H814" s="171" t="s">
        <v>1775</v>
      </c>
      <c r="I814" s="174" t="s">
        <v>1777</v>
      </c>
      <c r="J814" s="171" t="s">
        <v>1775</v>
      </c>
      <c r="K814" s="174" t="s">
        <v>1777</v>
      </c>
      <c r="L814" s="151"/>
      <c r="M814" s="183"/>
      <c r="N814" s="151"/>
      <c r="O814" s="184" t="s">
        <v>3371</v>
      </c>
      <c r="P814" s="170"/>
      <c r="Q814" s="180"/>
      <c r="R814" s="170"/>
      <c r="S814" s="108"/>
      <c r="T814" s="108"/>
      <c r="U814" s="108"/>
      <c r="V814" s="26"/>
      <c r="W814" s="27"/>
      <c r="X814" s="28"/>
    </row>
    <row r="815" ht="17" spans="1:24">
      <c r="A815" s="24" t="s">
        <v>4174</v>
      </c>
      <c r="B815" s="27" t="s">
        <v>4175</v>
      </c>
      <c r="C815" s="187" t="s">
        <v>3411</v>
      </c>
      <c r="D815" s="101" t="s">
        <v>5979</v>
      </c>
      <c r="E815" s="101" t="s">
        <v>4365</v>
      </c>
      <c r="F815" s="166" t="s">
        <v>5980</v>
      </c>
      <c r="G815" s="146" t="s">
        <v>5556</v>
      </c>
      <c r="H815" s="171" t="s">
        <v>5557</v>
      </c>
      <c r="I815" s="174" t="s">
        <v>5559</v>
      </c>
      <c r="J815" s="171" t="s">
        <v>5557</v>
      </c>
      <c r="K815" s="174" t="s">
        <v>5559</v>
      </c>
      <c r="L815" s="151"/>
      <c r="M815" s="183"/>
      <c r="N815" s="151"/>
      <c r="O815" s="184" t="s">
        <v>5555</v>
      </c>
      <c r="P815" s="170"/>
      <c r="Q815" s="180"/>
      <c r="R815" s="170"/>
      <c r="S815" s="108"/>
      <c r="T815" s="108"/>
      <c r="U815" s="108"/>
      <c r="V815" s="26"/>
      <c r="W815" s="27"/>
      <c r="X815" s="28"/>
    </row>
    <row r="816" ht="17" spans="1:24">
      <c r="A816" s="24" t="s">
        <v>4174</v>
      </c>
      <c r="B816" s="27" t="s">
        <v>4175</v>
      </c>
      <c r="C816" s="187" t="s">
        <v>3411</v>
      </c>
      <c r="D816" s="101" t="s">
        <v>5979</v>
      </c>
      <c r="E816" s="101" t="s">
        <v>4365</v>
      </c>
      <c r="F816" s="166" t="s">
        <v>5980</v>
      </c>
      <c r="G816" s="146" t="s">
        <v>3192</v>
      </c>
      <c r="H816" s="171" t="s">
        <v>3193</v>
      </c>
      <c r="I816" s="186" t="s">
        <v>3195</v>
      </c>
      <c r="J816" s="171" t="s">
        <v>3193</v>
      </c>
      <c r="K816" s="186" t="s">
        <v>3195</v>
      </c>
      <c r="L816" s="151"/>
      <c r="M816" s="183"/>
      <c r="N816" s="151"/>
      <c r="O816" s="184" t="s">
        <v>4488</v>
      </c>
      <c r="P816" s="170"/>
      <c r="Q816" s="180"/>
      <c r="R816" s="170"/>
      <c r="S816" s="108"/>
      <c r="T816" s="108"/>
      <c r="U816" s="108"/>
      <c r="V816" s="26"/>
      <c r="W816" s="27"/>
      <c r="X816" s="28"/>
    </row>
    <row r="817" ht="17" spans="1:32">
      <c r="A817" s="24" t="s">
        <v>4174</v>
      </c>
      <c r="B817" s="27" t="s">
        <v>4175</v>
      </c>
      <c r="C817" s="187" t="s">
        <v>3412</v>
      </c>
      <c r="D817" s="101" t="s">
        <v>5981</v>
      </c>
      <c r="E817" s="101" t="s">
        <v>4369</v>
      </c>
      <c r="F817" s="166" t="s">
        <v>5982</v>
      </c>
      <c r="G817" s="146" t="s">
        <v>2895</v>
      </c>
      <c r="H817" s="171" t="s">
        <v>2896</v>
      </c>
      <c r="I817" s="174" t="s">
        <v>2898</v>
      </c>
      <c r="J817" s="171" t="s">
        <v>2896</v>
      </c>
      <c r="K817" s="174" t="s">
        <v>2898</v>
      </c>
      <c r="L817" s="151"/>
      <c r="M817" s="183"/>
      <c r="N817" s="151"/>
      <c r="O817" s="184" t="s">
        <v>3351</v>
      </c>
      <c r="P817" s="170"/>
      <c r="Q817" s="180"/>
      <c r="R817" s="170"/>
      <c r="S817" s="108"/>
      <c r="T817" s="108"/>
      <c r="U817" s="108"/>
      <c r="V817" s="26"/>
      <c r="W817" s="27"/>
      <c r="X817" s="28"/>
    </row>
    <row r="818" ht="17" spans="1:32">
      <c r="A818" s="24" t="s">
        <v>4174</v>
      </c>
      <c r="B818" s="27" t="s">
        <v>4175</v>
      </c>
      <c r="C818" s="187" t="s">
        <v>3412</v>
      </c>
      <c r="D818" s="101" t="s">
        <v>5981</v>
      </c>
      <c r="E818" s="101" t="s">
        <v>4369</v>
      </c>
      <c r="F818" s="166" t="s">
        <v>5982</v>
      </c>
      <c r="G818" s="146" t="s">
        <v>2889</v>
      </c>
      <c r="H818" s="146" t="s">
        <v>2890</v>
      </c>
      <c r="I818" s="174" t="s">
        <v>2892</v>
      </c>
      <c r="J818" s="146" t="s">
        <v>2890</v>
      </c>
      <c r="K818" s="174" t="s">
        <v>2892</v>
      </c>
      <c r="L818" s="151"/>
      <c r="M818" s="183"/>
      <c r="N818" s="151"/>
      <c r="O818" s="184" t="s">
        <v>3352</v>
      </c>
      <c r="P818" s="170"/>
      <c r="Q818" s="180"/>
      <c r="R818" s="170"/>
      <c r="S818" s="108"/>
      <c r="T818" s="108"/>
      <c r="U818" s="108"/>
      <c r="V818" s="26"/>
      <c r="W818" s="27"/>
      <c r="X818" s="28"/>
    </row>
    <row r="819" ht="17" spans="1:32">
      <c r="A819" s="24" t="s">
        <v>4174</v>
      </c>
      <c r="B819" s="27" t="s">
        <v>4175</v>
      </c>
      <c r="C819" s="187" t="s">
        <v>3412</v>
      </c>
      <c r="D819" s="101" t="s">
        <v>5981</v>
      </c>
      <c r="E819" s="101" t="s">
        <v>4369</v>
      </c>
      <c r="F819" s="166" t="s">
        <v>5982</v>
      </c>
      <c r="G819" s="146" t="s">
        <v>3196</v>
      </c>
      <c r="H819" s="171" t="s">
        <v>3197</v>
      </c>
      <c r="I819" s="174" t="s">
        <v>2740</v>
      </c>
      <c r="J819" s="171" t="s">
        <v>3197</v>
      </c>
      <c r="K819" s="174" t="s">
        <v>2740</v>
      </c>
      <c r="L819" s="151"/>
      <c r="M819" s="183"/>
      <c r="N819" s="151"/>
      <c r="O819" s="184" t="s">
        <v>3353</v>
      </c>
      <c r="P819" s="170"/>
      <c r="Q819" s="180"/>
      <c r="R819" s="170"/>
      <c r="S819" s="108"/>
      <c r="T819" s="108"/>
      <c r="U819" s="108"/>
      <c r="V819" s="26"/>
      <c r="W819" s="27"/>
      <c r="X819" s="28"/>
    </row>
    <row r="820" ht="17" spans="1:32">
      <c r="A820" s="24" t="s">
        <v>4174</v>
      </c>
      <c r="B820" s="27" t="s">
        <v>4175</v>
      </c>
      <c r="C820" s="187" t="s">
        <v>3412</v>
      </c>
      <c r="D820" s="101" t="s">
        <v>5981</v>
      </c>
      <c r="E820" s="101" t="s">
        <v>4369</v>
      </c>
      <c r="F820" s="166" t="s">
        <v>5982</v>
      </c>
      <c r="G820" s="171" t="s">
        <v>3199</v>
      </c>
      <c r="H820" s="171" t="s">
        <v>3200</v>
      </c>
      <c r="I820" s="174" t="s">
        <v>3202</v>
      </c>
      <c r="J820" s="171" t="s">
        <v>3200</v>
      </c>
      <c r="K820" s="174" t="s">
        <v>3202</v>
      </c>
      <c r="L820" s="151"/>
      <c r="M820" s="183"/>
      <c r="N820" s="151"/>
      <c r="O820" s="184" t="s">
        <v>3365</v>
      </c>
      <c r="P820" s="170"/>
      <c r="Q820" s="180"/>
      <c r="R820" s="170"/>
      <c r="S820" s="108"/>
      <c r="T820" s="108"/>
      <c r="U820" s="108"/>
      <c r="V820" s="26"/>
      <c r="W820" s="27"/>
      <c r="X820" s="28"/>
    </row>
    <row r="821" ht="17" spans="1:32">
      <c r="A821" s="24" t="s">
        <v>4174</v>
      </c>
      <c r="B821" s="27" t="s">
        <v>4175</v>
      </c>
      <c r="C821" s="187" t="s">
        <v>3412</v>
      </c>
      <c r="D821" s="101" t="s">
        <v>5981</v>
      </c>
      <c r="E821" s="101" t="s">
        <v>4369</v>
      </c>
      <c r="F821" s="166" t="s">
        <v>5982</v>
      </c>
      <c r="G821" s="146" t="s">
        <v>3328</v>
      </c>
      <c r="H821" s="171" t="s">
        <v>3329</v>
      </c>
      <c r="I821" s="174" t="s">
        <v>3346</v>
      </c>
      <c r="J821" s="171" t="s">
        <v>3329</v>
      </c>
      <c r="K821" s="174" t="s">
        <v>3346</v>
      </c>
      <c r="L821" s="151"/>
      <c r="M821" s="183"/>
      <c r="N821" s="151"/>
      <c r="O821" s="184" t="s">
        <v>3370</v>
      </c>
      <c r="P821" s="170"/>
      <c r="Q821" s="180"/>
      <c r="R821" s="170"/>
      <c r="S821" s="108"/>
      <c r="T821" s="108"/>
      <c r="U821" s="108"/>
      <c r="V821" s="26"/>
      <c r="W821" s="27"/>
      <c r="X821" s="28"/>
    </row>
    <row r="822" ht="17" spans="1:32">
      <c r="A822" s="24" t="s">
        <v>4174</v>
      </c>
      <c r="B822" s="27" t="s">
        <v>4175</v>
      </c>
      <c r="C822" s="187" t="s">
        <v>3412</v>
      </c>
      <c r="D822" s="101" t="s">
        <v>5981</v>
      </c>
      <c r="E822" s="101" t="s">
        <v>4369</v>
      </c>
      <c r="F822" s="166" t="s">
        <v>5982</v>
      </c>
      <c r="G822" s="146" t="s">
        <v>1774</v>
      </c>
      <c r="H822" s="171" t="s">
        <v>1775</v>
      </c>
      <c r="I822" s="174" t="s">
        <v>1777</v>
      </c>
      <c r="J822" s="171" t="s">
        <v>1775</v>
      </c>
      <c r="K822" s="174" t="s">
        <v>1777</v>
      </c>
      <c r="L822" s="151"/>
      <c r="M822" s="183"/>
      <c r="N822" s="151"/>
      <c r="O822" s="184" t="s">
        <v>3371</v>
      </c>
      <c r="P822" s="170"/>
      <c r="Q822" s="180"/>
      <c r="R822" s="170"/>
      <c r="S822" s="108"/>
      <c r="T822" s="108"/>
      <c r="U822" s="108"/>
      <c r="V822" s="26"/>
      <c r="W822" s="27"/>
      <c r="X822" s="28"/>
    </row>
    <row r="823" ht="17" spans="1:32">
      <c r="A823" s="24" t="s">
        <v>4174</v>
      </c>
      <c r="B823" s="27" t="s">
        <v>4175</v>
      </c>
      <c r="C823" s="187" t="s">
        <v>3412</v>
      </c>
      <c r="D823" s="101" t="s">
        <v>5981</v>
      </c>
      <c r="E823" s="101" t="s">
        <v>4369</v>
      </c>
      <c r="F823" s="166" t="s">
        <v>5982</v>
      </c>
      <c r="G823" s="146" t="s">
        <v>5556</v>
      </c>
      <c r="H823" s="171" t="s">
        <v>5557</v>
      </c>
      <c r="I823" s="174" t="s">
        <v>5559</v>
      </c>
      <c r="J823" s="171" t="s">
        <v>5557</v>
      </c>
      <c r="K823" s="174" t="s">
        <v>5559</v>
      </c>
      <c r="L823" s="151"/>
      <c r="M823" s="183"/>
      <c r="N823" s="151"/>
      <c r="O823" s="184" t="s">
        <v>5555</v>
      </c>
      <c r="P823" s="170"/>
      <c r="Q823" s="180"/>
      <c r="R823" s="170"/>
      <c r="S823" s="108"/>
      <c r="T823" s="108"/>
      <c r="U823" s="108"/>
      <c r="V823" s="26"/>
      <c r="W823" s="27"/>
      <c r="X823" s="28"/>
    </row>
    <row r="824" ht="17" spans="1:32">
      <c r="A824" s="24" t="s">
        <v>4174</v>
      </c>
      <c r="B824" s="27" t="s">
        <v>4175</v>
      </c>
      <c r="C824" s="187" t="s">
        <v>3412</v>
      </c>
      <c r="D824" s="101" t="s">
        <v>5981</v>
      </c>
      <c r="E824" s="101" t="s">
        <v>4369</v>
      </c>
      <c r="F824" s="166" t="s">
        <v>5982</v>
      </c>
      <c r="G824" s="146" t="s">
        <v>3192</v>
      </c>
      <c r="H824" s="171" t="s">
        <v>3193</v>
      </c>
      <c r="I824" s="186" t="s">
        <v>3195</v>
      </c>
      <c r="J824" s="171" t="s">
        <v>3193</v>
      </c>
      <c r="K824" s="186" t="s">
        <v>3195</v>
      </c>
      <c r="L824" s="151"/>
      <c r="M824" s="183"/>
      <c r="N824" s="151"/>
      <c r="O824" s="184" t="s">
        <v>4488</v>
      </c>
      <c r="P824" s="170"/>
      <c r="Q824" s="180"/>
      <c r="R824" s="170"/>
      <c r="S824" s="108"/>
      <c r="T824" s="108"/>
      <c r="U824" s="108"/>
      <c r="V824" s="26"/>
      <c r="W824" s="27"/>
      <c r="X824" s="28"/>
    </row>
    <row r="825" spans="1:32">
      <c r="A825" s="24" t="s">
        <v>4174</v>
      </c>
      <c r="B825" s="27" t="s">
        <v>4175</v>
      </c>
      <c r="C825" s="19" t="s">
        <v>3386</v>
      </c>
      <c r="D825" s="19" t="e">
        <f>VLOOKUP(C825,#REF!,2,0)</f>
        <v>#REF!</v>
      </c>
      <c r="E825" s="45" t="e">
        <f>VLOOKUP(D825,数据集标准分类!E:F,2,0)</f>
        <v>#REF!</v>
      </c>
      <c r="F825" s="21">
        <v>77</v>
      </c>
      <c r="G825" s="22" t="s">
        <v>3192</v>
      </c>
      <c r="H825" s="22" t="s">
        <v>3193</v>
      </c>
      <c r="I825" s="22" t="s">
        <v>3195</v>
      </c>
      <c r="J825" s="22" t="s">
        <v>3193</v>
      </c>
      <c r="K825" s="22" t="s">
        <v>3195</v>
      </c>
      <c r="L825" s="22"/>
      <c r="M825" s="24"/>
      <c r="N825" s="24"/>
      <c r="O825" s="46">
        <v>1</v>
      </c>
      <c r="P825" s="24"/>
      <c r="Q825" s="25"/>
      <c r="R825" s="24"/>
      <c r="S825" s="26"/>
      <c r="T825" s="24"/>
      <c r="U825" s="26"/>
      <c r="V825" s="26"/>
      <c r="W825" s="27"/>
      <c r="X825" s="28"/>
      <c r="Y825" s="5"/>
      <c r="Z825" s="5"/>
      <c r="AA825" s="5"/>
      <c r="AB825" s="5"/>
      <c r="AC825" s="5"/>
      <c r="AD825" s="5"/>
      <c r="AE825" s="5"/>
      <c r="AF825" s="5"/>
    </row>
    <row r="826" spans="1:32">
      <c r="A826" s="24" t="s">
        <v>4174</v>
      </c>
      <c r="B826" s="27" t="s">
        <v>4175</v>
      </c>
      <c r="C826" s="19" t="s">
        <v>3386</v>
      </c>
      <c r="D826" s="19" t="e">
        <f>VLOOKUP(C826,#REF!,2,0)</f>
        <v>#REF!</v>
      </c>
      <c r="E826" s="45" t="e">
        <f>VLOOKUP(D826,数据集标准分类!E:F,2,0)</f>
        <v>#REF!</v>
      </c>
      <c r="F826" s="21">
        <v>77</v>
      </c>
      <c r="G826" s="22" t="s">
        <v>3361</v>
      </c>
      <c r="H826" s="22" t="s">
        <v>3362</v>
      </c>
      <c r="I826" s="22" t="s">
        <v>3364</v>
      </c>
      <c r="J826" s="22" t="s">
        <v>3362</v>
      </c>
      <c r="K826" s="22" t="s">
        <v>3364</v>
      </c>
      <c r="L826" s="22"/>
      <c r="M826" s="24"/>
      <c r="N826" s="24"/>
      <c r="O826" s="46">
        <v>2</v>
      </c>
      <c r="P826" s="24"/>
      <c r="Q826" s="25"/>
      <c r="R826" s="24"/>
      <c r="S826" s="26"/>
      <c r="T826" s="24"/>
      <c r="U826" s="26"/>
      <c r="V826" s="26"/>
      <c r="W826" s="27"/>
      <c r="X826" s="28"/>
      <c r="Y826" s="5"/>
      <c r="Z826" s="5"/>
      <c r="AA826" s="5"/>
      <c r="AB826" s="5"/>
      <c r="AC826" s="5"/>
      <c r="AD826" s="5"/>
      <c r="AE826" s="5"/>
      <c r="AF826" s="5"/>
    </row>
    <row r="827" spans="1:32">
      <c r="A827" s="24" t="s">
        <v>4174</v>
      </c>
      <c r="B827" s="27" t="s">
        <v>4175</v>
      </c>
      <c r="C827" s="19" t="s">
        <v>3386</v>
      </c>
      <c r="D827" s="19" t="e">
        <f>VLOOKUP(C827,#REF!,2,0)</f>
        <v>#REF!</v>
      </c>
      <c r="E827" s="45" t="e">
        <f>VLOOKUP(D827,数据集标准分类!E:F,2,0)</f>
        <v>#REF!</v>
      </c>
      <c r="F827" s="21">
        <v>77</v>
      </c>
      <c r="G827" s="22" t="s">
        <v>1496</v>
      </c>
      <c r="H827" s="22" t="s">
        <v>1497</v>
      </c>
      <c r="I827" s="22" t="s">
        <v>1499</v>
      </c>
      <c r="J827" s="22" t="s">
        <v>1497</v>
      </c>
      <c r="K827" s="22" t="s">
        <v>1499</v>
      </c>
      <c r="L827" s="22"/>
      <c r="M827" s="24"/>
      <c r="N827" s="24"/>
      <c r="O827" s="46">
        <v>3</v>
      </c>
      <c r="P827" s="24"/>
      <c r="Q827" s="25"/>
      <c r="R827" s="24"/>
      <c r="S827" s="26"/>
      <c r="T827" s="24"/>
      <c r="U827" s="26"/>
      <c r="V827" s="26"/>
      <c r="W827" s="27"/>
      <c r="X827" s="28"/>
      <c r="Y827" s="5"/>
      <c r="Z827" s="5"/>
      <c r="AA827" s="5"/>
      <c r="AB827" s="5"/>
      <c r="AC827" s="5"/>
      <c r="AD827" s="5"/>
      <c r="AE827" s="5"/>
      <c r="AF827" s="5"/>
    </row>
    <row r="828" spans="1:32">
      <c r="A828" s="24" t="s">
        <v>4174</v>
      </c>
      <c r="B828" s="27" t="s">
        <v>4175</v>
      </c>
      <c r="C828" s="19" t="s">
        <v>3386</v>
      </c>
      <c r="D828" s="19" t="e">
        <f>VLOOKUP(C828,#REF!,2,0)</f>
        <v>#REF!</v>
      </c>
      <c r="E828" s="45" t="e">
        <f>VLOOKUP(D828,数据集标准分类!E:F,2,0)</f>
        <v>#REF!</v>
      </c>
      <c r="F828" s="21">
        <v>77</v>
      </c>
      <c r="G828" s="22" t="s">
        <v>3199</v>
      </c>
      <c r="H828" s="22" t="s">
        <v>3200</v>
      </c>
      <c r="I828" s="22" t="s">
        <v>3202</v>
      </c>
      <c r="J828" s="22" t="s">
        <v>3200</v>
      </c>
      <c r="K828" s="22" t="s">
        <v>3202</v>
      </c>
      <c r="L828" s="22"/>
      <c r="M828" s="24"/>
      <c r="N828" s="24"/>
      <c r="O828" s="46">
        <v>4</v>
      </c>
      <c r="P828" s="24"/>
      <c r="Q828" s="25"/>
      <c r="R828" s="24"/>
      <c r="S828" s="26"/>
      <c r="T828" s="24"/>
      <c r="U828" s="26"/>
      <c r="V828" s="26"/>
      <c r="W828" s="27"/>
      <c r="X828" s="28"/>
      <c r="Y828" s="5"/>
      <c r="Z828" s="5"/>
      <c r="AA828" s="5"/>
      <c r="AB828" s="5"/>
      <c r="AC828" s="5"/>
      <c r="AD828" s="5"/>
      <c r="AE828" s="5"/>
      <c r="AF828" s="5"/>
    </row>
    <row r="829" spans="1:32">
      <c r="A829" s="24" t="s">
        <v>4174</v>
      </c>
      <c r="B829" s="27" t="s">
        <v>4175</v>
      </c>
      <c r="C829" s="19" t="s">
        <v>3386</v>
      </c>
      <c r="D829" s="19" t="e">
        <f>VLOOKUP(C829,#REF!,2,0)</f>
        <v>#REF!</v>
      </c>
      <c r="E829" s="45" t="e">
        <f>VLOOKUP(D829,数据集标准分类!E:F,2,0)</f>
        <v>#REF!</v>
      </c>
      <c r="F829" s="21">
        <v>77</v>
      </c>
      <c r="G829" s="22" t="s">
        <v>3366</v>
      </c>
      <c r="H829" s="22" t="s">
        <v>3367</v>
      </c>
      <c r="I829" s="22" t="s">
        <v>3369</v>
      </c>
      <c r="J829" s="22" t="s">
        <v>3367</v>
      </c>
      <c r="K829" s="22" t="s">
        <v>3369</v>
      </c>
      <c r="L829" s="22"/>
      <c r="M829" s="24"/>
      <c r="N829" s="24"/>
      <c r="O829" s="46">
        <v>5</v>
      </c>
      <c r="P829" s="24"/>
      <c r="Q829" s="25"/>
      <c r="R829" s="24"/>
      <c r="S829" s="26"/>
      <c r="T829" s="24"/>
      <c r="U829" s="26"/>
      <c r="V829" s="26"/>
      <c r="W829" s="27"/>
      <c r="X829" s="28"/>
      <c r="Y829" s="5"/>
      <c r="Z829" s="5"/>
      <c r="AA829" s="5"/>
      <c r="AB829" s="5"/>
      <c r="AC829" s="5"/>
      <c r="AD829" s="5"/>
      <c r="AE829" s="5"/>
      <c r="AF829" s="5"/>
    </row>
    <row r="830" spans="1:32">
      <c r="A830" s="24" t="s">
        <v>4174</v>
      </c>
      <c r="B830" s="27" t="s">
        <v>4175</v>
      </c>
      <c r="C830" s="19" t="s">
        <v>3386</v>
      </c>
      <c r="D830" s="19" t="e">
        <f>VLOOKUP(C830,#REF!,2,0)</f>
        <v>#REF!</v>
      </c>
      <c r="E830" s="45" t="e">
        <f>VLOOKUP(D830,数据集标准分类!E:F,2,0)</f>
        <v>#REF!</v>
      </c>
      <c r="F830" s="21">
        <v>77</v>
      </c>
      <c r="G830" s="22" t="s">
        <v>3336</v>
      </c>
      <c r="H830" s="22" t="s">
        <v>3337</v>
      </c>
      <c r="I830" s="22" t="s">
        <v>3339</v>
      </c>
      <c r="J830" s="22" t="s">
        <v>3337</v>
      </c>
      <c r="K830" s="22" t="s">
        <v>3339</v>
      </c>
      <c r="L830" s="22"/>
      <c r="M830" s="24"/>
      <c r="N830" s="24"/>
      <c r="O830" s="46">
        <v>6</v>
      </c>
      <c r="P830" s="24"/>
      <c r="Q830" s="25"/>
      <c r="R830" s="24"/>
      <c r="S830" s="26"/>
      <c r="T830" s="24"/>
      <c r="U830" s="26"/>
      <c r="V830" s="26"/>
      <c r="W830" s="27"/>
      <c r="X830" s="28"/>
      <c r="Y830" s="5"/>
      <c r="Z830" s="5"/>
      <c r="AA830" s="5"/>
      <c r="AB830" s="5"/>
      <c r="AC830" s="5"/>
      <c r="AD830" s="5"/>
      <c r="AE830" s="5"/>
      <c r="AF830" s="5"/>
    </row>
    <row r="831" spans="1:32">
      <c r="A831" s="24" t="s">
        <v>4174</v>
      </c>
      <c r="B831" s="27" t="s">
        <v>4175</v>
      </c>
      <c r="C831" s="19" t="s">
        <v>3387</v>
      </c>
      <c r="D831" s="19" t="e">
        <f>VLOOKUP(C831,#REF!,2,0)</f>
        <v>#REF!</v>
      </c>
      <c r="E831" s="45" t="e">
        <f>VLOOKUP(D831,数据集标准分类!E:F,2,0)</f>
        <v>#REF!</v>
      </c>
      <c r="F831" s="21">
        <v>78</v>
      </c>
      <c r="G831" s="22" t="s">
        <v>3192</v>
      </c>
      <c r="H831" s="22" t="s">
        <v>3193</v>
      </c>
      <c r="I831" s="22" t="s">
        <v>3195</v>
      </c>
      <c r="J831" s="22" t="s">
        <v>3193</v>
      </c>
      <c r="K831" s="22" t="s">
        <v>3195</v>
      </c>
      <c r="L831" s="22"/>
      <c r="M831" s="24"/>
      <c r="N831" s="24"/>
      <c r="O831" s="46">
        <v>1</v>
      </c>
      <c r="P831" s="24"/>
      <c r="Q831" s="25"/>
      <c r="R831" s="24"/>
      <c r="S831" s="26"/>
      <c r="T831" s="24"/>
      <c r="U831" s="26"/>
      <c r="V831" s="26"/>
      <c r="W831" s="27"/>
      <c r="X831" s="28"/>
      <c r="Y831" s="5"/>
      <c r="Z831" s="5"/>
      <c r="AA831" s="5"/>
      <c r="AB831" s="5"/>
      <c r="AC831" s="5"/>
      <c r="AD831" s="5"/>
      <c r="AE831" s="5"/>
      <c r="AF831" s="5"/>
    </row>
    <row r="832" spans="1:32">
      <c r="A832" s="24" t="s">
        <v>4174</v>
      </c>
      <c r="B832" s="27" t="s">
        <v>4175</v>
      </c>
      <c r="C832" s="19" t="s">
        <v>3387</v>
      </c>
      <c r="D832" s="19" t="e">
        <f>VLOOKUP(C832,#REF!,2,0)</f>
        <v>#REF!</v>
      </c>
      <c r="E832" s="45" t="e">
        <f>VLOOKUP(D832,数据集标准分类!E:F,2,0)</f>
        <v>#REF!</v>
      </c>
      <c r="F832" s="21">
        <v>78</v>
      </c>
      <c r="G832" s="22" t="s">
        <v>3361</v>
      </c>
      <c r="H832" s="22" t="s">
        <v>3362</v>
      </c>
      <c r="I832" s="22" t="s">
        <v>3364</v>
      </c>
      <c r="J832" s="22" t="s">
        <v>3362</v>
      </c>
      <c r="K832" s="22" t="s">
        <v>3364</v>
      </c>
      <c r="L832" s="22"/>
      <c r="M832" s="24"/>
      <c r="N832" s="24"/>
      <c r="O832" s="46">
        <v>2</v>
      </c>
      <c r="P832" s="24"/>
      <c r="Q832" s="25"/>
      <c r="R832" s="24"/>
      <c r="S832" s="26"/>
      <c r="T832" s="24"/>
      <c r="U832" s="26"/>
      <c r="V832" s="26"/>
      <c r="W832" s="27"/>
      <c r="X832" s="28"/>
      <c r="Y832" s="5"/>
      <c r="Z832" s="5"/>
      <c r="AA832" s="5"/>
      <c r="AB832" s="5"/>
      <c r="AC832" s="5"/>
      <c r="AD832" s="5"/>
      <c r="AE832" s="5"/>
      <c r="AF832" s="5"/>
    </row>
    <row r="833" spans="1:32">
      <c r="A833" s="24" t="s">
        <v>4174</v>
      </c>
      <c r="B833" s="27" t="s">
        <v>4175</v>
      </c>
      <c r="C833" s="19" t="s">
        <v>3387</v>
      </c>
      <c r="D833" s="19" t="e">
        <f>VLOOKUP(C833,#REF!,2,0)</f>
        <v>#REF!</v>
      </c>
      <c r="E833" s="45" t="e">
        <f>VLOOKUP(D833,数据集标准分类!E:F,2,0)</f>
        <v>#REF!</v>
      </c>
      <c r="F833" s="21">
        <v>78</v>
      </c>
      <c r="G833" s="22" t="s">
        <v>1496</v>
      </c>
      <c r="H833" s="22" t="s">
        <v>1497</v>
      </c>
      <c r="I833" s="22" t="s">
        <v>1499</v>
      </c>
      <c r="J833" s="22" t="s">
        <v>1497</v>
      </c>
      <c r="K833" s="22" t="s">
        <v>1499</v>
      </c>
      <c r="L833" s="22"/>
      <c r="M833" s="24"/>
      <c r="N833" s="24"/>
      <c r="O833" s="46">
        <v>3</v>
      </c>
      <c r="P833" s="24"/>
      <c r="Q833" s="25"/>
      <c r="R833" s="24"/>
      <c r="S833" s="26"/>
      <c r="T833" s="24"/>
      <c r="U833" s="26"/>
      <c r="V833" s="26"/>
      <c r="W833" s="27"/>
      <c r="X833" s="28"/>
      <c r="Y833" s="5"/>
      <c r="Z833" s="5"/>
      <c r="AA833" s="5"/>
      <c r="AB833" s="5"/>
      <c r="AC833" s="5"/>
      <c r="AD833" s="5"/>
      <c r="AE833" s="5"/>
      <c r="AF833" s="5"/>
    </row>
    <row r="834" spans="1:32">
      <c r="A834" s="24" t="s">
        <v>4174</v>
      </c>
      <c r="B834" s="27" t="s">
        <v>4175</v>
      </c>
      <c r="C834" s="19" t="s">
        <v>3387</v>
      </c>
      <c r="D834" s="19" t="e">
        <f>VLOOKUP(C834,#REF!,2,0)</f>
        <v>#REF!</v>
      </c>
      <c r="E834" s="45" t="e">
        <f>VLOOKUP(D834,数据集标准分类!E:F,2,0)</f>
        <v>#REF!</v>
      </c>
      <c r="F834" s="21">
        <v>78</v>
      </c>
      <c r="G834" s="22" t="s">
        <v>3199</v>
      </c>
      <c r="H834" s="22" t="s">
        <v>3200</v>
      </c>
      <c r="I834" s="22" t="s">
        <v>3202</v>
      </c>
      <c r="J834" s="22" t="s">
        <v>3200</v>
      </c>
      <c r="K834" s="22" t="s">
        <v>3202</v>
      </c>
      <c r="L834" s="22"/>
      <c r="M834" s="24"/>
      <c r="N834" s="24"/>
      <c r="O834" s="46">
        <v>4</v>
      </c>
      <c r="P834" s="24"/>
      <c r="Q834" s="25"/>
      <c r="R834" s="24"/>
      <c r="S834" s="26"/>
      <c r="T834" s="24"/>
      <c r="U834" s="26"/>
      <c r="V834" s="26"/>
      <c r="W834" s="27"/>
      <c r="X834" s="28"/>
      <c r="Y834" s="5"/>
      <c r="Z834" s="5"/>
      <c r="AA834" s="5"/>
      <c r="AB834" s="5"/>
      <c r="AC834" s="5"/>
      <c r="AD834" s="5"/>
      <c r="AE834" s="5"/>
      <c r="AF834" s="5"/>
    </row>
    <row r="835" spans="1:32">
      <c r="A835" s="24" t="s">
        <v>4174</v>
      </c>
      <c r="B835" s="27" t="s">
        <v>4175</v>
      </c>
      <c r="C835" s="19" t="s">
        <v>3387</v>
      </c>
      <c r="D835" s="19" t="e">
        <f>VLOOKUP(C835,#REF!,2,0)</f>
        <v>#REF!</v>
      </c>
      <c r="E835" s="45" t="e">
        <f>VLOOKUP(D835,数据集标准分类!E:F,2,0)</f>
        <v>#REF!</v>
      </c>
      <c r="F835" s="21">
        <v>78</v>
      </c>
      <c r="G835" s="22" t="s">
        <v>3366</v>
      </c>
      <c r="H835" s="22" t="s">
        <v>3367</v>
      </c>
      <c r="I835" s="22" t="s">
        <v>3369</v>
      </c>
      <c r="J835" s="22" t="s">
        <v>3367</v>
      </c>
      <c r="K835" s="22" t="s">
        <v>3369</v>
      </c>
      <c r="L835" s="22"/>
      <c r="M835" s="24"/>
      <c r="N835" s="24"/>
      <c r="O835" s="46">
        <v>5</v>
      </c>
      <c r="P835" s="24"/>
      <c r="Q835" s="25"/>
      <c r="R835" s="24"/>
      <c r="S835" s="26"/>
      <c r="T835" s="24"/>
      <c r="U835" s="26"/>
      <c r="V835" s="26"/>
      <c r="W835" s="27"/>
      <c r="X835" s="28"/>
      <c r="Y835" s="5"/>
      <c r="Z835" s="5"/>
      <c r="AA835" s="5"/>
      <c r="AB835" s="5"/>
      <c r="AC835" s="5"/>
      <c r="AD835" s="5"/>
      <c r="AE835" s="5"/>
      <c r="AF835" s="5"/>
    </row>
    <row r="836" spans="1:32">
      <c r="A836" s="24" t="s">
        <v>4174</v>
      </c>
      <c r="B836" s="27" t="s">
        <v>4175</v>
      </c>
      <c r="C836" s="19" t="s">
        <v>3387</v>
      </c>
      <c r="D836" s="19" t="e">
        <f>VLOOKUP(C836,#REF!,2,0)</f>
        <v>#REF!</v>
      </c>
      <c r="E836" s="45" t="e">
        <f>VLOOKUP(D836,数据集标准分类!E:F,2,0)</f>
        <v>#REF!</v>
      </c>
      <c r="F836" s="21">
        <v>78</v>
      </c>
      <c r="G836" s="22" t="s">
        <v>3336</v>
      </c>
      <c r="H836" s="22" t="s">
        <v>3337</v>
      </c>
      <c r="I836" s="22" t="s">
        <v>3339</v>
      </c>
      <c r="J836" s="22" t="s">
        <v>3337</v>
      </c>
      <c r="K836" s="22" t="s">
        <v>3339</v>
      </c>
      <c r="L836" s="22"/>
      <c r="M836" s="24"/>
      <c r="N836" s="24"/>
      <c r="O836" s="46">
        <v>6</v>
      </c>
      <c r="P836" s="24"/>
      <c r="Q836" s="25"/>
      <c r="R836" s="24"/>
      <c r="S836" s="26"/>
      <c r="T836" s="24"/>
      <c r="U836" s="26"/>
      <c r="V836" s="26"/>
      <c r="W836" s="27"/>
      <c r="X836" s="28"/>
      <c r="Y836" s="5"/>
      <c r="Z836" s="5"/>
      <c r="AA836" s="5"/>
      <c r="AB836" s="5"/>
      <c r="AC836" s="5"/>
      <c r="AD836" s="5"/>
      <c r="AE836" s="5"/>
      <c r="AF836" s="5"/>
    </row>
    <row r="837" spans="1:32">
      <c r="A837" s="24" t="s">
        <v>4174</v>
      </c>
      <c r="B837" s="27" t="s">
        <v>4175</v>
      </c>
      <c r="C837" s="19" t="s">
        <v>3414</v>
      </c>
      <c r="D837" s="19" t="e">
        <f>VLOOKUP(C837,#REF!,2,0)</f>
        <v>#REF!</v>
      </c>
      <c r="E837" s="45" t="e">
        <f>VLOOKUP(D837,数据集标准分类!E:F,2,0)</f>
        <v>#REF!</v>
      </c>
      <c r="F837" s="21">
        <v>79</v>
      </c>
      <c r="G837" s="22" t="s">
        <v>3192</v>
      </c>
      <c r="H837" s="22" t="s">
        <v>3193</v>
      </c>
      <c r="I837" s="22" t="s">
        <v>3195</v>
      </c>
      <c r="J837" s="22" t="s">
        <v>3193</v>
      </c>
      <c r="K837" s="22" t="s">
        <v>3195</v>
      </c>
      <c r="L837" s="22"/>
      <c r="M837" s="24"/>
      <c r="N837" s="24"/>
      <c r="O837" s="46">
        <v>1</v>
      </c>
      <c r="P837" s="24"/>
      <c r="Q837" s="25"/>
      <c r="R837" s="24"/>
      <c r="S837" s="26"/>
      <c r="T837" s="24"/>
      <c r="U837" s="26"/>
      <c r="V837" s="26"/>
      <c r="W837" s="27"/>
      <c r="X837" s="28"/>
      <c r="Y837" s="5"/>
      <c r="Z837" s="5"/>
      <c r="AA837" s="5"/>
      <c r="AB837" s="5"/>
      <c r="AC837" s="5"/>
      <c r="AD837" s="5"/>
      <c r="AE837" s="5"/>
      <c r="AF837" s="5"/>
    </row>
    <row r="838" spans="1:32">
      <c r="A838" s="24" t="s">
        <v>4174</v>
      </c>
      <c r="B838" s="27" t="s">
        <v>4175</v>
      </c>
      <c r="C838" s="19" t="s">
        <v>3414</v>
      </c>
      <c r="D838" s="19" t="e">
        <f>VLOOKUP(C838,#REF!,2,0)</f>
        <v>#REF!</v>
      </c>
      <c r="E838" s="45" t="e">
        <f>VLOOKUP(D838,数据集标准分类!E:F,2,0)</f>
        <v>#REF!</v>
      </c>
      <c r="F838" s="21">
        <v>79</v>
      </c>
      <c r="G838" s="22" t="s">
        <v>3361</v>
      </c>
      <c r="H838" s="22" t="s">
        <v>3362</v>
      </c>
      <c r="I838" s="22" t="s">
        <v>3364</v>
      </c>
      <c r="J838" s="22" t="s">
        <v>3362</v>
      </c>
      <c r="K838" s="22" t="s">
        <v>3364</v>
      </c>
      <c r="L838" s="22"/>
      <c r="M838" s="24"/>
      <c r="N838" s="24"/>
      <c r="O838" s="46">
        <v>2</v>
      </c>
      <c r="P838" s="24"/>
      <c r="Q838" s="25"/>
      <c r="R838" s="24"/>
      <c r="S838" s="26"/>
      <c r="T838" s="24"/>
      <c r="U838" s="26"/>
      <c r="V838" s="26"/>
      <c r="W838" s="27"/>
      <c r="X838" s="28"/>
      <c r="Y838" s="5"/>
      <c r="Z838" s="5"/>
      <c r="AA838" s="5"/>
      <c r="AB838" s="5"/>
      <c r="AC838" s="5"/>
      <c r="AD838" s="5"/>
      <c r="AE838" s="5"/>
      <c r="AF838" s="5"/>
    </row>
    <row r="839" spans="1:32">
      <c r="A839" s="24" t="s">
        <v>4174</v>
      </c>
      <c r="B839" s="27" t="s">
        <v>4175</v>
      </c>
      <c r="C839" s="19" t="s">
        <v>3414</v>
      </c>
      <c r="D839" s="19" t="e">
        <f>VLOOKUP(C839,#REF!,2,0)</f>
        <v>#REF!</v>
      </c>
      <c r="E839" s="45" t="e">
        <f>VLOOKUP(D839,数据集标准分类!E:F,2,0)</f>
        <v>#REF!</v>
      </c>
      <c r="F839" s="21">
        <v>79</v>
      </c>
      <c r="G839" s="22" t="s">
        <v>1496</v>
      </c>
      <c r="H839" s="22" t="s">
        <v>1497</v>
      </c>
      <c r="I839" s="22" t="s">
        <v>1499</v>
      </c>
      <c r="J839" s="22" t="s">
        <v>1497</v>
      </c>
      <c r="K839" s="22" t="s">
        <v>1499</v>
      </c>
      <c r="L839" s="22"/>
      <c r="M839" s="24"/>
      <c r="N839" s="24"/>
      <c r="O839" s="46">
        <v>3</v>
      </c>
      <c r="P839" s="24"/>
      <c r="Q839" s="25"/>
      <c r="R839" s="24"/>
      <c r="S839" s="26"/>
      <c r="T839" s="24"/>
      <c r="U839" s="26"/>
      <c r="V839" s="26"/>
      <c r="W839" s="27"/>
      <c r="X839" s="28"/>
      <c r="Y839" s="5"/>
      <c r="Z839" s="5"/>
      <c r="AA839" s="5"/>
      <c r="AB839" s="5"/>
      <c r="AC839" s="5"/>
      <c r="AD839" s="5"/>
      <c r="AE839" s="5"/>
      <c r="AF839" s="5"/>
    </row>
    <row r="840" spans="1:32">
      <c r="A840" s="24" t="s">
        <v>4174</v>
      </c>
      <c r="B840" s="27" t="s">
        <v>4175</v>
      </c>
      <c r="C840" s="19" t="s">
        <v>3414</v>
      </c>
      <c r="D840" s="19" t="e">
        <f>VLOOKUP(C840,#REF!,2,0)</f>
        <v>#REF!</v>
      </c>
      <c r="E840" s="45" t="e">
        <f>VLOOKUP(D840,数据集标准分类!E:F,2,0)</f>
        <v>#REF!</v>
      </c>
      <c r="F840" s="21">
        <v>79</v>
      </c>
      <c r="G840" s="22" t="s">
        <v>3199</v>
      </c>
      <c r="H840" s="22" t="s">
        <v>3200</v>
      </c>
      <c r="I840" s="22" t="s">
        <v>3202</v>
      </c>
      <c r="J840" s="22" t="s">
        <v>3200</v>
      </c>
      <c r="K840" s="22" t="s">
        <v>3202</v>
      </c>
      <c r="L840" s="22"/>
      <c r="M840" s="24"/>
      <c r="N840" s="24"/>
      <c r="O840" s="46">
        <v>4</v>
      </c>
      <c r="P840" s="24"/>
      <c r="Q840" s="25"/>
      <c r="R840" s="24"/>
      <c r="S840" s="26"/>
      <c r="T840" s="24"/>
      <c r="U840" s="26"/>
      <c r="V840" s="26"/>
      <c r="W840" s="27"/>
      <c r="X840" s="28"/>
      <c r="Y840" s="5"/>
      <c r="Z840" s="5"/>
      <c r="AA840" s="5"/>
      <c r="AB840" s="5"/>
      <c r="AC840" s="5"/>
      <c r="AD840" s="5"/>
      <c r="AE840" s="5"/>
      <c r="AF840" s="5"/>
    </row>
    <row r="841" spans="1:32">
      <c r="A841" s="24" t="s">
        <v>4174</v>
      </c>
      <c r="B841" s="27" t="s">
        <v>4175</v>
      </c>
      <c r="C841" s="19" t="s">
        <v>3414</v>
      </c>
      <c r="D841" s="19" t="e">
        <f>VLOOKUP(C841,#REF!,2,0)</f>
        <v>#REF!</v>
      </c>
      <c r="E841" s="45" t="e">
        <f>VLOOKUP(D841,数据集标准分类!E:F,2,0)</f>
        <v>#REF!</v>
      </c>
      <c r="F841" s="21">
        <v>79</v>
      </c>
      <c r="G841" s="22" t="s">
        <v>3366</v>
      </c>
      <c r="H841" s="22" t="s">
        <v>3367</v>
      </c>
      <c r="I841" s="22" t="s">
        <v>3369</v>
      </c>
      <c r="J841" s="22" t="s">
        <v>3367</v>
      </c>
      <c r="K841" s="22" t="s">
        <v>3369</v>
      </c>
      <c r="L841" s="22"/>
      <c r="M841" s="24"/>
      <c r="N841" s="24"/>
      <c r="O841" s="46">
        <v>5</v>
      </c>
      <c r="P841" s="24"/>
      <c r="Q841" s="25"/>
      <c r="R841" s="24"/>
      <c r="S841" s="26"/>
      <c r="T841" s="24"/>
      <c r="U841" s="26"/>
      <c r="V841" s="26"/>
      <c r="W841" s="27"/>
      <c r="X841" s="28"/>
      <c r="Y841" s="5"/>
      <c r="Z841" s="5"/>
      <c r="AA841" s="5"/>
      <c r="AB841" s="5"/>
      <c r="AC841" s="5"/>
      <c r="AD841" s="5"/>
      <c r="AE841" s="5"/>
      <c r="AF841" s="5"/>
    </row>
    <row r="842" spans="1:32">
      <c r="A842" s="24" t="s">
        <v>4174</v>
      </c>
      <c r="B842" s="27" t="s">
        <v>4175</v>
      </c>
      <c r="C842" s="19" t="s">
        <v>3414</v>
      </c>
      <c r="D842" s="19" t="e">
        <f>VLOOKUP(C842,#REF!,2,0)</f>
        <v>#REF!</v>
      </c>
      <c r="E842" s="45" t="e">
        <f>VLOOKUP(D842,数据集标准分类!E:F,2,0)</f>
        <v>#REF!</v>
      </c>
      <c r="F842" s="21">
        <v>79</v>
      </c>
      <c r="G842" s="22" t="s">
        <v>3336</v>
      </c>
      <c r="H842" s="22" t="s">
        <v>3337</v>
      </c>
      <c r="I842" s="22" t="s">
        <v>3339</v>
      </c>
      <c r="J842" s="22" t="s">
        <v>3337</v>
      </c>
      <c r="K842" s="22" t="s">
        <v>3339</v>
      </c>
      <c r="L842" s="22"/>
      <c r="M842" s="24"/>
      <c r="N842" s="24"/>
      <c r="O842" s="46">
        <v>6</v>
      </c>
      <c r="P842" s="24"/>
      <c r="Q842" s="25"/>
      <c r="R842" s="24"/>
      <c r="S842" s="26"/>
      <c r="T842" s="24"/>
      <c r="U842" s="26"/>
      <c r="V842" s="26"/>
      <c r="W842" s="27"/>
      <c r="X842" s="28"/>
      <c r="Y842" s="5"/>
      <c r="Z842" s="5"/>
      <c r="AA842" s="5"/>
      <c r="AB842" s="5"/>
      <c r="AC842" s="5"/>
      <c r="AD842" s="5"/>
      <c r="AE842" s="5"/>
      <c r="AF842" s="5"/>
    </row>
    <row r="843" spans="1:32">
      <c r="A843" s="24" t="s">
        <v>4174</v>
      </c>
      <c r="B843" s="27" t="s">
        <v>4175</v>
      </c>
      <c r="C843" s="19" t="s">
        <v>3415</v>
      </c>
      <c r="D843" s="19" t="e">
        <f>VLOOKUP(C843,#REF!,2,0)</f>
        <v>#REF!</v>
      </c>
      <c r="E843" s="45" t="e">
        <f>VLOOKUP(D843,数据集标准分类!E:F,2,0)</f>
        <v>#REF!</v>
      </c>
      <c r="F843" s="21">
        <v>80</v>
      </c>
      <c r="G843" s="22" t="s">
        <v>3192</v>
      </c>
      <c r="H843" s="22" t="s">
        <v>3193</v>
      </c>
      <c r="I843" s="22" t="s">
        <v>3195</v>
      </c>
      <c r="J843" s="22" t="s">
        <v>3193</v>
      </c>
      <c r="K843" s="22" t="s">
        <v>3195</v>
      </c>
      <c r="L843" s="22"/>
      <c r="M843" s="24"/>
      <c r="N843" s="24"/>
      <c r="O843" s="46">
        <v>1</v>
      </c>
      <c r="P843" s="24"/>
      <c r="Q843" s="25"/>
      <c r="R843" s="24"/>
      <c r="S843" s="26"/>
      <c r="T843" s="24"/>
      <c r="U843" s="26"/>
      <c r="V843" s="26"/>
      <c r="W843" s="27"/>
      <c r="X843" s="28"/>
      <c r="Y843" s="5"/>
      <c r="Z843" s="5"/>
      <c r="AA843" s="5"/>
      <c r="AB843" s="5"/>
      <c r="AC843" s="5"/>
      <c r="AD843" s="5"/>
      <c r="AE843" s="5"/>
      <c r="AF843" s="5"/>
    </row>
    <row r="844" spans="1:32">
      <c r="A844" s="24" t="s">
        <v>4174</v>
      </c>
      <c r="B844" s="27" t="s">
        <v>4175</v>
      </c>
      <c r="C844" s="19" t="s">
        <v>3415</v>
      </c>
      <c r="D844" s="19" t="e">
        <f>VLOOKUP(C844,#REF!,2,0)</f>
        <v>#REF!</v>
      </c>
      <c r="E844" s="45" t="e">
        <f>VLOOKUP(D844,数据集标准分类!E:F,2,0)</f>
        <v>#REF!</v>
      </c>
      <c r="F844" s="21">
        <v>80</v>
      </c>
      <c r="G844" s="22" t="s">
        <v>3361</v>
      </c>
      <c r="H844" s="22" t="s">
        <v>3362</v>
      </c>
      <c r="I844" s="22" t="s">
        <v>3364</v>
      </c>
      <c r="J844" s="22" t="s">
        <v>3362</v>
      </c>
      <c r="K844" s="22" t="s">
        <v>3364</v>
      </c>
      <c r="L844" s="22"/>
      <c r="M844" s="24"/>
      <c r="N844" s="24"/>
      <c r="O844" s="46">
        <v>2</v>
      </c>
      <c r="P844" s="24"/>
      <c r="Q844" s="25"/>
      <c r="R844" s="24"/>
      <c r="S844" s="26"/>
      <c r="T844" s="24"/>
      <c r="U844" s="26"/>
      <c r="V844" s="26"/>
      <c r="W844" s="27"/>
      <c r="X844" s="28"/>
      <c r="Y844" s="5"/>
      <c r="Z844" s="5"/>
      <c r="AA844" s="5"/>
      <c r="AB844" s="5"/>
      <c r="AC844" s="5"/>
      <c r="AD844" s="5"/>
      <c r="AE844" s="5"/>
      <c r="AF844" s="5"/>
    </row>
    <row r="845" spans="1:32">
      <c r="A845" s="24" t="s">
        <v>4174</v>
      </c>
      <c r="B845" s="27" t="s">
        <v>4175</v>
      </c>
      <c r="C845" s="19" t="s">
        <v>3415</v>
      </c>
      <c r="D845" s="19" t="e">
        <f>VLOOKUP(C845,#REF!,2,0)</f>
        <v>#REF!</v>
      </c>
      <c r="E845" s="45" t="e">
        <f>VLOOKUP(D845,数据集标准分类!E:F,2,0)</f>
        <v>#REF!</v>
      </c>
      <c r="F845" s="21">
        <v>80</v>
      </c>
      <c r="G845" s="22" t="s">
        <v>1496</v>
      </c>
      <c r="H845" s="22" t="s">
        <v>1497</v>
      </c>
      <c r="I845" s="22" t="s">
        <v>1499</v>
      </c>
      <c r="J845" s="22" t="s">
        <v>1497</v>
      </c>
      <c r="K845" s="22" t="s">
        <v>1499</v>
      </c>
      <c r="L845" s="22"/>
      <c r="M845" s="24"/>
      <c r="N845" s="24"/>
      <c r="O845" s="46">
        <v>3</v>
      </c>
      <c r="P845" s="24"/>
      <c r="Q845" s="25"/>
      <c r="R845" s="24"/>
      <c r="S845" s="26"/>
      <c r="T845" s="24"/>
      <c r="U845" s="26"/>
      <c r="V845" s="26"/>
      <c r="W845" s="27"/>
      <c r="X845" s="28"/>
      <c r="Y845" s="5"/>
      <c r="Z845" s="5"/>
      <c r="AA845" s="5"/>
      <c r="AB845" s="5"/>
      <c r="AC845" s="5"/>
      <c r="AD845" s="5"/>
      <c r="AE845" s="5"/>
      <c r="AF845" s="5"/>
    </row>
    <row r="846" spans="1:32">
      <c r="A846" s="24" t="s">
        <v>4174</v>
      </c>
      <c r="B846" s="27" t="s">
        <v>4175</v>
      </c>
      <c r="C846" s="19" t="s">
        <v>3415</v>
      </c>
      <c r="D846" s="19" t="e">
        <f>VLOOKUP(C846,#REF!,2,0)</f>
        <v>#REF!</v>
      </c>
      <c r="E846" s="45" t="e">
        <f>VLOOKUP(D846,数据集标准分类!E:F,2,0)</f>
        <v>#REF!</v>
      </c>
      <c r="F846" s="21">
        <v>80</v>
      </c>
      <c r="G846" s="22" t="s">
        <v>3199</v>
      </c>
      <c r="H846" s="22" t="s">
        <v>3200</v>
      </c>
      <c r="I846" s="22" t="s">
        <v>3202</v>
      </c>
      <c r="J846" s="22" t="s">
        <v>3200</v>
      </c>
      <c r="K846" s="22" t="s">
        <v>3202</v>
      </c>
      <c r="L846" s="22"/>
      <c r="M846" s="24"/>
      <c r="N846" s="24"/>
      <c r="O846" s="46">
        <v>4</v>
      </c>
      <c r="P846" s="24"/>
      <c r="Q846" s="25"/>
      <c r="R846" s="24"/>
      <c r="S846" s="26"/>
      <c r="T846" s="24"/>
      <c r="U846" s="26"/>
      <c r="V846" s="26"/>
      <c r="W846" s="27"/>
      <c r="X846" s="28"/>
      <c r="Y846" s="5"/>
      <c r="Z846" s="5"/>
      <c r="AA846" s="5"/>
      <c r="AB846" s="5"/>
      <c r="AC846" s="5"/>
      <c r="AD846" s="5"/>
      <c r="AE846" s="5"/>
      <c r="AF846" s="5"/>
    </row>
    <row r="847" spans="1:32">
      <c r="A847" s="24" t="s">
        <v>4174</v>
      </c>
      <c r="B847" s="27" t="s">
        <v>4175</v>
      </c>
      <c r="C847" s="19" t="s">
        <v>3415</v>
      </c>
      <c r="D847" s="19" t="e">
        <f>VLOOKUP(C847,#REF!,2,0)</f>
        <v>#REF!</v>
      </c>
      <c r="E847" s="45" t="e">
        <f>VLOOKUP(D847,数据集标准分类!E:F,2,0)</f>
        <v>#REF!</v>
      </c>
      <c r="F847" s="21">
        <v>80</v>
      </c>
      <c r="G847" s="22" t="s">
        <v>3366</v>
      </c>
      <c r="H847" s="22" t="s">
        <v>3367</v>
      </c>
      <c r="I847" s="22" t="s">
        <v>3369</v>
      </c>
      <c r="J847" s="22" t="s">
        <v>3367</v>
      </c>
      <c r="K847" s="22" t="s">
        <v>3369</v>
      </c>
      <c r="L847" s="22"/>
      <c r="M847" s="24"/>
      <c r="N847" s="24"/>
      <c r="O847" s="46">
        <v>5</v>
      </c>
      <c r="P847" s="24"/>
      <c r="Q847" s="25"/>
      <c r="R847" s="24"/>
      <c r="S847" s="26"/>
      <c r="T847" s="24"/>
      <c r="U847" s="26"/>
      <c r="V847" s="26"/>
      <c r="W847" s="27"/>
      <c r="X847" s="28"/>
      <c r="Y847" s="5"/>
      <c r="Z847" s="5"/>
      <c r="AA847" s="5"/>
      <c r="AB847" s="5"/>
      <c r="AC847" s="5"/>
      <c r="AD847" s="5"/>
      <c r="AE847" s="5"/>
      <c r="AF847" s="5"/>
    </row>
    <row r="848" spans="1:32">
      <c r="A848" s="24" t="s">
        <v>4174</v>
      </c>
      <c r="B848" s="27" t="s">
        <v>4175</v>
      </c>
      <c r="C848" s="19" t="s">
        <v>3415</v>
      </c>
      <c r="D848" s="19" t="e">
        <f>VLOOKUP(C848,#REF!,2,0)</f>
        <v>#REF!</v>
      </c>
      <c r="E848" s="45" t="e">
        <f>VLOOKUP(D848,数据集标准分类!E:F,2,0)</f>
        <v>#REF!</v>
      </c>
      <c r="F848" s="21">
        <v>80</v>
      </c>
      <c r="G848" s="22" t="s">
        <v>3336</v>
      </c>
      <c r="H848" s="22" t="s">
        <v>3337</v>
      </c>
      <c r="I848" s="22" t="s">
        <v>3339</v>
      </c>
      <c r="J848" s="22" t="s">
        <v>3337</v>
      </c>
      <c r="K848" s="22" t="s">
        <v>3339</v>
      </c>
      <c r="L848" s="22"/>
      <c r="M848" s="24"/>
      <c r="N848" s="24"/>
      <c r="O848" s="46">
        <v>6</v>
      </c>
      <c r="P848" s="24"/>
      <c r="Q848" s="25"/>
      <c r="R848" s="24"/>
      <c r="S848" s="26"/>
      <c r="T848" s="24"/>
      <c r="U848" s="26"/>
      <c r="V848" s="26"/>
      <c r="W848" s="27"/>
      <c r="X848" s="28"/>
      <c r="Y848" s="5"/>
      <c r="Z848" s="5"/>
      <c r="AA848" s="5"/>
      <c r="AB848" s="5"/>
      <c r="AC848" s="5"/>
      <c r="AD848" s="5"/>
      <c r="AE848" s="5"/>
      <c r="AF848" s="5"/>
    </row>
    <row r="849" spans="1:32">
      <c r="A849" s="24" t="s">
        <v>4174</v>
      </c>
      <c r="B849" s="27" t="s">
        <v>4175</v>
      </c>
      <c r="C849" s="19" t="s">
        <v>3417</v>
      </c>
      <c r="D849" s="19" t="e">
        <f>VLOOKUP(C849,#REF!,2,0)</f>
        <v>#REF!</v>
      </c>
      <c r="E849" s="45" t="e">
        <f>VLOOKUP(D849,数据集标准分类!E:F,2,0)</f>
        <v>#REF!</v>
      </c>
      <c r="F849" s="21">
        <v>82</v>
      </c>
      <c r="G849" s="22" t="s">
        <v>3192</v>
      </c>
      <c r="H849" s="22" t="s">
        <v>3193</v>
      </c>
      <c r="I849" s="22" t="s">
        <v>3195</v>
      </c>
      <c r="J849" s="22" t="s">
        <v>3193</v>
      </c>
      <c r="K849" s="22" t="s">
        <v>3195</v>
      </c>
      <c r="L849" s="22"/>
      <c r="M849" s="24"/>
      <c r="N849" s="24"/>
      <c r="O849" s="46">
        <v>1</v>
      </c>
      <c r="P849" s="24"/>
      <c r="Q849" s="25"/>
      <c r="R849" s="24"/>
      <c r="S849" s="26"/>
      <c r="T849" s="24"/>
      <c r="U849" s="26"/>
      <c r="V849" s="26"/>
      <c r="W849" s="27"/>
      <c r="X849" s="28"/>
      <c r="Y849" s="5"/>
      <c r="Z849" s="5"/>
      <c r="AA849" s="5"/>
      <c r="AB849" s="5"/>
      <c r="AC849" s="5"/>
      <c r="AD849" s="5"/>
      <c r="AE849" s="5"/>
      <c r="AF849" s="5"/>
    </row>
    <row r="850" spans="1:32">
      <c r="A850" s="24" t="s">
        <v>4174</v>
      </c>
      <c r="B850" s="27" t="s">
        <v>4175</v>
      </c>
      <c r="C850" s="19" t="s">
        <v>3417</v>
      </c>
      <c r="D850" s="19" t="e">
        <f>VLOOKUP(C850,#REF!,2,0)</f>
        <v>#REF!</v>
      </c>
      <c r="E850" s="45" t="e">
        <f>VLOOKUP(D850,数据集标准分类!E:F,2,0)</f>
        <v>#REF!</v>
      </c>
      <c r="F850" s="21">
        <v>82</v>
      </c>
      <c r="G850" s="22" t="s">
        <v>3361</v>
      </c>
      <c r="H850" s="22" t="s">
        <v>3362</v>
      </c>
      <c r="I850" s="22" t="s">
        <v>3364</v>
      </c>
      <c r="J850" s="22" t="s">
        <v>3362</v>
      </c>
      <c r="K850" s="22" t="s">
        <v>3364</v>
      </c>
      <c r="L850" s="22"/>
      <c r="M850" s="24"/>
      <c r="N850" s="24"/>
      <c r="O850" s="46">
        <v>2</v>
      </c>
      <c r="P850" s="24"/>
      <c r="Q850" s="25"/>
      <c r="R850" s="24"/>
      <c r="S850" s="26"/>
      <c r="T850" s="24"/>
      <c r="U850" s="26"/>
      <c r="V850" s="26"/>
      <c r="W850" s="27"/>
      <c r="X850" s="28"/>
      <c r="Y850" s="5"/>
      <c r="Z850" s="5"/>
      <c r="AA850" s="5"/>
      <c r="AB850" s="5"/>
      <c r="AC850" s="5"/>
      <c r="AD850" s="5"/>
      <c r="AE850" s="5"/>
      <c r="AF850" s="5"/>
    </row>
    <row r="851" spans="1:32">
      <c r="A851" s="24" t="s">
        <v>4174</v>
      </c>
      <c r="B851" s="27" t="s">
        <v>4175</v>
      </c>
      <c r="C851" s="19" t="s">
        <v>3417</v>
      </c>
      <c r="D851" s="19" t="e">
        <f>VLOOKUP(C851,#REF!,2,0)</f>
        <v>#REF!</v>
      </c>
      <c r="E851" s="45" t="e">
        <f>VLOOKUP(D851,数据集标准分类!E:F,2,0)</f>
        <v>#REF!</v>
      </c>
      <c r="F851" s="21">
        <v>82</v>
      </c>
      <c r="G851" s="22" t="s">
        <v>1496</v>
      </c>
      <c r="H851" s="22" t="s">
        <v>1497</v>
      </c>
      <c r="I851" s="22" t="s">
        <v>1499</v>
      </c>
      <c r="J851" s="22" t="s">
        <v>1497</v>
      </c>
      <c r="K851" s="22" t="s">
        <v>1499</v>
      </c>
      <c r="L851" s="22"/>
      <c r="M851" s="24"/>
      <c r="N851" s="24"/>
      <c r="O851" s="46">
        <v>3</v>
      </c>
      <c r="P851" s="24"/>
      <c r="Q851" s="25"/>
      <c r="R851" s="24"/>
      <c r="S851" s="26"/>
      <c r="T851" s="24"/>
      <c r="U851" s="26"/>
      <c r="V851" s="26"/>
      <c r="W851" s="27"/>
      <c r="X851" s="28"/>
      <c r="Y851" s="5"/>
      <c r="Z851" s="5"/>
      <c r="AA851" s="5"/>
      <c r="AB851" s="5"/>
      <c r="AC851" s="5"/>
      <c r="AD851" s="5"/>
      <c r="AE851" s="5"/>
      <c r="AF851" s="5"/>
    </row>
    <row r="852" spans="1:32">
      <c r="A852" s="24" t="s">
        <v>4174</v>
      </c>
      <c r="B852" s="27" t="s">
        <v>4175</v>
      </c>
      <c r="C852" s="19" t="s">
        <v>3417</v>
      </c>
      <c r="D852" s="19" t="e">
        <f>VLOOKUP(C852,#REF!,2,0)</f>
        <v>#REF!</v>
      </c>
      <c r="E852" s="45" t="e">
        <f>VLOOKUP(D852,数据集标准分类!E:F,2,0)</f>
        <v>#REF!</v>
      </c>
      <c r="F852" s="21">
        <v>82</v>
      </c>
      <c r="G852" s="22" t="s">
        <v>3199</v>
      </c>
      <c r="H852" s="22" t="s">
        <v>3200</v>
      </c>
      <c r="I852" s="22" t="s">
        <v>3202</v>
      </c>
      <c r="J852" s="22" t="s">
        <v>3200</v>
      </c>
      <c r="K852" s="22" t="s">
        <v>3202</v>
      </c>
      <c r="L852" s="22"/>
      <c r="M852" s="24"/>
      <c r="N852" s="24"/>
      <c r="O852" s="46">
        <v>4</v>
      </c>
      <c r="P852" s="24"/>
      <c r="Q852" s="25"/>
      <c r="R852" s="24"/>
      <c r="S852" s="26"/>
      <c r="T852" s="24"/>
      <c r="U852" s="26"/>
      <c r="V852" s="26"/>
      <c r="W852" s="27"/>
      <c r="X852" s="28"/>
      <c r="Y852" s="5"/>
      <c r="Z852" s="5"/>
      <c r="AA852" s="5"/>
      <c r="AB852" s="5"/>
      <c r="AC852" s="5"/>
      <c r="AD852" s="5"/>
      <c r="AE852" s="5"/>
      <c r="AF852" s="5"/>
    </row>
    <row r="853" spans="1:32">
      <c r="A853" s="24" t="s">
        <v>4174</v>
      </c>
      <c r="B853" s="27" t="s">
        <v>4175</v>
      </c>
      <c r="C853" s="19" t="s">
        <v>3417</v>
      </c>
      <c r="D853" s="19" t="e">
        <f>VLOOKUP(C853,#REF!,2,0)</f>
        <v>#REF!</v>
      </c>
      <c r="E853" s="45" t="e">
        <f>VLOOKUP(D853,数据集标准分类!E:F,2,0)</f>
        <v>#REF!</v>
      </c>
      <c r="F853" s="21">
        <v>82</v>
      </c>
      <c r="G853" s="22" t="s">
        <v>3366</v>
      </c>
      <c r="H853" s="22" t="s">
        <v>3367</v>
      </c>
      <c r="I853" s="22" t="s">
        <v>3369</v>
      </c>
      <c r="J853" s="22" t="s">
        <v>3367</v>
      </c>
      <c r="K853" s="22" t="s">
        <v>3369</v>
      </c>
      <c r="L853" s="22"/>
      <c r="M853" s="24"/>
      <c r="N853" s="24"/>
      <c r="O853" s="46">
        <v>5</v>
      </c>
      <c r="P853" s="24"/>
      <c r="Q853" s="25"/>
      <c r="R853" s="24"/>
      <c r="S853" s="26"/>
      <c r="T853" s="24"/>
      <c r="U853" s="26"/>
      <c r="V853" s="26"/>
      <c r="W853" s="27"/>
      <c r="X853" s="28"/>
      <c r="Y853" s="5"/>
      <c r="Z853" s="5"/>
      <c r="AA853" s="5"/>
      <c r="AB853" s="5"/>
      <c r="AC853" s="5"/>
      <c r="AD853" s="5"/>
      <c r="AE853" s="5"/>
      <c r="AF853" s="5"/>
    </row>
    <row r="854" spans="1:32">
      <c r="A854" s="24" t="s">
        <v>4174</v>
      </c>
      <c r="B854" s="27" t="s">
        <v>4175</v>
      </c>
      <c r="C854" s="19" t="s">
        <v>3417</v>
      </c>
      <c r="D854" s="19" t="e">
        <f>VLOOKUP(C854,#REF!,2,0)</f>
        <v>#REF!</v>
      </c>
      <c r="E854" s="45" t="e">
        <f>VLOOKUP(D854,数据集标准分类!E:F,2,0)</f>
        <v>#REF!</v>
      </c>
      <c r="F854" s="21">
        <v>82</v>
      </c>
      <c r="G854" s="22" t="s">
        <v>3336</v>
      </c>
      <c r="H854" s="22" t="s">
        <v>3337</v>
      </c>
      <c r="I854" s="22" t="s">
        <v>3339</v>
      </c>
      <c r="J854" s="22" t="s">
        <v>3337</v>
      </c>
      <c r="K854" s="22" t="s">
        <v>3339</v>
      </c>
      <c r="L854" s="22"/>
      <c r="M854" s="24"/>
      <c r="N854" s="24"/>
      <c r="O854" s="46">
        <v>6</v>
      </c>
      <c r="P854" s="24"/>
      <c r="Q854" s="25"/>
      <c r="R854" s="24"/>
      <c r="S854" s="26"/>
      <c r="T854" s="24"/>
      <c r="U854" s="26"/>
      <c r="V854" s="26"/>
      <c r="W854" s="27"/>
      <c r="X854" s="28"/>
      <c r="Y854" s="5"/>
      <c r="Z854" s="5"/>
      <c r="AA854" s="5"/>
      <c r="AB854" s="5"/>
      <c r="AC854" s="5"/>
      <c r="AD854" s="5"/>
      <c r="AE854" s="5"/>
      <c r="AF854" s="5"/>
    </row>
    <row r="855" spans="1:32">
      <c r="A855" s="24" t="s">
        <v>4174</v>
      </c>
      <c r="B855" s="27" t="s">
        <v>4175</v>
      </c>
      <c r="C855" s="19" t="s">
        <v>3419</v>
      </c>
      <c r="D855" s="19" t="e">
        <f>VLOOKUP(C855,#REF!,2,0)</f>
        <v>#REF!</v>
      </c>
      <c r="E855" s="45" t="e">
        <f>VLOOKUP(D855,数据集标准分类!E:F,2,0)</f>
        <v>#REF!</v>
      </c>
      <c r="F855" s="21">
        <v>83</v>
      </c>
      <c r="G855" s="22" t="s">
        <v>3192</v>
      </c>
      <c r="H855" s="22" t="s">
        <v>3193</v>
      </c>
      <c r="I855" s="22" t="s">
        <v>3195</v>
      </c>
      <c r="J855" s="22" t="s">
        <v>3193</v>
      </c>
      <c r="K855" s="22" t="s">
        <v>3195</v>
      </c>
      <c r="L855" s="22"/>
      <c r="M855" s="24"/>
      <c r="N855" s="24"/>
      <c r="O855" s="46">
        <v>1</v>
      </c>
      <c r="P855" s="24"/>
      <c r="Q855" s="25"/>
      <c r="R855" s="24"/>
      <c r="S855" s="26"/>
      <c r="T855" s="24"/>
      <c r="U855" s="26"/>
      <c r="V855" s="26"/>
      <c r="W855" s="27"/>
      <c r="X855" s="28"/>
      <c r="Y855" s="5"/>
      <c r="Z855" s="5"/>
      <c r="AA855" s="5"/>
      <c r="AB855" s="5"/>
      <c r="AC855" s="5"/>
      <c r="AD855" s="5"/>
      <c r="AE855" s="5"/>
      <c r="AF855" s="5"/>
    </row>
    <row r="856" spans="1:32">
      <c r="A856" s="24" t="s">
        <v>4174</v>
      </c>
      <c r="B856" s="27" t="s">
        <v>4175</v>
      </c>
      <c r="C856" s="19" t="s">
        <v>3419</v>
      </c>
      <c r="D856" s="19" t="e">
        <f>VLOOKUP(C856,#REF!,2,0)</f>
        <v>#REF!</v>
      </c>
      <c r="E856" s="45" t="e">
        <f>VLOOKUP(D856,数据集标准分类!E:F,2,0)</f>
        <v>#REF!</v>
      </c>
      <c r="F856" s="21">
        <v>83</v>
      </c>
      <c r="G856" s="22" t="s">
        <v>3361</v>
      </c>
      <c r="H856" s="22" t="s">
        <v>3362</v>
      </c>
      <c r="I856" s="22" t="s">
        <v>3364</v>
      </c>
      <c r="J856" s="22" t="s">
        <v>3362</v>
      </c>
      <c r="K856" s="22" t="s">
        <v>3364</v>
      </c>
      <c r="L856" s="22"/>
      <c r="M856" s="24"/>
      <c r="N856" s="24"/>
      <c r="O856" s="46">
        <v>2</v>
      </c>
      <c r="P856" s="24"/>
      <c r="Q856" s="25"/>
      <c r="R856" s="24"/>
      <c r="S856" s="26"/>
      <c r="T856" s="24"/>
      <c r="U856" s="26"/>
      <c r="V856" s="26"/>
      <c r="W856" s="27"/>
      <c r="X856" s="28"/>
      <c r="Y856" s="5"/>
      <c r="Z856" s="5"/>
      <c r="AA856" s="5"/>
      <c r="AB856" s="5"/>
      <c r="AC856" s="5"/>
      <c r="AD856" s="5"/>
      <c r="AE856" s="5"/>
      <c r="AF856" s="5"/>
    </row>
    <row r="857" spans="1:32">
      <c r="A857" s="24" t="s">
        <v>4174</v>
      </c>
      <c r="B857" s="27" t="s">
        <v>4175</v>
      </c>
      <c r="C857" s="19" t="s">
        <v>3419</v>
      </c>
      <c r="D857" s="19" t="e">
        <f>VLOOKUP(C857,#REF!,2,0)</f>
        <v>#REF!</v>
      </c>
      <c r="E857" s="45" t="e">
        <f>VLOOKUP(D857,数据集标准分类!E:F,2,0)</f>
        <v>#REF!</v>
      </c>
      <c r="F857" s="21">
        <v>83</v>
      </c>
      <c r="G857" s="22" t="s">
        <v>1496</v>
      </c>
      <c r="H857" s="22" t="s">
        <v>1497</v>
      </c>
      <c r="I857" s="22" t="s">
        <v>1499</v>
      </c>
      <c r="J857" s="22" t="s">
        <v>1497</v>
      </c>
      <c r="K857" s="22" t="s">
        <v>1499</v>
      </c>
      <c r="L857" s="22"/>
      <c r="M857" s="24"/>
      <c r="N857" s="24"/>
      <c r="O857" s="46">
        <v>3</v>
      </c>
      <c r="P857" s="24"/>
      <c r="Q857" s="25"/>
      <c r="R857" s="24"/>
      <c r="S857" s="26"/>
      <c r="T857" s="24"/>
      <c r="U857" s="26"/>
      <c r="V857" s="26"/>
      <c r="W857" s="27"/>
      <c r="X857" s="28"/>
      <c r="Y857" s="5"/>
      <c r="Z857" s="5"/>
      <c r="AA857" s="5"/>
      <c r="AB857" s="5"/>
      <c r="AC857" s="5"/>
      <c r="AD857" s="5"/>
      <c r="AE857" s="5"/>
      <c r="AF857" s="5"/>
    </row>
    <row r="858" spans="1:32">
      <c r="A858" s="24" t="s">
        <v>4174</v>
      </c>
      <c r="B858" s="27" t="s">
        <v>4175</v>
      </c>
      <c r="C858" s="19" t="s">
        <v>3419</v>
      </c>
      <c r="D858" s="19" t="e">
        <f>VLOOKUP(C858,#REF!,2,0)</f>
        <v>#REF!</v>
      </c>
      <c r="E858" s="45" t="e">
        <f>VLOOKUP(D858,数据集标准分类!E:F,2,0)</f>
        <v>#REF!</v>
      </c>
      <c r="F858" s="21">
        <v>83</v>
      </c>
      <c r="G858" s="22" t="s">
        <v>3199</v>
      </c>
      <c r="H858" s="22" t="s">
        <v>3200</v>
      </c>
      <c r="I858" s="22" t="s">
        <v>3202</v>
      </c>
      <c r="J858" s="22" t="s">
        <v>3200</v>
      </c>
      <c r="K858" s="22" t="s">
        <v>3202</v>
      </c>
      <c r="L858" s="22"/>
      <c r="M858" s="24"/>
      <c r="N858" s="24"/>
      <c r="O858" s="46">
        <v>4</v>
      </c>
      <c r="P858" s="24"/>
      <c r="Q858" s="25"/>
      <c r="R858" s="24"/>
      <c r="S858" s="26"/>
      <c r="T858" s="24"/>
      <c r="U858" s="26"/>
      <c r="V858" s="26"/>
      <c r="W858" s="27"/>
      <c r="X858" s="28"/>
      <c r="Y858" s="5"/>
      <c r="Z858" s="5"/>
      <c r="AA858" s="5"/>
      <c r="AB858" s="5"/>
      <c r="AC858" s="5"/>
      <c r="AD858" s="5"/>
      <c r="AE858" s="5"/>
      <c r="AF858" s="5"/>
    </row>
    <row r="859" spans="1:32">
      <c r="A859" s="24" t="s">
        <v>4174</v>
      </c>
      <c r="B859" s="27" t="s">
        <v>4175</v>
      </c>
      <c r="C859" s="19" t="s">
        <v>3419</v>
      </c>
      <c r="D859" s="19" t="e">
        <f>VLOOKUP(C859,#REF!,2,0)</f>
        <v>#REF!</v>
      </c>
      <c r="E859" s="45" t="e">
        <f>VLOOKUP(D859,数据集标准分类!E:F,2,0)</f>
        <v>#REF!</v>
      </c>
      <c r="F859" s="21">
        <v>83</v>
      </c>
      <c r="G859" s="22" t="s">
        <v>3366</v>
      </c>
      <c r="H859" s="22" t="s">
        <v>3367</v>
      </c>
      <c r="I859" s="22" t="s">
        <v>3369</v>
      </c>
      <c r="J859" s="22" t="s">
        <v>3367</v>
      </c>
      <c r="K859" s="22" t="s">
        <v>3369</v>
      </c>
      <c r="L859" s="22"/>
      <c r="M859" s="24"/>
      <c r="N859" s="24"/>
      <c r="O859" s="46">
        <v>5</v>
      </c>
      <c r="P859" s="24"/>
      <c r="Q859" s="25"/>
      <c r="R859" s="24"/>
      <c r="S859" s="26"/>
      <c r="T859" s="24"/>
      <c r="U859" s="26"/>
      <c r="V859" s="26"/>
      <c r="W859" s="27"/>
      <c r="X859" s="28"/>
      <c r="Y859" s="5"/>
      <c r="Z859" s="5"/>
      <c r="AA859" s="5"/>
      <c r="AB859" s="5"/>
      <c r="AC859" s="5"/>
      <c r="AD859" s="5"/>
      <c r="AE859" s="5"/>
      <c r="AF859" s="5"/>
    </row>
    <row r="860" spans="1:32">
      <c r="A860" s="24" t="s">
        <v>4174</v>
      </c>
      <c r="B860" s="27" t="s">
        <v>4175</v>
      </c>
      <c r="C860" s="19" t="s">
        <v>3419</v>
      </c>
      <c r="D860" s="19" t="e">
        <f>VLOOKUP(C860,#REF!,2,0)</f>
        <v>#REF!</v>
      </c>
      <c r="E860" s="45" t="e">
        <f>VLOOKUP(D860,数据集标准分类!E:F,2,0)</f>
        <v>#REF!</v>
      </c>
      <c r="F860" s="21">
        <v>83</v>
      </c>
      <c r="G860" s="22" t="s">
        <v>3336</v>
      </c>
      <c r="H860" s="22" t="s">
        <v>3337</v>
      </c>
      <c r="I860" s="22" t="s">
        <v>3339</v>
      </c>
      <c r="J860" s="22" t="s">
        <v>3337</v>
      </c>
      <c r="K860" s="22" t="s">
        <v>3339</v>
      </c>
      <c r="L860" s="22"/>
      <c r="M860" s="24"/>
      <c r="N860" s="24"/>
      <c r="O860" s="46">
        <v>6</v>
      </c>
      <c r="P860" s="24"/>
      <c r="Q860" s="25"/>
      <c r="R860" s="24"/>
      <c r="S860" s="26"/>
      <c r="T860" s="24"/>
      <c r="U860" s="26"/>
      <c r="V860" s="26"/>
      <c r="W860" s="27"/>
      <c r="X860" s="28"/>
      <c r="Y860" s="5"/>
      <c r="Z860" s="5"/>
      <c r="AA860" s="5"/>
      <c r="AB860" s="5"/>
      <c r="AC860" s="5"/>
      <c r="AD860" s="5"/>
      <c r="AE860" s="5"/>
      <c r="AF860" s="5"/>
    </row>
    <row r="861" ht="31" spans="1:32">
      <c r="A861" s="24" t="s">
        <v>4174</v>
      </c>
      <c r="B861" s="27" t="s">
        <v>4175</v>
      </c>
      <c r="C861" s="19" t="s">
        <v>3423</v>
      </c>
      <c r="D861" s="19" t="e">
        <f>VLOOKUP(C861,#REF!,2,0)</f>
        <v>#REF!</v>
      </c>
      <c r="E861" s="45" t="e">
        <f>VLOOKUP(D861,数据集标准分类!E:F,2,0)</f>
        <v>#REF!</v>
      </c>
      <c r="F861" s="21">
        <v>84</v>
      </c>
      <c r="G861" s="22" t="s">
        <v>3192</v>
      </c>
      <c r="H861" s="22" t="s">
        <v>3193</v>
      </c>
      <c r="I861" s="22" t="s">
        <v>3195</v>
      </c>
      <c r="J861" s="22" t="s">
        <v>3193</v>
      </c>
      <c r="K861" s="22" t="s">
        <v>3195</v>
      </c>
      <c r="L861" s="22"/>
      <c r="M861" s="24"/>
      <c r="N861" s="24"/>
      <c r="O861" s="46">
        <v>1</v>
      </c>
      <c r="P861" s="24"/>
      <c r="Q861" s="25"/>
      <c r="R861" s="24"/>
      <c r="S861" s="26"/>
      <c r="T861" s="24"/>
      <c r="U861" s="26"/>
      <c r="V861" s="26"/>
      <c r="W861" s="27"/>
      <c r="X861" s="28"/>
      <c r="Y861" s="5"/>
      <c r="Z861" s="5"/>
      <c r="AA861" s="5"/>
      <c r="AB861" s="5"/>
      <c r="AC861" s="5"/>
      <c r="AD861" s="5"/>
      <c r="AE861" s="5"/>
      <c r="AF861" s="5"/>
    </row>
    <row r="862" ht="31" spans="1:32">
      <c r="A862" s="24" t="s">
        <v>4174</v>
      </c>
      <c r="B862" s="27" t="s">
        <v>4175</v>
      </c>
      <c r="C862" s="19" t="s">
        <v>3423</v>
      </c>
      <c r="D862" s="19" t="e">
        <f>VLOOKUP(C862,#REF!,2,0)</f>
        <v>#REF!</v>
      </c>
      <c r="E862" s="45" t="e">
        <f>VLOOKUP(D862,数据集标准分类!E:F,2,0)</f>
        <v>#REF!</v>
      </c>
      <c r="F862" s="21">
        <v>84</v>
      </c>
      <c r="G862" s="22" t="s">
        <v>3361</v>
      </c>
      <c r="H862" s="22" t="s">
        <v>3362</v>
      </c>
      <c r="I862" s="22" t="s">
        <v>3364</v>
      </c>
      <c r="J862" s="22" t="s">
        <v>3362</v>
      </c>
      <c r="K862" s="22" t="s">
        <v>3364</v>
      </c>
      <c r="L862" s="22"/>
      <c r="M862" s="24"/>
      <c r="N862" s="24"/>
      <c r="O862" s="46">
        <v>2</v>
      </c>
      <c r="P862" s="24"/>
      <c r="Q862" s="25"/>
      <c r="R862" s="24"/>
      <c r="S862" s="26"/>
      <c r="T862" s="24"/>
      <c r="U862" s="26"/>
      <c r="V862" s="26"/>
      <c r="W862" s="27"/>
      <c r="X862" s="28"/>
      <c r="Y862" s="5"/>
      <c r="Z862" s="5"/>
      <c r="AA862" s="5"/>
      <c r="AB862" s="5"/>
      <c r="AC862" s="5"/>
      <c r="AD862" s="5"/>
      <c r="AE862" s="5"/>
      <c r="AF862" s="5"/>
    </row>
    <row r="863" ht="31" spans="1:32">
      <c r="A863" s="24" t="s">
        <v>4174</v>
      </c>
      <c r="B863" s="27" t="s">
        <v>4175</v>
      </c>
      <c r="C863" s="19" t="s">
        <v>3423</v>
      </c>
      <c r="D863" s="19" t="e">
        <f>VLOOKUP(C863,#REF!,2,0)</f>
        <v>#REF!</v>
      </c>
      <c r="E863" s="45" t="e">
        <f>VLOOKUP(D863,数据集标准分类!E:F,2,0)</f>
        <v>#REF!</v>
      </c>
      <c r="F863" s="21">
        <v>84</v>
      </c>
      <c r="G863" s="22" t="s">
        <v>1496</v>
      </c>
      <c r="H863" s="22" t="s">
        <v>1497</v>
      </c>
      <c r="I863" s="22" t="s">
        <v>1499</v>
      </c>
      <c r="J863" s="22" t="s">
        <v>1497</v>
      </c>
      <c r="K863" s="22" t="s">
        <v>1499</v>
      </c>
      <c r="L863" s="22"/>
      <c r="M863" s="24"/>
      <c r="N863" s="24"/>
      <c r="O863" s="46">
        <v>3</v>
      </c>
      <c r="P863" s="24"/>
      <c r="Q863" s="25"/>
      <c r="R863" s="24"/>
      <c r="S863" s="26"/>
      <c r="T863" s="24"/>
      <c r="U863" s="26"/>
      <c r="V863" s="26"/>
      <c r="W863" s="27"/>
      <c r="X863" s="28"/>
      <c r="Y863" s="5"/>
      <c r="Z863" s="5"/>
      <c r="AA863" s="5"/>
      <c r="AB863" s="5"/>
      <c r="AC863" s="5"/>
      <c r="AD863" s="5"/>
      <c r="AE863" s="5"/>
      <c r="AF863" s="5"/>
    </row>
    <row r="864" ht="31" spans="1:32">
      <c r="A864" s="24" t="s">
        <v>4174</v>
      </c>
      <c r="B864" s="27" t="s">
        <v>4175</v>
      </c>
      <c r="C864" s="19" t="s">
        <v>3423</v>
      </c>
      <c r="D864" s="19" t="e">
        <f>VLOOKUP(C864,#REF!,2,0)</f>
        <v>#REF!</v>
      </c>
      <c r="E864" s="45" t="e">
        <f>VLOOKUP(D864,数据集标准分类!E:F,2,0)</f>
        <v>#REF!</v>
      </c>
      <c r="F864" s="21">
        <v>84</v>
      </c>
      <c r="G864" s="22" t="s">
        <v>3199</v>
      </c>
      <c r="H864" s="22" t="s">
        <v>3200</v>
      </c>
      <c r="I864" s="22" t="s">
        <v>3202</v>
      </c>
      <c r="J864" s="22" t="s">
        <v>3200</v>
      </c>
      <c r="K864" s="22" t="s">
        <v>3202</v>
      </c>
      <c r="L864" s="22"/>
      <c r="M864" s="24"/>
      <c r="N864" s="24"/>
      <c r="O864" s="46">
        <v>4</v>
      </c>
      <c r="P864" s="24"/>
      <c r="Q864" s="25"/>
      <c r="R864" s="24"/>
      <c r="S864" s="26"/>
      <c r="T864" s="24"/>
      <c r="U864" s="26"/>
      <c r="V864" s="26"/>
      <c r="W864" s="27"/>
      <c r="X864" s="28"/>
      <c r="Y864" s="5"/>
      <c r="Z864" s="5"/>
      <c r="AA864" s="5"/>
      <c r="AB864" s="5"/>
      <c r="AC864" s="5"/>
      <c r="AD864" s="5"/>
      <c r="AE864" s="5"/>
      <c r="AF864" s="5"/>
    </row>
    <row r="865" ht="31" spans="1:32">
      <c r="A865" s="24" t="s">
        <v>4174</v>
      </c>
      <c r="B865" s="27" t="s">
        <v>4175</v>
      </c>
      <c r="C865" s="19" t="s">
        <v>3423</v>
      </c>
      <c r="D865" s="19" t="e">
        <f>VLOOKUP(C865,#REF!,2,0)</f>
        <v>#REF!</v>
      </c>
      <c r="E865" s="45" t="e">
        <f>VLOOKUP(D865,数据集标准分类!E:F,2,0)</f>
        <v>#REF!</v>
      </c>
      <c r="F865" s="21">
        <v>84</v>
      </c>
      <c r="G865" s="22" t="s">
        <v>3366</v>
      </c>
      <c r="H865" s="22" t="s">
        <v>3367</v>
      </c>
      <c r="I865" s="22" t="s">
        <v>3369</v>
      </c>
      <c r="J865" s="22" t="s">
        <v>3367</v>
      </c>
      <c r="K865" s="22" t="s">
        <v>3369</v>
      </c>
      <c r="L865" s="22"/>
      <c r="M865" s="24"/>
      <c r="N865" s="24"/>
      <c r="O865" s="46">
        <v>5</v>
      </c>
      <c r="P865" s="24"/>
      <c r="Q865" s="25"/>
      <c r="R865" s="24"/>
      <c r="S865" s="26"/>
      <c r="T865" s="24"/>
      <c r="U865" s="26"/>
      <c r="V865" s="26"/>
      <c r="W865" s="27"/>
      <c r="X865" s="28"/>
      <c r="Y865" s="5"/>
      <c r="Z865" s="5"/>
      <c r="AA865" s="5"/>
      <c r="AB865" s="5"/>
      <c r="AC865" s="5"/>
      <c r="AD865" s="5"/>
      <c r="AE865" s="5"/>
      <c r="AF865" s="5"/>
    </row>
    <row r="866" ht="31" spans="1:32">
      <c r="A866" s="24" t="s">
        <v>4174</v>
      </c>
      <c r="B866" s="27" t="s">
        <v>4175</v>
      </c>
      <c r="C866" s="19" t="s">
        <v>3423</v>
      </c>
      <c r="D866" s="19" t="e">
        <f>VLOOKUP(C866,#REF!,2,0)</f>
        <v>#REF!</v>
      </c>
      <c r="E866" s="45" t="e">
        <f>VLOOKUP(D866,数据集标准分类!E:F,2,0)</f>
        <v>#REF!</v>
      </c>
      <c r="F866" s="21">
        <v>84</v>
      </c>
      <c r="G866" s="22" t="s">
        <v>3336</v>
      </c>
      <c r="H866" s="22" t="s">
        <v>3337</v>
      </c>
      <c r="I866" s="22" t="s">
        <v>3339</v>
      </c>
      <c r="J866" s="22" t="s">
        <v>3337</v>
      </c>
      <c r="K866" s="22" t="s">
        <v>3339</v>
      </c>
      <c r="L866" s="22"/>
      <c r="M866" s="24"/>
      <c r="N866" s="24"/>
      <c r="O866" s="46">
        <v>6</v>
      </c>
      <c r="P866" s="24"/>
      <c r="Q866" s="25"/>
      <c r="R866" s="24"/>
      <c r="S866" s="26"/>
      <c r="T866" s="24"/>
      <c r="U866" s="26"/>
      <c r="V866" s="26"/>
      <c r="W866" s="27"/>
      <c r="X866" s="28"/>
      <c r="Y866" s="5"/>
      <c r="Z866" s="5"/>
      <c r="AA866" s="5"/>
      <c r="AB866" s="5"/>
      <c r="AC866" s="5"/>
      <c r="AD866" s="5"/>
      <c r="AE866" s="5"/>
      <c r="AF866" s="5"/>
    </row>
    <row r="867" spans="1:32">
      <c r="A867" s="24" t="s">
        <v>4174</v>
      </c>
      <c r="B867" s="27" t="s">
        <v>4175</v>
      </c>
      <c r="C867" s="19" t="s">
        <v>3424</v>
      </c>
      <c r="D867" s="19" t="e">
        <f>VLOOKUP(C867,#REF!,2,0)</f>
        <v>#REF!</v>
      </c>
      <c r="E867" s="45" t="e">
        <f>VLOOKUP(D867,数据集标准分类!E:F,2,0)</f>
        <v>#REF!</v>
      </c>
      <c r="F867" s="21">
        <v>85</v>
      </c>
      <c r="G867" s="22" t="s">
        <v>3192</v>
      </c>
      <c r="H867" s="22" t="s">
        <v>3193</v>
      </c>
      <c r="I867" s="22" t="s">
        <v>3195</v>
      </c>
      <c r="J867" s="22" t="s">
        <v>3193</v>
      </c>
      <c r="K867" s="22" t="s">
        <v>3195</v>
      </c>
      <c r="L867" s="22"/>
      <c r="M867" s="24"/>
      <c r="N867" s="24"/>
      <c r="O867" s="46">
        <v>1</v>
      </c>
      <c r="P867" s="24"/>
      <c r="Q867" s="25"/>
      <c r="R867" s="24"/>
      <c r="S867" s="26"/>
      <c r="T867" s="24"/>
      <c r="U867" s="26"/>
      <c r="V867" s="26"/>
      <c r="W867" s="27"/>
      <c r="X867" s="28"/>
      <c r="Y867" s="5"/>
      <c r="Z867" s="5"/>
      <c r="AA867" s="5"/>
      <c r="AB867" s="5"/>
      <c r="AC867" s="5"/>
      <c r="AD867" s="5"/>
      <c r="AE867" s="5"/>
      <c r="AF867" s="5"/>
    </row>
    <row r="868" spans="1:32">
      <c r="A868" s="24" t="s">
        <v>4174</v>
      </c>
      <c r="B868" s="27" t="s">
        <v>4175</v>
      </c>
      <c r="C868" s="19" t="s">
        <v>3424</v>
      </c>
      <c r="D868" s="19" t="e">
        <f>VLOOKUP(C868,#REF!,2,0)</f>
        <v>#REF!</v>
      </c>
      <c r="E868" s="45" t="e">
        <f>VLOOKUP(D868,数据集标准分类!E:F,2,0)</f>
        <v>#REF!</v>
      </c>
      <c r="F868" s="21">
        <v>85</v>
      </c>
      <c r="G868" s="22" t="s">
        <v>3361</v>
      </c>
      <c r="H868" s="22" t="s">
        <v>3362</v>
      </c>
      <c r="I868" s="22" t="s">
        <v>3364</v>
      </c>
      <c r="J868" s="22" t="s">
        <v>3362</v>
      </c>
      <c r="K868" s="22" t="s">
        <v>3364</v>
      </c>
      <c r="L868" s="22"/>
      <c r="M868" s="24"/>
      <c r="N868" s="24"/>
      <c r="O868" s="46">
        <v>2</v>
      </c>
      <c r="P868" s="24"/>
      <c r="Q868" s="25"/>
      <c r="R868" s="24"/>
      <c r="S868" s="26"/>
      <c r="T868" s="24"/>
      <c r="U868" s="26"/>
      <c r="V868" s="26"/>
      <c r="W868" s="27"/>
      <c r="X868" s="28"/>
      <c r="Y868" s="5"/>
      <c r="Z868" s="5"/>
      <c r="AA868" s="5"/>
      <c r="AB868" s="5"/>
      <c r="AC868" s="5"/>
      <c r="AD868" s="5"/>
      <c r="AE868" s="5"/>
      <c r="AF868" s="5"/>
    </row>
    <row r="869" spans="1:32">
      <c r="A869" s="24" t="s">
        <v>4174</v>
      </c>
      <c r="B869" s="27" t="s">
        <v>4175</v>
      </c>
      <c r="C869" s="19" t="s">
        <v>3424</v>
      </c>
      <c r="D869" s="19" t="e">
        <f>VLOOKUP(C869,#REF!,2,0)</f>
        <v>#REF!</v>
      </c>
      <c r="E869" s="45" t="e">
        <f>VLOOKUP(D869,数据集标准分类!E:F,2,0)</f>
        <v>#REF!</v>
      </c>
      <c r="F869" s="21">
        <v>85</v>
      </c>
      <c r="G869" s="22" t="s">
        <v>1496</v>
      </c>
      <c r="H869" s="22" t="s">
        <v>1497</v>
      </c>
      <c r="I869" s="22" t="s">
        <v>1499</v>
      </c>
      <c r="J869" s="22" t="s">
        <v>1497</v>
      </c>
      <c r="K869" s="22" t="s">
        <v>1499</v>
      </c>
      <c r="L869" s="22"/>
      <c r="M869" s="24"/>
      <c r="N869" s="24"/>
      <c r="O869" s="46">
        <v>3</v>
      </c>
      <c r="P869" s="24"/>
      <c r="Q869" s="25"/>
      <c r="R869" s="24"/>
      <c r="S869" s="26"/>
      <c r="T869" s="24"/>
      <c r="U869" s="26"/>
      <c r="V869" s="26"/>
      <c r="W869" s="27"/>
      <c r="X869" s="28"/>
      <c r="Y869" s="5"/>
      <c r="Z869" s="5"/>
      <c r="AA869" s="5"/>
      <c r="AB869" s="5"/>
      <c r="AC869" s="5"/>
      <c r="AD869" s="5"/>
      <c r="AE869" s="5"/>
      <c r="AF869" s="5"/>
    </row>
    <row r="870" spans="1:32">
      <c r="A870" s="24" t="s">
        <v>4174</v>
      </c>
      <c r="B870" s="27" t="s">
        <v>4175</v>
      </c>
      <c r="C870" s="19" t="s">
        <v>3424</v>
      </c>
      <c r="D870" s="19" t="e">
        <f>VLOOKUP(C870,#REF!,2,0)</f>
        <v>#REF!</v>
      </c>
      <c r="E870" s="45" t="e">
        <f>VLOOKUP(D870,数据集标准分类!E:F,2,0)</f>
        <v>#REF!</v>
      </c>
      <c r="F870" s="21">
        <v>85</v>
      </c>
      <c r="G870" s="22" t="s">
        <v>3199</v>
      </c>
      <c r="H870" s="22" t="s">
        <v>3200</v>
      </c>
      <c r="I870" s="22" t="s">
        <v>3202</v>
      </c>
      <c r="J870" s="22" t="s">
        <v>3200</v>
      </c>
      <c r="K870" s="22" t="s">
        <v>3202</v>
      </c>
      <c r="L870" s="22"/>
      <c r="M870" s="24"/>
      <c r="N870" s="24"/>
      <c r="O870" s="46">
        <v>4</v>
      </c>
      <c r="P870" s="24"/>
      <c r="Q870" s="25"/>
      <c r="R870" s="24"/>
      <c r="S870" s="26"/>
      <c r="T870" s="24"/>
      <c r="U870" s="26"/>
      <c r="V870" s="26"/>
      <c r="W870" s="27"/>
      <c r="X870" s="28"/>
      <c r="Y870" s="5"/>
      <c r="Z870" s="5"/>
      <c r="AA870" s="5"/>
      <c r="AB870" s="5"/>
      <c r="AC870" s="5"/>
      <c r="AD870" s="5"/>
      <c r="AE870" s="5"/>
      <c r="AF870" s="5"/>
    </row>
    <row r="871" spans="1:32">
      <c r="A871" s="24" t="s">
        <v>4174</v>
      </c>
      <c r="B871" s="27" t="s">
        <v>4175</v>
      </c>
      <c r="C871" s="19" t="s">
        <v>3424</v>
      </c>
      <c r="D871" s="19" t="e">
        <f>VLOOKUP(C871,#REF!,2,0)</f>
        <v>#REF!</v>
      </c>
      <c r="E871" s="45" t="e">
        <f>VLOOKUP(D871,数据集标准分类!E:F,2,0)</f>
        <v>#REF!</v>
      </c>
      <c r="F871" s="21">
        <v>85</v>
      </c>
      <c r="G871" s="22" t="s">
        <v>3366</v>
      </c>
      <c r="H871" s="22" t="s">
        <v>3367</v>
      </c>
      <c r="I871" s="22" t="s">
        <v>3369</v>
      </c>
      <c r="J871" s="22" t="s">
        <v>3367</v>
      </c>
      <c r="K871" s="22" t="s">
        <v>3369</v>
      </c>
      <c r="L871" s="22"/>
      <c r="M871" s="24"/>
      <c r="N871" s="24"/>
      <c r="O871" s="46">
        <v>5</v>
      </c>
      <c r="P871" s="24"/>
      <c r="Q871" s="25"/>
      <c r="R871" s="24"/>
      <c r="S871" s="26"/>
      <c r="T871" s="24"/>
      <c r="U871" s="26"/>
      <c r="V871" s="26"/>
      <c r="W871" s="27"/>
      <c r="X871" s="28"/>
      <c r="Y871" s="5"/>
      <c r="Z871" s="5"/>
      <c r="AA871" s="5"/>
      <c r="AB871" s="5"/>
      <c r="AC871" s="5"/>
      <c r="AD871" s="5"/>
      <c r="AE871" s="5"/>
      <c r="AF871" s="5"/>
    </row>
    <row r="872" spans="1:32">
      <c r="A872" s="24" t="s">
        <v>4174</v>
      </c>
      <c r="B872" s="27" t="s">
        <v>4175</v>
      </c>
      <c r="C872" s="19" t="s">
        <v>3424</v>
      </c>
      <c r="D872" s="19" t="e">
        <f>VLOOKUP(C872,#REF!,2,0)</f>
        <v>#REF!</v>
      </c>
      <c r="E872" s="45" t="e">
        <f>VLOOKUP(D872,数据集标准分类!E:F,2,0)</f>
        <v>#REF!</v>
      </c>
      <c r="F872" s="21">
        <v>85</v>
      </c>
      <c r="G872" s="22" t="s">
        <v>3336</v>
      </c>
      <c r="H872" s="22" t="s">
        <v>3337</v>
      </c>
      <c r="I872" s="22" t="s">
        <v>3339</v>
      </c>
      <c r="J872" s="22" t="s">
        <v>3337</v>
      </c>
      <c r="K872" s="22" t="s">
        <v>3339</v>
      </c>
      <c r="L872" s="22"/>
      <c r="M872" s="24"/>
      <c r="N872" s="24"/>
      <c r="O872" s="46">
        <v>6</v>
      </c>
      <c r="P872" s="24"/>
      <c r="Q872" s="25"/>
      <c r="R872" s="24"/>
      <c r="S872" s="26"/>
      <c r="T872" s="24"/>
      <c r="U872" s="26"/>
      <c r="V872" s="26"/>
      <c r="W872" s="27"/>
      <c r="X872" s="28"/>
      <c r="Y872" s="5"/>
      <c r="Z872" s="5"/>
      <c r="AA872" s="5"/>
      <c r="AB872" s="5"/>
      <c r="AC872" s="5"/>
      <c r="AD872" s="5"/>
      <c r="AE872" s="5"/>
      <c r="AF872" s="5"/>
    </row>
    <row r="873" spans="1:32">
      <c r="A873" s="24" t="s">
        <v>4174</v>
      </c>
      <c r="B873" s="27" t="s">
        <v>4175</v>
      </c>
      <c r="C873" s="19" t="s">
        <v>3425</v>
      </c>
      <c r="D873" s="19" t="e">
        <f>VLOOKUP(C873,#REF!,2,0)</f>
        <v>#REF!</v>
      </c>
      <c r="E873" s="45" t="e">
        <f>VLOOKUP(D873,数据集标准分类!E:F,2,0)</f>
        <v>#REF!</v>
      </c>
      <c r="F873" s="21">
        <v>86</v>
      </c>
      <c r="G873" s="22" t="s">
        <v>3192</v>
      </c>
      <c r="H873" s="22" t="s">
        <v>3193</v>
      </c>
      <c r="I873" s="22" t="s">
        <v>3195</v>
      </c>
      <c r="J873" s="22" t="s">
        <v>3193</v>
      </c>
      <c r="K873" s="22" t="s">
        <v>3195</v>
      </c>
      <c r="L873" s="22"/>
      <c r="M873" s="24"/>
      <c r="N873" s="24"/>
      <c r="O873" s="46">
        <v>1</v>
      </c>
      <c r="P873" s="24"/>
      <c r="Q873" s="25"/>
      <c r="R873" s="24"/>
      <c r="S873" s="26"/>
      <c r="T873" s="24"/>
      <c r="U873" s="26"/>
      <c r="V873" s="26"/>
      <c r="W873" s="27"/>
      <c r="X873" s="28"/>
      <c r="Y873" s="5"/>
      <c r="Z873" s="5"/>
      <c r="AA873" s="5"/>
      <c r="AB873" s="5"/>
      <c r="AC873" s="5"/>
      <c r="AD873" s="5"/>
      <c r="AE873" s="5"/>
      <c r="AF873" s="5"/>
    </row>
    <row r="874" spans="1:32">
      <c r="A874" s="24" t="s">
        <v>4174</v>
      </c>
      <c r="B874" s="27" t="s">
        <v>4175</v>
      </c>
      <c r="C874" s="19" t="s">
        <v>3425</v>
      </c>
      <c r="D874" s="19" t="e">
        <f>VLOOKUP(C874,#REF!,2,0)</f>
        <v>#REF!</v>
      </c>
      <c r="E874" s="45" t="e">
        <f>VLOOKUP(D874,数据集标准分类!E:F,2,0)</f>
        <v>#REF!</v>
      </c>
      <c r="F874" s="21">
        <v>86</v>
      </c>
      <c r="G874" s="22" t="s">
        <v>3361</v>
      </c>
      <c r="H874" s="22" t="s">
        <v>3362</v>
      </c>
      <c r="I874" s="22" t="s">
        <v>3364</v>
      </c>
      <c r="J874" s="22" t="s">
        <v>3362</v>
      </c>
      <c r="K874" s="22" t="s">
        <v>3364</v>
      </c>
      <c r="L874" s="22"/>
      <c r="M874" s="24"/>
      <c r="N874" s="24"/>
      <c r="O874" s="46">
        <v>2</v>
      </c>
      <c r="P874" s="24"/>
      <c r="Q874" s="25"/>
      <c r="R874" s="24"/>
      <c r="S874" s="26"/>
      <c r="T874" s="24"/>
      <c r="U874" s="26"/>
      <c r="V874" s="26"/>
      <c r="W874" s="27"/>
      <c r="X874" s="28"/>
      <c r="Y874" s="5"/>
      <c r="Z874" s="5"/>
      <c r="AA874" s="5"/>
      <c r="AB874" s="5"/>
      <c r="AC874" s="5"/>
      <c r="AD874" s="5"/>
      <c r="AE874" s="5"/>
      <c r="AF874" s="5"/>
    </row>
    <row r="875" spans="1:32">
      <c r="A875" s="24" t="s">
        <v>4174</v>
      </c>
      <c r="B875" s="27" t="s">
        <v>4175</v>
      </c>
      <c r="C875" s="19" t="s">
        <v>3425</v>
      </c>
      <c r="D875" s="19" t="e">
        <f>VLOOKUP(C875,#REF!,2,0)</f>
        <v>#REF!</v>
      </c>
      <c r="E875" s="45" t="e">
        <f>VLOOKUP(D875,数据集标准分类!E:F,2,0)</f>
        <v>#REF!</v>
      </c>
      <c r="F875" s="21">
        <v>86</v>
      </c>
      <c r="G875" s="22" t="s">
        <v>1496</v>
      </c>
      <c r="H875" s="22" t="s">
        <v>1497</v>
      </c>
      <c r="I875" s="22" t="s">
        <v>1499</v>
      </c>
      <c r="J875" s="22" t="s">
        <v>1497</v>
      </c>
      <c r="K875" s="22" t="s">
        <v>1499</v>
      </c>
      <c r="L875" s="22"/>
      <c r="M875" s="24"/>
      <c r="N875" s="24"/>
      <c r="O875" s="46">
        <v>3</v>
      </c>
      <c r="P875" s="24"/>
      <c r="Q875" s="25"/>
      <c r="R875" s="24"/>
      <c r="S875" s="26"/>
      <c r="T875" s="24"/>
      <c r="U875" s="26"/>
      <c r="V875" s="26"/>
      <c r="W875" s="27"/>
      <c r="X875" s="28"/>
      <c r="Y875" s="5"/>
      <c r="Z875" s="5"/>
      <c r="AA875" s="5"/>
      <c r="AB875" s="5"/>
      <c r="AC875" s="5"/>
      <c r="AD875" s="5"/>
      <c r="AE875" s="5"/>
      <c r="AF875" s="5"/>
    </row>
    <row r="876" spans="1:32">
      <c r="A876" s="24" t="s">
        <v>4174</v>
      </c>
      <c r="B876" s="27" t="s">
        <v>4175</v>
      </c>
      <c r="C876" s="19" t="s">
        <v>3425</v>
      </c>
      <c r="D876" s="19" t="e">
        <f>VLOOKUP(C876,#REF!,2,0)</f>
        <v>#REF!</v>
      </c>
      <c r="E876" s="45" t="e">
        <f>VLOOKUP(D876,数据集标准分类!E:F,2,0)</f>
        <v>#REF!</v>
      </c>
      <c r="F876" s="21">
        <v>86</v>
      </c>
      <c r="G876" s="22" t="s">
        <v>3199</v>
      </c>
      <c r="H876" s="22" t="s">
        <v>3200</v>
      </c>
      <c r="I876" s="22" t="s">
        <v>3202</v>
      </c>
      <c r="J876" s="22" t="s">
        <v>3200</v>
      </c>
      <c r="K876" s="22" t="s">
        <v>3202</v>
      </c>
      <c r="L876" s="22"/>
      <c r="M876" s="24"/>
      <c r="N876" s="24"/>
      <c r="O876" s="46">
        <v>4</v>
      </c>
      <c r="P876" s="24"/>
      <c r="Q876" s="25"/>
      <c r="R876" s="24"/>
      <c r="S876" s="26"/>
      <c r="T876" s="24"/>
      <c r="U876" s="26"/>
      <c r="V876" s="26"/>
      <c r="W876" s="27"/>
      <c r="X876" s="28"/>
      <c r="Y876" s="5"/>
      <c r="Z876" s="5"/>
      <c r="AA876" s="5"/>
      <c r="AB876" s="5"/>
      <c r="AC876" s="5"/>
      <c r="AD876" s="5"/>
      <c r="AE876" s="5"/>
      <c r="AF876" s="5"/>
    </row>
    <row r="877" spans="1:32">
      <c r="A877" s="24" t="s">
        <v>4174</v>
      </c>
      <c r="B877" s="27" t="s">
        <v>4175</v>
      </c>
      <c r="C877" s="19" t="s">
        <v>3425</v>
      </c>
      <c r="D877" s="19" t="e">
        <f>VLOOKUP(C877,#REF!,2,0)</f>
        <v>#REF!</v>
      </c>
      <c r="E877" s="45" t="e">
        <f>VLOOKUP(D877,数据集标准分类!E:F,2,0)</f>
        <v>#REF!</v>
      </c>
      <c r="F877" s="21">
        <v>86</v>
      </c>
      <c r="G877" s="22" t="s">
        <v>3366</v>
      </c>
      <c r="H877" s="22" t="s">
        <v>3367</v>
      </c>
      <c r="I877" s="22" t="s">
        <v>3369</v>
      </c>
      <c r="J877" s="22" t="s">
        <v>3367</v>
      </c>
      <c r="K877" s="22" t="s">
        <v>3369</v>
      </c>
      <c r="L877" s="22"/>
      <c r="M877" s="24"/>
      <c r="N877" s="24"/>
      <c r="O877" s="46">
        <v>5</v>
      </c>
      <c r="P877" s="24"/>
      <c r="Q877" s="25"/>
      <c r="R877" s="24"/>
      <c r="S877" s="26"/>
      <c r="T877" s="24"/>
      <c r="U877" s="26"/>
      <c r="V877" s="26"/>
      <c r="W877" s="27"/>
      <c r="X877" s="28"/>
      <c r="Y877" s="5"/>
      <c r="Z877" s="5"/>
      <c r="AA877" s="5"/>
      <c r="AB877" s="5"/>
      <c r="AC877" s="5"/>
      <c r="AD877" s="5"/>
      <c r="AE877" s="5"/>
      <c r="AF877" s="5"/>
    </row>
    <row r="878" spans="1:32">
      <c r="A878" s="24" t="s">
        <v>4174</v>
      </c>
      <c r="B878" s="27" t="s">
        <v>4175</v>
      </c>
      <c r="C878" s="19" t="s">
        <v>3425</v>
      </c>
      <c r="D878" s="19" t="e">
        <f>VLOOKUP(C878,#REF!,2,0)</f>
        <v>#REF!</v>
      </c>
      <c r="E878" s="45" t="e">
        <f>VLOOKUP(D878,数据集标准分类!E:F,2,0)</f>
        <v>#REF!</v>
      </c>
      <c r="F878" s="21">
        <v>86</v>
      </c>
      <c r="G878" s="22" t="s">
        <v>3336</v>
      </c>
      <c r="H878" s="22" t="s">
        <v>3337</v>
      </c>
      <c r="I878" s="22" t="s">
        <v>3339</v>
      </c>
      <c r="J878" s="22" t="s">
        <v>3337</v>
      </c>
      <c r="K878" s="22" t="s">
        <v>3339</v>
      </c>
      <c r="L878" s="22"/>
      <c r="M878" s="24"/>
      <c r="N878" s="24"/>
      <c r="O878" s="46">
        <v>6</v>
      </c>
      <c r="P878" s="24"/>
      <c r="Q878" s="25"/>
      <c r="R878" s="24"/>
      <c r="S878" s="26"/>
      <c r="T878" s="24"/>
      <c r="U878" s="26"/>
      <c r="V878" s="26"/>
      <c r="W878" s="27"/>
      <c r="X878" s="28"/>
      <c r="Y878" s="5"/>
      <c r="Z878" s="5"/>
      <c r="AA878" s="5"/>
      <c r="AB878" s="5"/>
      <c r="AC878" s="5"/>
      <c r="AD878" s="5"/>
      <c r="AE878" s="5"/>
      <c r="AF878" s="5"/>
    </row>
    <row r="879" spans="1:32">
      <c r="A879" s="24" t="s">
        <v>4174</v>
      </c>
      <c r="B879" s="27" t="s">
        <v>4175</v>
      </c>
      <c r="C879" s="19" t="s">
        <v>3426</v>
      </c>
      <c r="D879" s="19" t="e">
        <f>VLOOKUP(C879,#REF!,2,0)</f>
        <v>#REF!</v>
      </c>
      <c r="E879" s="45" t="e">
        <f>VLOOKUP(D879,数据集标准分类!E:F,2,0)</f>
        <v>#REF!</v>
      </c>
      <c r="F879" s="21">
        <v>87</v>
      </c>
      <c r="G879" s="22" t="s">
        <v>3192</v>
      </c>
      <c r="H879" s="22" t="s">
        <v>3193</v>
      </c>
      <c r="I879" s="22" t="s">
        <v>3195</v>
      </c>
      <c r="J879" s="22" t="s">
        <v>3193</v>
      </c>
      <c r="K879" s="22" t="s">
        <v>3195</v>
      </c>
      <c r="L879" s="22"/>
      <c r="M879" s="24"/>
      <c r="N879" s="24"/>
      <c r="O879" s="46">
        <v>1</v>
      </c>
      <c r="P879" s="24"/>
      <c r="Q879" s="25"/>
      <c r="R879" s="24"/>
      <c r="S879" s="26"/>
      <c r="T879" s="24"/>
      <c r="U879" s="26"/>
      <c r="V879" s="26"/>
      <c r="W879" s="27"/>
      <c r="X879" s="28"/>
      <c r="Y879" s="5"/>
      <c r="Z879" s="5"/>
      <c r="AA879" s="5"/>
      <c r="AB879" s="5"/>
      <c r="AC879" s="5"/>
      <c r="AD879" s="5"/>
      <c r="AE879" s="5"/>
      <c r="AF879" s="5"/>
    </row>
    <row r="880" spans="1:32">
      <c r="A880" s="24" t="s">
        <v>4174</v>
      </c>
      <c r="B880" s="27" t="s">
        <v>4175</v>
      </c>
      <c r="C880" s="19" t="s">
        <v>3426</v>
      </c>
      <c r="D880" s="19" t="e">
        <f>VLOOKUP(C880,#REF!,2,0)</f>
        <v>#REF!</v>
      </c>
      <c r="E880" s="45" t="e">
        <f>VLOOKUP(D880,数据集标准分类!E:F,2,0)</f>
        <v>#REF!</v>
      </c>
      <c r="F880" s="21">
        <v>87</v>
      </c>
      <c r="G880" s="22" t="s">
        <v>3361</v>
      </c>
      <c r="H880" s="22" t="s">
        <v>3362</v>
      </c>
      <c r="I880" s="22" t="s">
        <v>3364</v>
      </c>
      <c r="J880" s="22" t="s">
        <v>3362</v>
      </c>
      <c r="K880" s="22" t="s">
        <v>3364</v>
      </c>
      <c r="L880" s="22"/>
      <c r="M880" s="24"/>
      <c r="N880" s="24"/>
      <c r="O880" s="46">
        <v>2</v>
      </c>
      <c r="P880" s="24"/>
      <c r="Q880" s="25"/>
      <c r="R880" s="24"/>
      <c r="S880" s="26"/>
      <c r="T880" s="24"/>
      <c r="U880" s="26"/>
      <c r="V880" s="26"/>
      <c r="W880" s="27"/>
      <c r="X880" s="28"/>
      <c r="Y880" s="5"/>
      <c r="Z880" s="5"/>
      <c r="AA880" s="5"/>
      <c r="AB880" s="5"/>
      <c r="AC880" s="5"/>
      <c r="AD880" s="5"/>
      <c r="AE880" s="5"/>
      <c r="AF880" s="5"/>
    </row>
    <row r="881" spans="1:32">
      <c r="A881" s="24" t="s">
        <v>4174</v>
      </c>
      <c r="B881" s="27" t="s">
        <v>4175</v>
      </c>
      <c r="C881" s="19" t="s">
        <v>3426</v>
      </c>
      <c r="D881" s="19" t="e">
        <f>VLOOKUP(C881,#REF!,2,0)</f>
        <v>#REF!</v>
      </c>
      <c r="E881" s="45" t="e">
        <f>VLOOKUP(D881,数据集标准分类!E:F,2,0)</f>
        <v>#REF!</v>
      </c>
      <c r="F881" s="21">
        <v>87</v>
      </c>
      <c r="G881" s="22" t="s">
        <v>1496</v>
      </c>
      <c r="H881" s="22" t="s">
        <v>1497</v>
      </c>
      <c r="I881" s="22" t="s">
        <v>1499</v>
      </c>
      <c r="J881" s="22" t="s">
        <v>1497</v>
      </c>
      <c r="K881" s="22" t="s">
        <v>1499</v>
      </c>
      <c r="L881" s="22"/>
      <c r="M881" s="24"/>
      <c r="N881" s="24"/>
      <c r="O881" s="46">
        <v>3</v>
      </c>
      <c r="P881" s="24"/>
      <c r="Q881" s="25"/>
      <c r="R881" s="24"/>
      <c r="S881" s="26"/>
      <c r="T881" s="24"/>
      <c r="U881" s="26"/>
      <c r="V881" s="26"/>
      <c r="W881" s="27"/>
      <c r="X881" s="28"/>
      <c r="Y881" s="5"/>
      <c r="Z881" s="5"/>
      <c r="AA881" s="5"/>
      <c r="AB881" s="5"/>
      <c r="AC881" s="5"/>
      <c r="AD881" s="5"/>
      <c r="AE881" s="5"/>
      <c r="AF881" s="5"/>
    </row>
    <row r="882" spans="1:32">
      <c r="A882" s="24" t="s">
        <v>4174</v>
      </c>
      <c r="B882" s="27" t="s">
        <v>4175</v>
      </c>
      <c r="C882" s="19" t="s">
        <v>3426</v>
      </c>
      <c r="D882" s="19" t="e">
        <f>VLOOKUP(C882,#REF!,2,0)</f>
        <v>#REF!</v>
      </c>
      <c r="E882" s="45" t="e">
        <f>VLOOKUP(D882,数据集标准分类!E:F,2,0)</f>
        <v>#REF!</v>
      </c>
      <c r="F882" s="21">
        <v>87</v>
      </c>
      <c r="G882" s="22" t="s">
        <v>3199</v>
      </c>
      <c r="H882" s="22" t="s">
        <v>3200</v>
      </c>
      <c r="I882" s="22" t="s">
        <v>3202</v>
      </c>
      <c r="J882" s="22" t="s">
        <v>3200</v>
      </c>
      <c r="K882" s="22" t="s">
        <v>3202</v>
      </c>
      <c r="L882" s="22"/>
      <c r="M882" s="24"/>
      <c r="N882" s="24"/>
      <c r="O882" s="46">
        <v>4</v>
      </c>
      <c r="P882" s="24"/>
      <c r="Q882" s="25"/>
      <c r="R882" s="24"/>
      <c r="S882" s="26"/>
      <c r="T882" s="24"/>
      <c r="U882" s="26"/>
      <c r="V882" s="26"/>
      <c r="W882" s="27"/>
      <c r="X882" s="28"/>
      <c r="Y882" s="5"/>
      <c r="Z882" s="5"/>
      <c r="AA882" s="5"/>
      <c r="AB882" s="5"/>
      <c r="AC882" s="5"/>
      <c r="AD882" s="5"/>
      <c r="AE882" s="5"/>
      <c r="AF882" s="5"/>
    </row>
    <row r="883" spans="1:32">
      <c r="A883" s="24" t="s">
        <v>4174</v>
      </c>
      <c r="B883" s="27" t="s">
        <v>4175</v>
      </c>
      <c r="C883" s="19" t="s">
        <v>3426</v>
      </c>
      <c r="D883" s="19" t="e">
        <f>VLOOKUP(C883,#REF!,2,0)</f>
        <v>#REF!</v>
      </c>
      <c r="E883" s="45" t="e">
        <f>VLOOKUP(D883,数据集标准分类!E:F,2,0)</f>
        <v>#REF!</v>
      </c>
      <c r="F883" s="21">
        <v>87</v>
      </c>
      <c r="G883" s="22" t="s">
        <v>3366</v>
      </c>
      <c r="H883" s="22" t="s">
        <v>3367</v>
      </c>
      <c r="I883" s="22" t="s">
        <v>3369</v>
      </c>
      <c r="J883" s="22" t="s">
        <v>3367</v>
      </c>
      <c r="K883" s="22" t="s">
        <v>3369</v>
      </c>
      <c r="L883" s="22"/>
      <c r="M883" s="24"/>
      <c r="N883" s="24"/>
      <c r="O883" s="46">
        <v>5</v>
      </c>
      <c r="P883" s="24"/>
      <c r="Q883" s="25"/>
      <c r="R883" s="24"/>
      <c r="S883" s="26"/>
      <c r="T883" s="24"/>
      <c r="U883" s="26"/>
      <c r="V883" s="26"/>
      <c r="W883" s="27"/>
      <c r="X883" s="28"/>
      <c r="Y883" s="5"/>
      <c r="Z883" s="5"/>
      <c r="AA883" s="5"/>
      <c r="AB883" s="5"/>
      <c r="AC883" s="5"/>
      <c r="AD883" s="5"/>
      <c r="AE883" s="5"/>
      <c r="AF883" s="5"/>
    </row>
    <row r="884" spans="1:32">
      <c r="A884" s="24" t="s">
        <v>4174</v>
      </c>
      <c r="B884" s="27" t="s">
        <v>4175</v>
      </c>
      <c r="C884" s="19" t="s">
        <v>3426</v>
      </c>
      <c r="D884" s="19" t="e">
        <f>VLOOKUP(C884,#REF!,2,0)</f>
        <v>#REF!</v>
      </c>
      <c r="E884" s="45" t="e">
        <f>VLOOKUP(D884,数据集标准分类!E:F,2,0)</f>
        <v>#REF!</v>
      </c>
      <c r="F884" s="21">
        <v>87</v>
      </c>
      <c r="G884" s="22" t="s">
        <v>3336</v>
      </c>
      <c r="H884" s="22" t="s">
        <v>3337</v>
      </c>
      <c r="I884" s="22" t="s">
        <v>3339</v>
      </c>
      <c r="J884" s="22" t="s">
        <v>3337</v>
      </c>
      <c r="K884" s="22" t="s">
        <v>3339</v>
      </c>
      <c r="L884" s="22"/>
      <c r="M884" s="24"/>
      <c r="N884" s="24"/>
      <c r="O884" s="46">
        <v>6</v>
      </c>
      <c r="P884" s="24"/>
      <c r="Q884" s="25"/>
      <c r="R884" s="24"/>
      <c r="S884" s="26"/>
      <c r="T884" s="24"/>
      <c r="U884" s="26"/>
      <c r="V884" s="26"/>
      <c r="W884" s="27"/>
      <c r="X884" s="28"/>
      <c r="Y884" s="5"/>
      <c r="Z884" s="5"/>
      <c r="AA884" s="5"/>
      <c r="AB884" s="5"/>
      <c r="AC884" s="5"/>
      <c r="AD884" s="5"/>
      <c r="AE884" s="5"/>
      <c r="AF884" s="5"/>
    </row>
    <row r="885" spans="1:32">
      <c r="A885" s="24" t="s">
        <v>4174</v>
      </c>
      <c r="B885" s="27" t="s">
        <v>4175</v>
      </c>
      <c r="C885" s="19" t="s">
        <v>3427</v>
      </c>
      <c r="D885" s="19" t="e">
        <f>VLOOKUP(C885,#REF!,2,0)</f>
        <v>#REF!</v>
      </c>
      <c r="E885" s="45" t="e">
        <f>VLOOKUP(D885,数据集标准分类!E:F,2,0)</f>
        <v>#REF!</v>
      </c>
      <c r="F885" s="21">
        <v>88</v>
      </c>
      <c r="G885" s="22" t="s">
        <v>3192</v>
      </c>
      <c r="H885" s="22" t="s">
        <v>3193</v>
      </c>
      <c r="I885" s="22" t="s">
        <v>3195</v>
      </c>
      <c r="J885" s="22" t="s">
        <v>3193</v>
      </c>
      <c r="K885" s="22" t="s">
        <v>3195</v>
      </c>
      <c r="L885" s="22"/>
      <c r="M885" s="24"/>
      <c r="N885" s="24"/>
      <c r="O885" s="46">
        <v>1</v>
      </c>
      <c r="P885" s="24"/>
      <c r="Q885" s="25"/>
      <c r="R885" s="24"/>
      <c r="S885" s="26"/>
      <c r="T885" s="24"/>
      <c r="U885" s="26"/>
      <c r="V885" s="26"/>
      <c r="W885" s="27"/>
      <c r="X885" s="28"/>
      <c r="Y885" s="5"/>
      <c r="Z885" s="5"/>
      <c r="AA885" s="5"/>
      <c r="AB885" s="5"/>
      <c r="AC885" s="5"/>
      <c r="AD885" s="5"/>
      <c r="AE885" s="5"/>
      <c r="AF885" s="5"/>
    </row>
    <row r="886" spans="1:32">
      <c r="A886" s="24" t="s">
        <v>4174</v>
      </c>
      <c r="B886" s="27" t="s">
        <v>4175</v>
      </c>
      <c r="C886" s="19" t="s">
        <v>3427</v>
      </c>
      <c r="D886" s="19" t="e">
        <f>VLOOKUP(C886,#REF!,2,0)</f>
        <v>#REF!</v>
      </c>
      <c r="E886" s="45" t="e">
        <f>VLOOKUP(D886,数据集标准分类!E:F,2,0)</f>
        <v>#REF!</v>
      </c>
      <c r="F886" s="21">
        <v>88</v>
      </c>
      <c r="G886" s="22" t="s">
        <v>3361</v>
      </c>
      <c r="H886" s="22" t="s">
        <v>3362</v>
      </c>
      <c r="I886" s="22" t="s">
        <v>3364</v>
      </c>
      <c r="J886" s="22" t="s">
        <v>3362</v>
      </c>
      <c r="K886" s="22" t="s">
        <v>3364</v>
      </c>
      <c r="L886" s="22"/>
      <c r="M886" s="24"/>
      <c r="N886" s="24"/>
      <c r="O886" s="46">
        <v>2</v>
      </c>
      <c r="P886" s="24"/>
      <c r="Q886" s="25"/>
      <c r="R886" s="24"/>
      <c r="S886" s="26"/>
      <c r="T886" s="24"/>
      <c r="U886" s="26"/>
      <c r="V886" s="26"/>
      <c r="W886" s="27"/>
      <c r="X886" s="28"/>
      <c r="Y886" s="5"/>
      <c r="Z886" s="5"/>
      <c r="AA886" s="5"/>
      <c r="AB886" s="5"/>
      <c r="AC886" s="5"/>
      <c r="AD886" s="5"/>
      <c r="AE886" s="5"/>
      <c r="AF886" s="5"/>
    </row>
    <row r="887" spans="1:32">
      <c r="A887" s="24" t="s">
        <v>4174</v>
      </c>
      <c r="B887" s="27" t="s">
        <v>4175</v>
      </c>
      <c r="C887" s="19" t="s">
        <v>3427</v>
      </c>
      <c r="D887" s="19" t="e">
        <f>VLOOKUP(C887,#REF!,2,0)</f>
        <v>#REF!</v>
      </c>
      <c r="E887" s="45" t="e">
        <f>VLOOKUP(D887,数据集标准分类!E:F,2,0)</f>
        <v>#REF!</v>
      </c>
      <c r="F887" s="21">
        <v>88</v>
      </c>
      <c r="G887" s="22" t="s">
        <v>1496</v>
      </c>
      <c r="H887" s="22" t="s">
        <v>1497</v>
      </c>
      <c r="I887" s="22" t="s">
        <v>1499</v>
      </c>
      <c r="J887" s="22" t="s">
        <v>1497</v>
      </c>
      <c r="K887" s="22" t="s">
        <v>1499</v>
      </c>
      <c r="L887" s="22"/>
      <c r="M887" s="24"/>
      <c r="N887" s="24"/>
      <c r="O887" s="46">
        <v>3</v>
      </c>
      <c r="P887" s="24"/>
      <c r="Q887" s="25"/>
      <c r="R887" s="24"/>
      <c r="S887" s="26"/>
      <c r="T887" s="24"/>
      <c r="U887" s="26"/>
      <c r="V887" s="26"/>
      <c r="W887" s="27"/>
      <c r="X887" s="28"/>
      <c r="Y887" s="5"/>
      <c r="Z887" s="5"/>
      <c r="AA887" s="5"/>
      <c r="AB887" s="5"/>
      <c r="AC887" s="5"/>
      <c r="AD887" s="5"/>
      <c r="AE887" s="5"/>
      <c r="AF887" s="5"/>
    </row>
    <row r="888" spans="1:32">
      <c r="A888" s="24" t="s">
        <v>4174</v>
      </c>
      <c r="B888" s="27" t="s">
        <v>4175</v>
      </c>
      <c r="C888" s="19" t="s">
        <v>3427</v>
      </c>
      <c r="D888" s="19" t="e">
        <f>VLOOKUP(C888,#REF!,2,0)</f>
        <v>#REF!</v>
      </c>
      <c r="E888" s="45" t="e">
        <f>VLOOKUP(D888,数据集标准分类!E:F,2,0)</f>
        <v>#REF!</v>
      </c>
      <c r="F888" s="21">
        <v>88</v>
      </c>
      <c r="G888" s="22" t="s">
        <v>3199</v>
      </c>
      <c r="H888" s="22" t="s">
        <v>3200</v>
      </c>
      <c r="I888" s="22" t="s">
        <v>3202</v>
      </c>
      <c r="J888" s="22" t="s">
        <v>3200</v>
      </c>
      <c r="K888" s="22" t="s">
        <v>3202</v>
      </c>
      <c r="L888" s="22"/>
      <c r="M888" s="24"/>
      <c r="N888" s="24"/>
      <c r="O888" s="46">
        <v>4</v>
      </c>
      <c r="P888" s="24"/>
      <c r="Q888" s="25"/>
      <c r="R888" s="24"/>
      <c r="S888" s="26"/>
      <c r="T888" s="24"/>
      <c r="U888" s="26"/>
      <c r="V888" s="26"/>
      <c r="W888" s="27"/>
      <c r="X888" s="28"/>
      <c r="Y888" s="5"/>
      <c r="Z888" s="5"/>
      <c r="AA888" s="5"/>
      <c r="AB888" s="5"/>
      <c r="AC888" s="5"/>
      <c r="AD888" s="5"/>
      <c r="AE888" s="5"/>
      <c r="AF888" s="5"/>
    </row>
    <row r="889" spans="1:32">
      <c r="A889" s="24" t="s">
        <v>4174</v>
      </c>
      <c r="B889" s="27" t="s">
        <v>4175</v>
      </c>
      <c r="C889" s="19" t="s">
        <v>3427</v>
      </c>
      <c r="D889" s="19" t="e">
        <f>VLOOKUP(C889,#REF!,2,0)</f>
        <v>#REF!</v>
      </c>
      <c r="E889" s="45" t="e">
        <f>VLOOKUP(D889,数据集标准分类!E:F,2,0)</f>
        <v>#REF!</v>
      </c>
      <c r="F889" s="21">
        <v>88</v>
      </c>
      <c r="G889" s="22" t="s">
        <v>3366</v>
      </c>
      <c r="H889" s="22" t="s">
        <v>3367</v>
      </c>
      <c r="I889" s="22" t="s">
        <v>3369</v>
      </c>
      <c r="J889" s="22" t="s">
        <v>3367</v>
      </c>
      <c r="K889" s="22" t="s">
        <v>3369</v>
      </c>
      <c r="L889" s="22"/>
      <c r="M889" s="24"/>
      <c r="N889" s="24"/>
      <c r="O889" s="46">
        <v>5</v>
      </c>
      <c r="P889" s="24"/>
      <c r="Q889" s="25"/>
      <c r="R889" s="24"/>
      <c r="S889" s="26"/>
      <c r="T889" s="24"/>
      <c r="U889" s="26"/>
      <c r="V889" s="26"/>
      <c r="W889" s="27"/>
      <c r="X889" s="28"/>
      <c r="Y889" s="5"/>
      <c r="Z889" s="5"/>
      <c r="AA889" s="5"/>
      <c r="AB889" s="5"/>
      <c r="AC889" s="5"/>
      <c r="AD889" s="5"/>
      <c r="AE889" s="5"/>
      <c r="AF889" s="5"/>
    </row>
    <row r="890" spans="1:32">
      <c r="A890" s="24" t="s">
        <v>4174</v>
      </c>
      <c r="B890" s="27" t="s">
        <v>4175</v>
      </c>
      <c r="C890" s="19" t="s">
        <v>3427</v>
      </c>
      <c r="D890" s="19" t="e">
        <f>VLOOKUP(C890,#REF!,2,0)</f>
        <v>#REF!</v>
      </c>
      <c r="E890" s="45" t="e">
        <f>VLOOKUP(D890,数据集标准分类!E:F,2,0)</f>
        <v>#REF!</v>
      </c>
      <c r="F890" s="21">
        <v>88</v>
      </c>
      <c r="G890" s="22" t="s">
        <v>3336</v>
      </c>
      <c r="H890" s="22" t="s">
        <v>3337</v>
      </c>
      <c r="I890" s="22" t="s">
        <v>3339</v>
      </c>
      <c r="J890" s="22" t="s">
        <v>3337</v>
      </c>
      <c r="K890" s="22" t="s">
        <v>3339</v>
      </c>
      <c r="L890" s="22"/>
      <c r="M890" s="24"/>
      <c r="N890" s="24"/>
      <c r="O890" s="46">
        <v>6</v>
      </c>
      <c r="P890" s="24"/>
      <c r="Q890" s="25"/>
      <c r="R890" s="24"/>
      <c r="S890" s="26"/>
      <c r="T890" s="24"/>
      <c r="U890" s="26"/>
      <c r="V890" s="26"/>
      <c r="W890" s="27"/>
      <c r="X890" s="28"/>
      <c r="Y890" s="5"/>
      <c r="Z890" s="5"/>
      <c r="AA890" s="5"/>
      <c r="AB890" s="5"/>
      <c r="AC890" s="5"/>
      <c r="AD890" s="5"/>
      <c r="AE890" s="5"/>
      <c r="AF890" s="5"/>
    </row>
    <row r="891" ht="31" spans="1:32">
      <c r="A891" s="24" t="s">
        <v>4174</v>
      </c>
      <c r="B891" s="27" t="s">
        <v>4175</v>
      </c>
      <c r="C891" s="19" t="s">
        <v>3428</v>
      </c>
      <c r="D891" s="19" t="e">
        <f>VLOOKUP(C891,#REF!,2,0)</f>
        <v>#REF!</v>
      </c>
      <c r="E891" s="45" t="e">
        <f>VLOOKUP(D891,数据集标准分类!E:F,2,0)</f>
        <v>#REF!</v>
      </c>
      <c r="F891" s="21">
        <v>89</v>
      </c>
      <c r="G891" s="22" t="s">
        <v>3192</v>
      </c>
      <c r="H891" s="22" t="s">
        <v>3193</v>
      </c>
      <c r="I891" s="22" t="s">
        <v>3195</v>
      </c>
      <c r="J891" s="22" t="s">
        <v>3193</v>
      </c>
      <c r="K891" s="22" t="s">
        <v>3195</v>
      </c>
      <c r="L891" s="22"/>
      <c r="M891" s="24"/>
      <c r="N891" s="24"/>
      <c r="O891" s="46">
        <v>1</v>
      </c>
      <c r="P891" s="24"/>
      <c r="Q891" s="25"/>
      <c r="R891" s="24"/>
      <c r="S891" s="26"/>
      <c r="T891" s="24"/>
      <c r="U891" s="26"/>
      <c r="V891" s="26"/>
      <c r="W891" s="27"/>
      <c r="X891" s="28"/>
      <c r="Y891" s="5"/>
      <c r="Z891" s="5"/>
      <c r="AA891" s="5"/>
      <c r="AB891" s="5"/>
      <c r="AC891" s="5"/>
      <c r="AD891" s="5"/>
      <c r="AE891" s="5"/>
      <c r="AF891" s="5"/>
    </row>
    <row r="892" ht="31" spans="1:32">
      <c r="A892" s="24" t="s">
        <v>4174</v>
      </c>
      <c r="B892" s="27" t="s">
        <v>4175</v>
      </c>
      <c r="C892" s="19" t="s">
        <v>3428</v>
      </c>
      <c r="D892" s="19" t="e">
        <f>VLOOKUP(C892,#REF!,2,0)</f>
        <v>#REF!</v>
      </c>
      <c r="E892" s="45" t="e">
        <f>VLOOKUP(D892,数据集标准分类!E:F,2,0)</f>
        <v>#REF!</v>
      </c>
      <c r="F892" s="21">
        <v>89</v>
      </c>
      <c r="G892" s="22" t="s">
        <v>3361</v>
      </c>
      <c r="H892" s="22" t="s">
        <v>3362</v>
      </c>
      <c r="I892" s="22" t="s">
        <v>3364</v>
      </c>
      <c r="J892" s="22" t="s">
        <v>3362</v>
      </c>
      <c r="K892" s="22" t="s">
        <v>3364</v>
      </c>
      <c r="L892" s="22"/>
      <c r="M892" s="24"/>
      <c r="N892" s="24"/>
      <c r="O892" s="46">
        <v>2</v>
      </c>
      <c r="P892" s="24"/>
      <c r="Q892" s="25"/>
      <c r="R892" s="24"/>
      <c r="S892" s="26"/>
      <c r="T892" s="24"/>
      <c r="U892" s="26"/>
      <c r="V892" s="26"/>
      <c r="W892" s="27"/>
      <c r="X892" s="28"/>
      <c r="Y892" s="5"/>
      <c r="Z892" s="5"/>
      <c r="AA892" s="5"/>
      <c r="AB892" s="5"/>
      <c r="AC892" s="5"/>
      <c r="AD892" s="5"/>
      <c r="AE892" s="5"/>
      <c r="AF892" s="5"/>
    </row>
    <row r="893" ht="31" spans="1:32">
      <c r="A893" s="24" t="s">
        <v>4174</v>
      </c>
      <c r="B893" s="27" t="s">
        <v>4175</v>
      </c>
      <c r="C893" s="19" t="s">
        <v>3428</v>
      </c>
      <c r="D893" s="19" t="e">
        <f>VLOOKUP(C893,#REF!,2,0)</f>
        <v>#REF!</v>
      </c>
      <c r="E893" s="45" t="e">
        <f>VLOOKUP(D893,数据集标准分类!E:F,2,0)</f>
        <v>#REF!</v>
      </c>
      <c r="F893" s="21">
        <v>89</v>
      </c>
      <c r="G893" s="22" t="s">
        <v>1496</v>
      </c>
      <c r="H893" s="22" t="s">
        <v>1497</v>
      </c>
      <c r="I893" s="22" t="s">
        <v>1499</v>
      </c>
      <c r="J893" s="22" t="s">
        <v>1497</v>
      </c>
      <c r="K893" s="22" t="s">
        <v>1499</v>
      </c>
      <c r="L893" s="22"/>
      <c r="M893" s="24"/>
      <c r="N893" s="24"/>
      <c r="O893" s="46">
        <v>3</v>
      </c>
      <c r="P893" s="24"/>
      <c r="Q893" s="25"/>
      <c r="R893" s="24"/>
      <c r="S893" s="26"/>
      <c r="T893" s="24"/>
      <c r="U893" s="26"/>
      <c r="V893" s="26"/>
      <c r="W893" s="27"/>
      <c r="X893" s="28"/>
      <c r="Y893" s="5"/>
      <c r="Z893" s="5"/>
      <c r="AA893" s="5"/>
      <c r="AB893" s="5"/>
      <c r="AC893" s="5"/>
      <c r="AD893" s="5"/>
      <c r="AE893" s="5"/>
      <c r="AF893" s="5"/>
    </row>
    <row r="894" ht="31" spans="1:32">
      <c r="A894" s="24" t="s">
        <v>4174</v>
      </c>
      <c r="B894" s="27" t="s">
        <v>4175</v>
      </c>
      <c r="C894" s="19" t="s">
        <v>3428</v>
      </c>
      <c r="D894" s="19" t="e">
        <f>VLOOKUP(C894,#REF!,2,0)</f>
        <v>#REF!</v>
      </c>
      <c r="E894" s="45" t="e">
        <f>VLOOKUP(D894,数据集标准分类!E:F,2,0)</f>
        <v>#REF!</v>
      </c>
      <c r="F894" s="21">
        <v>89</v>
      </c>
      <c r="G894" s="22" t="s">
        <v>3199</v>
      </c>
      <c r="H894" s="22" t="s">
        <v>3200</v>
      </c>
      <c r="I894" s="22" t="s">
        <v>3202</v>
      </c>
      <c r="J894" s="22" t="s">
        <v>3200</v>
      </c>
      <c r="K894" s="22" t="s">
        <v>3202</v>
      </c>
      <c r="L894" s="22"/>
      <c r="M894" s="24"/>
      <c r="N894" s="24"/>
      <c r="O894" s="46">
        <v>4</v>
      </c>
      <c r="P894" s="24"/>
      <c r="Q894" s="25"/>
      <c r="R894" s="24"/>
      <c r="S894" s="26"/>
      <c r="T894" s="24"/>
      <c r="U894" s="26"/>
      <c r="V894" s="26"/>
      <c r="W894" s="27"/>
      <c r="X894" s="28"/>
      <c r="Y894" s="5"/>
      <c r="Z894" s="5"/>
      <c r="AA894" s="5"/>
      <c r="AB894" s="5"/>
      <c r="AC894" s="5"/>
      <c r="AD894" s="5"/>
      <c r="AE894" s="5"/>
      <c r="AF894" s="5"/>
    </row>
    <row r="895" ht="31" spans="1:32">
      <c r="A895" s="24" t="s">
        <v>4174</v>
      </c>
      <c r="B895" s="27" t="s">
        <v>4175</v>
      </c>
      <c r="C895" s="19" t="s">
        <v>3428</v>
      </c>
      <c r="D895" s="19" t="e">
        <f>VLOOKUP(C895,#REF!,2,0)</f>
        <v>#REF!</v>
      </c>
      <c r="E895" s="45" t="e">
        <f>VLOOKUP(D895,数据集标准分类!E:F,2,0)</f>
        <v>#REF!</v>
      </c>
      <c r="F895" s="21">
        <v>89</v>
      </c>
      <c r="G895" s="22" t="s">
        <v>3366</v>
      </c>
      <c r="H895" s="22" t="s">
        <v>3367</v>
      </c>
      <c r="I895" s="22" t="s">
        <v>3369</v>
      </c>
      <c r="J895" s="22" t="s">
        <v>3367</v>
      </c>
      <c r="K895" s="22" t="s">
        <v>3369</v>
      </c>
      <c r="L895" s="22"/>
      <c r="M895" s="24"/>
      <c r="N895" s="24"/>
      <c r="O895" s="46">
        <v>5</v>
      </c>
      <c r="P895" s="24"/>
      <c r="Q895" s="25"/>
      <c r="R895" s="24"/>
      <c r="S895" s="26"/>
      <c r="T895" s="24"/>
      <c r="U895" s="26"/>
      <c r="V895" s="26"/>
      <c r="W895" s="27"/>
      <c r="X895" s="28"/>
      <c r="Y895" s="5"/>
      <c r="Z895" s="5"/>
      <c r="AA895" s="5"/>
      <c r="AB895" s="5"/>
      <c r="AC895" s="5"/>
      <c r="AD895" s="5"/>
      <c r="AE895" s="5"/>
      <c r="AF895" s="5"/>
    </row>
    <row r="896" ht="31" spans="1:32">
      <c r="A896" s="24" t="s">
        <v>4174</v>
      </c>
      <c r="B896" s="27" t="s">
        <v>4175</v>
      </c>
      <c r="C896" s="19" t="s">
        <v>3428</v>
      </c>
      <c r="D896" s="19" t="e">
        <f>VLOOKUP(C896,#REF!,2,0)</f>
        <v>#REF!</v>
      </c>
      <c r="E896" s="45" t="e">
        <f>VLOOKUP(D896,数据集标准分类!E:F,2,0)</f>
        <v>#REF!</v>
      </c>
      <c r="F896" s="21">
        <v>89</v>
      </c>
      <c r="G896" s="22" t="s">
        <v>3336</v>
      </c>
      <c r="H896" s="22" t="s">
        <v>3337</v>
      </c>
      <c r="I896" s="22" t="s">
        <v>3339</v>
      </c>
      <c r="J896" s="22" t="s">
        <v>3337</v>
      </c>
      <c r="K896" s="22" t="s">
        <v>3339</v>
      </c>
      <c r="L896" s="22"/>
      <c r="M896" s="24"/>
      <c r="N896" s="24"/>
      <c r="O896" s="46">
        <v>6</v>
      </c>
      <c r="P896" s="24"/>
      <c r="Q896" s="25"/>
      <c r="R896" s="24"/>
      <c r="S896" s="26"/>
      <c r="T896" s="24"/>
      <c r="U896" s="26"/>
      <c r="V896" s="26"/>
      <c r="W896" s="27"/>
      <c r="X896" s="28"/>
      <c r="Y896" s="5"/>
      <c r="Z896" s="5"/>
      <c r="AA896" s="5"/>
      <c r="AB896" s="5"/>
      <c r="AC896" s="5"/>
      <c r="AD896" s="5"/>
      <c r="AE896" s="5"/>
      <c r="AF896" s="5"/>
    </row>
    <row r="897" spans="1:32">
      <c r="A897" s="24" t="s">
        <v>4174</v>
      </c>
      <c r="B897" s="27" t="s">
        <v>4175</v>
      </c>
      <c r="C897" s="19" t="s">
        <v>3429</v>
      </c>
      <c r="D897" s="19" t="e">
        <f>VLOOKUP(C897,#REF!,2,0)</f>
        <v>#REF!</v>
      </c>
      <c r="E897" s="45" t="e">
        <f>VLOOKUP(D897,数据集标准分类!E:F,2,0)</f>
        <v>#REF!</v>
      </c>
      <c r="F897" s="21">
        <v>90</v>
      </c>
      <c r="G897" s="22" t="s">
        <v>3192</v>
      </c>
      <c r="H897" s="22" t="s">
        <v>3193</v>
      </c>
      <c r="I897" s="22" t="s">
        <v>3195</v>
      </c>
      <c r="J897" s="22" t="s">
        <v>3193</v>
      </c>
      <c r="K897" s="22" t="s">
        <v>3195</v>
      </c>
      <c r="L897" s="22"/>
      <c r="M897" s="24"/>
      <c r="N897" s="24"/>
      <c r="O897" s="46">
        <v>1</v>
      </c>
      <c r="P897" s="24"/>
      <c r="Q897" s="25"/>
      <c r="R897" s="24"/>
      <c r="S897" s="26"/>
      <c r="T897" s="24"/>
      <c r="U897" s="26"/>
      <c r="V897" s="26"/>
      <c r="W897" s="27"/>
      <c r="X897" s="28"/>
      <c r="Y897" s="5"/>
      <c r="Z897" s="5"/>
      <c r="AA897" s="5"/>
      <c r="AB897" s="5"/>
      <c r="AC897" s="5"/>
      <c r="AD897" s="5"/>
      <c r="AE897" s="5"/>
      <c r="AF897" s="5"/>
    </row>
    <row r="898" spans="1:32">
      <c r="A898" s="24" t="s">
        <v>4174</v>
      </c>
      <c r="B898" s="27" t="s">
        <v>4175</v>
      </c>
      <c r="C898" s="19" t="s">
        <v>3429</v>
      </c>
      <c r="D898" s="19" t="e">
        <f>VLOOKUP(C898,#REF!,2,0)</f>
        <v>#REF!</v>
      </c>
      <c r="E898" s="45" t="e">
        <f>VLOOKUP(D898,数据集标准分类!E:F,2,0)</f>
        <v>#REF!</v>
      </c>
      <c r="F898" s="21">
        <v>90</v>
      </c>
      <c r="G898" s="22" t="s">
        <v>3361</v>
      </c>
      <c r="H898" s="22" t="s">
        <v>3362</v>
      </c>
      <c r="I898" s="22" t="s">
        <v>3364</v>
      </c>
      <c r="J898" s="22" t="s">
        <v>3362</v>
      </c>
      <c r="K898" s="22" t="s">
        <v>3364</v>
      </c>
      <c r="L898" s="22"/>
      <c r="M898" s="24"/>
      <c r="N898" s="24"/>
      <c r="O898" s="46">
        <v>2</v>
      </c>
      <c r="P898" s="24"/>
      <c r="Q898" s="25"/>
      <c r="R898" s="24"/>
      <c r="S898" s="26"/>
      <c r="T898" s="24"/>
      <c r="U898" s="26"/>
      <c r="V898" s="26"/>
      <c r="W898" s="27"/>
      <c r="X898" s="28"/>
      <c r="Y898" s="5"/>
      <c r="Z898" s="5"/>
      <c r="AA898" s="5"/>
      <c r="AB898" s="5"/>
      <c r="AC898" s="5"/>
      <c r="AD898" s="5"/>
      <c r="AE898" s="5"/>
      <c r="AF898" s="5"/>
    </row>
    <row r="899" spans="1:32">
      <c r="A899" s="24" t="s">
        <v>4174</v>
      </c>
      <c r="B899" s="27" t="s">
        <v>4175</v>
      </c>
      <c r="C899" s="19" t="s">
        <v>3429</v>
      </c>
      <c r="D899" s="19" t="e">
        <f>VLOOKUP(C899,#REF!,2,0)</f>
        <v>#REF!</v>
      </c>
      <c r="E899" s="45" t="e">
        <f>VLOOKUP(D899,数据集标准分类!E:F,2,0)</f>
        <v>#REF!</v>
      </c>
      <c r="F899" s="21">
        <v>90</v>
      </c>
      <c r="G899" s="22" t="s">
        <v>1496</v>
      </c>
      <c r="H899" s="22" t="s">
        <v>1497</v>
      </c>
      <c r="I899" s="22" t="s">
        <v>1499</v>
      </c>
      <c r="J899" s="22" t="s">
        <v>1497</v>
      </c>
      <c r="K899" s="22" t="s">
        <v>1499</v>
      </c>
      <c r="L899" s="22"/>
      <c r="M899" s="24"/>
      <c r="N899" s="24"/>
      <c r="O899" s="46">
        <v>3</v>
      </c>
      <c r="P899" s="24"/>
      <c r="Q899" s="25"/>
      <c r="R899" s="24"/>
      <c r="S899" s="26"/>
      <c r="T899" s="24"/>
      <c r="U899" s="26"/>
      <c r="V899" s="26"/>
      <c r="W899" s="27"/>
      <c r="X899" s="28"/>
      <c r="Y899" s="5"/>
      <c r="Z899" s="5"/>
      <c r="AA899" s="5"/>
      <c r="AB899" s="5"/>
      <c r="AC899" s="5"/>
      <c r="AD899" s="5"/>
      <c r="AE899" s="5"/>
      <c r="AF899" s="5"/>
    </row>
    <row r="900" spans="1:32">
      <c r="A900" s="24" t="s">
        <v>4174</v>
      </c>
      <c r="B900" s="27" t="s">
        <v>4175</v>
      </c>
      <c r="C900" s="19" t="s">
        <v>3429</v>
      </c>
      <c r="D900" s="19" t="e">
        <f>VLOOKUP(C900,#REF!,2,0)</f>
        <v>#REF!</v>
      </c>
      <c r="E900" s="45" t="e">
        <f>VLOOKUP(D900,数据集标准分类!E:F,2,0)</f>
        <v>#REF!</v>
      </c>
      <c r="F900" s="21">
        <v>90</v>
      </c>
      <c r="G900" s="22" t="s">
        <v>3199</v>
      </c>
      <c r="H900" s="22" t="s">
        <v>3200</v>
      </c>
      <c r="I900" s="22" t="s">
        <v>3202</v>
      </c>
      <c r="J900" s="22" t="s">
        <v>3200</v>
      </c>
      <c r="K900" s="22" t="s">
        <v>3202</v>
      </c>
      <c r="L900" s="22"/>
      <c r="M900" s="24"/>
      <c r="N900" s="24"/>
      <c r="O900" s="46">
        <v>4</v>
      </c>
      <c r="P900" s="24"/>
      <c r="Q900" s="25"/>
      <c r="R900" s="24"/>
      <c r="S900" s="26"/>
      <c r="T900" s="24"/>
      <c r="U900" s="26"/>
      <c r="V900" s="26"/>
      <c r="W900" s="27"/>
      <c r="X900" s="28"/>
      <c r="Y900" s="5"/>
      <c r="Z900" s="5"/>
      <c r="AA900" s="5"/>
      <c r="AB900" s="5"/>
      <c r="AC900" s="5"/>
      <c r="AD900" s="5"/>
      <c r="AE900" s="5"/>
      <c r="AF900" s="5"/>
    </row>
    <row r="901" spans="1:32">
      <c r="A901" s="24" t="s">
        <v>4174</v>
      </c>
      <c r="B901" s="27" t="s">
        <v>4175</v>
      </c>
      <c r="C901" s="19" t="s">
        <v>3429</v>
      </c>
      <c r="D901" s="19" t="e">
        <f>VLOOKUP(C901,#REF!,2,0)</f>
        <v>#REF!</v>
      </c>
      <c r="E901" s="45" t="e">
        <f>VLOOKUP(D901,数据集标准分类!E:F,2,0)</f>
        <v>#REF!</v>
      </c>
      <c r="F901" s="21">
        <v>90</v>
      </c>
      <c r="G901" s="22" t="s">
        <v>3366</v>
      </c>
      <c r="H901" s="22" t="s">
        <v>3367</v>
      </c>
      <c r="I901" s="22" t="s">
        <v>3369</v>
      </c>
      <c r="J901" s="22" t="s">
        <v>3367</v>
      </c>
      <c r="K901" s="22" t="s">
        <v>3369</v>
      </c>
      <c r="L901" s="22"/>
      <c r="M901" s="24"/>
      <c r="N901" s="24"/>
      <c r="O901" s="46">
        <v>5</v>
      </c>
      <c r="P901" s="24"/>
      <c r="Q901" s="25"/>
      <c r="R901" s="24"/>
      <c r="S901" s="26"/>
      <c r="T901" s="24"/>
      <c r="U901" s="26"/>
      <c r="V901" s="26"/>
      <c r="W901" s="27"/>
      <c r="X901" s="28"/>
      <c r="Y901" s="5"/>
      <c r="Z901" s="5"/>
      <c r="AA901" s="5"/>
      <c r="AB901" s="5"/>
      <c r="AC901" s="5"/>
      <c r="AD901" s="5"/>
      <c r="AE901" s="5"/>
      <c r="AF901" s="5"/>
    </row>
    <row r="902" spans="1:32">
      <c r="A902" s="24" t="s">
        <v>4174</v>
      </c>
      <c r="B902" s="27" t="s">
        <v>4175</v>
      </c>
      <c r="C902" s="19" t="s">
        <v>3429</v>
      </c>
      <c r="D902" s="19" t="e">
        <f>VLOOKUP(C902,#REF!,2,0)</f>
        <v>#REF!</v>
      </c>
      <c r="E902" s="45" t="e">
        <f>VLOOKUP(D902,数据集标准分类!E:F,2,0)</f>
        <v>#REF!</v>
      </c>
      <c r="F902" s="21">
        <v>90</v>
      </c>
      <c r="G902" s="22" t="s">
        <v>3336</v>
      </c>
      <c r="H902" s="22" t="s">
        <v>3337</v>
      </c>
      <c r="I902" s="22" t="s">
        <v>3339</v>
      </c>
      <c r="J902" s="22" t="s">
        <v>3337</v>
      </c>
      <c r="K902" s="22" t="s">
        <v>3339</v>
      </c>
      <c r="L902" s="22"/>
      <c r="M902" s="24"/>
      <c r="N902" s="24"/>
      <c r="O902" s="46">
        <v>6</v>
      </c>
      <c r="P902" s="24"/>
      <c r="Q902" s="25"/>
      <c r="R902" s="24"/>
      <c r="S902" s="26"/>
      <c r="T902" s="24"/>
      <c r="U902" s="26"/>
      <c r="V902" s="26"/>
      <c r="W902" s="27"/>
      <c r="X902" s="28"/>
      <c r="Y902" s="5"/>
      <c r="Z902" s="5"/>
      <c r="AA902" s="5"/>
      <c r="AB902" s="5"/>
      <c r="AC902" s="5"/>
      <c r="AD902" s="5"/>
      <c r="AE902" s="5"/>
      <c r="AF902" s="5"/>
    </row>
    <row r="903" ht="31" spans="1:32">
      <c r="A903" s="16" t="s">
        <v>4174</v>
      </c>
      <c r="B903" s="17" t="s">
        <v>4175</v>
      </c>
      <c r="C903" s="30" t="s">
        <v>2344</v>
      </c>
      <c r="D903" s="19" t="e">
        <f>VLOOKUP(C903,#REF!,2,0)</f>
        <v>#REF!</v>
      </c>
      <c r="E903" s="20" t="e">
        <f>VLOOKUP(D903,数据集标准分类!E:F,2,0)</f>
        <v>#REF!</v>
      </c>
      <c r="F903" s="21">
        <v>25</v>
      </c>
      <c r="G903" s="22" t="s">
        <v>172</v>
      </c>
      <c r="H903" s="22" t="s">
        <v>5639</v>
      </c>
      <c r="I903" s="22" t="s">
        <v>5640</v>
      </c>
      <c r="J903" s="22" t="s">
        <v>173</v>
      </c>
      <c r="K903" s="22" t="s">
        <v>175</v>
      </c>
      <c r="L903" s="22" t="s">
        <v>1587</v>
      </c>
      <c r="M903" s="16" t="s">
        <v>5593</v>
      </c>
      <c r="N903" s="16" t="s">
        <v>5593</v>
      </c>
      <c r="O903" s="23">
        <v>1</v>
      </c>
      <c r="P903" s="24" t="e">
        <f>VLOOKUP(I903,#REF!,2,0)</f>
        <v>#REF!</v>
      </c>
      <c r="Q903" s="25"/>
      <c r="R903" s="24"/>
      <c r="S903" s="26"/>
      <c r="T903" s="24"/>
      <c r="U903" s="26"/>
      <c r="V903" s="26"/>
      <c r="W903" s="27">
        <v>592</v>
      </c>
      <c r="X903" s="28"/>
    </row>
    <row r="904" ht="31" spans="1:32">
      <c r="A904" s="16" t="s">
        <v>4174</v>
      </c>
      <c r="B904" s="17" t="s">
        <v>4175</v>
      </c>
      <c r="C904" s="30" t="s">
        <v>2344</v>
      </c>
      <c r="D904" s="19" t="e">
        <f>VLOOKUP(C904,#REF!,2,0)</f>
        <v>#REF!</v>
      </c>
      <c r="E904" s="20" t="e">
        <f>VLOOKUP(D904,数据集标准分类!E:F,2,0)</f>
        <v>#REF!</v>
      </c>
      <c r="F904" s="21">
        <v>25</v>
      </c>
      <c r="G904" s="22" t="s">
        <v>192</v>
      </c>
      <c r="H904" s="22" t="s">
        <v>5630</v>
      </c>
      <c r="I904" s="22" t="s">
        <v>5631</v>
      </c>
      <c r="J904" s="22" t="s">
        <v>193</v>
      </c>
      <c r="K904" s="22" t="s">
        <v>195</v>
      </c>
      <c r="L904" s="22" t="s">
        <v>1722</v>
      </c>
      <c r="M904" s="16" t="s">
        <v>5593</v>
      </c>
      <c r="N904" s="16" t="s">
        <v>5593</v>
      </c>
      <c r="O904" s="23">
        <v>2</v>
      </c>
      <c r="P904" s="24" t="e">
        <f>VLOOKUP(I904,#REF!,2,0)</f>
        <v>#REF!</v>
      </c>
      <c r="Q904" s="25"/>
      <c r="R904" s="24"/>
      <c r="S904" s="26"/>
      <c r="T904" s="24"/>
      <c r="U904" s="26"/>
      <c r="V904" s="26"/>
      <c r="W904" s="27">
        <v>593</v>
      </c>
      <c r="X904" s="28"/>
    </row>
    <row r="905" ht="46" spans="1:32">
      <c r="A905" s="16" t="s">
        <v>4174</v>
      </c>
      <c r="B905" s="17" t="s">
        <v>4175</v>
      </c>
      <c r="C905" s="30" t="s">
        <v>2344</v>
      </c>
      <c r="D905" s="19" t="e">
        <f>VLOOKUP(C905,#REF!,2,0)</f>
        <v>#REF!</v>
      </c>
      <c r="E905" s="20" t="e">
        <f>VLOOKUP(D905,数据集标准分类!E:F,2,0)</f>
        <v>#REF!</v>
      </c>
      <c r="F905" s="21">
        <v>25</v>
      </c>
      <c r="G905" s="22" t="s">
        <v>2345</v>
      </c>
      <c r="H905" s="22" t="s">
        <v>5983</v>
      </c>
      <c r="I905" s="22" t="s">
        <v>5984</v>
      </c>
      <c r="J905" s="22" t="s">
        <v>2346</v>
      </c>
      <c r="K905" s="22" t="s">
        <v>2348</v>
      </c>
      <c r="L905" s="22" t="s">
        <v>1723</v>
      </c>
      <c r="M905" s="16" t="s">
        <v>5593</v>
      </c>
      <c r="N905" s="16" t="s">
        <v>5593</v>
      </c>
      <c r="O905" s="23">
        <v>3</v>
      </c>
      <c r="P905" s="24" t="e">
        <f>VLOOKUP(I905,#REF!,2,0)</f>
        <v>#REF!</v>
      </c>
      <c r="Q905" s="25"/>
      <c r="R905" s="24"/>
      <c r="S905" s="26"/>
      <c r="T905" s="24"/>
      <c r="U905" s="26"/>
      <c r="V905" s="26"/>
      <c r="W905" s="27">
        <v>594</v>
      </c>
      <c r="X905" s="28"/>
    </row>
    <row r="906" ht="31" spans="1:32">
      <c r="A906" s="16" t="s">
        <v>4174</v>
      </c>
      <c r="B906" s="17" t="s">
        <v>4175</v>
      </c>
      <c r="C906" s="30" t="s">
        <v>2344</v>
      </c>
      <c r="D906" s="19" t="e">
        <f>VLOOKUP(C906,#REF!,2,0)</f>
        <v>#REF!</v>
      </c>
      <c r="E906" s="20" t="e">
        <f>VLOOKUP(D906,数据集标准分类!E:F,2,0)</f>
        <v>#REF!</v>
      </c>
      <c r="F906" s="21">
        <v>25</v>
      </c>
      <c r="G906" s="22" t="s">
        <v>1678</v>
      </c>
      <c r="H906" s="22" t="s">
        <v>5839</v>
      </c>
      <c r="I906" s="22" t="s">
        <v>1681</v>
      </c>
      <c r="J906" s="22" t="s">
        <v>1679</v>
      </c>
      <c r="K906" s="22" t="s">
        <v>1681</v>
      </c>
      <c r="L906" s="22" t="s">
        <v>1735</v>
      </c>
      <c r="M906" s="16" t="s">
        <v>5593</v>
      </c>
      <c r="N906" s="16" t="s">
        <v>5595</v>
      </c>
      <c r="O906" s="23">
        <v>4</v>
      </c>
      <c r="P906" s="24" t="e">
        <f>VLOOKUP(I906,#REF!,2,0)</f>
        <v>#REF!</v>
      </c>
      <c r="Q906" s="25"/>
      <c r="R906" s="24"/>
      <c r="S906" s="26"/>
      <c r="T906" s="24"/>
      <c r="U906" s="26"/>
      <c r="V906" s="26"/>
      <c r="W906" s="27">
        <v>595</v>
      </c>
      <c r="X906" s="28"/>
    </row>
    <row r="907" spans="1:32">
      <c r="A907" s="16" t="s">
        <v>4174</v>
      </c>
      <c r="B907" s="17" t="s">
        <v>4175</v>
      </c>
      <c r="C907" s="30" t="s">
        <v>2344</v>
      </c>
      <c r="D907" s="19" t="e">
        <f>VLOOKUP(C907,#REF!,2,0)</f>
        <v>#REF!</v>
      </c>
      <c r="E907" s="20" t="e">
        <f>VLOOKUP(D907,数据集标准分类!E:F,2,0)</f>
        <v>#REF!</v>
      </c>
      <c r="F907" s="21">
        <v>25</v>
      </c>
      <c r="G907" s="22" t="s">
        <v>1785</v>
      </c>
      <c r="H907" s="22" t="s">
        <v>5985</v>
      </c>
      <c r="I907" s="22" t="s">
        <v>1788</v>
      </c>
      <c r="J907" s="22" t="s">
        <v>1786</v>
      </c>
      <c r="K907" s="22" t="s">
        <v>1788</v>
      </c>
      <c r="L907" s="22" t="s">
        <v>1789</v>
      </c>
      <c r="M907" s="16" t="s">
        <v>5593</v>
      </c>
      <c r="N907" s="16" t="s">
        <v>5595</v>
      </c>
      <c r="O907" s="23">
        <v>5</v>
      </c>
      <c r="P907" s="24" t="e">
        <f>VLOOKUP(I907,#REF!,2,0)</f>
        <v>#REF!</v>
      </c>
      <c r="Q907" s="25"/>
      <c r="R907" s="24"/>
      <c r="S907" s="26"/>
      <c r="T907" s="24"/>
      <c r="U907" s="26"/>
      <c r="V907" s="26"/>
      <c r="W907" s="27">
        <v>596</v>
      </c>
      <c r="X907" s="28"/>
    </row>
    <row r="908" spans="1:32">
      <c r="A908" s="16" t="s">
        <v>4174</v>
      </c>
      <c r="B908" s="17" t="s">
        <v>4175</v>
      </c>
      <c r="C908" s="30" t="s">
        <v>2344</v>
      </c>
      <c r="D908" s="19" t="e">
        <f>VLOOKUP(C908,#REF!,2,0)</f>
        <v>#REF!</v>
      </c>
      <c r="E908" s="20" t="e">
        <f>VLOOKUP(D908,数据集标准分类!E:F,2,0)</f>
        <v>#REF!</v>
      </c>
      <c r="F908" s="21">
        <v>25</v>
      </c>
      <c r="G908" s="22" t="s">
        <v>2349</v>
      </c>
      <c r="H908" s="22" t="s">
        <v>5986</v>
      </c>
      <c r="I908" s="22" t="s">
        <v>2352</v>
      </c>
      <c r="J908" s="22" t="s">
        <v>2350</v>
      </c>
      <c r="K908" s="22" t="s">
        <v>2352</v>
      </c>
      <c r="L908" s="22" t="s">
        <v>2353</v>
      </c>
      <c r="M908" s="16" t="s">
        <v>5593</v>
      </c>
      <c r="N908" s="16" t="s">
        <v>5595</v>
      </c>
      <c r="O908" s="23">
        <v>6</v>
      </c>
      <c r="P908" s="24" t="e">
        <f>VLOOKUP(I908,#REF!,2,0)</f>
        <v>#REF!</v>
      </c>
      <c r="Q908" s="25"/>
      <c r="R908" s="24"/>
      <c r="S908" s="26"/>
      <c r="T908" s="24"/>
      <c r="U908" s="26"/>
      <c r="V908" s="26"/>
      <c r="W908" s="27">
        <v>597</v>
      </c>
      <c r="X908" s="28"/>
    </row>
    <row r="909" ht="46" spans="1:32">
      <c r="A909" s="16" t="s">
        <v>4174</v>
      </c>
      <c r="B909" s="17" t="s">
        <v>4175</v>
      </c>
      <c r="C909" s="30" t="s">
        <v>2344</v>
      </c>
      <c r="D909" s="19" t="e">
        <f>VLOOKUP(C909,#REF!,2,0)</f>
        <v>#REF!</v>
      </c>
      <c r="E909" s="20" t="e">
        <f>VLOOKUP(D909,数据集标准分类!E:F,2,0)</f>
        <v>#REF!</v>
      </c>
      <c r="F909" s="21">
        <v>25</v>
      </c>
      <c r="G909" s="22" t="s">
        <v>421</v>
      </c>
      <c r="H909" s="22" t="s">
        <v>5685</v>
      </c>
      <c r="I909" s="22" t="s">
        <v>424</v>
      </c>
      <c r="J909" s="22" t="s">
        <v>422</v>
      </c>
      <c r="K909" s="22" t="s">
        <v>424</v>
      </c>
      <c r="L909" s="22" t="s">
        <v>1724</v>
      </c>
      <c r="M909" s="16" t="s">
        <v>5593</v>
      </c>
      <c r="N909" s="16" t="s">
        <v>5595</v>
      </c>
      <c r="O909" s="23">
        <v>7</v>
      </c>
      <c r="P909" s="24" t="e">
        <f>VLOOKUP(I909,#REF!,2,0)</f>
        <v>#REF!</v>
      </c>
      <c r="Q909" s="25"/>
      <c r="R909" s="24"/>
      <c r="S909" s="26"/>
      <c r="T909" s="24"/>
      <c r="U909" s="26"/>
      <c r="V909" s="26"/>
      <c r="W909" s="27">
        <v>598</v>
      </c>
      <c r="X909" s="28"/>
    </row>
    <row r="910" spans="1:32">
      <c r="A910" s="16" t="s">
        <v>4174</v>
      </c>
      <c r="B910" s="17" t="s">
        <v>4175</v>
      </c>
      <c r="C910" s="30" t="s">
        <v>2344</v>
      </c>
      <c r="D910" s="19" t="e">
        <f>VLOOKUP(C910,#REF!,2,0)</f>
        <v>#REF!</v>
      </c>
      <c r="E910" s="20" t="e">
        <f>VLOOKUP(D910,数据集标准分类!E:F,2,0)</f>
        <v>#REF!</v>
      </c>
      <c r="F910" s="21">
        <v>25</v>
      </c>
      <c r="G910" s="22" t="s">
        <v>1730</v>
      </c>
      <c r="H910" s="22" t="s">
        <v>5987</v>
      </c>
      <c r="I910" s="22" t="s">
        <v>1733</v>
      </c>
      <c r="J910" s="22" t="s">
        <v>1731</v>
      </c>
      <c r="K910" s="22" t="s">
        <v>1733</v>
      </c>
      <c r="L910" s="22" t="s">
        <v>1734</v>
      </c>
      <c r="M910" s="16" t="s">
        <v>5593</v>
      </c>
      <c r="N910" s="16" t="s">
        <v>5595</v>
      </c>
      <c r="O910" s="23">
        <v>8</v>
      </c>
      <c r="P910" s="24" t="e">
        <f>VLOOKUP(I910,#REF!,2,0)</f>
        <v>#REF!</v>
      </c>
      <c r="Q910" s="25"/>
      <c r="R910" s="24"/>
      <c r="S910" s="26"/>
      <c r="T910" s="24"/>
      <c r="U910" s="26"/>
      <c r="V910" s="26"/>
      <c r="W910" s="27">
        <v>599</v>
      </c>
      <c r="X910" s="28"/>
    </row>
    <row r="911" ht="31" spans="1:32">
      <c r="A911" s="16" t="s">
        <v>4174</v>
      </c>
      <c r="B911" s="17" t="s">
        <v>4175</v>
      </c>
      <c r="C911" s="30" t="s">
        <v>2344</v>
      </c>
      <c r="D911" s="19" t="e">
        <f>VLOOKUP(C911,#REF!,2,0)</f>
        <v>#REF!</v>
      </c>
      <c r="E911" s="20" t="e">
        <f>VLOOKUP(D911,数据集标准分类!E:F,2,0)</f>
        <v>#REF!</v>
      </c>
      <c r="F911" s="21">
        <v>25</v>
      </c>
      <c r="G911" s="22" t="s">
        <v>1446</v>
      </c>
      <c r="H911" s="22" t="s">
        <v>5988</v>
      </c>
      <c r="I911" s="22" t="s">
        <v>1449</v>
      </c>
      <c r="J911" s="22" t="s">
        <v>1447</v>
      </c>
      <c r="K911" s="22" t="s">
        <v>1449</v>
      </c>
      <c r="L911" s="22" t="s">
        <v>2354</v>
      </c>
      <c r="M911" s="16" t="s">
        <v>5593</v>
      </c>
      <c r="N911" s="16" t="s">
        <v>5595</v>
      </c>
      <c r="O911" s="23">
        <v>9</v>
      </c>
      <c r="P911" s="24" t="e">
        <f>VLOOKUP(I911,#REF!,2,0)</f>
        <v>#REF!</v>
      </c>
      <c r="Q911" s="25"/>
      <c r="R911" s="24"/>
      <c r="S911" s="26"/>
      <c r="T911" s="24"/>
      <c r="U911" s="26"/>
      <c r="V911" s="26"/>
      <c r="W911" s="27">
        <v>600</v>
      </c>
      <c r="X911" s="28"/>
    </row>
    <row r="912" ht="31" spans="1:32">
      <c r="A912" s="16" t="s">
        <v>4174</v>
      </c>
      <c r="B912" s="17" t="s">
        <v>4175</v>
      </c>
      <c r="C912" s="30" t="s">
        <v>2344</v>
      </c>
      <c r="D912" s="19" t="e">
        <f>VLOOKUP(C912,#REF!,2,0)</f>
        <v>#REF!</v>
      </c>
      <c r="E912" s="20" t="e">
        <f>VLOOKUP(D912,数据集标准分类!E:F,2,0)</f>
        <v>#REF!</v>
      </c>
      <c r="F912" s="21">
        <v>25</v>
      </c>
      <c r="G912" s="22" t="s">
        <v>2355</v>
      </c>
      <c r="H912" s="22" t="s">
        <v>5989</v>
      </c>
      <c r="I912" s="22" t="s">
        <v>2358</v>
      </c>
      <c r="J912" s="22" t="s">
        <v>2356</v>
      </c>
      <c r="K912" s="22" t="s">
        <v>2358</v>
      </c>
      <c r="L912" s="22" t="s">
        <v>2359</v>
      </c>
      <c r="M912" s="16" t="s">
        <v>5593</v>
      </c>
      <c r="N912" s="16" t="s">
        <v>5595</v>
      </c>
      <c r="O912" s="23">
        <v>10</v>
      </c>
      <c r="P912" s="24" t="e">
        <f>VLOOKUP(I912,#REF!,2,0)</f>
        <v>#REF!</v>
      </c>
      <c r="Q912" s="25"/>
      <c r="R912" s="24"/>
      <c r="S912" s="26"/>
      <c r="T912" s="24"/>
      <c r="U912" s="26"/>
      <c r="V912" s="26"/>
      <c r="W912" s="27">
        <v>601</v>
      </c>
      <c r="X912" s="28"/>
    </row>
    <row r="913" ht="46" spans="1:24">
      <c r="A913" s="16" t="s">
        <v>4174</v>
      </c>
      <c r="B913" s="17" t="s">
        <v>4175</v>
      </c>
      <c r="C913" s="30" t="s">
        <v>2344</v>
      </c>
      <c r="D913" s="19" t="e">
        <f>VLOOKUP(C913,#REF!,2,0)</f>
        <v>#REF!</v>
      </c>
      <c r="E913" s="20" t="e">
        <f>VLOOKUP(D913,数据集标准分类!E:F,2,0)</f>
        <v>#REF!</v>
      </c>
      <c r="F913" s="21">
        <v>25</v>
      </c>
      <c r="G913" s="22" t="s">
        <v>2360</v>
      </c>
      <c r="H913" s="22" t="s">
        <v>5990</v>
      </c>
      <c r="I913" s="22" t="s">
        <v>2363</v>
      </c>
      <c r="J913" s="22" t="s">
        <v>2361</v>
      </c>
      <c r="K913" s="22" t="s">
        <v>2363</v>
      </c>
      <c r="L913" s="22" t="s">
        <v>2364</v>
      </c>
      <c r="M913" s="16" t="s">
        <v>5593</v>
      </c>
      <c r="N913" s="16" t="s">
        <v>5595</v>
      </c>
      <c r="O913" s="23">
        <v>11</v>
      </c>
      <c r="P913" s="24" t="e">
        <f>VLOOKUP(I913,#REF!,2,0)</f>
        <v>#REF!</v>
      </c>
      <c r="Q913" s="25"/>
      <c r="R913" s="24"/>
      <c r="S913" s="26"/>
      <c r="T913" s="24"/>
      <c r="U913" s="26"/>
      <c r="V913" s="26"/>
      <c r="W913" s="27">
        <v>602</v>
      </c>
      <c r="X913" s="28"/>
    </row>
    <row r="914" ht="60" customHeight="1" spans="1:24">
      <c r="A914" s="16" t="s">
        <v>4174</v>
      </c>
      <c r="B914" s="17" t="s">
        <v>4175</v>
      </c>
      <c r="C914" s="30" t="s">
        <v>2344</v>
      </c>
      <c r="D914" s="19" t="e">
        <f>VLOOKUP(C914,#REF!,2,0)</f>
        <v>#REF!</v>
      </c>
      <c r="E914" s="20" t="e">
        <f>VLOOKUP(D914,数据集标准分类!E:F,2,0)</f>
        <v>#REF!</v>
      </c>
      <c r="F914" s="21">
        <v>25</v>
      </c>
      <c r="G914" s="29" t="s">
        <v>2365</v>
      </c>
      <c r="H914" s="29" t="s">
        <v>2366</v>
      </c>
      <c r="I914" s="29" t="s">
        <v>2368</v>
      </c>
      <c r="J914" s="22" t="s">
        <v>2366</v>
      </c>
      <c r="K914" s="22" t="s">
        <v>2368</v>
      </c>
      <c r="L914" s="22" t="s">
        <v>2330</v>
      </c>
      <c r="M914" s="16" t="s">
        <v>5595</v>
      </c>
      <c r="N914" s="16" t="s">
        <v>5595</v>
      </c>
      <c r="O914" s="23">
        <v>12</v>
      </c>
      <c r="P914" s="24" t="e">
        <f>VLOOKUP(I914,#REF!,2,0)</f>
        <v>#REF!</v>
      </c>
      <c r="Q914" s="25"/>
      <c r="R914" s="24"/>
      <c r="S914" s="26"/>
      <c r="T914" s="24"/>
      <c r="U914" s="26"/>
      <c r="V914" s="26"/>
      <c r="W914" s="27">
        <v>603</v>
      </c>
      <c r="X914" s="28"/>
    </row>
    <row r="915" ht="46" spans="1:24">
      <c r="A915" s="16" t="s">
        <v>4174</v>
      </c>
      <c r="B915" s="17" t="s">
        <v>4175</v>
      </c>
      <c r="C915" s="30" t="s">
        <v>2344</v>
      </c>
      <c r="D915" s="19" t="e">
        <f>VLOOKUP(C915,#REF!,2,0)</f>
        <v>#REF!</v>
      </c>
      <c r="E915" s="20" t="e">
        <f>VLOOKUP(D915,数据集标准分类!E:F,2,0)</f>
        <v>#REF!</v>
      </c>
      <c r="F915" s="21">
        <v>25</v>
      </c>
      <c r="G915" s="29" t="s">
        <v>2369</v>
      </c>
      <c r="H915" s="29" t="s">
        <v>5991</v>
      </c>
      <c r="I915" s="29" t="s">
        <v>2372</v>
      </c>
      <c r="J915" s="22" t="s">
        <v>2370</v>
      </c>
      <c r="K915" s="22" t="s">
        <v>2372</v>
      </c>
      <c r="L915" s="22" t="s">
        <v>2373</v>
      </c>
      <c r="M915" s="16" t="s">
        <v>5593</v>
      </c>
      <c r="N915" s="16" t="s">
        <v>5595</v>
      </c>
      <c r="O915" s="23">
        <v>13</v>
      </c>
      <c r="P915" s="24" t="e">
        <f>VLOOKUP(I915,#REF!,2,0)</f>
        <v>#REF!</v>
      </c>
      <c r="Q915" s="25"/>
      <c r="R915" s="24"/>
      <c r="S915" s="26"/>
      <c r="T915" s="24"/>
      <c r="U915" s="26"/>
      <c r="V915" s="26"/>
      <c r="W915" s="27">
        <v>604</v>
      </c>
      <c r="X915" s="28"/>
    </row>
    <row r="916" ht="31" spans="1:24">
      <c r="A916" s="16" t="s">
        <v>4174</v>
      </c>
      <c r="B916" s="17" t="s">
        <v>4175</v>
      </c>
      <c r="C916" s="30" t="s">
        <v>2374</v>
      </c>
      <c r="D916" s="19" t="e">
        <f>VLOOKUP(C916,#REF!,2,0)</f>
        <v>#REF!</v>
      </c>
      <c r="E916" s="20" t="e">
        <f>VLOOKUP(D916,数据集标准分类!E:F,2,0)</f>
        <v>#REF!</v>
      </c>
      <c r="F916" s="21">
        <v>26</v>
      </c>
      <c r="G916" s="22" t="s">
        <v>172</v>
      </c>
      <c r="H916" s="22" t="s">
        <v>5639</v>
      </c>
      <c r="I916" s="22" t="s">
        <v>5640</v>
      </c>
      <c r="J916" s="22" t="s">
        <v>173</v>
      </c>
      <c r="K916" s="22" t="s">
        <v>175</v>
      </c>
      <c r="L916" s="22" t="s">
        <v>1587</v>
      </c>
      <c r="M916" s="16" t="s">
        <v>5593</v>
      </c>
      <c r="N916" s="16" t="s">
        <v>5593</v>
      </c>
      <c r="O916" s="23">
        <v>1</v>
      </c>
      <c r="P916" s="24" t="e">
        <f>VLOOKUP(I916,#REF!,2,0)</f>
        <v>#REF!</v>
      </c>
      <c r="Q916" s="25"/>
      <c r="R916" s="24"/>
      <c r="S916" s="26"/>
      <c r="T916" s="24"/>
      <c r="U916" s="26"/>
      <c r="V916" s="26"/>
      <c r="W916" s="27">
        <v>605</v>
      </c>
      <c r="X916" s="28"/>
    </row>
    <row r="917" ht="31" spans="1:24">
      <c r="A917" s="16" t="s">
        <v>4174</v>
      </c>
      <c r="B917" s="17" t="s">
        <v>4175</v>
      </c>
      <c r="C917" s="30" t="s">
        <v>2374</v>
      </c>
      <c r="D917" s="19" t="e">
        <f>VLOOKUP(C917,#REF!,2,0)</f>
        <v>#REF!</v>
      </c>
      <c r="E917" s="20" t="e">
        <f>VLOOKUP(D917,数据集标准分类!E:F,2,0)</f>
        <v>#REF!</v>
      </c>
      <c r="F917" s="21">
        <v>26</v>
      </c>
      <c r="G917" s="22" t="s">
        <v>192</v>
      </c>
      <c r="H917" s="22" t="s">
        <v>5630</v>
      </c>
      <c r="I917" s="22" t="s">
        <v>5631</v>
      </c>
      <c r="J917" s="22" t="s">
        <v>193</v>
      </c>
      <c r="K917" s="22" t="s">
        <v>195</v>
      </c>
      <c r="L917" s="22" t="s">
        <v>1722</v>
      </c>
      <c r="M917" s="16" t="s">
        <v>5593</v>
      </c>
      <c r="N917" s="16" t="s">
        <v>5593</v>
      </c>
      <c r="O917" s="23">
        <v>2</v>
      </c>
      <c r="P917" s="24" t="e">
        <f>VLOOKUP(I917,#REF!,2,0)</f>
        <v>#REF!</v>
      </c>
      <c r="Q917" s="25"/>
      <c r="R917" s="24"/>
      <c r="S917" s="26"/>
      <c r="T917" s="24"/>
      <c r="U917" s="26"/>
      <c r="V917" s="26"/>
      <c r="W917" s="27">
        <v>606</v>
      </c>
      <c r="X917" s="28"/>
    </row>
    <row r="918" ht="46" spans="1:24">
      <c r="A918" s="16" t="s">
        <v>4174</v>
      </c>
      <c r="B918" s="17" t="s">
        <v>4175</v>
      </c>
      <c r="C918" s="30" t="s">
        <v>2374</v>
      </c>
      <c r="D918" s="19" t="e">
        <f>VLOOKUP(C918,#REF!,2,0)</f>
        <v>#REF!</v>
      </c>
      <c r="E918" s="20" t="e">
        <f>VLOOKUP(D918,数据集标准分类!E:F,2,0)</f>
        <v>#REF!</v>
      </c>
      <c r="F918" s="21">
        <v>26</v>
      </c>
      <c r="G918" s="22" t="s">
        <v>2345</v>
      </c>
      <c r="H918" s="22" t="s">
        <v>5983</v>
      </c>
      <c r="I918" s="22" t="s">
        <v>5984</v>
      </c>
      <c r="J918" s="22" t="s">
        <v>2346</v>
      </c>
      <c r="K918" s="22" t="s">
        <v>2348</v>
      </c>
      <c r="L918" s="22" t="s">
        <v>1723</v>
      </c>
      <c r="M918" s="16" t="s">
        <v>5593</v>
      </c>
      <c r="N918" s="16" t="s">
        <v>5593</v>
      </c>
      <c r="O918" s="23">
        <v>3</v>
      </c>
      <c r="P918" s="24" t="e">
        <f>VLOOKUP(I918,#REF!,2,0)</f>
        <v>#REF!</v>
      </c>
      <c r="Q918" s="25"/>
      <c r="R918" s="24"/>
      <c r="S918" s="26"/>
      <c r="T918" s="24"/>
      <c r="U918" s="26"/>
      <c r="V918" s="26"/>
      <c r="W918" s="27">
        <v>607</v>
      </c>
      <c r="X918" s="28"/>
    </row>
    <row r="919" ht="46" spans="1:24">
      <c r="A919" s="16" t="s">
        <v>4174</v>
      </c>
      <c r="B919" s="17" t="s">
        <v>4175</v>
      </c>
      <c r="C919" s="30" t="s">
        <v>2374</v>
      </c>
      <c r="D919" s="19" t="e">
        <f>VLOOKUP(C919,#REF!,2,0)</f>
        <v>#REF!</v>
      </c>
      <c r="E919" s="20" t="e">
        <f>VLOOKUP(D919,数据集标准分类!E:F,2,0)</f>
        <v>#REF!</v>
      </c>
      <c r="F919" s="21">
        <v>26</v>
      </c>
      <c r="G919" s="22" t="s">
        <v>421</v>
      </c>
      <c r="H919" s="22" t="s">
        <v>5685</v>
      </c>
      <c r="I919" s="22" t="s">
        <v>424</v>
      </c>
      <c r="J919" s="22" t="s">
        <v>422</v>
      </c>
      <c r="K919" s="22" t="s">
        <v>424</v>
      </c>
      <c r="L919" s="22" t="s">
        <v>1724</v>
      </c>
      <c r="M919" s="16" t="s">
        <v>5593</v>
      </c>
      <c r="N919" s="16" t="s">
        <v>5595</v>
      </c>
      <c r="O919" s="23">
        <v>4</v>
      </c>
      <c r="P919" s="24" t="e">
        <f>VLOOKUP(I919,#REF!,2,0)</f>
        <v>#REF!</v>
      </c>
      <c r="Q919" s="25"/>
      <c r="R919" s="24"/>
      <c r="S919" s="26"/>
      <c r="T919" s="24"/>
      <c r="U919" s="26"/>
      <c r="V919" s="26"/>
      <c r="W919" s="27">
        <v>608</v>
      </c>
      <c r="X919" s="28"/>
    </row>
    <row r="920" spans="1:24">
      <c r="A920" s="16" t="s">
        <v>4174</v>
      </c>
      <c r="B920" s="17" t="s">
        <v>4175</v>
      </c>
      <c r="C920" s="30" t="s">
        <v>2374</v>
      </c>
      <c r="D920" s="19" t="e">
        <f>VLOOKUP(C920,#REF!,2,0)</f>
        <v>#REF!</v>
      </c>
      <c r="E920" s="20" t="e">
        <f>VLOOKUP(D920,数据集标准分类!E:F,2,0)</f>
        <v>#REF!</v>
      </c>
      <c r="F920" s="21">
        <v>26</v>
      </c>
      <c r="G920" s="22" t="s">
        <v>2375</v>
      </c>
      <c r="H920" s="22" t="s">
        <v>5992</v>
      </c>
      <c r="I920" s="22" t="s">
        <v>2378</v>
      </c>
      <c r="J920" s="22" t="s">
        <v>2376</v>
      </c>
      <c r="K920" s="22" t="s">
        <v>2378</v>
      </c>
      <c r="L920" s="22" t="s">
        <v>2379</v>
      </c>
      <c r="M920" s="16" t="s">
        <v>5593</v>
      </c>
      <c r="N920" s="16" t="s">
        <v>5595</v>
      </c>
      <c r="O920" s="23">
        <v>5</v>
      </c>
      <c r="P920" s="24" t="e">
        <f>VLOOKUP(I920,#REF!,2,0)</f>
        <v>#REF!</v>
      </c>
      <c r="Q920" s="25"/>
      <c r="R920" s="24"/>
      <c r="S920" s="26"/>
      <c r="T920" s="24"/>
      <c r="U920" s="26"/>
      <c r="V920" s="26"/>
      <c r="W920" s="27">
        <v>609</v>
      </c>
      <c r="X920" s="28"/>
    </row>
    <row r="921" ht="46" spans="1:24">
      <c r="A921" s="16" t="s">
        <v>4174</v>
      </c>
      <c r="B921" s="17" t="s">
        <v>4175</v>
      </c>
      <c r="C921" s="30" t="s">
        <v>2374</v>
      </c>
      <c r="D921" s="19" t="e">
        <f>VLOOKUP(C921,#REF!,2,0)</f>
        <v>#REF!</v>
      </c>
      <c r="E921" s="20" t="e">
        <f>VLOOKUP(D921,数据集标准分类!E:F,2,0)</f>
        <v>#REF!</v>
      </c>
      <c r="F921" s="21">
        <v>26</v>
      </c>
      <c r="G921" s="22" t="s">
        <v>2380</v>
      </c>
      <c r="H921" s="22" t="s">
        <v>5993</v>
      </c>
      <c r="I921" s="22" t="s">
        <v>2383</v>
      </c>
      <c r="J921" s="22" t="s">
        <v>2381</v>
      </c>
      <c r="K921" s="22" t="s">
        <v>2383</v>
      </c>
      <c r="L921" s="22" t="s">
        <v>2384</v>
      </c>
      <c r="M921" s="16" t="s">
        <v>5593</v>
      </c>
      <c r="N921" s="16" t="s">
        <v>5595</v>
      </c>
      <c r="O921" s="23">
        <v>6</v>
      </c>
      <c r="P921" s="24" t="e">
        <f>VLOOKUP(I921,#REF!,2,0)</f>
        <v>#REF!</v>
      </c>
      <c r="Q921" s="25"/>
      <c r="R921" s="24"/>
      <c r="S921" s="26"/>
      <c r="T921" s="24"/>
      <c r="U921" s="26"/>
      <c r="V921" s="26"/>
      <c r="W921" s="27">
        <v>610</v>
      </c>
      <c r="X921" s="28"/>
    </row>
    <row r="922" ht="31" spans="1:24">
      <c r="A922" s="16" t="s">
        <v>4174</v>
      </c>
      <c r="B922" s="17" t="s">
        <v>4175</v>
      </c>
      <c r="C922" s="30" t="s">
        <v>2374</v>
      </c>
      <c r="D922" s="19" t="e">
        <f>VLOOKUP(C922,#REF!,2,0)</f>
        <v>#REF!</v>
      </c>
      <c r="E922" s="20" t="e">
        <f>VLOOKUP(D922,数据集标准分类!E:F,2,0)</f>
        <v>#REF!</v>
      </c>
      <c r="F922" s="21">
        <v>26</v>
      </c>
      <c r="G922" s="22" t="s">
        <v>216</v>
      </c>
      <c r="H922" s="22" t="s">
        <v>5634</v>
      </c>
      <c r="I922" s="22" t="s">
        <v>219</v>
      </c>
      <c r="J922" s="22" t="s">
        <v>217</v>
      </c>
      <c r="K922" s="22" t="s">
        <v>219</v>
      </c>
      <c r="L922" s="22" t="s">
        <v>2385</v>
      </c>
      <c r="M922" s="16" t="s">
        <v>5593</v>
      </c>
      <c r="N922" s="16" t="s">
        <v>5595</v>
      </c>
      <c r="O922" s="23">
        <v>7</v>
      </c>
      <c r="P922" s="24" t="e">
        <f>VLOOKUP(I922,#REF!,2,0)</f>
        <v>#REF!</v>
      </c>
      <c r="Q922" s="25"/>
      <c r="R922" s="24"/>
      <c r="S922" s="26"/>
      <c r="T922" s="24"/>
      <c r="U922" s="26"/>
      <c r="V922" s="26"/>
      <c r="W922" s="27">
        <v>611</v>
      </c>
      <c r="X922" s="28"/>
    </row>
    <row r="923" ht="46" spans="1:24">
      <c r="A923" s="16" t="s">
        <v>4174</v>
      </c>
      <c r="B923" s="17" t="s">
        <v>4175</v>
      </c>
      <c r="C923" s="30" t="s">
        <v>2374</v>
      </c>
      <c r="D923" s="19" t="e">
        <f>VLOOKUP(C923,#REF!,2,0)</f>
        <v>#REF!</v>
      </c>
      <c r="E923" s="20" t="e">
        <f>VLOOKUP(D923,数据集标准分类!E:F,2,0)</f>
        <v>#REF!</v>
      </c>
      <c r="F923" s="21">
        <v>26</v>
      </c>
      <c r="G923" s="22" t="s">
        <v>2355</v>
      </c>
      <c r="H923" s="22" t="s">
        <v>5989</v>
      </c>
      <c r="I923" s="22" t="s">
        <v>2358</v>
      </c>
      <c r="J923" s="22" t="s">
        <v>2356</v>
      </c>
      <c r="K923" s="22" t="s">
        <v>2358</v>
      </c>
      <c r="L923" s="22" t="s">
        <v>2386</v>
      </c>
      <c r="M923" s="16" t="s">
        <v>5593</v>
      </c>
      <c r="N923" s="16" t="s">
        <v>5595</v>
      </c>
      <c r="O923" s="23">
        <v>8</v>
      </c>
      <c r="P923" s="24" t="e">
        <f>VLOOKUP(I923,#REF!,2,0)</f>
        <v>#REF!</v>
      </c>
      <c r="Q923" s="25"/>
      <c r="R923" s="24"/>
      <c r="S923" s="26"/>
      <c r="T923" s="24"/>
      <c r="U923" s="26"/>
      <c r="V923" s="26"/>
      <c r="W923" s="27">
        <v>612</v>
      </c>
      <c r="X923" s="28"/>
    </row>
    <row r="924" ht="31" spans="1:24">
      <c r="A924" s="16" t="s">
        <v>4174</v>
      </c>
      <c r="B924" s="17" t="s">
        <v>4175</v>
      </c>
      <c r="C924" s="30" t="s">
        <v>2374</v>
      </c>
      <c r="D924" s="19" t="e">
        <f>VLOOKUP(C924,#REF!,2,0)</f>
        <v>#REF!</v>
      </c>
      <c r="E924" s="20" t="e">
        <f>VLOOKUP(D924,数据集标准分类!E:F,2,0)</f>
        <v>#REF!</v>
      </c>
      <c r="F924" s="21">
        <v>26</v>
      </c>
      <c r="G924" s="22" t="s">
        <v>2387</v>
      </c>
      <c r="H924" s="22" t="s">
        <v>5994</v>
      </c>
      <c r="I924" s="22" t="s">
        <v>5995</v>
      </c>
      <c r="J924" s="22" t="s">
        <v>2388</v>
      </c>
      <c r="K924" s="22" t="s">
        <v>2390</v>
      </c>
      <c r="L924" s="22" t="s">
        <v>2391</v>
      </c>
      <c r="M924" s="16" t="s">
        <v>5593</v>
      </c>
      <c r="N924" s="16" t="s">
        <v>5593</v>
      </c>
      <c r="O924" s="23">
        <v>9</v>
      </c>
      <c r="P924" s="24" t="e">
        <f>VLOOKUP(I924,#REF!,2,0)</f>
        <v>#REF!</v>
      </c>
      <c r="Q924" s="25"/>
      <c r="R924" s="24"/>
      <c r="S924" s="26"/>
      <c r="T924" s="24"/>
      <c r="U924" s="26"/>
      <c r="V924" s="26"/>
      <c r="W924" s="27">
        <v>613</v>
      </c>
      <c r="X924" s="28"/>
    </row>
    <row r="925" ht="31" spans="1:24">
      <c r="A925" s="16" t="s">
        <v>4174</v>
      </c>
      <c r="B925" s="17" t="s">
        <v>4175</v>
      </c>
      <c r="C925" s="30" t="s">
        <v>2374</v>
      </c>
      <c r="D925" s="19" t="e">
        <f>VLOOKUP(C925,#REF!,2,0)</f>
        <v>#REF!</v>
      </c>
      <c r="E925" s="20" t="e">
        <f>VLOOKUP(D925,数据集标准分类!E:F,2,0)</f>
        <v>#REF!</v>
      </c>
      <c r="F925" s="21">
        <v>26</v>
      </c>
      <c r="G925" s="22" t="s">
        <v>2392</v>
      </c>
      <c r="H925" s="22" t="s">
        <v>5996</v>
      </c>
      <c r="I925" s="22" t="s">
        <v>5997</v>
      </c>
      <c r="J925" s="22" t="s">
        <v>2393</v>
      </c>
      <c r="K925" s="22" t="s">
        <v>2395</v>
      </c>
      <c r="L925" s="22" t="s">
        <v>2396</v>
      </c>
      <c r="M925" s="16" t="s">
        <v>5593</v>
      </c>
      <c r="N925" s="16" t="s">
        <v>5593</v>
      </c>
      <c r="O925" s="23">
        <v>10</v>
      </c>
      <c r="P925" s="24" t="e">
        <f>VLOOKUP(I925,#REF!,2,0)</f>
        <v>#REF!</v>
      </c>
      <c r="Q925" s="25"/>
      <c r="R925" s="24"/>
      <c r="S925" s="26"/>
      <c r="T925" s="24"/>
      <c r="U925" s="26"/>
      <c r="V925" s="26"/>
      <c r="W925" s="27">
        <v>614</v>
      </c>
      <c r="X925" s="28"/>
    </row>
    <row r="926" ht="60" customHeight="1" spans="1:24">
      <c r="A926" s="16" t="s">
        <v>4174</v>
      </c>
      <c r="B926" s="17" t="s">
        <v>4175</v>
      </c>
      <c r="C926" s="30" t="s">
        <v>2374</v>
      </c>
      <c r="D926" s="19" t="e">
        <f>VLOOKUP(C926,#REF!,2,0)</f>
        <v>#REF!</v>
      </c>
      <c r="E926" s="20" t="e">
        <f>VLOOKUP(D926,数据集标准分类!E:F,2,0)</f>
        <v>#REF!</v>
      </c>
      <c r="F926" s="21">
        <v>26</v>
      </c>
      <c r="G926" s="29" t="s">
        <v>2365</v>
      </c>
      <c r="H926" s="29" t="s">
        <v>2366</v>
      </c>
      <c r="I926" s="29" t="s">
        <v>2368</v>
      </c>
      <c r="J926" s="22" t="s">
        <v>2366</v>
      </c>
      <c r="K926" s="22" t="s">
        <v>2368</v>
      </c>
      <c r="L926" s="22" t="s">
        <v>2330</v>
      </c>
      <c r="M926" s="16" t="s">
        <v>5595</v>
      </c>
      <c r="N926" s="16" t="s">
        <v>5595</v>
      </c>
      <c r="O926" s="23">
        <v>11</v>
      </c>
      <c r="P926" s="24" t="e">
        <f>VLOOKUP(I926,#REF!,2,0)</f>
        <v>#REF!</v>
      </c>
      <c r="Q926" s="25"/>
      <c r="R926" s="24"/>
      <c r="S926" s="26"/>
      <c r="T926" s="24"/>
      <c r="U926" s="26"/>
      <c r="V926" s="26"/>
      <c r="W926" s="27">
        <v>615</v>
      </c>
      <c r="X926" s="28"/>
    </row>
    <row r="927" ht="46" spans="1:24">
      <c r="A927" s="16" t="s">
        <v>4174</v>
      </c>
      <c r="B927" s="17" t="s">
        <v>4175</v>
      </c>
      <c r="C927" s="30" t="s">
        <v>2374</v>
      </c>
      <c r="D927" s="19" t="e">
        <f>VLOOKUP(C927,#REF!,2,0)</f>
        <v>#REF!</v>
      </c>
      <c r="E927" s="20" t="e">
        <f>VLOOKUP(D927,数据集标准分类!E:F,2,0)</f>
        <v>#REF!</v>
      </c>
      <c r="F927" s="21">
        <v>26</v>
      </c>
      <c r="G927" s="29" t="s">
        <v>2369</v>
      </c>
      <c r="H927" s="29" t="s">
        <v>5991</v>
      </c>
      <c r="I927" s="29" t="s">
        <v>2372</v>
      </c>
      <c r="J927" s="22" t="s">
        <v>2370</v>
      </c>
      <c r="K927" s="22" t="s">
        <v>2372</v>
      </c>
      <c r="L927" s="22" t="s">
        <v>2373</v>
      </c>
      <c r="M927" s="16" t="s">
        <v>5593</v>
      </c>
      <c r="N927" s="16" t="s">
        <v>5595</v>
      </c>
      <c r="O927" s="23">
        <v>12</v>
      </c>
      <c r="P927" s="24" t="e">
        <f>VLOOKUP(I927,#REF!,2,0)</f>
        <v>#REF!</v>
      </c>
      <c r="Q927" s="25"/>
      <c r="R927" s="24"/>
      <c r="S927" s="26"/>
      <c r="T927" s="24"/>
      <c r="U927" s="26"/>
      <c r="V927" s="26"/>
      <c r="W927" s="27">
        <v>616</v>
      </c>
      <c r="X927" s="28"/>
    </row>
    <row r="928" ht="31" spans="1:24">
      <c r="A928" s="16" t="s">
        <v>4174</v>
      </c>
      <c r="B928" s="17" t="s">
        <v>4175</v>
      </c>
      <c r="C928" s="30" t="s">
        <v>2313</v>
      </c>
      <c r="D928" s="19" t="e">
        <f>VLOOKUP(C928,#REF!,2,0)</f>
        <v>#REF!</v>
      </c>
      <c r="E928" s="20" t="e">
        <f>VLOOKUP(D928,数据集标准分类!E:F,2,0)</f>
        <v>#REF!</v>
      </c>
      <c r="F928" s="21">
        <v>27</v>
      </c>
      <c r="G928" s="22" t="s">
        <v>172</v>
      </c>
      <c r="H928" s="22" t="s">
        <v>5639</v>
      </c>
      <c r="I928" s="22" t="s">
        <v>5640</v>
      </c>
      <c r="J928" s="22" t="s">
        <v>173</v>
      </c>
      <c r="K928" s="22" t="s">
        <v>175</v>
      </c>
      <c r="L928" s="22" t="s">
        <v>1245</v>
      </c>
      <c r="M928" s="16" t="s">
        <v>5593</v>
      </c>
      <c r="N928" s="16" t="s">
        <v>5593</v>
      </c>
      <c r="O928" s="23">
        <v>1</v>
      </c>
      <c r="P928" s="24" t="e">
        <f>VLOOKUP(I928,#REF!,2,0)</f>
        <v>#REF!</v>
      </c>
      <c r="Q928" s="25"/>
      <c r="R928" s="24"/>
      <c r="S928" s="26"/>
      <c r="T928" s="24"/>
      <c r="U928" s="26"/>
      <c r="V928" s="26"/>
      <c r="W928" s="27">
        <v>617</v>
      </c>
      <c r="X928" s="28"/>
    </row>
    <row r="929" ht="31" spans="1:24">
      <c r="A929" s="16" t="s">
        <v>4174</v>
      </c>
      <c r="B929" s="17" t="s">
        <v>4175</v>
      </c>
      <c r="C929" s="30" t="s">
        <v>2313</v>
      </c>
      <c r="D929" s="19" t="e">
        <f>VLOOKUP(C929,#REF!,2,0)</f>
        <v>#REF!</v>
      </c>
      <c r="E929" s="20" t="e">
        <f>VLOOKUP(D929,数据集标准分类!E:F,2,0)</f>
        <v>#REF!</v>
      </c>
      <c r="F929" s="21">
        <v>27</v>
      </c>
      <c r="G929" s="22" t="s">
        <v>1323</v>
      </c>
      <c r="H929" s="22" t="s">
        <v>5732</v>
      </c>
      <c r="I929" s="22" t="s">
        <v>5733</v>
      </c>
      <c r="J929" s="22" t="s">
        <v>1324</v>
      </c>
      <c r="K929" s="22" t="s">
        <v>1326</v>
      </c>
      <c r="L929" s="22" t="s">
        <v>1327</v>
      </c>
      <c r="M929" s="16" t="s">
        <v>5593</v>
      </c>
      <c r="N929" s="16" t="s">
        <v>5593</v>
      </c>
      <c r="O929" s="23">
        <v>2</v>
      </c>
      <c r="P929" s="24" t="e">
        <f>VLOOKUP(I929,#REF!,2,0)</f>
        <v>#REF!</v>
      </c>
      <c r="Q929" s="25"/>
      <c r="R929" s="24"/>
      <c r="S929" s="26"/>
      <c r="T929" s="24"/>
      <c r="U929" s="26"/>
      <c r="V929" s="26"/>
      <c r="W929" s="27">
        <v>618</v>
      </c>
      <c r="X929" s="28"/>
    </row>
    <row r="930" ht="31" spans="1:24">
      <c r="A930" s="16" t="s">
        <v>4174</v>
      </c>
      <c r="B930" s="17" t="s">
        <v>4175</v>
      </c>
      <c r="C930" s="30" t="s">
        <v>2313</v>
      </c>
      <c r="D930" s="19" t="e">
        <f>VLOOKUP(C930,#REF!,2,0)</f>
        <v>#REF!</v>
      </c>
      <c r="E930" s="20" t="e">
        <f>VLOOKUP(D930,数据集标准分类!E:F,2,0)</f>
        <v>#REF!</v>
      </c>
      <c r="F930" s="21">
        <v>27</v>
      </c>
      <c r="G930" s="22" t="s">
        <v>1343</v>
      </c>
      <c r="H930" s="22" t="s">
        <v>5737</v>
      </c>
      <c r="I930" s="22" t="s">
        <v>1346</v>
      </c>
      <c r="J930" s="22" t="s">
        <v>1344</v>
      </c>
      <c r="K930" s="22" t="s">
        <v>1346</v>
      </c>
      <c r="L930" s="22" t="s">
        <v>1347</v>
      </c>
      <c r="M930" s="16" t="s">
        <v>5593</v>
      </c>
      <c r="N930" s="16" t="s">
        <v>5595</v>
      </c>
      <c r="O930" s="23">
        <v>3</v>
      </c>
      <c r="P930" s="24" t="e">
        <f>VLOOKUP(I930,#REF!,2,0)</f>
        <v>#REF!</v>
      </c>
      <c r="Q930" s="25"/>
      <c r="R930" s="24"/>
      <c r="S930" s="26"/>
      <c r="T930" s="24"/>
      <c r="U930" s="26"/>
      <c r="V930" s="26"/>
      <c r="W930" s="27">
        <v>619</v>
      </c>
      <c r="X930" s="28"/>
    </row>
    <row r="931" ht="31" spans="1:24">
      <c r="A931" s="16" t="s">
        <v>4174</v>
      </c>
      <c r="B931" s="17" t="s">
        <v>4175</v>
      </c>
      <c r="C931" s="30" t="s">
        <v>2313</v>
      </c>
      <c r="D931" s="19" t="e">
        <f>VLOOKUP(C931,#REF!,2,0)</f>
        <v>#REF!</v>
      </c>
      <c r="E931" s="20" t="e">
        <f>VLOOKUP(D931,数据集标准分类!E:F,2,0)</f>
        <v>#REF!</v>
      </c>
      <c r="F931" s="21">
        <v>27</v>
      </c>
      <c r="G931" s="22" t="s">
        <v>1349</v>
      </c>
      <c r="H931" s="22" t="s">
        <v>5724</v>
      </c>
      <c r="I931" s="22" t="s">
        <v>1352</v>
      </c>
      <c r="J931" s="22" t="s">
        <v>1350</v>
      </c>
      <c r="K931" s="22" t="s">
        <v>1352</v>
      </c>
      <c r="L931" s="22" t="s">
        <v>1353</v>
      </c>
      <c r="M931" s="16" t="s">
        <v>5593</v>
      </c>
      <c r="N931" s="16" t="s">
        <v>5595</v>
      </c>
      <c r="O931" s="23">
        <v>4</v>
      </c>
      <c r="P931" s="24" t="e">
        <f>VLOOKUP(I931,#REF!,2,0)</f>
        <v>#REF!</v>
      </c>
      <c r="Q931" s="25"/>
      <c r="R931" s="24"/>
      <c r="S931" s="26"/>
      <c r="T931" s="24"/>
      <c r="U931" s="26"/>
      <c r="V931" s="26"/>
      <c r="W931" s="27">
        <v>620</v>
      </c>
      <c r="X931" s="28"/>
    </row>
    <row r="932" ht="46" spans="1:24">
      <c r="A932" s="16" t="s">
        <v>4174</v>
      </c>
      <c r="B932" s="17" t="s">
        <v>4175</v>
      </c>
      <c r="C932" s="30" t="s">
        <v>2313</v>
      </c>
      <c r="D932" s="19" t="e">
        <f>VLOOKUP(C932,#REF!,2,0)</f>
        <v>#REF!</v>
      </c>
      <c r="E932" s="20" t="e">
        <f>VLOOKUP(D932,数据集标准分类!E:F,2,0)</f>
        <v>#REF!</v>
      </c>
      <c r="F932" s="21">
        <v>27</v>
      </c>
      <c r="G932" s="22" t="s">
        <v>2314</v>
      </c>
      <c r="H932" s="22" t="s">
        <v>5998</v>
      </c>
      <c r="I932" s="22" t="s">
        <v>2317</v>
      </c>
      <c r="J932" s="22" t="s">
        <v>2315</v>
      </c>
      <c r="K932" s="22" t="s">
        <v>2317</v>
      </c>
      <c r="L932" s="22" t="s">
        <v>2318</v>
      </c>
      <c r="M932" s="16" t="s">
        <v>5593</v>
      </c>
      <c r="N932" s="16" t="s">
        <v>5595</v>
      </c>
      <c r="O932" s="23">
        <v>5</v>
      </c>
      <c r="P932" s="24" t="e">
        <f>VLOOKUP(I932,#REF!,2,0)</f>
        <v>#REF!</v>
      </c>
      <c r="Q932" s="25"/>
      <c r="R932" s="24"/>
      <c r="S932" s="26"/>
      <c r="T932" s="24"/>
      <c r="U932" s="26"/>
      <c r="V932" s="26"/>
      <c r="W932" s="27">
        <v>621</v>
      </c>
      <c r="X932" s="28"/>
    </row>
    <row r="933" ht="46" spans="1:24">
      <c r="A933" s="16" t="s">
        <v>4174</v>
      </c>
      <c r="B933" s="17" t="s">
        <v>4175</v>
      </c>
      <c r="C933" s="30" t="s">
        <v>2313</v>
      </c>
      <c r="D933" s="19" t="e">
        <f>VLOOKUP(C933,#REF!,2,0)</f>
        <v>#REF!</v>
      </c>
      <c r="E933" s="20" t="e">
        <f>VLOOKUP(D933,数据集标准分类!E:F,2,0)</f>
        <v>#REF!</v>
      </c>
      <c r="F933" s="21">
        <v>27</v>
      </c>
      <c r="G933" s="22" t="s">
        <v>1399</v>
      </c>
      <c r="H933" s="22" t="s">
        <v>5999</v>
      </c>
      <c r="I933" s="22" t="s">
        <v>1402</v>
      </c>
      <c r="J933" s="22" t="s">
        <v>1400</v>
      </c>
      <c r="K933" s="22" t="s">
        <v>1402</v>
      </c>
      <c r="L933" s="22" t="s">
        <v>2319</v>
      </c>
      <c r="M933" s="16" t="s">
        <v>5593</v>
      </c>
      <c r="N933" s="16" t="s">
        <v>5595</v>
      </c>
      <c r="O933" s="23">
        <v>6</v>
      </c>
      <c r="P933" s="24" t="e">
        <f>VLOOKUP(I933,#REF!,2,0)</f>
        <v>#REF!</v>
      </c>
      <c r="Q933" s="25"/>
      <c r="R933" s="24"/>
      <c r="S933" s="26"/>
      <c r="T933" s="24"/>
      <c r="U933" s="26"/>
      <c r="V933" s="26"/>
      <c r="W933" s="27">
        <v>622</v>
      </c>
      <c r="X933" s="28"/>
    </row>
    <row r="934" ht="46" spans="1:24">
      <c r="A934" s="16" t="s">
        <v>4174</v>
      </c>
      <c r="B934" s="17" t="s">
        <v>4175</v>
      </c>
      <c r="C934" s="30" t="s">
        <v>2313</v>
      </c>
      <c r="D934" s="19" t="e">
        <f>VLOOKUP(C934,#REF!,2,0)</f>
        <v>#REF!</v>
      </c>
      <c r="E934" s="20" t="e">
        <f>VLOOKUP(D934,数据集标准分类!E:F,2,0)</f>
        <v>#REF!</v>
      </c>
      <c r="F934" s="21">
        <v>27</v>
      </c>
      <c r="G934" s="22" t="s">
        <v>2320</v>
      </c>
      <c r="H934" s="22" t="s">
        <v>6000</v>
      </c>
      <c r="I934" s="22" t="s">
        <v>6001</v>
      </c>
      <c r="J934" s="22" t="s">
        <v>2321</v>
      </c>
      <c r="K934" s="22" t="s">
        <v>2323</v>
      </c>
      <c r="L934" s="22" t="s">
        <v>2324</v>
      </c>
      <c r="M934" s="16" t="s">
        <v>5593</v>
      </c>
      <c r="N934" s="16" t="s">
        <v>5593</v>
      </c>
      <c r="O934" s="23">
        <v>7</v>
      </c>
      <c r="P934" s="24" t="e">
        <f>VLOOKUP(I934,#REF!,2,0)</f>
        <v>#REF!</v>
      </c>
      <c r="Q934" s="25"/>
      <c r="R934" s="24"/>
      <c r="S934" s="26"/>
      <c r="T934" s="24"/>
      <c r="U934" s="26"/>
      <c r="V934" s="26"/>
      <c r="W934" s="27">
        <v>623</v>
      </c>
      <c r="X934" s="28"/>
    </row>
    <row r="935" ht="31" spans="1:24">
      <c r="A935" s="16" t="s">
        <v>4174</v>
      </c>
      <c r="B935" s="17" t="s">
        <v>4175</v>
      </c>
      <c r="C935" s="30" t="s">
        <v>2313</v>
      </c>
      <c r="D935" s="19" t="e">
        <f>VLOOKUP(C935,#REF!,2,0)</f>
        <v>#REF!</v>
      </c>
      <c r="E935" s="20" t="e">
        <f>VLOOKUP(D935,数据集标准分类!E:F,2,0)</f>
        <v>#REF!</v>
      </c>
      <c r="F935" s="21">
        <v>27</v>
      </c>
      <c r="G935" s="22" t="s">
        <v>2325</v>
      </c>
      <c r="H935" s="22" t="s">
        <v>6002</v>
      </c>
      <c r="I935" s="22" t="s">
        <v>2328</v>
      </c>
      <c r="J935" s="22" t="s">
        <v>2326</v>
      </c>
      <c r="K935" s="22" t="s">
        <v>2328</v>
      </c>
      <c r="L935" s="22" t="s">
        <v>2329</v>
      </c>
      <c r="M935" s="16" t="s">
        <v>5593</v>
      </c>
      <c r="N935" s="16" t="s">
        <v>5595</v>
      </c>
      <c r="O935" s="23">
        <v>8</v>
      </c>
      <c r="P935" s="24" t="e">
        <f>VLOOKUP(I935,#REF!,2,0)</f>
        <v>#REF!</v>
      </c>
      <c r="Q935" s="25"/>
      <c r="R935" s="24"/>
      <c r="S935" s="26"/>
      <c r="T935" s="24"/>
      <c r="U935" s="26"/>
      <c r="V935" s="26"/>
      <c r="W935" s="27">
        <v>624</v>
      </c>
      <c r="X935" s="28"/>
    </row>
    <row r="936" ht="60" customHeight="1" spans="1:24">
      <c r="A936" s="16" t="s">
        <v>4174</v>
      </c>
      <c r="B936" s="17" t="s">
        <v>4175</v>
      </c>
      <c r="C936" s="30" t="s">
        <v>2313</v>
      </c>
      <c r="D936" s="19" t="e">
        <f>VLOOKUP(C936,#REF!,2,0)</f>
        <v>#REF!</v>
      </c>
      <c r="E936" s="20" t="e">
        <f>VLOOKUP(D936,数据集标准分类!E:F,2,0)</f>
        <v>#REF!</v>
      </c>
      <c r="F936" s="21">
        <v>27</v>
      </c>
      <c r="G936" s="22" t="s">
        <v>1418</v>
      </c>
      <c r="H936" s="22" t="s">
        <v>1419</v>
      </c>
      <c r="I936" s="22" t="s">
        <v>1421</v>
      </c>
      <c r="J936" s="22" t="s">
        <v>1419</v>
      </c>
      <c r="K936" s="22" t="s">
        <v>1421</v>
      </c>
      <c r="L936" s="22" t="s">
        <v>2330</v>
      </c>
      <c r="M936" s="16" t="s">
        <v>5595</v>
      </c>
      <c r="N936" s="16" t="s">
        <v>5595</v>
      </c>
      <c r="O936" s="23">
        <v>9</v>
      </c>
      <c r="P936" s="24" t="e">
        <f>VLOOKUP(I936,#REF!,2,0)</f>
        <v>#REF!</v>
      </c>
      <c r="Q936" s="25"/>
      <c r="R936" s="24"/>
      <c r="S936" s="26"/>
      <c r="T936" s="24"/>
      <c r="U936" s="26"/>
      <c r="V936" s="26"/>
      <c r="W936" s="27">
        <v>625</v>
      </c>
      <c r="X936" s="28"/>
    </row>
    <row r="937" ht="46" spans="1:24">
      <c r="A937" s="16" t="s">
        <v>4174</v>
      </c>
      <c r="B937" s="17" t="s">
        <v>4175</v>
      </c>
      <c r="C937" s="30" t="s">
        <v>2313</v>
      </c>
      <c r="D937" s="19" t="e">
        <f>VLOOKUP(C937,#REF!,2,0)</f>
        <v>#REF!</v>
      </c>
      <c r="E937" s="20" t="e">
        <f>VLOOKUP(D937,数据集标准分类!E:F,2,0)</f>
        <v>#REF!</v>
      </c>
      <c r="F937" s="21">
        <v>27</v>
      </c>
      <c r="G937" s="22" t="s">
        <v>1418</v>
      </c>
      <c r="H937" s="22" t="s">
        <v>1419</v>
      </c>
      <c r="I937" s="22" t="s">
        <v>1421</v>
      </c>
      <c r="J937" s="22" t="s">
        <v>1419</v>
      </c>
      <c r="K937" s="22" t="s">
        <v>1421</v>
      </c>
      <c r="L937" s="22" t="s">
        <v>2331</v>
      </c>
      <c r="M937" s="16" t="s">
        <v>5595</v>
      </c>
      <c r="N937" s="16" t="s">
        <v>5595</v>
      </c>
      <c r="O937" s="23">
        <v>10</v>
      </c>
      <c r="P937" s="24" t="e">
        <f>VLOOKUP(I937,#REF!,2,0)</f>
        <v>#REF!</v>
      </c>
      <c r="Q937" s="25"/>
      <c r="R937" s="24"/>
      <c r="S937" s="26"/>
      <c r="T937" s="24"/>
      <c r="U937" s="26"/>
      <c r="V937" s="26"/>
      <c r="W937" s="27">
        <v>626</v>
      </c>
      <c r="X937" s="28"/>
    </row>
    <row r="938" ht="31" spans="1:24">
      <c r="A938" s="16" t="s">
        <v>4174</v>
      </c>
      <c r="B938" s="17" t="s">
        <v>4175</v>
      </c>
      <c r="C938" s="30" t="s">
        <v>2397</v>
      </c>
      <c r="D938" s="19" t="e">
        <f>VLOOKUP(C938,#REF!,2,0)</f>
        <v>#REF!</v>
      </c>
      <c r="E938" s="20" t="e">
        <f>VLOOKUP(D938,数据集标准分类!E:F,2,0)</f>
        <v>#REF!</v>
      </c>
      <c r="F938" s="21">
        <v>28</v>
      </c>
      <c r="G938" s="22" t="s">
        <v>172</v>
      </c>
      <c r="H938" s="22" t="s">
        <v>5639</v>
      </c>
      <c r="I938" s="22" t="s">
        <v>5640</v>
      </c>
      <c r="J938" s="22" t="s">
        <v>173</v>
      </c>
      <c r="K938" s="22" t="s">
        <v>175</v>
      </c>
      <c r="L938" s="22" t="s">
        <v>1245</v>
      </c>
      <c r="M938" s="16" t="s">
        <v>5593</v>
      </c>
      <c r="N938" s="16" t="s">
        <v>5593</v>
      </c>
      <c r="O938" s="23">
        <v>1</v>
      </c>
      <c r="P938" s="24" t="e">
        <f>VLOOKUP(I938,#REF!,2,0)</f>
        <v>#REF!</v>
      </c>
      <c r="Q938" s="25"/>
      <c r="R938" s="24"/>
      <c r="S938" s="26"/>
      <c r="T938" s="24"/>
      <c r="U938" s="26"/>
      <c r="V938" s="26"/>
      <c r="W938" s="27">
        <v>627</v>
      </c>
      <c r="X938" s="28"/>
    </row>
    <row r="939" ht="31" spans="1:24">
      <c r="A939" s="16" t="s">
        <v>4174</v>
      </c>
      <c r="B939" s="17" t="s">
        <v>4175</v>
      </c>
      <c r="C939" s="30" t="s">
        <v>2397</v>
      </c>
      <c r="D939" s="19" t="e">
        <f>VLOOKUP(C939,#REF!,2,0)</f>
        <v>#REF!</v>
      </c>
      <c r="E939" s="20" t="e">
        <f>VLOOKUP(D939,数据集标准分类!E:F,2,0)</f>
        <v>#REF!</v>
      </c>
      <c r="F939" s="21">
        <v>28</v>
      </c>
      <c r="G939" s="22" t="s">
        <v>2398</v>
      </c>
      <c r="H939" s="22" t="s">
        <v>2399</v>
      </c>
      <c r="I939" s="22" t="s">
        <v>2401</v>
      </c>
      <c r="J939" s="22" t="s">
        <v>2399</v>
      </c>
      <c r="K939" s="22" t="s">
        <v>2401</v>
      </c>
      <c r="L939" s="22" t="s">
        <v>2402</v>
      </c>
      <c r="M939" s="16" t="s">
        <v>5595</v>
      </c>
      <c r="N939" s="16" t="s">
        <v>5595</v>
      </c>
      <c r="O939" s="23">
        <v>2</v>
      </c>
      <c r="P939" s="24" t="e">
        <f>VLOOKUP(I939,#REF!,2,0)</f>
        <v>#REF!</v>
      </c>
      <c r="Q939" s="25"/>
      <c r="R939" s="24"/>
      <c r="S939" s="26"/>
      <c r="T939" s="24"/>
      <c r="U939" s="26"/>
      <c r="V939" s="26"/>
      <c r="W939" s="27">
        <v>628</v>
      </c>
      <c r="X939" s="28"/>
    </row>
    <row r="940" ht="31" spans="1:24">
      <c r="A940" s="16" t="s">
        <v>4174</v>
      </c>
      <c r="B940" s="17" t="s">
        <v>4175</v>
      </c>
      <c r="C940" s="30" t="s">
        <v>2397</v>
      </c>
      <c r="D940" s="19" t="e">
        <f>VLOOKUP(C940,#REF!,2,0)</f>
        <v>#REF!</v>
      </c>
      <c r="E940" s="20" t="e">
        <f>VLOOKUP(D940,数据集标准分类!E:F,2,0)</f>
        <v>#REF!</v>
      </c>
      <c r="F940" s="21">
        <v>28</v>
      </c>
      <c r="G940" s="22" t="s">
        <v>2403</v>
      </c>
      <c r="H940" s="22" t="s">
        <v>6003</v>
      </c>
      <c r="I940" s="22" t="s">
        <v>2406</v>
      </c>
      <c r="J940" s="22" t="s">
        <v>2404</v>
      </c>
      <c r="K940" s="22" t="s">
        <v>2406</v>
      </c>
      <c r="L940" s="22" t="s">
        <v>2407</v>
      </c>
      <c r="M940" s="16" t="s">
        <v>5593</v>
      </c>
      <c r="N940" s="16" t="s">
        <v>5595</v>
      </c>
      <c r="O940" s="23">
        <v>3</v>
      </c>
      <c r="P940" s="24" t="e">
        <f>VLOOKUP(I940,#REF!,2,0)</f>
        <v>#REF!</v>
      </c>
      <c r="Q940" s="25"/>
      <c r="R940" s="24"/>
      <c r="S940" s="26"/>
      <c r="T940" s="24"/>
      <c r="U940" s="26"/>
      <c r="V940" s="26"/>
      <c r="W940" s="27">
        <v>629</v>
      </c>
      <c r="X940" s="28"/>
    </row>
    <row r="941" ht="36" customHeight="1" spans="1:24">
      <c r="A941" s="16" t="s">
        <v>4174</v>
      </c>
      <c r="B941" s="17" t="s">
        <v>4175</v>
      </c>
      <c r="C941" s="30" t="s">
        <v>2397</v>
      </c>
      <c r="D941" s="19" t="e">
        <f>VLOOKUP(C941,#REF!,2,0)</f>
        <v>#REF!</v>
      </c>
      <c r="E941" s="20" t="e">
        <f>VLOOKUP(D941,数据集标准分类!E:F,2,0)</f>
        <v>#REF!</v>
      </c>
      <c r="F941" s="21">
        <v>28</v>
      </c>
      <c r="G941" s="22" t="s">
        <v>2355</v>
      </c>
      <c r="H941" s="22" t="s">
        <v>5989</v>
      </c>
      <c r="I941" s="22" t="s">
        <v>2358</v>
      </c>
      <c r="J941" s="22" t="s">
        <v>2356</v>
      </c>
      <c r="K941" s="22" t="s">
        <v>2358</v>
      </c>
      <c r="L941" s="22" t="s">
        <v>2408</v>
      </c>
      <c r="M941" s="16" t="s">
        <v>5593</v>
      </c>
      <c r="N941" s="16" t="s">
        <v>5595</v>
      </c>
      <c r="O941" s="23">
        <v>4</v>
      </c>
      <c r="P941" s="24" t="e">
        <f>VLOOKUP(I941,#REF!,2,0)</f>
        <v>#REF!</v>
      </c>
      <c r="Q941" s="25"/>
      <c r="R941" s="24"/>
      <c r="S941" s="26"/>
      <c r="T941" s="24"/>
      <c r="U941" s="26"/>
      <c r="V941" s="26"/>
      <c r="W941" s="27">
        <v>630</v>
      </c>
      <c r="X941" s="28"/>
    </row>
    <row r="942" ht="46" spans="1:24">
      <c r="A942" s="16" t="s">
        <v>4174</v>
      </c>
      <c r="B942" s="17" t="s">
        <v>4175</v>
      </c>
      <c r="C942" s="30" t="s">
        <v>2397</v>
      </c>
      <c r="D942" s="19" t="e">
        <f>VLOOKUP(C942,#REF!,2,0)</f>
        <v>#REF!</v>
      </c>
      <c r="E942" s="20" t="e">
        <f>VLOOKUP(D942,数据集标准分类!E:F,2,0)</f>
        <v>#REF!</v>
      </c>
      <c r="F942" s="21">
        <v>28</v>
      </c>
      <c r="G942" s="22" t="s">
        <v>2360</v>
      </c>
      <c r="H942" s="22" t="s">
        <v>5990</v>
      </c>
      <c r="I942" s="22" t="s">
        <v>2363</v>
      </c>
      <c r="J942" s="22" t="s">
        <v>2361</v>
      </c>
      <c r="K942" s="22" t="s">
        <v>2363</v>
      </c>
      <c r="L942" s="22" t="s">
        <v>2364</v>
      </c>
      <c r="M942" s="16" t="s">
        <v>5593</v>
      </c>
      <c r="N942" s="16" t="s">
        <v>5595</v>
      </c>
      <c r="O942" s="23">
        <v>5</v>
      </c>
      <c r="P942" s="24" t="e">
        <f>VLOOKUP(I942,#REF!,2,0)</f>
        <v>#REF!</v>
      </c>
      <c r="Q942" s="25"/>
      <c r="R942" s="24"/>
      <c r="S942" s="26"/>
      <c r="T942" s="24"/>
      <c r="U942" s="26"/>
      <c r="V942" s="26"/>
      <c r="W942" s="27">
        <v>631</v>
      </c>
      <c r="X942" s="28"/>
    </row>
    <row r="943" ht="31" spans="1:24">
      <c r="A943" s="16" t="s">
        <v>4174</v>
      </c>
      <c r="B943" s="17" t="s">
        <v>4175</v>
      </c>
      <c r="C943" s="30" t="s">
        <v>2332</v>
      </c>
      <c r="D943" s="19" t="e">
        <f>VLOOKUP(C943,#REF!,2,0)</f>
        <v>#REF!</v>
      </c>
      <c r="E943" s="20" t="e">
        <f>VLOOKUP(D943,数据集标准分类!E:F,2,0)</f>
        <v>#REF!</v>
      </c>
      <c r="F943" s="21">
        <v>29</v>
      </c>
      <c r="G943" s="22" t="s">
        <v>172</v>
      </c>
      <c r="H943" s="22" t="s">
        <v>5639</v>
      </c>
      <c r="I943" s="22" t="s">
        <v>5640</v>
      </c>
      <c r="J943" s="22" t="s">
        <v>173</v>
      </c>
      <c r="K943" s="22" t="s">
        <v>175</v>
      </c>
      <c r="L943" s="22" t="s">
        <v>1245</v>
      </c>
      <c r="M943" s="16" t="s">
        <v>5593</v>
      </c>
      <c r="N943" s="16" t="s">
        <v>5593</v>
      </c>
      <c r="O943" s="23">
        <v>1</v>
      </c>
      <c r="P943" s="24" t="e">
        <f>VLOOKUP(I943,#REF!,2,0)</f>
        <v>#REF!</v>
      </c>
      <c r="Q943" s="25"/>
      <c r="R943" s="24"/>
      <c r="S943" s="26"/>
      <c r="T943" s="24"/>
      <c r="U943" s="26"/>
      <c r="V943" s="26"/>
      <c r="W943" s="27">
        <v>632</v>
      </c>
      <c r="X943" s="28"/>
    </row>
    <row r="944" ht="61" spans="1:24">
      <c r="A944" s="16" t="s">
        <v>4174</v>
      </c>
      <c r="B944" s="17" t="s">
        <v>4175</v>
      </c>
      <c r="C944" s="30" t="s">
        <v>2332</v>
      </c>
      <c r="D944" s="19" t="e">
        <f>VLOOKUP(C944,#REF!,2,0)</f>
        <v>#REF!</v>
      </c>
      <c r="E944" s="20" t="e">
        <f>VLOOKUP(D944,数据集标准分类!E:F,2,0)</f>
        <v>#REF!</v>
      </c>
      <c r="F944" s="21">
        <v>29</v>
      </c>
      <c r="G944" s="22" t="s">
        <v>2333</v>
      </c>
      <c r="H944" s="22" t="s">
        <v>6004</v>
      </c>
      <c r="I944" s="22" t="s">
        <v>2336</v>
      </c>
      <c r="J944" s="22" t="s">
        <v>2334</v>
      </c>
      <c r="K944" s="22" t="s">
        <v>2336</v>
      </c>
      <c r="L944" s="22" t="s">
        <v>2337</v>
      </c>
      <c r="M944" s="16" t="s">
        <v>5593</v>
      </c>
      <c r="N944" s="16" t="s">
        <v>5595</v>
      </c>
      <c r="O944" s="23">
        <v>2</v>
      </c>
      <c r="P944" s="24" t="e">
        <f>VLOOKUP(I944,#REF!,2,0)</f>
        <v>#REF!</v>
      </c>
      <c r="Q944" s="25"/>
      <c r="R944" s="24"/>
      <c r="S944" s="26"/>
      <c r="T944" s="24"/>
      <c r="U944" s="26"/>
      <c r="V944" s="26"/>
      <c r="W944" s="27">
        <v>633</v>
      </c>
      <c r="X944" s="28"/>
    </row>
    <row r="945" ht="48" customHeight="1" spans="1:32">
      <c r="A945" s="16" t="s">
        <v>4174</v>
      </c>
      <c r="B945" s="17" t="s">
        <v>4175</v>
      </c>
      <c r="C945" s="30" t="s">
        <v>2332</v>
      </c>
      <c r="D945" s="19" t="e">
        <f>VLOOKUP(C945,#REF!,2,0)</f>
        <v>#REF!</v>
      </c>
      <c r="E945" s="20" t="e">
        <f>VLOOKUP(D945,数据集标准分类!E:F,2,0)</f>
        <v>#REF!</v>
      </c>
      <c r="F945" s="21">
        <v>29</v>
      </c>
      <c r="G945" s="22" t="s">
        <v>2338</v>
      </c>
      <c r="H945" s="22" t="s">
        <v>6005</v>
      </c>
      <c r="I945" s="22" t="s">
        <v>2341</v>
      </c>
      <c r="J945" s="22" t="s">
        <v>2339</v>
      </c>
      <c r="K945" s="22" t="s">
        <v>2341</v>
      </c>
      <c r="L945" s="22" t="s">
        <v>2342</v>
      </c>
      <c r="M945" s="16" t="s">
        <v>5593</v>
      </c>
      <c r="N945" s="16" t="s">
        <v>5595</v>
      </c>
      <c r="O945" s="23">
        <v>3</v>
      </c>
      <c r="P945" s="24" t="e">
        <f>VLOOKUP(I945,#REF!,2,0)</f>
        <v>#REF!</v>
      </c>
      <c r="Q945" s="25"/>
      <c r="R945" s="24"/>
      <c r="S945" s="26"/>
      <c r="T945" s="24"/>
      <c r="U945" s="26"/>
      <c r="V945" s="26"/>
      <c r="W945" s="27">
        <v>634</v>
      </c>
      <c r="X945" s="28"/>
    </row>
    <row r="946" ht="46" spans="1:32">
      <c r="A946" s="16" t="s">
        <v>4174</v>
      </c>
      <c r="B946" s="17" t="s">
        <v>4175</v>
      </c>
      <c r="C946" s="30" t="s">
        <v>2332</v>
      </c>
      <c r="D946" s="19" t="e">
        <f>VLOOKUP(C946,#REF!,2,0)</f>
        <v>#REF!</v>
      </c>
      <c r="E946" s="20" t="e">
        <f>VLOOKUP(D946,数据集标准分类!E:F,2,0)</f>
        <v>#REF!</v>
      </c>
      <c r="F946" s="21">
        <v>29</v>
      </c>
      <c r="G946" s="22" t="s">
        <v>1394</v>
      </c>
      <c r="H946" s="22" t="s">
        <v>5636</v>
      </c>
      <c r="I946" s="22" t="s">
        <v>5637</v>
      </c>
      <c r="J946" s="22" t="s">
        <v>1395</v>
      </c>
      <c r="K946" s="22" t="s">
        <v>1397</v>
      </c>
      <c r="L946" s="22" t="s">
        <v>2343</v>
      </c>
      <c r="M946" s="16" t="s">
        <v>5593</v>
      </c>
      <c r="N946" s="16" t="s">
        <v>5593</v>
      </c>
      <c r="O946" s="23">
        <v>4</v>
      </c>
      <c r="P946" s="24" t="e">
        <f>VLOOKUP(I946,#REF!,2,0)</f>
        <v>#REF!</v>
      </c>
      <c r="Q946" s="25"/>
      <c r="R946" s="24"/>
      <c r="S946" s="26"/>
      <c r="T946" s="24"/>
      <c r="U946" s="26"/>
      <c r="V946" s="26"/>
      <c r="W946" s="27">
        <v>635</v>
      </c>
      <c r="X946" s="28"/>
    </row>
    <row r="947" ht="31" spans="1:32">
      <c r="A947" s="16" t="s">
        <v>4174</v>
      </c>
      <c r="B947" s="17" t="s">
        <v>4175</v>
      </c>
      <c r="C947" s="30" t="s">
        <v>2409</v>
      </c>
      <c r="D947" s="19" t="e">
        <f>VLOOKUP(C947,#REF!,2,0)</f>
        <v>#REF!</v>
      </c>
      <c r="E947" s="20" t="e">
        <f>VLOOKUP(D947,数据集标准分类!E:F,2,0)</f>
        <v>#REF!</v>
      </c>
      <c r="F947" s="21">
        <v>30</v>
      </c>
      <c r="G947" s="22" t="s">
        <v>172</v>
      </c>
      <c r="H947" s="22" t="s">
        <v>5639</v>
      </c>
      <c r="I947" s="22" t="s">
        <v>5640</v>
      </c>
      <c r="J947" s="22" t="s">
        <v>173</v>
      </c>
      <c r="K947" s="22" t="s">
        <v>175</v>
      </c>
      <c r="L947" s="22" t="s">
        <v>1245</v>
      </c>
      <c r="M947" s="16" t="s">
        <v>5593</v>
      </c>
      <c r="N947" s="16" t="s">
        <v>5593</v>
      </c>
      <c r="O947" s="23">
        <v>1</v>
      </c>
      <c r="P947" s="24" t="e">
        <f>VLOOKUP(I947,#REF!,2,0)</f>
        <v>#REF!</v>
      </c>
      <c r="Q947" s="25"/>
      <c r="R947" s="24"/>
      <c r="S947" s="26"/>
      <c r="T947" s="24"/>
      <c r="U947" s="26"/>
      <c r="V947" s="26"/>
      <c r="W947" s="27">
        <v>636</v>
      </c>
      <c r="X947" s="28"/>
    </row>
    <row r="948" ht="61" spans="1:32">
      <c r="A948" s="16" t="s">
        <v>4174</v>
      </c>
      <c r="B948" s="17" t="s">
        <v>4175</v>
      </c>
      <c r="C948" s="30" t="s">
        <v>2409</v>
      </c>
      <c r="D948" s="19" t="e">
        <f>VLOOKUP(C948,#REF!,2,0)</f>
        <v>#REF!</v>
      </c>
      <c r="E948" s="20" t="e">
        <f>VLOOKUP(D948,数据集标准分类!E:F,2,0)</f>
        <v>#REF!</v>
      </c>
      <c r="F948" s="21">
        <v>30</v>
      </c>
      <c r="G948" s="22" t="s">
        <v>2410</v>
      </c>
      <c r="H948" s="22" t="s">
        <v>6006</v>
      </c>
      <c r="I948" s="22" t="s">
        <v>2413</v>
      </c>
      <c r="J948" s="22" t="s">
        <v>2411</v>
      </c>
      <c r="K948" s="22" t="s">
        <v>2413</v>
      </c>
      <c r="L948" s="22" t="s">
        <v>2414</v>
      </c>
      <c r="M948" s="16" t="s">
        <v>5593</v>
      </c>
      <c r="N948" s="16" t="s">
        <v>5595</v>
      </c>
      <c r="O948" s="23">
        <v>2</v>
      </c>
      <c r="P948" s="24" t="e">
        <f>VLOOKUP(I948,#REF!,2,0)</f>
        <v>#REF!</v>
      </c>
      <c r="Q948" s="25"/>
      <c r="R948" s="24"/>
      <c r="S948" s="26"/>
      <c r="T948" s="24"/>
      <c r="U948" s="26"/>
      <c r="V948" s="26"/>
      <c r="W948" s="27">
        <v>637</v>
      </c>
      <c r="X948" s="28"/>
    </row>
    <row r="949" ht="60" customHeight="1" spans="1:32">
      <c r="A949" s="16" t="s">
        <v>4174</v>
      </c>
      <c r="B949" s="17" t="s">
        <v>4175</v>
      </c>
      <c r="C949" s="30" t="s">
        <v>2409</v>
      </c>
      <c r="D949" s="19" t="e">
        <f>VLOOKUP(C949,#REF!,2,0)</f>
        <v>#REF!</v>
      </c>
      <c r="E949" s="20" t="e">
        <f>VLOOKUP(D949,数据集标准分类!E:F,2,0)</f>
        <v>#REF!</v>
      </c>
      <c r="F949" s="21">
        <v>30</v>
      </c>
      <c r="G949" s="29" t="s">
        <v>2365</v>
      </c>
      <c r="H949" s="29" t="s">
        <v>2366</v>
      </c>
      <c r="I949" s="29" t="s">
        <v>2368</v>
      </c>
      <c r="J949" s="22" t="s">
        <v>2366</v>
      </c>
      <c r="K949" s="22" t="s">
        <v>2368</v>
      </c>
      <c r="L949" s="22" t="s">
        <v>2330</v>
      </c>
      <c r="M949" s="16" t="s">
        <v>5595</v>
      </c>
      <c r="N949" s="16" t="s">
        <v>5595</v>
      </c>
      <c r="O949" s="23">
        <v>3</v>
      </c>
      <c r="P949" s="24" t="e">
        <f>VLOOKUP(I949,#REF!,2,0)</f>
        <v>#REF!</v>
      </c>
      <c r="Q949" s="25"/>
      <c r="R949" s="24"/>
      <c r="S949" s="26"/>
      <c r="T949" s="24"/>
      <c r="U949" s="26"/>
      <c r="V949" s="26"/>
      <c r="W949" s="27">
        <v>638</v>
      </c>
      <c r="X949" s="28"/>
    </row>
    <row r="950" ht="31" spans="1:32">
      <c r="A950" s="16" t="s">
        <v>4174</v>
      </c>
      <c r="B950" s="17" t="s">
        <v>4175</v>
      </c>
      <c r="C950" s="30" t="s">
        <v>2409</v>
      </c>
      <c r="D950" s="19" t="e">
        <f>VLOOKUP(C950,#REF!,2,0)</f>
        <v>#REF!</v>
      </c>
      <c r="E950" s="20" t="e">
        <f>VLOOKUP(D950,数据集标准分类!E:F,2,0)</f>
        <v>#REF!</v>
      </c>
      <c r="F950" s="21">
        <v>30</v>
      </c>
      <c r="G950" s="29" t="s">
        <v>2369</v>
      </c>
      <c r="H950" s="29" t="s">
        <v>5991</v>
      </c>
      <c r="I950" s="29" t="s">
        <v>2372</v>
      </c>
      <c r="J950" s="22" t="s">
        <v>2370</v>
      </c>
      <c r="K950" s="22" t="s">
        <v>2372</v>
      </c>
      <c r="L950" s="22" t="s">
        <v>2415</v>
      </c>
      <c r="M950" s="16" t="s">
        <v>5593</v>
      </c>
      <c r="N950" s="16" t="s">
        <v>5595</v>
      </c>
      <c r="O950" s="23">
        <v>4</v>
      </c>
      <c r="P950" s="24" t="e">
        <f>VLOOKUP(I950,#REF!,2,0)</f>
        <v>#REF!</v>
      </c>
      <c r="Q950" s="25"/>
      <c r="R950" s="24"/>
      <c r="S950" s="26"/>
      <c r="T950" s="24"/>
      <c r="U950" s="26"/>
      <c r="V950" s="26"/>
      <c r="W950" s="27">
        <v>639</v>
      </c>
      <c r="X950" s="28"/>
    </row>
    <row r="951" ht="31" spans="1:32">
      <c r="A951" s="16" t="s">
        <v>4174</v>
      </c>
      <c r="B951" s="17" t="s">
        <v>4175</v>
      </c>
      <c r="C951" s="30" t="s">
        <v>238</v>
      </c>
      <c r="D951" s="19" t="e">
        <f>VLOOKUP(C951,#REF!,2,0)</f>
        <v>#REF!</v>
      </c>
      <c r="E951" s="20" t="e">
        <f>VLOOKUP(D951,数据集标准分类!E:F,2,0)</f>
        <v>#REF!</v>
      </c>
      <c r="F951" s="21">
        <v>31</v>
      </c>
      <c r="G951" s="22" t="s">
        <v>321</v>
      </c>
      <c r="H951" s="22" t="s">
        <v>6007</v>
      </c>
      <c r="I951" s="22" t="s">
        <v>324</v>
      </c>
      <c r="J951" s="22" t="s">
        <v>322</v>
      </c>
      <c r="K951" s="22" t="s">
        <v>324</v>
      </c>
      <c r="L951" s="22" t="s">
        <v>325</v>
      </c>
      <c r="M951" s="16" t="s">
        <v>5593</v>
      </c>
      <c r="N951" s="16" t="s">
        <v>5595</v>
      </c>
      <c r="O951" s="23">
        <v>1</v>
      </c>
      <c r="P951" s="24" t="e">
        <f>VLOOKUP(I951,#REF!,2,0)</f>
        <v>#REF!</v>
      </c>
      <c r="Q951" s="25"/>
      <c r="R951" s="24"/>
      <c r="S951" s="26"/>
      <c r="T951" s="24"/>
      <c r="U951" s="26"/>
      <c r="V951" s="26"/>
      <c r="W951" s="27">
        <v>640</v>
      </c>
      <c r="X951" s="28"/>
    </row>
    <row r="952" ht="61" spans="1:32">
      <c r="A952" s="16" t="s">
        <v>4174</v>
      </c>
      <c r="B952" s="17" t="s">
        <v>4175</v>
      </c>
      <c r="C952" s="30" t="s">
        <v>238</v>
      </c>
      <c r="D952" s="19" t="e">
        <f>VLOOKUP(C952,#REF!,2,0)</f>
        <v>#REF!</v>
      </c>
      <c r="E952" s="20" t="e">
        <f>VLOOKUP(D952,数据集标准分类!E:F,2,0)</f>
        <v>#REF!</v>
      </c>
      <c r="F952" s="21">
        <v>31</v>
      </c>
      <c r="G952" s="22" t="s">
        <v>330</v>
      </c>
      <c r="H952" s="22" t="s">
        <v>331</v>
      </c>
      <c r="I952" s="22" t="s">
        <v>333</v>
      </c>
      <c r="J952" s="22" t="s">
        <v>331</v>
      </c>
      <c r="K952" s="22" t="s">
        <v>333</v>
      </c>
      <c r="L952" s="22" t="s">
        <v>334</v>
      </c>
      <c r="M952" s="16" t="s">
        <v>5595</v>
      </c>
      <c r="N952" s="16" t="s">
        <v>5595</v>
      </c>
      <c r="O952" s="23">
        <v>2</v>
      </c>
      <c r="P952" s="24" t="e">
        <f>VLOOKUP(I952,#REF!,2,0)</f>
        <v>#REF!</v>
      </c>
      <c r="Q952" s="25"/>
      <c r="R952" s="24"/>
      <c r="S952" s="26"/>
      <c r="T952" s="24"/>
      <c r="U952" s="26"/>
      <c r="V952" s="26"/>
      <c r="W952" s="27">
        <v>641</v>
      </c>
      <c r="X952" s="28"/>
    </row>
    <row r="953" ht="46" spans="1:32">
      <c r="A953" s="16" t="s">
        <v>4174</v>
      </c>
      <c r="B953" s="17" t="s">
        <v>4175</v>
      </c>
      <c r="C953" s="30" t="s">
        <v>238</v>
      </c>
      <c r="D953" s="19" t="e">
        <f>VLOOKUP(C953,#REF!,2,0)</f>
        <v>#REF!</v>
      </c>
      <c r="E953" s="20" t="e">
        <f>VLOOKUP(D953,数据集标准分类!E:F,2,0)</f>
        <v>#REF!</v>
      </c>
      <c r="F953" s="21">
        <v>31</v>
      </c>
      <c r="G953" s="29" t="s">
        <v>335</v>
      </c>
      <c r="H953" s="29" t="s">
        <v>336</v>
      </c>
      <c r="I953" s="29" t="s">
        <v>6008</v>
      </c>
      <c r="J953" s="22" t="s">
        <v>336</v>
      </c>
      <c r="K953" s="22" t="s">
        <v>338</v>
      </c>
      <c r="L953" s="22" t="s">
        <v>339</v>
      </c>
      <c r="M953" s="16" t="s">
        <v>5595</v>
      </c>
      <c r="N953" s="16" t="s">
        <v>5593</v>
      </c>
      <c r="O953" s="23">
        <v>3</v>
      </c>
      <c r="P953" s="24" t="e">
        <f>VLOOKUP(I953,#REF!,2,0)</f>
        <v>#REF!</v>
      </c>
      <c r="Q953" s="25"/>
      <c r="R953" s="24"/>
      <c r="S953" s="26"/>
      <c r="T953" s="24"/>
      <c r="U953" s="26"/>
      <c r="V953" s="26"/>
      <c r="W953" s="27">
        <v>642</v>
      </c>
      <c r="X953" s="28"/>
    </row>
    <row r="954" ht="31" spans="1:32">
      <c r="A954" s="31" t="s">
        <v>4174</v>
      </c>
      <c r="B954" s="32" t="s">
        <v>4175</v>
      </c>
      <c r="C954" s="33" t="s">
        <v>238</v>
      </c>
      <c r="D954" s="34" t="e">
        <f>VLOOKUP(C954,#REF!,2,0)</f>
        <v>#REF!</v>
      </c>
      <c r="E954" s="20" t="e">
        <f>VLOOKUP(D954,数据集标准分类!E:F,2,0)</f>
        <v>#REF!</v>
      </c>
      <c r="F954" s="36">
        <v>31</v>
      </c>
      <c r="G954" s="37" t="s">
        <v>316</v>
      </c>
      <c r="H954" s="37" t="s">
        <v>6009</v>
      </c>
      <c r="I954" s="37" t="s">
        <v>319</v>
      </c>
      <c r="J954" s="37" t="s">
        <v>317</v>
      </c>
      <c r="K954" s="37" t="s">
        <v>319</v>
      </c>
      <c r="L954" s="37" t="s">
        <v>320</v>
      </c>
      <c r="M954" s="31" t="s">
        <v>5593</v>
      </c>
      <c r="N954" s="31" t="s">
        <v>5595</v>
      </c>
      <c r="O954" s="38">
        <v>4</v>
      </c>
      <c r="P954" s="39" t="e">
        <f>VLOOKUP(I954,#REF!,2,0)</f>
        <v>#REF!</v>
      </c>
      <c r="Q954" s="40"/>
      <c r="R954" s="39"/>
      <c r="S954" s="41"/>
      <c r="T954" s="39"/>
      <c r="U954" s="41"/>
      <c r="V954" s="41"/>
      <c r="W954" s="42">
        <v>643</v>
      </c>
      <c r="X954" s="43"/>
      <c r="Y954" s="44"/>
      <c r="Z954" s="44"/>
      <c r="AA954" s="44"/>
      <c r="AB954" s="44"/>
      <c r="AC954" s="44"/>
      <c r="AD954" s="44"/>
      <c r="AE954" s="44"/>
      <c r="AF954" s="44"/>
    </row>
    <row r="955" ht="31" spans="1:32">
      <c r="A955" s="16" t="s">
        <v>4174</v>
      </c>
      <c r="B955" s="17" t="s">
        <v>4175</v>
      </c>
      <c r="C955" s="30" t="s">
        <v>238</v>
      </c>
      <c r="D955" s="19" t="e">
        <f>VLOOKUP(C955,#REF!,2,0)</f>
        <v>#REF!</v>
      </c>
      <c r="E955" s="20" t="e">
        <f>VLOOKUP(D955,数据集标准分类!E:F,2,0)</f>
        <v>#REF!</v>
      </c>
      <c r="F955" s="21">
        <v>31</v>
      </c>
      <c r="G955" s="22" t="s">
        <v>240</v>
      </c>
      <c r="H955" s="22" t="s">
        <v>6010</v>
      </c>
      <c r="I955" s="22" t="s">
        <v>243</v>
      </c>
      <c r="J955" s="22" t="s">
        <v>241</v>
      </c>
      <c r="K955" s="22" t="s">
        <v>243</v>
      </c>
      <c r="L955" s="22" t="s">
        <v>244</v>
      </c>
      <c r="M955" s="16" t="s">
        <v>5593</v>
      </c>
      <c r="N955" s="16" t="s">
        <v>5595</v>
      </c>
      <c r="O955" s="23">
        <v>5</v>
      </c>
      <c r="P955" s="24" t="e">
        <f>VLOOKUP(I955,#REF!,2,0)</f>
        <v>#REF!</v>
      </c>
      <c r="Q955" s="25"/>
      <c r="R955" s="24"/>
      <c r="S955" s="26" t="s">
        <v>5593</v>
      </c>
      <c r="T955" s="24"/>
      <c r="U955" s="26"/>
      <c r="V955" s="26"/>
      <c r="W955" s="27">
        <v>644</v>
      </c>
      <c r="X955" s="28"/>
    </row>
    <row r="956" ht="31" spans="1:32">
      <c r="A956" s="16" t="s">
        <v>4174</v>
      </c>
      <c r="B956" s="17" t="s">
        <v>4175</v>
      </c>
      <c r="C956" s="30" t="s">
        <v>238</v>
      </c>
      <c r="D956" s="19" t="e">
        <f>VLOOKUP(C956,#REF!,2,0)</f>
        <v>#REF!</v>
      </c>
      <c r="E956" s="20" t="e">
        <f>VLOOKUP(D956,数据集标准分类!E:F,2,0)</f>
        <v>#REF!</v>
      </c>
      <c r="F956" s="21">
        <v>31</v>
      </c>
      <c r="G956" s="22" t="s">
        <v>340</v>
      </c>
      <c r="H956" s="22" t="s">
        <v>341</v>
      </c>
      <c r="I956" s="22" t="s">
        <v>343</v>
      </c>
      <c r="J956" s="22" t="s">
        <v>341</v>
      </c>
      <c r="K956" s="22" t="s">
        <v>343</v>
      </c>
      <c r="L956" s="22" t="s">
        <v>344</v>
      </c>
      <c r="M956" s="16" t="s">
        <v>5595</v>
      </c>
      <c r="N956" s="16" t="s">
        <v>5595</v>
      </c>
      <c r="O956" s="23">
        <v>6</v>
      </c>
      <c r="P956" s="24" t="e">
        <f>VLOOKUP(I956,#REF!,2,0)</f>
        <v>#REF!</v>
      </c>
      <c r="Q956" s="25"/>
      <c r="R956" s="24"/>
      <c r="S956" s="26"/>
      <c r="T956" s="24"/>
      <c r="U956" s="26"/>
      <c r="V956" s="26"/>
      <c r="W956" s="27">
        <v>645</v>
      </c>
      <c r="X956" s="28"/>
    </row>
    <row r="957" ht="46" spans="1:32">
      <c r="A957" s="16" t="s">
        <v>4174</v>
      </c>
      <c r="B957" s="17" t="s">
        <v>4175</v>
      </c>
      <c r="C957" s="30" t="s">
        <v>238</v>
      </c>
      <c r="D957" s="19" t="e">
        <f>VLOOKUP(C957,#REF!,2,0)</f>
        <v>#REF!</v>
      </c>
      <c r="E957" s="20" t="e">
        <f>VLOOKUP(D957,数据集标准分类!E:F,2,0)</f>
        <v>#REF!</v>
      </c>
      <c r="F957" s="21">
        <v>31</v>
      </c>
      <c r="G957" s="22" t="s">
        <v>152</v>
      </c>
      <c r="H957" s="22" t="s">
        <v>5905</v>
      </c>
      <c r="I957" s="22" t="s">
        <v>5906</v>
      </c>
      <c r="J957" s="22" t="s">
        <v>153</v>
      </c>
      <c r="K957" s="22" t="s">
        <v>155</v>
      </c>
      <c r="L957" s="22" t="s">
        <v>156</v>
      </c>
      <c r="M957" s="16" t="s">
        <v>5593</v>
      </c>
      <c r="N957" s="16" t="s">
        <v>5593</v>
      </c>
      <c r="O957" s="23">
        <v>7</v>
      </c>
      <c r="P957" s="24" t="e">
        <f>VLOOKUP(I957,#REF!,2,0)</f>
        <v>#REF!</v>
      </c>
      <c r="Q957" s="25"/>
      <c r="R957" s="24"/>
      <c r="S957" s="26"/>
      <c r="T957" s="24"/>
      <c r="U957" s="26"/>
      <c r="V957" s="26"/>
      <c r="W957" s="27">
        <v>646</v>
      </c>
      <c r="X957" s="28"/>
    </row>
    <row r="958" ht="46" spans="1:32">
      <c r="A958" s="16" t="s">
        <v>4174</v>
      </c>
      <c r="B958" s="17" t="s">
        <v>4175</v>
      </c>
      <c r="C958" s="30" t="s">
        <v>238</v>
      </c>
      <c r="D958" s="19" t="e">
        <f>VLOOKUP(C958,#REF!,2,0)</f>
        <v>#REF!</v>
      </c>
      <c r="E958" s="20" t="e">
        <f>VLOOKUP(D958,数据集标准分类!E:F,2,0)</f>
        <v>#REF!</v>
      </c>
      <c r="F958" s="21">
        <v>31</v>
      </c>
      <c r="G958" s="22" t="s">
        <v>157</v>
      </c>
      <c r="H958" s="22" t="s">
        <v>158</v>
      </c>
      <c r="I958" s="22" t="s">
        <v>5955</v>
      </c>
      <c r="J958" s="22" t="s">
        <v>158</v>
      </c>
      <c r="K958" s="22" t="s">
        <v>160</v>
      </c>
      <c r="L958" s="22" t="s">
        <v>161</v>
      </c>
      <c r="M958" s="16" t="s">
        <v>5595</v>
      </c>
      <c r="N958" s="16" t="s">
        <v>5593</v>
      </c>
      <c r="O958" s="23">
        <v>8</v>
      </c>
      <c r="P958" s="24" t="e">
        <f>VLOOKUP(I958,#REF!,2,0)</f>
        <v>#REF!</v>
      </c>
      <c r="Q958" s="25"/>
      <c r="R958" s="24"/>
      <c r="S958" s="26"/>
      <c r="T958" s="24"/>
      <c r="U958" s="26"/>
      <c r="V958" s="26"/>
      <c r="W958" s="27">
        <v>647</v>
      </c>
      <c r="X958" s="28"/>
    </row>
    <row r="959" ht="46" spans="1:32">
      <c r="A959" s="16" t="s">
        <v>4174</v>
      </c>
      <c r="B959" s="17" t="s">
        <v>4175</v>
      </c>
      <c r="C959" s="30" t="s">
        <v>238</v>
      </c>
      <c r="D959" s="19" t="e">
        <f>VLOOKUP(C959,#REF!,2,0)</f>
        <v>#REF!</v>
      </c>
      <c r="E959" s="20" t="e">
        <f>VLOOKUP(D959,数据集标准分类!E:F,2,0)</f>
        <v>#REF!</v>
      </c>
      <c r="F959" s="21">
        <v>31</v>
      </c>
      <c r="G959" s="22" t="s">
        <v>431</v>
      </c>
      <c r="H959" s="64" t="s">
        <v>6011</v>
      </c>
      <c r="I959" s="64" t="s">
        <v>434</v>
      </c>
      <c r="J959" s="22" t="s">
        <v>432</v>
      </c>
      <c r="K959" s="22" t="s">
        <v>434</v>
      </c>
      <c r="L959" s="22" t="s">
        <v>435</v>
      </c>
      <c r="M959" s="16" t="s">
        <v>5593</v>
      </c>
      <c r="N959" s="16" t="s">
        <v>5595</v>
      </c>
      <c r="O959" s="23">
        <v>9</v>
      </c>
      <c r="P959" s="24" t="e">
        <f>VLOOKUP(I959,#REF!,2,0)</f>
        <v>#REF!</v>
      </c>
      <c r="Q959" s="25"/>
      <c r="R959" s="24"/>
      <c r="S959" s="26"/>
      <c r="T959" s="24"/>
      <c r="U959" s="26"/>
      <c r="V959" s="26"/>
      <c r="W959" s="27">
        <v>648</v>
      </c>
      <c r="X959" s="28"/>
    </row>
    <row r="960" ht="31" spans="1:32">
      <c r="A960" s="16" t="s">
        <v>4174</v>
      </c>
      <c r="B960" s="17" t="s">
        <v>4175</v>
      </c>
      <c r="C960" s="30" t="s">
        <v>238</v>
      </c>
      <c r="D960" s="19" t="e">
        <f>VLOOKUP(C960,#REF!,2,0)</f>
        <v>#REF!</v>
      </c>
      <c r="E960" s="20" t="e">
        <f>VLOOKUP(D960,数据集标准分类!E:F,2,0)</f>
        <v>#REF!</v>
      </c>
      <c r="F960" s="21">
        <v>31</v>
      </c>
      <c r="G960" s="22" t="s">
        <v>436</v>
      </c>
      <c r="H960" s="64" t="s">
        <v>6012</v>
      </c>
      <c r="I960" s="64" t="s">
        <v>439</v>
      </c>
      <c r="J960" s="22" t="s">
        <v>437</v>
      </c>
      <c r="K960" s="22" t="s">
        <v>439</v>
      </c>
      <c r="L960" s="22" t="s">
        <v>440</v>
      </c>
      <c r="M960" s="16" t="s">
        <v>5593</v>
      </c>
      <c r="N960" s="16" t="s">
        <v>5595</v>
      </c>
      <c r="O960" s="23">
        <v>10</v>
      </c>
      <c r="P960" s="24" t="e">
        <f>VLOOKUP(I960,#REF!,2,0)</f>
        <v>#REF!</v>
      </c>
      <c r="Q960" s="25"/>
      <c r="R960" s="24"/>
      <c r="S960" s="26"/>
      <c r="T960" s="24"/>
      <c r="U960" s="26"/>
      <c r="V960" s="26"/>
      <c r="W960" s="27">
        <v>649</v>
      </c>
      <c r="X960" s="28"/>
    </row>
    <row r="961" ht="107" spans="1:32">
      <c r="A961" s="16" t="s">
        <v>4174</v>
      </c>
      <c r="B961" s="17" t="s">
        <v>4175</v>
      </c>
      <c r="C961" s="30" t="s">
        <v>238</v>
      </c>
      <c r="D961" s="19" t="e">
        <f>VLOOKUP(C961,#REF!,2,0)</f>
        <v>#REF!</v>
      </c>
      <c r="E961" s="20" t="e">
        <f>VLOOKUP(D961,数据集标准分类!E:F,2,0)</f>
        <v>#REF!</v>
      </c>
      <c r="F961" s="21">
        <v>31</v>
      </c>
      <c r="G961" s="22" t="s">
        <v>441</v>
      </c>
      <c r="H961" s="64" t="s">
        <v>6013</v>
      </c>
      <c r="I961" s="64" t="s">
        <v>444</v>
      </c>
      <c r="J961" s="22" t="s">
        <v>442</v>
      </c>
      <c r="K961" s="22" t="s">
        <v>444</v>
      </c>
      <c r="L961" s="22" t="s">
        <v>445</v>
      </c>
      <c r="M961" s="16" t="s">
        <v>5593</v>
      </c>
      <c r="N961" s="16" t="s">
        <v>5595</v>
      </c>
      <c r="O961" s="23">
        <v>11</v>
      </c>
      <c r="P961" s="24" t="e">
        <f>VLOOKUP(I961,#REF!,2,0)</f>
        <v>#REF!</v>
      </c>
      <c r="Q961" s="25"/>
      <c r="R961" s="24"/>
      <c r="S961" s="26"/>
      <c r="T961" s="24"/>
      <c r="U961" s="26" t="s">
        <v>5593</v>
      </c>
      <c r="V961" s="26"/>
      <c r="W961" s="27">
        <v>650</v>
      </c>
      <c r="X961" s="28"/>
    </row>
    <row r="962" ht="31" spans="1:32">
      <c r="A962" s="16" t="s">
        <v>4174</v>
      </c>
      <c r="B962" s="17" t="s">
        <v>4175</v>
      </c>
      <c r="C962" s="30" t="s">
        <v>238</v>
      </c>
      <c r="D962" s="19" t="e">
        <f>VLOOKUP(C962,#REF!,2,0)</f>
        <v>#REF!</v>
      </c>
      <c r="E962" s="20" t="e">
        <f>VLOOKUP(D962,数据集标准分类!E:F,2,0)</f>
        <v>#REF!</v>
      </c>
      <c r="F962" s="21">
        <v>31</v>
      </c>
      <c r="G962" s="22" t="s">
        <v>446</v>
      </c>
      <c r="H962" s="64" t="s">
        <v>6014</v>
      </c>
      <c r="I962" s="64" t="s">
        <v>449</v>
      </c>
      <c r="J962" s="22" t="s">
        <v>447</v>
      </c>
      <c r="K962" s="22" t="s">
        <v>449</v>
      </c>
      <c r="L962" s="22" t="s">
        <v>450</v>
      </c>
      <c r="M962" s="16" t="s">
        <v>5593</v>
      </c>
      <c r="N962" s="16" t="s">
        <v>5595</v>
      </c>
      <c r="O962" s="23">
        <v>12</v>
      </c>
      <c r="P962" s="24" t="e">
        <f>VLOOKUP(I962,#REF!,2,0)</f>
        <v>#REF!</v>
      </c>
      <c r="Q962" s="25"/>
      <c r="R962" s="24"/>
      <c r="S962" s="26"/>
      <c r="T962" s="24"/>
      <c r="U962" s="26" t="s">
        <v>5593</v>
      </c>
      <c r="V962" s="26"/>
      <c r="W962" s="27">
        <v>651</v>
      </c>
      <c r="X962" s="28"/>
    </row>
    <row r="963" ht="61" spans="1:32">
      <c r="A963" s="16" t="s">
        <v>4174</v>
      </c>
      <c r="B963" s="17" t="s">
        <v>4175</v>
      </c>
      <c r="C963" s="30" t="s">
        <v>238</v>
      </c>
      <c r="D963" s="19" t="e">
        <f>VLOOKUP(C963,#REF!,2,0)</f>
        <v>#REF!</v>
      </c>
      <c r="E963" s="20" t="e">
        <f>VLOOKUP(D963,数据集标准分类!E:F,2,0)</f>
        <v>#REF!</v>
      </c>
      <c r="F963" s="21">
        <v>31</v>
      </c>
      <c r="G963" s="22" t="s">
        <v>451</v>
      </c>
      <c r="H963" s="22" t="s">
        <v>6015</v>
      </c>
      <c r="I963" s="22" t="s">
        <v>454</v>
      </c>
      <c r="J963" s="22" t="s">
        <v>452</v>
      </c>
      <c r="K963" s="22" t="s">
        <v>454</v>
      </c>
      <c r="L963" s="22" t="s">
        <v>455</v>
      </c>
      <c r="M963" s="16" t="s">
        <v>5593</v>
      </c>
      <c r="N963" s="16" t="s">
        <v>5595</v>
      </c>
      <c r="O963" s="23">
        <v>13</v>
      </c>
      <c r="P963" s="24" t="e">
        <f>VLOOKUP(I963,#REF!,2,0)</f>
        <v>#REF!</v>
      </c>
      <c r="Q963" s="25"/>
      <c r="R963" s="24"/>
      <c r="S963" s="26"/>
      <c r="T963" s="24"/>
      <c r="U963" s="26" t="s">
        <v>5593</v>
      </c>
      <c r="V963" s="26"/>
      <c r="W963" s="27">
        <v>652</v>
      </c>
      <c r="X963" s="28"/>
    </row>
    <row r="964" ht="61" spans="1:32">
      <c r="A964" s="16" t="s">
        <v>4174</v>
      </c>
      <c r="B964" s="17" t="s">
        <v>4175</v>
      </c>
      <c r="C964" s="30" t="s">
        <v>238</v>
      </c>
      <c r="D964" s="19" t="e">
        <f>VLOOKUP(C964,#REF!,2,0)</f>
        <v>#REF!</v>
      </c>
      <c r="E964" s="20" t="e">
        <f>VLOOKUP(D964,数据集标准分类!E:F,2,0)</f>
        <v>#REF!</v>
      </c>
      <c r="F964" s="21">
        <v>31</v>
      </c>
      <c r="G964" s="64" t="s">
        <v>456</v>
      </c>
      <c r="H964" s="64" t="s">
        <v>6016</v>
      </c>
      <c r="I964" s="64" t="s">
        <v>459</v>
      </c>
      <c r="J964" s="22" t="s">
        <v>457</v>
      </c>
      <c r="K964" s="22" t="s">
        <v>459</v>
      </c>
      <c r="L964" s="22" t="s">
        <v>460</v>
      </c>
      <c r="M964" s="16" t="s">
        <v>5593</v>
      </c>
      <c r="N964" s="16" t="s">
        <v>5595</v>
      </c>
      <c r="O964" s="23">
        <v>14</v>
      </c>
      <c r="P964" s="24" t="e">
        <f>VLOOKUP(I964,#REF!,2,0)</f>
        <v>#REF!</v>
      </c>
      <c r="Q964" s="25"/>
      <c r="R964" s="24"/>
      <c r="S964" s="26"/>
      <c r="T964" s="24"/>
      <c r="U964" s="26" t="s">
        <v>5593</v>
      </c>
      <c r="V964" s="26"/>
      <c r="W964" s="27">
        <v>653</v>
      </c>
      <c r="X964" s="28"/>
    </row>
    <row r="965" ht="46" spans="1:32">
      <c r="A965" s="16" t="s">
        <v>4174</v>
      </c>
      <c r="B965" s="17" t="s">
        <v>4175</v>
      </c>
      <c r="C965" s="30" t="s">
        <v>238</v>
      </c>
      <c r="D965" s="19" t="e">
        <f>VLOOKUP(C965,#REF!,2,0)</f>
        <v>#REF!</v>
      </c>
      <c r="E965" s="20" t="e">
        <f>VLOOKUP(D965,数据集标准分类!E:F,2,0)</f>
        <v>#REF!</v>
      </c>
      <c r="F965" s="21">
        <v>31</v>
      </c>
      <c r="G965" s="64" t="s">
        <v>187</v>
      </c>
      <c r="H965" s="64" t="s">
        <v>6017</v>
      </c>
      <c r="I965" s="64" t="s">
        <v>190</v>
      </c>
      <c r="J965" s="22" t="s">
        <v>188</v>
      </c>
      <c r="K965" s="22" t="s">
        <v>190</v>
      </c>
      <c r="L965" s="22" t="s">
        <v>461</v>
      </c>
      <c r="M965" s="16" t="s">
        <v>5593</v>
      </c>
      <c r="N965" s="16" t="s">
        <v>5595</v>
      </c>
      <c r="O965" s="23">
        <v>15</v>
      </c>
      <c r="P965" s="24" t="e">
        <f>VLOOKUP(I965,#REF!,2,0)</f>
        <v>#REF!</v>
      </c>
      <c r="Q965" s="25"/>
      <c r="R965" s="24"/>
      <c r="S965" s="26"/>
      <c r="T965" s="24"/>
      <c r="U965" s="26" t="s">
        <v>5593</v>
      </c>
      <c r="V965" s="26"/>
      <c r="W965" s="27">
        <v>654</v>
      </c>
      <c r="X965" s="28"/>
    </row>
    <row r="966" ht="61" spans="1:32">
      <c r="A966" s="16" t="s">
        <v>4174</v>
      </c>
      <c r="B966" s="17" t="s">
        <v>4175</v>
      </c>
      <c r="C966" s="30" t="s">
        <v>238</v>
      </c>
      <c r="D966" s="19" t="e">
        <f>VLOOKUP(C966,#REF!,2,0)</f>
        <v>#REF!</v>
      </c>
      <c r="E966" s="20" t="e">
        <f>VLOOKUP(D966,数据集标准分类!E:F,2,0)</f>
        <v>#REF!</v>
      </c>
      <c r="F966" s="21">
        <v>31</v>
      </c>
      <c r="G966" s="29" t="s">
        <v>462</v>
      </c>
      <c r="H966" s="29" t="s">
        <v>6018</v>
      </c>
      <c r="I966" s="29" t="s">
        <v>465</v>
      </c>
      <c r="J966" s="22" t="s">
        <v>463</v>
      </c>
      <c r="K966" s="22" t="s">
        <v>465</v>
      </c>
      <c r="L966" s="22" t="s">
        <v>466</v>
      </c>
      <c r="M966" s="16" t="s">
        <v>5593</v>
      </c>
      <c r="N966" s="16" t="s">
        <v>5595</v>
      </c>
      <c r="O966" s="23">
        <v>16</v>
      </c>
      <c r="P966" s="24" t="e">
        <f>VLOOKUP(I966,#REF!,2,0)</f>
        <v>#REF!</v>
      </c>
      <c r="Q966" s="25"/>
      <c r="R966" s="24"/>
      <c r="S966" s="26"/>
      <c r="T966" s="24"/>
      <c r="U966" s="26" t="s">
        <v>5593</v>
      </c>
      <c r="V966" s="26"/>
      <c r="W966" s="27">
        <v>655</v>
      </c>
      <c r="X966" s="28"/>
    </row>
    <row r="967" ht="31" spans="1:32">
      <c r="A967" s="31" t="s">
        <v>4174</v>
      </c>
      <c r="B967" s="32" t="s">
        <v>4175</v>
      </c>
      <c r="C967" s="33" t="s">
        <v>238</v>
      </c>
      <c r="D967" s="34" t="e">
        <f>VLOOKUP(C967,#REF!,2,0)</f>
        <v>#REF!</v>
      </c>
      <c r="E967" s="20" t="e">
        <f>VLOOKUP(D967,数据集标准分类!E:F,2,0)</f>
        <v>#REF!</v>
      </c>
      <c r="F967" s="36">
        <v>31</v>
      </c>
      <c r="G967" s="29" t="s">
        <v>467</v>
      </c>
      <c r="H967" s="29" t="s">
        <v>6019</v>
      </c>
      <c r="I967" s="29" t="s">
        <v>470</v>
      </c>
      <c r="J967" s="29" t="s">
        <v>468</v>
      </c>
      <c r="K967" s="29" t="s">
        <v>470</v>
      </c>
      <c r="L967" s="29" t="s">
        <v>471</v>
      </c>
      <c r="M967" s="31" t="s">
        <v>5593</v>
      </c>
      <c r="N967" s="31" t="s">
        <v>5595</v>
      </c>
      <c r="O967" s="38">
        <v>17</v>
      </c>
      <c r="P967" s="39" t="e">
        <f>VLOOKUP(I967,#REF!,2,0)</f>
        <v>#REF!</v>
      </c>
      <c r="Q967" s="40"/>
      <c r="R967" s="39"/>
      <c r="S967" s="41"/>
      <c r="T967" s="39"/>
      <c r="U967" s="41"/>
      <c r="V967" s="41"/>
      <c r="W967" s="42">
        <v>656</v>
      </c>
      <c r="X967" s="43"/>
      <c r="Y967" s="44"/>
      <c r="Z967" s="44"/>
      <c r="AA967" s="44"/>
      <c r="AB967" s="44"/>
      <c r="AC967" s="44"/>
      <c r="AD967" s="44"/>
      <c r="AE967" s="44"/>
      <c r="AF967" s="44"/>
    </row>
    <row r="968" ht="31" spans="1:32">
      <c r="A968" s="16" t="s">
        <v>4174</v>
      </c>
      <c r="B968" s="17" t="s">
        <v>4175</v>
      </c>
      <c r="C968" s="30" t="s">
        <v>238</v>
      </c>
      <c r="D968" s="19" t="e">
        <f>VLOOKUP(C968,#REF!,2,0)</f>
        <v>#REF!</v>
      </c>
      <c r="E968" s="20" t="e">
        <f>VLOOKUP(D968,数据集标准分类!E:F,2,0)</f>
        <v>#REF!</v>
      </c>
      <c r="F968" s="21">
        <v>31</v>
      </c>
      <c r="G968" s="30" t="s">
        <v>472</v>
      </c>
      <c r="H968" s="30" t="s">
        <v>6020</v>
      </c>
      <c r="I968" s="30" t="s">
        <v>475</v>
      </c>
      <c r="J968" s="30" t="s">
        <v>473</v>
      </c>
      <c r="K968" s="30" t="s">
        <v>475</v>
      </c>
      <c r="L968" s="30" t="s">
        <v>476</v>
      </c>
      <c r="M968" s="16" t="s">
        <v>5593</v>
      </c>
      <c r="N968" s="16" t="s">
        <v>5595</v>
      </c>
      <c r="O968" s="23">
        <v>18</v>
      </c>
      <c r="P968" s="24" t="e">
        <f>VLOOKUP(I968,#REF!,2,0)</f>
        <v>#REF!</v>
      </c>
      <c r="Q968" s="47"/>
      <c r="R968" s="24"/>
      <c r="S968" s="48"/>
      <c r="T968" s="24"/>
      <c r="U968" s="48"/>
      <c r="V968" s="48"/>
      <c r="W968" s="27">
        <v>657</v>
      </c>
      <c r="X968" s="28"/>
      <c r="Y968" s="5"/>
      <c r="Z968" s="5"/>
      <c r="AA968" s="5"/>
      <c r="AB968" s="5"/>
      <c r="AC968" s="5"/>
      <c r="AD968" s="5"/>
      <c r="AE968" s="5"/>
      <c r="AF968" s="5"/>
    </row>
    <row r="969" ht="46" spans="1:32">
      <c r="A969" s="16" t="s">
        <v>4174</v>
      </c>
      <c r="B969" s="17" t="s">
        <v>4175</v>
      </c>
      <c r="C969" s="30" t="s">
        <v>238</v>
      </c>
      <c r="D969" s="19" t="e">
        <f>VLOOKUP(C969,#REF!,2,0)</f>
        <v>#REF!</v>
      </c>
      <c r="E969" s="20" t="e">
        <f>VLOOKUP(D969,数据集标准分类!E:F,2,0)</f>
        <v>#REF!</v>
      </c>
      <c r="F969" s="21">
        <v>31</v>
      </c>
      <c r="G969" s="22" t="s">
        <v>477</v>
      </c>
      <c r="H969" s="22" t="s">
        <v>478</v>
      </c>
      <c r="I969" s="22" t="s">
        <v>480</v>
      </c>
      <c r="J969" s="22" t="s">
        <v>478</v>
      </c>
      <c r="K969" s="22" t="s">
        <v>480</v>
      </c>
      <c r="L969" s="22" t="s">
        <v>481</v>
      </c>
      <c r="M969" s="16" t="s">
        <v>5595</v>
      </c>
      <c r="N969" s="16" t="s">
        <v>5595</v>
      </c>
      <c r="O969" s="23">
        <v>19</v>
      </c>
      <c r="P969" s="24" t="e">
        <f>VLOOKUP(I969,#REF!,2,0)</f>
        <v>#REF!</v>
      </c>
      <c r="Q969" s="25"/>
      <c r="R969" s="24"/>
      <c r="S969" s="26"/>
      <c r="T969" s="24"/>
      <c r="U969" s="26"/>
      <c r="V969" s="26"/>
      <c r="W969" s="27">
        <v>658</v>
      </c>
      <c r="X969" s="28"/>
    </row>
    <row r="970" ht="31" spans="1:32">
      <c r="A970" s="16" t="s">
        <v>4174</v>
      </c>
      <c r="B970" s="17" t="s">
        <v>4175</v>
      </c>
      <c r="C970" s="30" t="s">
        <v>238</v>
      </c>
      <c r="D970" s="19" t="e">
        <f>VLOOKUP(C970,#REF!,2,0)</f>
        <v>#REF!</v>
      </c>
      <c r="E970" s="20" t="e">
        <f>VLOOKUP(D970,数据集标准分类!E:F,2,0)</f>
        <v>#REF!</v>
      </c>
      <c r="F970" s="21">
        <v>31</v>
      </c>
      <c r="G970" s="22" t="s">
        <v>482</v>
      </c>
      <c r="H970" s="22" t="s">
        <v>6021</v>
      </c>
      <c r="I970" s="22" t="s">
        <v>485</v>
      </c>
      <c r="J970" s="22" t="s">
        <v>483</v>
      </c>
      <c r="K970" s="22" t="s">
        <v>485</v>
      </c>
      <c r="L970" s="22" t="s">
        <v>486</v>
      </c>
      <c r="M970" s="16" t="s">
        <v>5593</v>
      </c>
      <c r="N970" s="16" t="s">
        <v>5595</v>
      </c>
      <c r="O970" s="23">
        <v>20</v>
      </c>
      <c r="P970" s="24" t="e">
        <f>VLOOKUP(I970,#REF!,2,0)</f>
        <v>#REF!</v>
      </c>
      <c r="Q970" s="25"/>
      <c r="R970" s="24"/>
      <c r="S970" s="26"/>
      <c r="T970" s="24"/>
      <c r="U970" s="26"/>
      <c r="V970" s="26"/>
      <c r="W970" s="27">
        <v>659</v>
      </c>
      <c r="X970" s="28"/>
    </row>
    <row r="971" ht="31" spans="1:32">
      <c r="A971" s="16" t="s">
        <v>4174</v>
      </c>
      <c r="B971" s="17" t="s">
        <v>4175</v>
      </c>
      <c r="C971" s="30" t="s">
        <v>238</v>
      </c>
      <c r="D971" s="19" t="e">
        <f>VLOOKUP(C971,#REF!,2,0)</f>
        <v>#REF!</v>
      </c>
      <c r="E971" s="20" t="e">
        <f>VLOOKUP(D971,数据集标准分类!E:F,2,0)</f>
        <v>#REF!</v>
      </c>
      <c r="F971" s="21">
        <v>31</v>
      </c>
      <c r="G971" s="22" t="s">
        <v>345</v>
      </c>
      <c r="H971" s="22" t="s">
        <v>6022</v>
      </c>
      <c r="I971" s="22" t="s">
        <v>348</v>
      </c>
      <c r="J971" s="22" t="s">
        <v>346</v>
      </c>
      <c r="K971" s="22" t="s">
        <v>348</v>
      </c>
      <c r="L971" s="22" t="s">
        <v>349</v>
      </c>
      <c r="M971" s="16" t="s">
        <v>5593</v>
      </c>
      <c r="N971" s="16" t="s">
        <v>5595</v>
      </c>
      <c r="O971" s="23">
        <v>21</v>
      </c>
      <c r="P971" s="24" t="e">
        <f>VLOOKUP(I971,#REF!,2,0)</f>
        <v>#REF!</v>
      </c>
      <c r="Q971" s="25"/>
      <c r="R971" s="24"/>
      <c r="S971" s="26"/>
      <c r="T971" s="24"/>
      <c r="U971" s="26"/>
      <c r="V971" s="26"/>
      <c r="W971" s="27">
        <v>660</v>
      </c>
      <c r="X971" s="28"/>
    </row>
    <row r="972" ht="46" spans="1:32">
      <c r="A972" s="16" t="s">
        <v>4174</v>
      </c>
      <c r="B972" s="17" t="s">
        <v>4175</v>
      </c>
      <c r="C972" s="30" t="s">
        <v>238</v>
      </c>
      <c r="D972" s="19" t="e">
        <f>VLOOKUP(C972,#REF!,2,0)</f>
        <v>#REF!</v>
      </c>
      <c r="E972" s="20" t="e">
        <f>VLOOKUP(D972,数据集标准分类!E:F,2,0)</f>
        <v>#REF!</v>
      </c>
      <c r="F972" s="21">
        <v>31</v>
      </c>
      <c r="G972" s="22" t="s">
        <v>503</v>
      </c>
      <c r="H972" s="22" t="s">
        <v>5591</v>
      </c>
      <c r="I972" s="22" t="s">
        <v>5592</v>
      </c>
      <c r="J972" s="22" t="s">
        <v>504</v>
      </c>
      <c r="K972" s="22" t="s">
        <v>506</v>
      </c>
      <c r="L972" s="22" t="s">
        <v>507</v>
      </c>
      <c r="M972" s="16" t="s">
        <v>5593</v>
      </c>
      <c r="N972" s="16" t="s">
        <v>5593</v>
      </c>
      <c r="O972" s="23">
        <v>22</v>
      </c>
      <c r="P972" s="24" t="e">
        <f>VLOOKUP(I972,#REF!,2,0)</f>
        <v>#REF!</v>
      </c>
      <c r="Q972" s="25"/>
      <c r="R972" s="24"/>
      <c r="S972" s="26"/>
      <c r="T972" s="24"/>
      <c r="U972" s="26"/>
      <c r="V972" s="26"/>
      <c r="W972" s="27">
        <v>661</v>
      </c>
      <c r="X972" s="28"/>
    </row>
    <row r="973" ht="46" spans="1:32">
      <c r="A973" s="16" t="s">
        <v>4174</v>
      </c>
      <c r="B973" s="17" t="s">
        <v>4175</v>
      </c>
      <c r="C973" s="30" t="s">
        <v>238</v>
      </c>
      <c r="D973" s="19" t="e">
        <f>VLOOKUP(C973,#REF!,2,0)</f>
        <v>#REF!</v>
      </c>
      <c r="E973" s="20" t="e">
        <f>VLOOKUP(D973,数据集标准分类!E:F,2,0)</f>
        <v>#REF!</v>
      </c>
      <c r="F973" s="21">
        <v>31</v>
      </c>
      <c r="G973" s="22" t="s">
        <v>508</v>
      </c>
      <c r="H973" s="22" t="s">
        <v>5594</v>
      </c>
      <c r="I973" s="22" t="s">
        <v>511</v>
      </c>
      <c r="J973" s="22" t="s">
        <v>509</v>
      </c>
      <c r="K973" s="22" t="s">
        <v>511</v>
      </c>
      <c r="L973" s="22" t="s">
        <v>512</v>
      </c>
      <c r="M973" s="16" t="s">
        <v>5593</v>
      </c>
      <c r="N973" s="16" t="s">
        <v>5595</v>
      </c>
      <c r="O973" s="23">
        <v>23</v>
      </c>
      <c r="P973" s="24" t="e">
        <f>VLOOKUP(I973,#REF!,2,0)</f>
        <v>#REF!</v>
      </c>
      <c r="Q973" s="25"/>
      <c r="R973" s="24"/>
      <c r="S973" s="26"/>
      <c r="T973" s="24"/>
      <c r="U973" s="26"/>
      <c r="V973" s="26"/>
      <c r="W973" s="27">
        <v>662</v>
      </c>
      <c r="X973" s="28"/>
    </row>
    <row r="974" ht="61" spans="1:32">
      <c r="A974" s="16" t="s">
        <v>4174</v>
      </c>
      <c r="B974" s="17" t="s">
        <v>4175</v>
      </c>
      <c r="C974" s="30" t="s">
        <v>238</v>
      </c>
      <c r="D974" s="19" t="e">
        <f>VLOOKUP(C974,#REF!,2,0)</f>
        <v>#REF!</v>
      </c>
      <c r="E974" s="20" t="e">
        <f>VLOOKUP(D974,数据集标准分类!E:F,2,0)</f>
        <v>#REF!</v>
      </c>
      <c r="F974" s="21">
        <v>31</v>
      </c>
      <c r="G974" s="22" t="s">
        <v>350</v>
      </c>
      <c r="H974" s="22" t="s">
        <v>6023</v>
      </c>
      <c r="I974" s="22" t="s">
        <v>6024</v>
      </c>
      <c r="J974" s="22" t="s">
        <v>351</v>
      </c>
      <c r="K974" s="22" t="s">
        <v>353</v>
      </c>
      <c r="L974" s="22" t="s">
        <v>354</v>
      </c>
      <c r="M974" s="16" t="s">
        <v>5593</v>
      </c>
      <c r="N974" s="16" t="s">
        <v>5593</v>
      </c>
      <c r="O974" s="23">
        <v>24</v>
      </c>
      <c r="P974" s="24" t="e">
        <f>VLOOKUP(I974,#REF!,2,0)</f>
        <v>#REF!</v>
      </c>
      <c r="Q974" s="25"/>
      <c r="R974" s="24"/>
      <c r="S974" s="26"/>
      <c r="T974" s="24"/>
      <c r="U974" s="26"/>
      <c r="V974" s="26"/>
      <c r="W974" s="27">
        <v>663</v>
      </c>
      <c r="X974" s="28"/>
    </row>
    <row r="975" ht="61" spans="1:32">
      <c r="A975" s="16" t="s">
        <v>4174</v>
      </c>
      <c r="B975" s="17" t="s">
        <v>4175</v>
      </c>
      <c r="C975" s="30" t="s">
        <v>238</v>
      </c>
      <c r="D975" s="19" t="e">
        <f>VLOOKUP(C975,#REF!,2,0)</f>
        <v>#REF!</v>
      </c>
      <c r="E975" s="20" t="e">
        <f>VLOOKUP(D975,数据集标准分类!E:F,2,0)</f>
        <v>#REF!</v>
      </c>
      <c r="F975" s="21">
        <v>31</v>
      </c>
      <c r="G975" s="22" t="s">
        <v>77</v>
      </c>
      <c r="H975" s="22" t="s">
        <v>5686</v>
      </c>
      <c r="I975" s="22" t="s">
        <v>80</v>
      </c>
      <c r="J975" s="22" t="s">
        <v>78</v>
      </c>
      <c r="K975" s="22" t="s">
        <v>80</v>
      </c>
      <c r="L975" s="22" t="s">
        <v>310</v>
      </c>
      <c r="M975" s="16" t="s">
        <v>5593</v>
      </c>
      <c r="N975" s="16" t="s">
        <v>5595</v>
      </c>
      <c r="O975" s="23">
        <v>25</v>
      </c>
      <c r="P975" s="24" t="e">
        <f>VLOOKUP(I975,#REF!,2,0)</f>
        <v>#REF!</v>
      </c>
      <c r="Q975" s="25"/>
      <c r="R975" s="24"/>
      <c r="S975" s="26"/>
      <c r="T975" s="24"/>
      <c r="U975" s="26"/>
      <c r="V975" s="26"/>
      <c r="W975" s="27">
        <v>664</v>
      </c>
      <c r="X975" s="28"/>
    </row>
    <row r="976" ht="61" spans="1:32">
      <c r="A976" s="16" t="s">
        <v>4174</v>
      </c>
      <c r="B976" s="17" t="s">
        <v>4175</v>
      </c>
      <c r="C976" s="30" t="s">
        <v>238</v>
      </c>
      <c r="D976" s="19" t="e">
        <f>VLOOKUP(C976,#REF!,2,0)</f>
        <v>#REF!</v>
      </c>
      <c r="E976" s="20" t="e">
        <f>VLOOKUP(D976,数据集标准分类!E:F,2,0)</f>
        <v>#REF!</v>
      </c>
      <c r="F976" s="21">
        <v>31</v>
      </c>
      <c r="G976" s="22" t="s">
        <v>82</v>
      </c>
      <c r="H976" s="22" t="s">
        <v>5687</v>
      </c>
      <c r="I976" s="22" t="s">
        <v>85</v>
      </c>
      <c r="J976" s="22" t="s">
        <v>83</v>
      </c>
      <c r="K976" s="22" t="s">
        <v>85</v>
      </c>
      <c r="L976" s="22" t="s">
        <v>311</v>
      </c>
      <c r="M976" s="16" t="s">
        <v>5593</v>
      </c>
      <c r="N976" s="16" t="s">
        <v>5595</v>
      </c>
      <c r="O976" s="23">
        <v>26</v>
      </c>
      <c r="P976" s="24" t="e">
        <f>VLOOKUP(I976,#REF!,2,0)</f>
        <v>#REF!</v>
      </c>
      <c r="Q976" s="25"/>
      <c r="R976" s="24"/>
      <c r="S976" s="26"/>
      <c r="T976" s="24"/>
      <c r="U976" s="26"/>
      <c r="V976" s="26"/>
      <c r="W976" s="27">
        <v>665</v>
      </c>
      <c r="X976" s="28"/>
    </row>
    <row r="977" ht="46" spans="1:32">
      <c r="A977" s="16" t="s">
        <v>4174</v>
      </c>
      <c r="B977" s="17" t="s">
        <v>4175</v>
      </c>
      <c r="C977" s="30" t="s">
        <v>238</v>
      </c>
      <c r="D977" s="19" t="e">
        <f>VLOOKUP(C977,#REF!,2,0)</f>
        <v>#REF!</v>
      </c>
      <c r="E977" s="20" t="e">
        <f>VLOOKUP(D977,数据集标准分类!E:F,2,0)</f>
        <v>#REF!</v>
      </c>
      <c r="F977" s="21">
        <v>31</v>
      </c>
      <c r="G977" s="22" t="s">
        <v>364</v>
      </c>
      <c r="H977" s="22" t="s">
        <v>365</v>
      </c>
      <c r="I977" s="22" t="s">
        <v>367</v>
      </c>
      <c r="J977" s="22" t="s">
        <v>365</v>
      </c>
      <c r="K977" s="22" t="s">
        <v>367</v>
      </c>
      <c r="L977" s="22" t="s">
        <v>368</v>
      </c>
      <c r="M977" s="16" t="s">
        <v>5595</v>
      </c>
      <c r="N977" s="16" t="s">
        <v>5595</v>
      </c>
      <c r="O977" s="23">
        <v>27</v>
      </c>
      <c r="P977" s="24" t="e">
        <f>VLOOKUP(I977,#REF!,2,0)</f>
        <v>#REF!</v>
      </c>
      <c r="Q977" s="47"/>
      <c r="R977" s="24"/>
      <c r="S977" s="48"/>
      <c r="T977" s="24"/>
      <c r="U977" s="48"/>
      <c r="V977" s="48"/>
      <c r="W977" s="27">
        <v>666</v>
      </c>
      <c r="X977" s="28"/>
      <c r="Y977" s="5"/>
      <c r="Z977" s="5"/>
      <c r="AA977" s="5"/>
      <c r="AB977" s="5"/>
      <c r="AC977" s="5"/>
      <c r="AD977" s="5"/>
      <c r="AE977" s="5"/>
      <c r="AF977" s="5"/>
    </row>
    <row r="978" ht="46" spans="1:32">
      <c r="A978" s="16" t="s">
        <v>4174</v>
      </c>
      <c r="B978" s="17" t="s">
        <v>4175</v>
      </c>
      <c r="C978" s="30" t="s">
        <v>238</v>
      </c>
      <c r="D978" s="19" t="e">
        <f>VLOOKUP(C978,#REF!,2,0)</f>
        <v>#REF!</v>
      </c>
      <c r="E978" s="20" t="e">
        <f>VLOOKUP(D978,数据集标准分类!E:F,2,0)</f>
        <v>#REF!</v>
      </c>
      <c r="F978" s="21">
        <v>31</v>
      </c>
      <c r="G978" s="22" t="s">
        <v>192</v>
      </c>
      <c r="H978" s="22" t="s">
        <v>5630</v>
      </c>
      <c r="I978" s="22" t="s">
        <v>5631</v>
      </c>
      <c r="J978" s="22" t="s">
        <v>193</v>
      </c>
      <c r="K978" s="22" t="s">
        <v>195</v>
      </c>
      <c r="L978" s="22" t="s">
        <v>385</v>
      </c>
      <c r="M978" s="16" t="s">
        <v>5593</v>
      </c>
      <c r="N978" s="16" t="s">
        <v>5593</v>
      </c>
      <c r="O978" s="23">
        <v>28</v>
      </c>
      <c r="P978" s="24" t="e">
        <f>VLOOKUP(I978,#REF!,2,0)</f>
        <v>#REF!</v>
      </c>
      <c r="Q978" s="25"/>
      <c r="R978" s="24"/>
      <c r="S978" s="26"/>
      <c r="T978" s="24"/>
      <c r="U978" s="26"/>
      <c r="V978" s="26"/>
      <c r="W978" s="27">
        <v>667</v>
      </c>
      <c r="X978" s="28"/>
    </row>
    <row r="979" ht="46" spans="1:32">
      <c r="A979" s="16" t="s">
        <v>4174</v>
      </c>
      <c r="B979" s="17" t="s">
        <v>4175</v>
      </c>
      <c r="C979" s="30" t="s">
        <v>238</v>
      </c>
      <c r="D979" s="19" t="e">
        <f>VLOOKUP(C979,#REF!,2,0)</f>
        <v>#REF!</v>
      </c>
      <c r="E979" s="20" t="e">
        <f>VLOOKUP(D979,数据集标准分类!E:F,2,0)</f>
        <v>#REF!</v>
      </c>
      <c r="F979" s="21">
        <v>31</v>
      </c>
      <c r="G979" s="22" t="s">
        <v>386</v>
      </c>
      <c r="H979" s="22" t="s">
        <v>6025</v>
      </c>
      <c r="I979" s="22" t="s">
        <v>389</v>
      </c>
      <c r="J979" s="22" t="s">
        <v>387</v>
      </c>
      <c r="K979" s="22" t="s">
        <v>389</v>
      </c>
      <c r="L979" s="22" t="s">
        <v>390</v>
      </c>
      <c r="M979" s="16" t="s">
        <v>5593</v>
      </c>
      <c r="N979" s="16" t="s">
        <v>5595</v>
      </c>
      <c r="O979" s="23">
        <v>29</v>
      </c>
      <c r="P979" s="24" t="e">
        <f>VLOOKUP(I979,#REF!,2,0)</f>
        <v>#REF!</v>
      </c>
      <c r="Q979" s="25"/>
      <c r="R979" s="24"/>
      <c r="S979" s="26"/>
      <c r="T979" s="24"/>
      <c r="U979" s="26"/>
      <c r="V979" s="26"/>
      <c r="W979" s="27">
        <v>668</v>
      </c>
      <c r="X979" s="28"/>
    </row>
    <row r="980" ht="61" spans="1:32">
      <c r="A980" s="16" t="s">
        <v>4174</v>
      </c>
      <c r="B980" s="17" t="s">
        <v>4175</v>
      </c>
      <c r="C980" s="30" t="s">
        <v>238</v>
      </c>
      <c r="D980" s="19" t="e">
        <f>VLOOKUP(C980,#REF!,2,0)</f>
        <v>#REF!</v>
      </c>
      <c r="E980" s="20" t="e">
        <f>VLOOKUP(D980,数据集标准分类!E:F,2,0)</f>
        <v>#REF!</v>
      </c>
      <c r="F980" s="21">
        <v>31</v>
      </c>
      <c r="G980" s="22" t="s">
        <v>391</v>
      </c>
      <c r="H980" s="22" t="s">
        <v>5664</v>
      </c>
      <c r="I980" s="22" t="s">
        <v>394</v>
      </c>
      <c r="J980" s="22" t="s">
        <v>392</v>
      </c>
      <c r="K980" s="22" t="s">
        <v>394</v>
      </c>
      <c r="L980" s="22" t="s">
        <v>395</v>
      </c>
      <c r="M980" s="16" t="s">
        <v>5593</v>
      </c>
      <c r="N980" s="16" t="s">
        <v>5595</v>
      </c>
      <c r="O980" s="23">
        <v>30</v>
      </c>
      <c r="P980" s="24" t="e">
        <f>VLOOKUP(I980,#REF!,2,0)</f>
        <v>#REF!</v>
      </c>
      <c r="Q980" s="25"/>
      <c r="R980" s="24"/>
      <c r="S980" s="26"/>
      <c r="T980" s="24"/>
      <c r="U980" s="26" t="s">
        <v>5593</v>
      </c>
      <c r="V980" s="26"/>
      <c r="W980" s="27">
        <v>669</v>
      </c>
      <c r="X980" s="28"/>
    </row>
    <row r="981" ht="61" spans="1:32">
      <c r="A981" s="16" t="s">
        <v>4174</v>
      </c>
      <c r="B981" s="17" t="s">
        <v>4175</v>
      </c>
      <c r="C981" s="30" t="s">
        <v>238</v>
      </c>
      <c r="D981" s="19" t="e">
        <f>VLOOKUP(C981,#REF!,2,0)</f>
        <v>#REF!</v>
      </c>
      <c r="E981" s="20" t="e">
        <f>VLOOKUP(D981,数据集标准分类!E:F,2,0)</f>
        <v>#REF!</v>
      </c>
      <c r="F981" s="21">
        <v>31</v>
      </c>
      <c r="G981" s="22" t="s">
        <v>396</v>
      </c>
      <c r="H981" s="22" t="s">
        <v>5628</v>
      </c>
      <c r="I981" s="22" t="s">
        <v>5629</v>
      </c>
      <c r="J981" s="22" t="s">
        <v>397</v>
      </c>
      <c r="K981" s="22" t="s">
        <v>399</v>
      </c>
      <c r="L981" s="22" t="s">
        <v>400</v>
      </c>
      <c r="M981" s="16" t="s">
        <v>5593</v>
      </c>
      <c r="N981" s="16" t="s">
        <v>5593</v>
      </c>
      <c r="O981" s="23">
        <v>31</v>
      </c>
      <c r="P981" s="24" t="e">
        <f>VLOOKUP(I981,#REF!,2,0)</f>
        <v>#REF!</v>
      </c>
      <c r="Q981" s="25"/>
      <c r="R981" s="24"/>
      <c r="S981" s="26"/>
      <c r="T981" s="24"/>
      <c r="U981" s="26"/>
      <c r="V981" s="26"/>
      <c r="W981" s="27">
        <v>670</v>
      </c>
      <c r="X981" s="28"/>
    </row>
    <row r="982" ht="46" spans="1:32">
      <c r="A982" s="16" t="s">
        <v>4174</v>
      </c>
      <c r="B982" s="17" t="s">
        <v>4175</v>
      </c>
      <c r="C982" s="30" t="s">
        <v>238</v>
      </c>
      <c r="D982" s="19" t="e">
        <f>VLOOKUP(C982,#REF!,2,0)</f>
        <v>#REF!</v>
      </c>
      <c r="E982" s="20" t="e">
        <f>VLOOKUP(D982,数据集标准分类!E:F,2,0)</f>
        <v>#REF!</v>
      </c>
      <c r="F982" s="21">
        <v>31</v>
      </c>
      <c r="G982" s="22" t="s">
        <v>245</v>
      </c>
      <c r="H982" s="191" t="s">
        <v>5680</v>
      </c>
      <c r="I982" s="191" t="s">
        <v>248</v>
      </c>
      <c r="J982" s="191" t="s">
        <v>246</v>
      </c>
      <c r="K982" s="191" t="s">
        <v>248</v>
      </c>
      <c r="L982" s="191" t="s">
        <v>249</v>
      </c>
      <c r="M982" s="16" t="s">
        <v>5593</v>
      </c>
      <c r="N982" s="16" t="s">
        <v>5595</v>
      </c>
      <c r="O982" s="23">
        <v>32</v>
      </c>
      <c r="P982" s="24" t="e">
        <f>VLOOKUP(I982,#REF!,2,0)</f>
        <v>#REF!</v>
      </c>
      <c r="Q982" s="25"/>
      <c r="R982" s="24"/>
      <c r="S982" s="26"/>
      <c r="T982" s="24"/>
      <c r="U982" s="26"/>
      <c r="V982" s="26"/>
      <c r="W982" s="27">
        <v>671</v>
      </c>
      <c r="X982" s="28"/>
    </row>
    <row r="983" ht="61" spans="1:32">
      <c r="A983" s="16" t="s">
        <v>4174</v>
      </c>
      <c r="B983" s="17" t="s">
        <v>4175</v>
      </c>
      <c r="C983" s="30" t="s">
        <v>238</v>
      </c>
      <c r="D983" s="19" t="e">
        <f>VLOOKUP(C983,#REF!,2,0)</f>
        <v>#REF!</v>
      </c>
      <c r="E983" s="20" t="e">
        <f>VLOOKUP(D983,数据集标准分类!E:F,2,0)</f>
        <v>#REF!</v>
      </c>
      <c r="F983" s="21">
        <v>31</v>
      </c>
      <c r="G983" s="22" t="s">
        <v>401</v>
      </c>
      <c r="H983" s="22" t="s">
        <v>5681</v>
      </c>
      <c r="I983" s="22" t="s">
        <v>5682</v>
      </c>
      <c r="J983" s="22" t="s">
        <v>402</v>
      </c>
      <c r="K983" s="22" t="s">
        <v>404</v>
      </c>
      <c r="L983" s="22" t="s">
        <v>405</v>
      </c>
      <c r="M983" s="16" t="s">
        <v>5593</v>
      </c>
      <c r="N983" s="16" t="s">
        <v>5593</v>
      </c>
      <c r="O983" s="23">
        <v>33</v>
      </c>
      <c r="P983" s="24" t="e">
        <f>VLOOKUP(I983,#REF!,2,0)</f>
        <v>#REF!</v>
      </c>
      <c r="Q983" s="25"/>
      <c r="R983" s="24"/>
      <c r="S983" s="26"/>
      <c r="T983" s="24"/>
      <c r="U983" s="26" t="s">
        <v>5593</v>
      </c>
      <c r="V983" s="26"/>
      <c r="W983" s="27">
        <v>672</v>
      </c>
      <c r="X983" s="28"/>
    </row>
    <row r="984" ht="61" spans="1:32">
      <c r="A984" s="16" t="s">
        <v>4174</v>
      </c>
      <c r="B984" s="17" t="s">
        <v>4175</v>
      </c>
      <c r="C984" s="30" t="s">
        <v>238</v>
      </c>
      <c r="D984" s="19" t="e">
        <f>VLOOKUP(C984,#REF!,2,0)</f>
        <v>#REF!</v>
      </c>
      <c r="E984" s="20" t="e">
        <f>VLOOKUP(D984,数据集标准分类!E:F,2,0)</f>
        <v>#REF!</v>
      </c>
      <c r="F984" s="21">
        <v>31</v>
      </c>
      <c r="G984" s="22" t="s">
        <v>406</v>
      </c>
      <c r="H984" s="22" t="s">
        <v>5683</v>
      </c>
      <c r="I984" s="22" t="s">
        <v>5684</v>
      </c>
      <c r="J984" s="22" t="s">
        <v>407</v>
      </c>
      <c r="K984" s="22" t="s">
        <v>409</v>
      </c>
      <c r="L984" s="22" t="s">
        <v>410</v>
      </c>
      <c r="M984" s="16" t="s">
        <v>5593</v>
      </c>
      <c r="N984" s="16" t="s">
        <v>5593</v>
      </c>
      <c r="O984" s="23">
        <v>34</v>
      </c>
      <c r="P984" s="24" t="e">
        <f>VLOOKUP(I984,#REF!,2,0)</f>
        <v>#REF!</v>
      </c>
      <c r="Q984" s="25"/>
      <c r="R984" s="24"/>
      <c r="S984" s="26"/>
      <c r="T984" s="24"/>
      <c r="U984" s="26" t="s">
        <v>5593</v>
      </c>
      <c r="V984" s="26"/>
      <c r="W984" s="27">
        <v>673</v>
      </c>
      <c r="X984" s="28"/>
    </row>
    <row r="985" ht="31" spans="1:32">
      <c r="A985" s="16" t="s">
        <v>4174</v>
      </c>
      <c r="B985" s="17" t="s">
        <v>4175</v>
      </c>
      <c r="C985" s="30" t="s">
        <v>238</v>
      </c>
      <c r="D985" s="19" t="e">
        <f>VLOOKUP(C985,#REF!,2,0)</f>
        <v>#REF!</v>
      </c>
      <c r="E985" s="20" t="e">
        <f>VLOOKUP(D985,数据集标准分类!E:F,2,0)</f>
        <v>#REF!</v>
      </c>
      <c r="F985" s="21">
        <v>31</v>
      </c>
      <c r="G985" s="22" t="s">
        <v>411</v>
      </c>
      <c r="H985" s="22" t="s">
        <v>6026</v>
      </c>
      <c r="I985" s="22" t="s">
        <v>414</v>
      </c>
      <c r="J985" s="22" t="s">
        <v>412</v>
      </c>
      <c r="K985" s="22" t="s">
        <v>414</v>
      </c>
      <c r="L985" s="22" t="s">
        <v>415</v>
      </c>
      <c r="M985" s="16" t="s">
        <v>5593</v>
      </c>
      <c r="N985" s="16" t="s">
        <v>5595</v>
      </c>
      <c r="O985" s="23">
        <v>35</v>
      </c>
      <c r="P985" s="24" t="e">
        <f>VLOOKUP(I985,#REF!,2,0)</f>
        <v>#REF!</v>
      </c>
      <c r="Q985" s="25"/>
      <c r="R985" s="24"/>
      <c r="S985" s="26"/>
      <c r="T985" s="24"/>
      <c r="U985" s="26" t="s">
        <v>5593</v>
      </c>
      <c r="V985" s="26"/>
      <c r="W985" s="27">
        <v>674</v>
      </c>
      <c r="X985" s="28"/>
    </row>
    <row r="986" ht="31" spans="1:32">
      <c r="A986" s="16" t="s">
        <v>4174</v>
      </c>
      <c r="B986" s="17" t="s">
        <v>4175</v>
      </c>
      <c r="C986" s="30" t="s">
        <v>238</v>
      </c>
      <c r="D986" s="19" t="e">
        <f>VLOOKUP(C986,#REF!,2,0)</f>
        <v>#REF!</v>
      </c>
      <c r="E986" s="20" t="e">
        <f>VLOOKUP(D986,数据集标准分类!E:F,2,0)</f>
        <v>#REF!</v>
      </c>
      <c r="F986" s="21">
        <v>31</v>
      </c>
      <c r="G986" s="22" t="s">
        <v>416</v>
      </c>
      <c r="H986" s="22" t="s">
        <v>6027</v>
      </c>
      <c r="I986" s="22" t="s">
        <v>419</v>
      </c>
      <c r="J986" s="22" t="s">
        <v>417</v>
      </c>
      <c r="K986" s="22" t="s">
        <v>419</v>
      </c>
      <c r="L986" s="22" t="s">
        <v>420</v>
      </c>
      <c r="M986" s="16" t="s">
        <v>5593</v>
      </c>
      <c r="N986" s="16" t="s">
        <v>5595</v>
      </c>
      <c r="O986" s="23">
        <v>36</v>
      </c>
      <c r="P986" s="24" t="e">
        <f>VLOOKUP(I986,#REF!,2,0)</f>
        <v>#REF!</v>
      </c>
      <c r="Q986" s="25"/>
      <c r="R986" s="24"/>
      <c r="S986" s="26"/>
      <c r="T986" s="24"/>
      <c r="U986" s="26" t="s">
        <v>5593</v>
      </c>
      <c r="V986" s="26"/>
      <c r="W986" s="27">
        <v>675</v>
      </c>
      <c r="X986" s="28"/>
    </row>
    <row r="987" ht="46" spans="1:32">
      <c r="A987" s="16" t="s">
        <v>4174</v>
      </c>
      <c r="B987" s="17" t="s">
        <v>4175</v>
      </c>
      <c r="C987" s="30" t="s">
        <v>238</v>
      </c>
      <c r="D987" s="19" t="e">
        <f>VLOOKUP(C987,#REF!,2,0)</f>
        <v>#REF!</v>
      </c>
      <c r="E987" s="20" t="e">
        <f>VLOOKUP(D987,数据集标准分类!E:F,2,0)</f>
        <v>#REF!</v>
      </c>
      <c r="F987" s="21">
        <v>31</v>
      </c>
      <c r="G987" s="22" t="s">
        <v>421</v>
      </c>
      <c r="H987" s="22" t="s">
        <v>5685</v>
      </c>
      <c r="I987" s="22" t="s">
        <v>424</v>
      </c>
      <c r="J987" s="22" t="s">
        <v>422</v>
      </c>
      <c r="K987" s="22" t="s">
        <v>424</v>
      </c>
      <c r="L987" s="22" t="s">
        <v>425</v>
      </c>
      <c r="M987" s="16" t="s">
        <v>5593</v>
      </c>
      <c r="N987" s="16" t="s">
        <v>5595</v>
      </c>
      <c r="O987" s="23">
        <v>37</v>
      </c>
      <c r="P987" s="24" t="e">
        <f>VLOOKUP(I987,#REF!,2,0)</f>
        <v>#REF!</v>
      </c>
      <c r="Q987" s="25"/>
      <c r="R987" s="24"/>
      <c r="S987" s="26"/>
      <c r="T987" s="24"/>
      <c r="U987" s="26" t="s">
        <v>5593</v>
      </c>
      <c r="V987" s="26"/>
      <c r="W987" s="27">
        <v>676</v>
      </c>
      <c r="X987" s="28"/>
    </row>
    <row r="988" ht="46" spans="1:32">
      <c r="A988" s="16" t="s">
        <v>4174</v>
      </c>
      <c r="B988" s="17" t="s">
        <v>4175</v>
      </c>
      <c r="C988" s="30" t="s">
        <v>238</v>
      </c>
      <c r="D988" s="19" t="e">
        <f>VLOOKUP(C988,#REF!,2,0)</f>
        <v>#REF!</v>
      </c>
      <c r="E988" s="20" t="e">
        <f>VLOOKUP(D988,数据集标准分类!E:F,2,0)</f>
        <v>#REF!</v>
      </c>
      <c r="F988" s="21">
        <v>31</v>
      </c>
      <c r="G988" s="22" t="s">
        <v>426</v>
      </c>
      <c r="H988" s="22" t="s">
        <v>427</v>
      </c>
      <c r="I988" s="22" t="s">
        <v>429</v>
      </c>
      <c r="J988" s="22" t="s">
        <v>427</v>
      </c>
      <c r="K988" s="22" t="s">
        <v>429</v>
      </c>
      <c r="L988" s="22" t="s">
        <v>430</v>
      </c>
      <c r="M988" s="16" t="s">
        <v>5595</v>
      </c>
      <c r="N988" s="16" t="s">
        <v>5595</v>
      </c>
      <c r="O988" s="23">
        <v>38</v>
      </c>
      <c r="P988" s="24" t="e">
        <f>VLOOKUP(I988,#REF!,2,0)</f>
        <v>#REF!</v>
      </c>
      <c r="Q988" s="25"/>
      <c r="R988" s="24"/>
      <c r="S988" s="26"/>
      <c r="T988" s="24"/>
      <c r="U988" s="26" t="s">
        <v>5593</v>
      </c>
      <c r="V988" s="26"/>
      <c r="W988" s="27">
        <v>677</v>
      </c>
      <c r="X988" s="28"/>
    </row>
    <row r="989" ht="31" spans="1:32">
      <c r="A989" s="16" t="s">
        <v>4174</v>
      </c>
      <c r="B989" s="17" t="s">
        <v>4175</v>
      </c>
      <c r="C989" s="30" t="s">
        <v>238</v>
      </c>
      <c r="D989" s="19" t="e">
        <f>VLOOKUP(C989,#REF!,2,0)</f>
        <v>#REF!</v>
      </c>
      <c r="E989" s="20" t="e">
        <f>VLOOKUP(D989,数据集标准分类!E:F,2,0)</f>
        <v>#REF!</v>
      </c>
      <c r="F989" s="21">
        <v>31</v>
      </c>
      <c r="G989" s="22" t="s">
        <v>355</v>
      </c>
      <c r="H989" s="22" t="s">
        <v>356</v>
      </c>
      <c r="I989" s="22" t="s">
        <v>358</v>
      </c>
      <c r="J989" s="22" t="s">
        <v>356</v>
      </c>
      <c r="K989" s="22" t="s">
        <v>358</v>
      </c>
      <c r="L989" s="22" t="s">
        <v>359</v>
      </c>
      <c r="M989" s="16" t="s">
        <v>5595</v>
      </c>
      <c r="N989" s="16" t="s">
        <v>5595</v>
      </c>
      <c r="O989" s="23">
        <v>39</v>
      </c>
      <c r="P989" s="24" t="e">
        <f>VLOOKUP(I989,#REF!,2,0)</f>
        <v>#REF!</v>
      </c>
      <c r="Q989" s="25"/>
      <c r="R989" s="24"/>
      <c r="S989" s="26"/>
      <c r="T989" s="24"/>
      <c r="U989" s="26"/>
      <c r="V989" s="26"/>
      <c r="W989" s="27">
        <v>678</v>
      </c>
      <c r="X989" s="28"/>
    </row>
    <row r="990" ht="46" spans="1:32">
      <c r="A990" s="16" t="s">
        <v>4174</v>
      </c>
      <c r="B990" s="17" t="s">
        <v>4175</v>
      </c>
      <c r="C990" s="30" t="s">
        <v>238</v>
      </c>
      <c r="D990" s="19" t="e">
        <f>VLOOKUP(C990,#REF!,2,0)</f>
        <v>#REF!</v>
      </c>
      <c r="E990" s="20" t="e">
        <f>VLOOKUP(D990,数据集标准分类!E:F,2,0)</f>
        <v>#REF!</v>
      </c>
      <c r="F990" s="21">
        <v>31</v>
      </c>
      <c r="G990" s="22" t="s">
        <v>513</v>
      </c>
      <c r="H990" s="22" t="s">
        <v>6028</v>
      </c>
      <c r="I990" s="22" t="s">
        <v>6029</v>
      </c>
      <c r="J990" s="22" t="s">
        <v>514</v>
      </c>
      <c r="K990" s="22" t="s">
        <v>516</v>
      </c>
      <c r="L990" s="22" t="s">
        <v>517</v>
      </c>
      <c r="M990" s="16" t="s">
        <v>5593</v>
      </c>
      <c r="N990" s="16" t="s">
        <v>5593</v>
      </c>
      <c r="O990" s="23">
        <v>40</v>
      </c>
      <c r="P990" s="24" t="e">
        <f>VLOOKUP(I990,#REF!,2,0)</f>
        <v>#REF!</v>
      </c>
      <c r="Q990" s="25"/>
      <c r="R990" s="24"/>
      <c r="S990" s="26"/>
      <c r="T990" s="24"/>
      <c r="U990" s="26"/>
      <c r="V990" s="26"/>
      <c r="W990" s="27">
        <v>679</v>
      </c>
      <c r="X990" s="28"/>
    </row>
    <row r="991" ht="31" spans="1:32">
      <c r="A991" s="31" t="s">
        <v>4174</v>
      </c>
      <c r="B991" s="32" t="s">
        <v>4175</v>
      </c>
      <c r="C991" s="33" t="s">
        <v>238</v>
      </c>
      <c r="D991" s="34" t="e">
        <f>VLOOKUP(C991,#REF!,2,0)</f>
        <v>#REF!</v>
      </c>
      <c r="E991" s="20" t="e">
        <f>VLOOKUP(D991,数据集标准分类!E:F,2,0)</f>
        <v>#REF!</v>
      </c>
      <c r="F991" s="36">
        <v>31</v>
      </c>
      <c r="G991" s="37" t="s">
        <v>518</v>
      </c>
      <c r="H991" s="37" t="s">
        <v>6030</v>
      </c>
      <c r="I991" s="37" t="s">
        <v>6031</v>
      </c>
      <c r="J991" s="37" t="s">
        <v>519</v>
      </c>
      <c r="K991" s="37" t="s">
        <v>521</v>
      </c>
      <c r="L991" s="37" t="s">
        <v>522</v>
      </c>
      <c r="M991" s="31" t="s">
        <v>5593</v>
      </c>
      <c r="N991" s="31" t="s">
        <v>5593</v>
      </c>
      <c r="O991" s="38">
        <v>41</v>
      </c>
      <c r="P991" s="39" t="e">
        <f>VLOOKUP(I991,#REF!,2,0)</f>
        <v>#REF!</v>
      </c>
      <c r="Q991" s="40"/>
      <c r="R991" s="39"/>
      <c r="S991" s="41"/>
      <c r="T991" s="39"/>
      <c r="U991" s="41"/>
      <c r="V991" s="41"/>
      <c r="W991" s="42">
        <v>680</v>
      </c>
      <c r="X991" s="43"/>
      <c r="Y991" s="44"/>
      <c r="Z991" s="44"/>
      <c r="AA991" s="44"/>
      <c r="AB991" s="44"/>
      <c r="AC991" s="44"/>
      <c r="AD991" s="44"/>
      <c r="AE991" s="44"/>
      <c r="AF991" s="44"/>
    </row>
    <row r="992" ht="31" spans="1:32">
      <c r="A992" s="16" t="s">
        <v>4174</v>
      </c>
      <c r="B992" s="17" t="s">
        <v>4175</v>
      </c>
      <c r="C992" s="30" t="s">
        <v>238</v>
      </c>
      <c r="D992" s="19" t="e">
        <f>VLOOKUP(C992,#REF!,2,0)</f>
        <v>#REF!</v>
      </c>
      <c r="E992" s="20" t="e">
        <f>VLOOKUP(D992,数据集标准分类!E:F,2,0)</f>
        <v>#REF!</v>
      </c>
      <c r="F992" s="21">
        <v>31</v>
      </c>
      <c r="G992" s="22" t="s">
        <v>523</v>
      </c>
      <c r="H992" s="22" t="s">
        <v>6032</v>
      </c>
      <c r="I992" s="22" t="s">
        <v>526</v>
      </c>
      <c r="J992" s="22" t="s">
        <v>524</v>
      </c>
      <c r="K992" s="22" t="s">
        <v>526</v>
      </c>
      <c r="L992" s="22" t="s">
        <v>527</v>
      </c>
      <c r="M992" s="16" t="s">
        <v>5593</v>
      </c>
      <c r="N992" s="16" t="s">
        <v>5595</v>
      </c>
      <c r="O992" s="23">
        <v>42</v>
      </c>
      <c r="P992" s="24" t="e">
        <f>VLOOKUP(I992,#REF!,2,0)</f>
        <v>#REF!</v>
      </c>
      <c r="Q992" s="25"/>
      <c r="R992" s="24"/>
      <c r="S992" s="26"/>
      <c r="T992" s="24"/>
      <c r="U992" s="26"/>
      <c r="V992" s="26"/>
      <c r="W992" s="27">
        <v>681</v>
      </c>
      <c r="X992" s="28"/>
    </row>
    <row r="993" ht="31" spans="1:32">
      <c r="A993" s="16" t="s">
        <v>4174</v>
      </c>
      <c r="B993" s="17" t="s">
        <v>4175</v>
      </c>
      <c r="C993" s="30" t="s">
        <v>238</v>
      </c>
      <c r="D993" s="19" t="e">
        <f>VLOOKUP(C993,#REF!,2,0)</f>
        <v>#REF!</v>
      </c>
      <c r="E993" s="20" t="e">
        <f>VLOOKUP(D993,数据集标准分类!E:F,2,0)</f>
        <v>#REF!</v>
      </c>
      <c r="F993" s="21">
        <v>31</v>
      </c>
      <c r="G993" s="22" t="s">
        <v>528</v>
      </c>
      <c r="H993" s="22" t="s">
        <v>6033</v>
      </c>
      <c r="I993" s="22" t="s">
        <v>531</v>
      </c>
      <c r="J993" s="22" t="s">
        <v>529</v>
      </c>
      <c r="K993" s="22" t="s">
        <v>531</v>
      </c>
      <c r="L993" s="22" t="s">
        <v>532</v>
      </c>
      <c r="M993" s="16" t="s">
        <v>5593</v>
      </c>
      <c r="N993" s="16" t="s">
        <v>5595</v>
      </c>
      <c r="O993" s="23">
        <v>43</v>
      </c>
      <c r="P993" s="24" t="e">
        <f>VLOOKUP(I993,#REF!,2,0)</f>
        <v>#REF!</v>
      </c>
      <c r="Q993" s="25"/>
      <c r="R993" s="24"/>
      <c r="S993" s="26"/>
      <c r="T993" s="24"/>
      <c r="U993" s="26"/>
      <c r="V993" s="26"/>
      <c r="W993" s="27">
        <v>682</v>
      </c>
      <c r="X993" s="28"/>
    </row>
    <row r="994" ht="31" spans="1:32">
      <c r="A994" s="16" t="s">
        <v>4174</v>
      </c>
      <c r="B994" s="17" t="s">
        <v>4175</v>
      </c>
      <c r="C994" s="30" t="s">
        <v>238</v>
      </c>
      <c r="D994" s="19" t="e">
        <f>VLOOKUP(C994,#REF!,2,0)</f>
        <v>#REF!</v>
      </c>
      <c r="E994" s="20" t="e">
        <f>VLOOKUP(D994,数据集标准分类!E:F,2,0)</f>
        <v>#REF!</v>
      </c>
      <c r="F994" s="21">
        <v>31</v>
      </c>
      <c r="G994" s="22" t="s">
        <v>533</v>
      </c>
      <c r="H994" s="22" t="s">
        <v>6034</v>
      </c>
      <c r="I994" s="22" t="s">
        <v>536</v>
      </c>
      <c r="J994" s="22" t="s">
        <v>534</v>
      </c>
      <c r="K994" s="22" t="s">
        <v>536</v>
      </c>
      <c r="L994" s="22" t="s">
        <v>537</v>
      </c>
      <c r="M994" s="16" t="s">
        <v>5593</v>
      </c>
      <c r="N994" s="16" t="s">
        <v>5595</v>
      </c>
      <c r="O994" s="23">
        <v>44</v>
      </c>
      <c r="P994" s="24" t="e">
        <f>VLOOKUP(I994,#REF!,2,0)</f>
        <v>#REF!</v>
      </c>
      <c r="Q994" s="25"/>
      <c r="R994" s="24"/>
      <c r="S994" s="26"/>
      <c r="T994" s="24"/>
      <c r="U994" s="26"/>
      <c r="V994" s="26"/>
      <c r="W994" s="27">
        <v>683</v>
      </c>
      <c r="X994" s="28"/>
    </row>
    <row r="995" ht="31" spans="1:32">
      <c r="A995" s="16" t="s">
        <v>4174</v>
      </c>
      <c r="B995" s="17" t="s">
        <v>4175</v>
      </c>
      <c r="C995" s="30" t="s">
        <v>238</v>
      </c>
      <c r="D995" s="19" t="e">
        <f>VLOOKUP(C995,#REF!,2,0)</f>
        <v>#REF!</v>
      </c>
      <c r="E995" s="20" t="e">
        <f>VLOOKUP(D995,数据集标准分类!E:F,2,0)</f>
        <v>#REF!</v>
      </c>
      <c r="F995" s="21">
        <v>31</v>
      </c>
      <c r="G995" s="22" t="s">
        <v>538</v>
      </c>
      <c r="H995" s="22" t="s">
        <v>6035</v>
      </c>
      <c r="I995" s="22" t="s">
        <v>541</v>
      </c>
      <c r="J995" s="22" t="s">
        <v>539</v>
      </c>
      <c r="K995" s="22" t="s">
        <v>541</v>
      </c>
      <c r="L995" s="22" t="s">
        <v>542</v>
      </c>
      <c r="M995" s="16" t="s">
        <v>5593</v>
      </c>
      <c r="N995" s="16" t="s">
        <v>5595</v>
      </c>
      <c r="O995" s="23">
        <v>45</v>
      </c>
      <c r="P995" s="24" t="e">
        <f>VLOOKUP(I995,#REF!,2,0)</f>
        <v>#REF!</v>
      </c>
      <c r="Q995" s="25"/>
      <c r="R995" s="24"/>
      <c r="S995" s="26"/>
      <c r="T995" s="24"/>
      <c r="U995" s="26"/>
      <c r="V995" s="26"/>
      <c r="W995" s="27">
        <v>684</v>
      </c>
      <c r="X995" s="28"/>
    </row>
    <row r="996" ht="31" spans="1:32">
      <c r="A996" s="31" t="s">
        <v>4174</v>
      </c>
      <c r="B996" s="32" t="s">
        <v>4175</v>
      </c>
      <c r="C996" s="33" t="s">
        <v>238</v>
      </c>
      <c r="D996" s="34" t="e">
        <f>VLOOKUP(C996,#REF!,2,0)</f>
        <v>#REF!</v>
      </c>
      <c r="E996" s="20" t="e">
        <f>VLOOKUP(D996,数据集标准分类!E:F,2,0)</f>
        <v>#REF!</v>
      </c>
      <c r="F996" s="36">
        <v>31</v>
      </c>
      <c r="G996" s="37" t="s">
        <v>543</v>
      </c>
      <c r="H996" s="37" t="s">
        <v>6036</v>
      </c>
      <c r="I996" s="37" t="s">
        <v>546</v>
      </c>
      <c r="J996" s="37" t="s">
        <v>544</v>
      </c>
      <c r="K996" s="37" t="s">
        <v>546</v>
      </c>
      <c r="L996" s="37" t="s">
        <v>547</v>
      </c>
      <c r="M996" s="31" t="s">
        <v>5593</v>
      </c>
      <c r="N996" s="31" t="s">
        <v>5595</v>
      </c>
      <c r="O996" s="38">
        <v>46</v>
      </c>
      <c r="P996" s="39" t="e">
        <f>VLOOKUP(I996,#REF!,2,0)</f>
        <v>#REF!</v>
      </c>
      <c r="Q996" s="40"/>
      <c r="R996" s="39"/>
      <c r="S996" s="41"/>
      <c r="T996" s="39"/>
      <c r="U996" s="41"/>
      <c r="V996" s="41"/>
      <c r="W996" s="42">
        <v>685</v>
      </c>
      <c r="X996" s="43"/>
      <c r="Y996" s="44"/>
      <c r="Z996" s="44"/>
      <c r="AA996" s="44"/>
      <c r="AB996" s="44"/>
      <c r="AC996" s="44"/>
      <c r="AD996" s="44"/>
      <c r="AE996" s="44"/>
      <c r="AF996" s="44"/>
    </row>
    <row r="997" ht="31" spans="1:32">
      <c r="A997" s="16" t="s">
        <v>4174</v>
      </c>
      <c r="B997" s="17" t="s">
        <v>4175</v>
      </c>
      <c r="C997" s="30" t="s">
        <v>238</v>
      </c>
      <c r="D997" s="19" t="e">
        <f>VLOOKUP(C997,#REF!,2,0)</f>
        <v>#REF!</v>
      </c>
      <c r="E997" s="20" t="e">
        <f>VLOOKUP(D997,数据集标准分类!E:F,2,0)</f>
        <v>#REF!</v>
      </c>
      <c r="F997" s="21">
        <v>31</v>
      </c>
      <c r="G997" s="22" t="s">
        <v>548</v>
      </c>
      <c r="H997" s="22" t="s">
        <v>6037</v>
      </c>
      <c r="I997" s="22" t="s">
        <v>551</v>
      </c>
      <c r="J997" s="22" t="s">
        <v>549</v>
      </c>
      <c r="K997" s="22" t="s">
        <v>551</v>
      </c>
      <c r="L997" s="22" t="s">
        <v>552</v>
      </c>
      <c r="M997" s="16" t="s">
        <v>5593</v>
      </c>
      <c r="N997" s="16" t="s">
        <v>5595</v>
      </c>
      <c r="O997" s="23">
        <v>47</v>
      </c>
      <c r="P997" s="24" t="e">
        <f>VLOOKUP(I997,#REF!,2,0)</f>
        <v>#REF!</v>
      </c>
      <c r="Q997" s="25"/>
      <c r="R997" s="24"/>
      <c r="S997" s="26"/>
      <c r="T997" s="24"/>
      <c r="U997" s="26"/>
      <c r="V997" s="26"/>
      <c r="W997" s="27">
        <v>686</v>
      </c>
      <c r="X997" s="28"/>
    </row>
    <row r="998" ht="60" customHeight="1" spans="1:32">
      <c r="A998" s="16" t="s">
        <v>4174</v>
      </c>
      <c r="B998" s="17" t="s">
        <v>4175</v>
      </c>
      <c r="C998" s="30" t="s">
        <v>238</v>
      </c>
      <c r="D998" s="19" t="e">
        <f>VLOOKUP(C998,#REF!,2,0)</f>
        <v>#REF!</v>
      </c>
      <c r="E998" s="20" t="e">
        <f>VLOOKUP(D998,数据集标准分类!E:F,2,0)</f>
        <v>#REF!</v>
      </c>
      <c r="F998" s="21">
        <v>31</v>
      </c>
      <c r="G998" s="22" t="s">
        <v>553</v>
      </c>
      <c r="H998" s="22" t="s">
        <v>554</v>
      </c>
      <c r="I998" s="22" t="s">
        <v>556</v>
      </c>
      <c r="J998" s="22" t="s">
        <v>554</v>
      </c>
      <c r="K998" s="22" t="s">
        <v>556</v>
      </c>
      <c r="L998" s="22" t="s">
        <v>557</v>
      </c>
      <c r="M998" s="16" t="s">
        <v>5595</v>
      </c>
      <c r="N998" s="16" t="s">
        <v>5595</v>
      </c>
      <c r="O998" s="23">
        <v>48</v>
      </c>
      <c r="P998" s="24" t="e">
        <f>VLOOKUP(I998,#REF!,2,0)</f>
        <v>#REF!</v>
      </c>
      <c r="Q998" s="25"/>
      <c r="R998" s="24"/>
      <c r="S998" s="26"/>
      <c r="T998" s="24"/>
      <c r="U998" s="26"/>
      <c r="V998" s="26"/>
      <c r="W998" s="27">
        <v>687</v>
      </c>
      <c r="X998" s="28"/>
    </row>
    <row r="999" ht="92" spans="1:32">
      <c r="A999" s="16" t="s">
        <v>4174</v>
      </c>
      <c r="B999" s="17" t="s">
        <v>4175</v>
      </c>
      <c r="C999" s="30" t="s">
        <v>238</v>
      </c>
      <c r="D999" s="19" t="e">
        <f>VLOOKUP(C999,#REF!,2,0)</f>
        <v>#REF!</v>
      </c>
      <c r="E999" s="20" t="e">
        <f>VLOOKUP(D999,数据集标准分类!E:F,2,0)</f>
        <v>#REF!</v>
      </c>
      <c r="F999" s="21">
        <v>31</v>
      </c>
      <c r="G999" s="22" t="s">
        <v>558</v>
      </c>
      <c r="H999" s="22" t="s">
        <v>6038</v>
      </c>
      <c r="I999" s="22" t="s">
        <v>561</v>
      </c>
      <c r="J999" s="22" t="s">
        <v>559</v>
      </c>
      <c r="K999" s="22" t="s">
        <v>561</v>
      </c>
      <c r="L999" s="22" t="s">
        <v>562</v>
      </c>
      <c r="M999" s="16" t="s">
        <v>5593</v>
      </c>
      <c r="N999" s="16" t="s">
        <v>5595</v>
      </c>
      <c r="O999" s="23">
        <v>49</v>
      </c>
      <c r="P999" s="24" t="e">
        <f>VLOOKUP(I999,#REF!,2,0)</f>
        <v>#REF!</v>
      </c>
      <c r="Q999" s="25"/>
      <c r="R999" s="24"/>
      <c r="S999" s="26"/>
      <c r="T999" s="24"/>
      <c r="U999" s="26"/>
      <c r="V999" s="26"/>
      <c r="W999" s="27">
        <v>688</v>
      </c>
      <c r="X999" s="28"/>
    </row>
    <row r="1000" ht="31" spans="1:32">
      <c r="A1000" s="16" t="s">
        <v>4174</v>
      </c>
      <c r="B1000" s="17" t="s">
        <v>4175</v>
      </c>
      <c r="C1000" s="30" t="s">
        <v>563</v>
      </c>
      <c r="D1000" s="19" t="e">
        <f>VLOOKUP(C1000,#REF!,2,0)</f>
        <v>#REF!</v>
      </c>
      <c r="E1000" s="20" t="e">
        <f>VLOOKUP(D1000,数据集标准分类!E:F,2,0)</f>
        <v>#REF!</v>
      </c>
      <c r="F1000" s="21">
        <v>32</v>
      </c>
      <c r="G1000" s="22" t="s">
        <v>321</v>
      </c>
      <c r="H1000" s="22" t="s">
        <v>6007</v>
      </c>
      <c r="I1000" s="22" t="s">
        <v>324</v>
      </c>
      <c r="J1000" s="22" t="s">
        <v>322</v>
      </c>
      <c r="K1000" s="22" t="s">
        <v>324</v>
      </c>
      <c r="L1000" s="22" t="s">
        <v>325</v>
      </c>
      <c r="M1000" s="16" t="s">
        <v>5593</v>
      </c>
      <c r="N1000" s="16" t="s">
        <v>5595</v>
      </c>
      <c r="O1000" s="23">
        <v>1</v>
      </c>
      <c r="P1000" s="24" t="e">
        <f>VLOOKUP(I1000,#REF!,2,0)</f>
        <v>#REF!</v>
      </c>
      <c r="Q1000" s="25"/>
      <c r="R1000" s="24"/>
      <c r="S1000" s="26"/>
      <c r="T1000" s="24"/>
      <c r="U1000" s="26"/>
      <c r="V1000" s="26"/>
      <c r="W1000" s="27">
        <v>689</v>
      </c>
      <c r="X1000" s="28"/>
    </row>
    <row r="1001" ht="61" spans="1:32">
      <c r="A1001" s="16" t="s">
        <v>4174</v>
      </c>
      <c r="B1001" s="17" t="s">
        <v>4175</v>
      </c>
      <c r="C1001" s="30" t="s">
        <v>563</v>
      </c>
      <c r="D1001" s="19" t="e">
        <f>VLOOKUP(C1001,#REF!,2,0)</f>
        <v>#REF!</v>
      </c>
      <c r="E1001" s="20" t="e">
        <f>VLOOKUP(D1001,数据集标准分类!E:F,2,0)</f>
        <v>#REF!</v>
      </c>
      <c r="F1001" s="21">
        <v>32</v>
      </c>
      <c r="G1001" s="22" t="s">
        <v>330</v>
      </c>
      <c r="H1001" s="22" t="s">
        <v>331</v>
      </c>
      <c r="I1001" s="22" t="s">
        <v>333</v>
      </c>
      <c r="J1001" s="22" t="s">
        <v>331</v>
      </c>
      <c r="K1001" s="22" t="s">
        <v>333</v>
      </c>
      <c r="L1001" s="22" t="s">
        <v>334</v>
      </c>
      <c r="M1001" s="16" t="s">
        <v>5595</v>
      </c>
      <c r="N1001" s="16" t="s">
        <v>5595</v>
      </c>
      <c r="O1001" s="23">
        <v>2</v>
      </c>
      <c r="P1001" s="24" t="e">
        <f>VLOOKUP(I1001,#REF!,2,0)</f>
        <v>#REF!</v>
      </c>
      <c r="Q1001" s="25"/>
      <c r="R1001" s="24"/>
      <c r="S1001" s="26"/>
      <c r="T1001" s="24"/>
      <c r="U1001" s="26"/>
      <c r="V1001" s="26"/>
      <c r="W1001" s="27">
        <v>690</v>
      </c>
      <c r="X1001" s="28"/>
    </row>
    <row r="1002" ht="46" spans="1:32">
      <c r="A1002" s="16" t="s">
        <v>4174</v>
      </c>
      <c r="B1002" s="17" t="s">
        <v>4175</v>
      </c>
      <c r="C1002" s="30" t="s">
        <v>563</v>
      </c>
      <c r="D1002" s="19" t="e">
        <f>VLOOKUP(C1002,#REF!,2,0)</f>
        <v>#REF!</v>
      </c>
      <c r="E1002" s="20" t="e">
        <f>VLOOKUP(D1002,数据集标准分类!E:F,2,0)</f>
        <v>#REF!</v>
      </c>
      <c r="F1002" s="21">
        <v>32</v>
      </c>
      <c r="G1002" s="29" t="s">
        <v>335</v>
      </c>
      <c r="H1002" s="29" t="s">
        <v>336</v>
      </c>
      <c r="I1002" s="29" t="s">
        <v>6008</v>
      </c>
      <c r="J1002" s="22" t="s">
        <v>336</v>
      </c>
      <c r="K1002" s="22" t="s">
        <v>338</v>
      </c>
      <c r="L1002" s="22" t="s">
        <v>339</v>
      </c>
      <c r="M1002" s="16" t="s">
        <v>5595</v>
      </c>
      <c r="N1002" s="16" t="s">
        <v>5593</v>
      </c>
      <c r="O1002" s="23">
        <v>3</v>
      </c>
      <c r="P1002" s="24" t="e">
        <f>VLOOKUP(I1002,#REF!,2,0)</f>
        <v>#REF!</v>
      </c>
      <c r="Q1002" s="25"/>
      <c r="R1002" s="24"/>
      <c r="S1002" s="26"/>
      <c r="T1002" s="24"/>
      <c r="U1002" s="26"/>
      <c r="V1002" s="26"/>
      <c r="W1002" s="27">
        <v>691</v>
      </c>
      <c r="X1002" s="28"/>
    </row>
    <row r="1003" ht="31" spans="1:32">
      <c r="A1003" s="16" t="s">
        <v>4174</v>
      </c>
      <c r="B1003" s="17" t="s">
        <v>4175</v>
      </c>
      <c r="C1003" s="30" t="s">
        <v>563</v>
      </c>
      <c r="D1003" s="19" t="e">
        <f>VLOOKUP(C1003,#REF!,2,0)</f>
        <v>#REF!</v>
      </c>
      <c r="E1003" s="20" t="e">
        <f>VLOOKUP(D1003,数据集标准分类!E:F,2,0)</f>
        <v>#REF!</v>
      </c>
      <c r="F1003" s="21">
        <v>32</v>
      </c>
      <c r="G1003" s="22" t="s">
        <v>316</v>
      </c>
      <c r="H1003" s="22" t="s">
        <v>6009</v>
      </c>
      <c r="I1003" s="22" t="s">
        <v>319</v>
      </c>
      <c r="J1003" s="22" t="s">
        <v>317</v>
      </c>
      <c r="K1003" s="22" t="s">
        <v>319</v>
      </c>
      <c r="L1003" s="22" t="s">
        <v>320</v>
      </c>
      <c r="M1003" s="16" t="s">
        <v>5593</v>
      </c>
      <c r="N1003" s="16" t="s">
        <v>5595</v>
      </c>
      <c r="O1003" s="23">
        <v>4</v>
      </c>
      <c r="P1003" s="24" t="e">
        <f>VLOOKUP(I1003,#REF!,2,0)</f>
        <v>#REF!</v>
      </c>
      <c r="Q1003" s="25"/>
      <c r="R1003" s="24"/>
      <c r="S1003" s="26"/>
      <c r="T1003" s="24"/>
      <c r="U1003" s="26"/>
      <c r="V1003" s="26"/>
      <c r="W1003" s="27">
        <v>692</v>
      </c>
      <c r="X1003" s="28"/>
    </row>
    <row r="1004" ht="31" spans="1:32">
      <c r="A1004" s="16" t="s">
        <v>4174</v>
      </c>
      <c r="B1004" s="17" t="s">
        <v>4175</v>
      </c>
      <c r="C1004" s="30" t="s">
        <v>563</v>
      </c>
      <c r="D1004" s="19" t="e">
        <f>VLOOKUP(C1004,#REF!,2,0)</f>
        <v>#REF!</v>
      </c>
      <c r="E1004" s="20" t="e">
        <f>VLOOKUP(D1004,数据集标准分类!E:F,2,0)</f>
        <v>#REF!</v>
      </c>
      <c r="F1004" s="21">
        <v>32</v>
      </c>
      <c r="G1004" s="22" t="s">
        <v>240</v>
      </c>
      <c r="H1004" s="22" t="s">
        <v>6010</v>
      </c>
      <c r="I1004" s="22" t="s">
        <v>243</v>
      </c>
      <c r="J1004" s="22" t="s">
        <v>241</v>
      </c>
      <c r="K1004" s="22" t="s">
        <v>243</v>
      </c>
      <c r="L1004" s="22" t="s">
        <v>244</v>
      </c>
      <c r="M1004" s="16" t="s">
        <v>5593</v>
      </c>
      <c r="N1004" s="16" t="s">
        <v>5595</v>
      </c>
      <c r="O1004" s="23">
        <v>5</v>
      </c>
      <c r="P1004" s="24" t="e">
        <f>VLOOKUP(I1004,#REF!,2,0)</f>
        <v>#REF!</v>
      </c>
      <c r="Q1004" s="25"/>
      <c r="R1004" s="24"/>
      <c r="S1004" s="26" t="s">
        <v>5593</v>
      </c>
      <c r="T1004" s="24"/>
      <c r="U1004" s="26"/>
      <c r="V1004" s="26"/>
      <c r="W1004" s="27">
        <v>693</v>
      </c>
      <c r="X1004" s="28"/>
    </row>
    <row r="1005" ht="31" spans="1:32">
      <c r="A1005" s="16" t="s">
        <v>4174</v>
      </c>
      <c r="B1005" s="17" t="s">
        <v>4175</v>
      </c>
      <c r="C1005" s="30" t="s">
        <v>563</v>
      </c>
      <c r="D1005" s="19" t="e">
        <f>VLOOKUP(C1005,#REF!,2,0)</f>
        <v>#REF!</v>
      </c>
      <c r="E1005" s="20" t="e">
        <f>VLOOKUP(D1005,数据集标准分类!E:F,2,0)</f>
        <v>#REF!</v>
      </c>
      <c r="F1005" s="21">
        <v>32</v>
      </c>
      <c r="G1005" s="22" t="s">
        <v>340</v>
      </c>
      <c r="H1005" s="22" t="s">
        <v>341</v>
      </c>
      <c r="I1005" s="22" t="s">
        <v>343</v>
      </c>
      <c r="J1005" s="22" t="s">
        <v>341</v>
      </c>
      <c r="K1005" s="22" t="s">
        <v>343</v>
      </c>
      <c r="L1005" s="22" t="s">
        <v>344</v>
      </c>
      <c r="M1005" s="16" t="s">
        <v>5595</v>
      </c>
      <c r="N1005" s="16" t="s">
        <v>5595</v>
      </c>
      <c r="O1005" s="23">
        <v>6</v>
      </c>
      <c r="P1005" s="24" t="e">
        <f>VLOOKUP(I1005,#REF!,2,0)</f>
        <v>#REF!</v>
      </c>
      <c r="Q1005" s="25"/>
      <c r="R1005" s="24"/>
      <c r="S1005" s="26"/>
      <c r="T1005" s="24"/>
      <c r="U1005" s="26"/>
      <c r="V1005" s="26"/>
      <c r="W1005" s="27">
        <v>694</v>
      </c>
      <c r="X1005" s="28"/>
    </row>
    <row r="1006" ht="46" spans="1:32">
      <c r="A1006" s="16" t="s">
        <v>4174</v>
      </c>
      <c r="B1006" s="17" t="s">
        <v>4175</v>
      </c>
      <c r="C1006" s="30" t="s">
        <v>563</v>
      </c>
      <c r="D1006" s="19" t="e">
        <f>VLOOKUP(C1006,#REF!,2,0)</f>
        <v>#REF!</v>
      </c>
      <c r="E1006" s="20" t="e">
        <f>VLOOKUP(D1006,数据集标准分类!E:F,2,0)</f>
        <v>#REF!</v>
      </c>
      <c r="F1006" s="21">
        <v>32</v>
      </c>
      <c r="G1006" s="22" t="s">
        <v>564</v>
      </c>
      <c r="H1006" s="22" t="s">
        <v>6039</v>
      </c>
      <c r="I1006" s="22" t="s">
        <v>567</v>
      </c>
      <c r="J1006" s="22" t="s">
        <v>565</v>
      </c>
      <c r="K1006" s="22" t="s">
        <v>567</v>
      </c>
      <c r="L1006" s="22" t="s">
        <v>568</v>
      </c>
      <c r="M1006" s="16" t="s">
        <v>5593</v>
      </c>
      <c r="N1006" s="16" t="s">
        <v>5595</v>
      </c>
      <c r="O1006" s="23">
        <v>7</v>
      </c>
      <c r="P1006" s="24" t="e">
        <f>VLOOKUP(I1006,#REF!,2,0)</f>
        <v>#REF!</v>
      </c>
      <c r="Q1006" s="25"/>
      <c r="R1006" s="24"/>
      <c r="S1006" s="26"/>
      <c r="T1006" s="24"/>
      <c r="U1006" s="26"/>
      <c r="V1006" s="26"/>
      <c r="W1006" s="27">
        <v>695</v>
      </c>
      <c r="X1006" s="28"/>
    </row>
    <row r="1007" ht="46" spans="1:32">
      <c r="A1007" s="16" t="s">
        <v>4174</v>
      </c>
      <c r="B1007" s="17" t="s">
        <v>4175</v>
      </c>
      <c r="C1007" s="30" t="s">
        <v>563</v>
      </c>
      <c r="D1007" s="19" t="e">
        <f>VLOOKUP(C1007,#REF!,2,0)</f>
        <v>#REF!</v>
      </c>
      <c r="E1007" s="20" t="e">
        <f>VLOOKUP(D1007,数据集标准分类!E:F,2,0)</f>
        <v>#REF!</v>
      </c>
      <c r="F1007" s="21">
        <v>32</v>
      </c>
      <c r="G1007" s="22" t="s">
        <v>152</v>
      </c>
      <c r="H1007" s="22" t="s">
        <v>5905</v>
      </c>
      <c r="I1007" s="22" t="s">
        <v>5906</v>
      </c>
      <c r="J1007" s="22" t="s">
        <v>153</v>
      </c>
      <c r="K1007" s="22" t="s">
        <v>155</v>
      </c>
      <c r="L1007" s="22" t="s">
        <v>156</v>
      </c>
      <c r="M1007" s="16" t="s">
        <v>5593</v>
      </c>
      <c r="N1007" s="16" t="s">
        <v>5593</v>
      </c>
      <c r="O1007" s="23">
        <v>8</v>
      </c>
      <c r="P1007" s="24" t="e">
        <f>VLOOKUP(I1007,#REF!,2,0)</f>
        <v>#REF!</v>
      </c>
      <c r="Q1007" s="25"/>
      <c r="R1007" s="24"/>
      <c r="S1007" s="26"/>
      <c r="T1007" s="24"/>
      <c r="U1007" s="26"/>
      <c r="V1007" s="26"/>
      <c r="W1007" s="27">
        <v>696</v>
      </c>
      <c r="X1007" s="28"/>
    </row>
    <row r="1008" ht="46" spans="1:32">
      <c r="A1008" s="16" t="s">
        <v>4174</v>
      </c>
      <c r="B1008" s="17" t="s">
        <v>4175</v>
      </c>
      <c r="C1008" s="30" t="s">
        <v>563</v>
      </c>
      <c r="D1008" s="19" t="e">
        <f>VLOOKUP(C1008,#REF!,2,0)</f>
        <v>#REF!</v>
      </c>
      <c r="E1008" s="20" t="e">
        <f>VLOOKUP(D1008,数据集标准分类!E:F,2,0)</f>
        <v>#REF!</v>
      </c>
      <c r="F1008" s="21">
        <v>32</v>
      </c>
      <c r="G1008" s="22" t="s">
        <v>157</v>
      </c>
      <c r="H1008" s="22" t="s">
        <v>158</v>
      </c>
      <c r="I1008" s="22" t="s">
        <v>5955</v>
      </c>
      <c r="J1008" s="22" t="s">
        <v>158</v>
      </c>
      <c r="K1008" s="22" t="s">
        <v>160</v>
      </c>
      <c r="L1008" s="22" t="s">
        <v>161</v>
      </c>
      <c r="M1008" s="16" t="s">
        <v>5595</v>
      </c>
      <c r="N1008" s="16" t="s">
        <v>5593</v>
      </c>
      <c r="O1008" s="23">
        <v>9</v>
      </c>
      <c r="P1008" s="24" t="e">
        <f>VLOOKUP(I1008,#REF!,2,0)</f>
        <v>#REF!</v>
      </c>
      <c r="Q1008" s="25"/>
      <c r="R1008" s="24"/>
      <c r="S1008" s="26"/>
      <c r="T1008" s="24"/>
      <c r="U1008" s="26"/>
      <c r="V1008" s="26"/>
      <c r="W1008" s="27">
        <v>697</v>
      </c>
      <c r="X1008" s="28"/>
    </row>
    <row r="1009" ht="31" spans="1:32">
      <c r="A1009" s="192" t="s">
        <v>4174</v>
      </c>
      <c r="B1009" s="193" t="s">
        <v>4175</v>
      </c>
      <c r="C1009" s="194" t="s">
        <v>563</v>
      </c>
      <c r="D1009" s="195" t="e">
        <f>VLOOKUP(C1009,#REF!,2,0)</f>
        <v>#REF!</v>
      </c>
      <c r="E1009" s="20" t="e">
        <f>VLOOKUP(D1009,数据集标准分类!E:F,2,0)</f>
        <v>#REF!</v>
      </c>
      <c r="F1009" s="196">
        <v>32</v>
      </c>
      <c r="G1009" s="197" t="s">
        <v>569</v>
      </c>
      <c r="H1009" s="197" t="s">
        <v>570</v>
      </c>
      <c r="I1009" s="197" t="s">
        <v>572</v>
      </c>
      <c r="J1009" s="197" t="s">
        <v>570</v>
      </c>
      <c r="K1009" s="197" t="s">
        <v>572</v>
      </c>
      <c r="L1009" s="197" t="s">
        <v>573</v>
      </c>
      <c r="M1009" s="192" t="s">
        <v>5595</v>
      </c>
      <c r="N1009" s="192" t="s">
        <v>5595</v>
      </c>
      <c r="O1009" s="198">
        <v>10</v>
      </c>
      <c r="P1009" s="199" t="e">
        <f>VLOOKUP(I1009,#REF!,2,0)</f>
        <v>#REF!</v>
      </c>
      <c r="Q1009" s="200"/>
      <c r="R1009" s="199"/>
      <c r="S1009" s="201"/>
      <c r="T1009" s="199"/>
      <c r="U1009" s="201" t="s">
        <v>5593</v>
      </c>
      <c r="V1009" s="202"/>
      <c r="W1009" s="203">
        <v>698</v>
      </c>
      <c r="X1009" s="204"/>
      <c r="Y1009" s="205"/>
      <c r="Z1009" s="205"/>
      <c r="AA1009" s="205"/>
      <c r="AB1009" s="205"/>
      <c r="AC1009" s="205"/>
      <c r="AD1009" s="205"/>
      <c r="AE1009" s="205"/>
      <c r="AF1009" s="205"/>
    </row>
    <row r="1010" ht="31" spans="1:32">
      <c r="A1010" s="16" t="s">
        <v>4174</v>
      </c>
      <c r="B1010" s="17" t="s">
        <v>4175</v>
      </c>
      <c r="C1010" s="30" t="s">
        <v>563</v>
      </c>
      <c r="D1010" s="19" t="e">
        <f>VLOOKUP(C1010,#REF!,2,0)</f>
        <v>#REF!</v>
      </c>
      <c r="E1010" s="20" t="e">
        <f>VLOOKUP(D1010,数据集标准分类!E:F,2,0)</f>
        <v>#REF!</v>
      </c>
      <c r="F1010" s="21">
        <v>32</v>
      </c>
      <c r="G1010" s="22" t="s">
        <v>574</v>
      </c>
      <c r="H1010" s="22" t="s">
        <v>5907</v>
      </c>
      <c r="I1010" s="22" t="s">
        <v>577</v>
      </c>
      <c r="J1010" s="22" t="s">
        <v>575</v>
      </c>
      <c r="K1010" s="22" t="s">
        <v>577</v>
      </c>
      <c r="L1010" s="22" t="s">
        <v>578</v>
      </c>
      <c r="M1010" s="16" t="s">
        <v>5593</v>
      </c>
      <c r="N1010" s="16" t="s">
        <v>5595</v>
      </c>
      <c r="O1010" s="23">
        <v>11</v>
      </c>
      <c r="P1010" s="24" t="e">
        <f>VLOOKUP(I1010,#REF!,2,0)</f>
        <v>#REF!</v>
      </c>
      <c r="Q1010" s="25"/>
      <c r="R1010" s="24"/>
      <c r="S1010" s="26"/>
      <c r="T1010" s="24"/>
      <c r="U1010" s="26" t="s">
        <v>5593</v>
      </c>
      <c r="V1010" s="26"/>
      <c r="W1010" s="27">
        <v>699</v>
      </c>
      <c r="X1010" s="28"/>
    </row>
    <row r="1011" ht="46" spans="1:32">
      <c r="A1011" s="16" t="s">
        <v>4174</v>
      </c>
      <c r="B1011" s="17" t="s">
        <v>4175</v>
      </c>
      <c r="C1011" s="30" t="s">
        <v>563</v>
      </c>
      <c r="D1011" s="19" t="e">
        <f>VLOOKUP(C1011,#REF!,2,0)</f>
        <v>#REF!</v>
      </c>
      <c r="E1011" s="20" t="e">
        <f>VLOOKUP(D1011,数据集标准分类!E:F,2,0)</f>
        <v>#REF!</v>
      </c>
      <c r="F1011" s="21">
        <v>32</v>
      </c>
      <c r="G1011" s="22" t="s">
        <v>579</v>
      </c>
      <c r="H1011" s="22" t="s">
        <v>6040</v>
      </c>
      <c r="I1011" s="22" t="s">
        <v>582</v>
      </c>
      <c r="J1011" s="22" t="s">
        <v>580</v>
      </c>
      <c r="K1011" s="22" t="s">
        <v>582</v>
      </c>
      <c r="L1011" s="22" t="s">
        <v>583</v>
      </c>
      <c r="M1011" s="16" t="s">
        <v>5593</v>
      </c>
      <c r="N1011" s="16" t="s">
        <v>5595</v>
      </c>
      <c r="O1011" s="23">
        <v>12</v>
      </c>
      <c r="P1011" s="24" t="e">
        <f>VLOOKUP(I1011,#REF!,2,0)</f>
        <v>#REF!</v>
      </c>
      <c r="Q1011" s="25"/>
      <c r="R1011" s="24"/>
      <c r="S1011" s="26"/>
      <c r="T1011" s="24"/>
      <c r="U1011" s="26" t="s">
        <v>5593</v>
      </c>
      <c r="V1011" s="26"/>
      <c r="W1011" s="27">
        <v>700</v>
      </c>
      <c r="X1011" s="28"/>
    </row>
    <row r="1012" ht="31" spans="1:32">
      <c r="A1012" s="16" t="s">
        <v>4174</v>
      </c>
      <c r="B1012" s="17" t="s">
        <v>4175</v>
      </c>
      <c r="C1012" s="30" t="s">
        <v>563</v>
      </c>
      <c r="D1012" s="19" t="e">
        <f>VLOOKUP(C1012,#REF!,2,0)</f>
        <v>#REF!</v>
      </c>
      <c r="E1012" s="20" t="e">
        <f>VLOOKUP(D1012,数据集标准分类!E:F,2,0)</f>
        <v>#REF!</v>
      </c>
      <c r="F1012" s="21">
        <v>32</v>
      </c>
      <c r="G1012" s="22" t="s">
        <v>584</v>
      </c>
      <c r="H1012" s="22" t="s">
        <v>6041</v>
      </c>
      <c r="I1012" s="22" t="s">
        <v>587</v>
      </c>
      <c r="J1012" s="22" t="s">
        <v>585</v>
      </c>
      <c r="K1012" s="22" t="s">
        <v>587</v>
      </c>
      <c r="L1012" s="22" t="s">
        <v>588</v>
      </c>
      <c r="M1012" s="16" t="s">
        <v>5593</v>
      </c>
      <c r="N1012" s="16" t="s">
        <v>5595</v>
      </c>
      <c r="O1012" s="23">
        <v>13</v>
      </c>
      <c r="P1012" s="24" t="e">
        <f>VLOOKUP(I1012,#REF!,2,0)</f>
        <v>#REF!</v>
      </c>
      <c r="Q1012" s="25"/>
      <c r="R1012" s="24"/>
      <c r="S1012" s="26"/>
      <c r="T1012" s="24"/>
      <c r="U1012" s="26" t="s">
        <v>5593</v>
      </c>
      <c r="V1012" s="26"/>
      <c r="W1012" s="27">
        <v>701</v>
      </c>
      <c r="X1012" s="28"/>
    </row>
    <row r="1013" ht="46" spans="1:32">
      <c r="A1013" s="192" t="s">
        <v>4174</v>
      </c>
      <c r="B1013" s="193" t="s">
        <v>4175</v>
      </c>
      <c r="C1013" s="194" t="s">
        <v>563</v>
      </c>
      <c r="D1013" s="195" t="e">
        <f>VLOOKUP(C1013,#REF!,2,0)</f>
        <v>#REF!</v>
      </c>
      <c r="E1013" s="20" t="e">
        <f>VLOOKUP(D1013,数据集标准分类!E:F,2,0)</f>
        <v>#REF!</v>
      </c>
      <c r="F1013" s="196">
        <v>32</v>
      </c>
      <c r="G1013" s="197" t="s">
        <v>589</v>
      </c>
      <c r="H1013" s="197" t="s">
        <v>6042</v>
      </c>
      <c r="I1013" s="197" t="s">
        <v>592</v>
      </c>
      <c r="J1013" s="197" t="s">
        <v>590</v>
      </c>
      <c r="K1013" s="197" t="s">
        <v>592</v>
      </c>
      <c r="L1013" s="197" t="s">
        <v>593</v>
      </c>
      <c r="M1013" s="192" t="s">
        <v>5593</v>
      </c>
      <c r="N1013" s="192" t="s">
        <v>5595</v>
      </c>
      <c r="O1013" s="198">
        <v>14</v>
      </c>
      <c r="P1013" s="199" t="e">
        <f>VLOOKUP(I1013,#REF!,2,0)</f>
        <v>#REF!</v>
      </c>
      <c r="Q1013" s="200"/>
      <c r="R1013" s="199"/>
      <c r="S1013" s="201"/>
      <c r="T1013" s="199"/>
      <c r="U1013" s="201" t="s">
        <v>5593</v>
      </c>
      <c r="V1013" s="202"/>
      <c r="W1013" s="203">
        <v>702</v>
      </c>
      <c r="X1013" s="204"/>
      <c r="Y1013" s="205"/>
      <c r="Z1013" s="205"/>
      <c r="AA1013" s="205"/>
      <c r="AB1013" s="205"/>
      <c r="AC1013" s="205"/>
      <c r="AD1013" s="205"/>
      <c r="AE1013" s="205"/>
      <c r="AF1013" s="205"/>
    </row>
    <row r="1014" ht="31" spans="1:32">
      <c r="A1014" s="192" t="s">
        <v>4174</v>
      </c>
      <c r="B1014" s="193" t="s">
        <v>4175</v>
      </c>
      <c r="C1014" s="194" t="s">
        <v>563</v>
      </c>
      <c r="D1014" s="195" t="e">
        <f>VLOOKUP(C1014,#REF!,2,0)</f>
        <v>#REF!</v>
      </c>
      <c r="E1014" s="20" t="e">
        <f>VLOOKUP(D1014,数据集标准分类!E:F,2,0)</f>
        <v>#REF!</v>
      </c>
      <c r="F1014" s="196">
        <v>32</v>
      </c>
      <c r="G1014" s="197" t="s">
        <v>594</v>
      </c>
      <c r="H1014" s="197" t="s">
        <v>6043</v>
      </c>
      <c r="I1014" s="197" t="s">
        <v>597</v>
      </c>
      <c r="J1014" s="197" t="s">
        <v>595</v>
      </c>
      <c r="K1014" s="197" t="s">
        <v>597</v>
      </c>
      <c r="L1014" s="197" t="s">
        <v>598</v>
      </c>
      <c r="M1014" s="192" t="s">
        <v>5593</v>
      </c>
      <c r="N1014" s="192" t="s">
        <v>5595</v>
      </c>
      <c r="O1014" s="198">
        <v>15</v>
      </c>
      <c r="P1014" s="199" t="e">
        <f>VLOOKUP(I1014,#REF!,2,0)</f>
        <v>#REF!</v>
      </c>
      <c r="Q1014" s="200"/>
      <c r="R1014" s="199"/>
      <c r="S1014" s="201"/>
      <c r="T1014" s="199"/>
      <c r="U1014" s="201" t="s">
        <v>5593</v>
      </c>
      <c r="V1014" s="202"/>
      <c r="W1014" s="203">
        <v>703</v>
      </c>
      <c r="X1014" s="204"/>
      <c r="Y1014" s="205"/>
      <c r="Z1014" s="205"/>
      <c r="AA1014" s="205"/>
      <c r="AB1014" s="205"/>
      <c r="AC1014" s="205"/>
      <c r="AD1014" s="205"/>
      <c r="AE1014" s="205"/>
      <c r="AF1014" s="205"/>
    </row>
    <row r="1015" ht="46" spans="1:32">
      <c r="A1015" s="16" t="s">
        <v>4174</v>
      </c>
      <c r="B1015" s="17" t="s">
        <v>4175</v>
      </c>
      <c r="C1015" s="30" t="s">
        <v>563</v>
      </c>
      <c r="D1015" s="19" t="e">
        <f>VLOOKUP(C1015,#REF!,2,0)</f>
        <v>#REF!</v>
      </c>
      <c r="E1015" s="20" t="e">
        <f>VLOOKUP(D1015,数据集标准分类!E:F,2,0)</f>
        <v>#REF!</v>
      </c>
      <c r="F1015" s="21">
        <v>32</v>
      </c>
      <c r="G1015" s="22" t="s">
        <v>431</v>
      </c>
      <c r="H1015" s="22" t="s">
        <v>6011</v>
      </c>
      <c r="I1015" s="22" t="s">
        <v>434</v>
      </c>
      <c r="J1015" s="22" t="s">
        <v>432</v>
      </c>
      <c r="K1015" s="22" t="s">
        <v>434</v>
      </c>
      <c r="L1015" s="22" t="s">
        <v>599</v>
      </c>
      <c r="M1015" s="16" t="s">
        <v>5593</v>
      </c>
      <c r="N1015" s="16" t="s">
        <v>5595</v>
      </c>
      <c r="O1015" s="23">
        <v>16</v>
      </c>
      <c r="P1015" s="24" t="e">
        <f>VLOOKUP(I1015,#REF!,2,0)</f>
        <v>#REF!</v>
      </c>
      <c r="Q1015" s="25"/>
      <c r="R1015" s="24"/>
      <c r="S1015" s="26"/>
      <c r="T1015" s="24"/>
      <c r="U1015" s="26"/>
      <c r="V1015" s="26"/>
      <c r="W1015" s="27">
        <v>704</v>
      </c>
      <c r="X1015" s="28"/>
    </row>
    <row r="1016" ht="31" spans="1:32">
      <c r="A1016" s="16" t="s">
        <v>4174</v>
      </c>
      <c r="B1016" s="17" t="s">
        <v>4175</v>
      </c>
      <c r="C1016" s="30" t="s">
        <v>563</v>
      </c>
      <c r="D1016" s="19" t="e">
        <f>VLOOKUP(C1016,#REF!,2,0)</f>
        <v>#REF!</v>
      </c>
      <c r="E1016" s="20" t="e">
        <f>VLOOKUP(D1016,数据集标准分类!E:F,2,0)</f>
        <v>#REF!</v>
      </c>
      <c r="F1016" s="21">
        <v>32</v>
      </c>
      <c r="G1016" s="22" t="s">
        <v>436</v>
      </c>
      <c r="H1016" s="22" t="s">
        <v>6012</v>
      </c>
      <c r="I1016" s="22" t="s">
        <v>439</v>
      </c>
      <c r="J1016" s="22" t="s">
        <v>437</v>
      </c>
      <c r="K1016" s="22" t="s">
        <v>439</v>
      </c>
      <c r="L1016" s="22" t="s">
        <v>600</v>
      </c>
      <c r="M1016" s="16" t="s">
        <v>5593</v>
      </c>
      <c r="N1016" s="16" t="s">
        <v>5595</v>
      </c>
      <c r="O1016" s="23">
        <v>17</v>
      </c>
      <c r="P1016" s="24" t="e">
        <f>VLOOKUP(I1016,#REF!,2,0)</f>
        <v>#REF!</v>
      </c>
      <c r="Q1016" s="25"/>
      <c r="R1016" s="24"/>
      <c r="S1016" s="26"/>
      <c r="T1016" s="24"/>
      <c r="U1016" s="26"/>
      <c r="V1016" s="26"/>
      <c r="W1016" s="27">
        <v>705</v>
      </c>
      <c r="X1016" s="28"/>
    </row>
    <row r="1017" ht="46" spans="1:32">
      <c r="A1017" s="192" t="s">
        <v>4174</v>
      </c>
      <c r="B1017" s="193" t="s">
        <v>4175</v>
      </c>
      <c r="C1017" s="194" t="s">
        <v>563</v>
      </c>
      <c r="D1017" s="195" t="e">
        <f>VLOOKUP(C1017,#REF!,2,0)</f>
        <v>#REF!</v>
      </c>
      <c r="E1017" s="20" t="e">
        <f>VLOOKUP(D1017,数据集标准分类!E:F,2,0)</f>
        <v>#REF!</v>
      </c>
      <c r="F1017" s="196">
        <v>32</v>
      </c>
      <c r="G1017" s="197" t="s">
        <v>369</v>
      </c>
      <c r="H1017" s="197" t="s">
        <v>6044</v>
      </c>
      <c r="I1017" s="197" t="s">
        <v>601</v>
      </c>
      <c r="J1017" s="197" t="s">
        <v>370</v>
      </c>
      <c r="K1017" s="197" t="s">
        <v>601</v>
      </c>
      <c r="L1017" s="197" t="s">
        <v>602</v>
      </c>
      <c r="M1017" s="192" t="s">
        <v>5593</v>
      </c>
      <c r="N1017" s="192" t="s">
        <v>5595</v>
      </c>
      <c r="O1017" s="198">
        <v>18</v>
      </c>
      <c r="P1017" s="199" t="e">
        <f>VLOOKUP(I1017,#REF!,2,0)</f>
        <v>#REF!</v>
      </c>
      <c r="Q1017" s="200"/>
      <c r="R1017" s="199"/>
      <c r="S1017" s="201"/>
      <c r="T1017" s="199"/>
      <c r="U1017" s="201" t="s">
        <v>5593</v>
      </c>
      <c r="V1017" s="202"/>
      <c r="W1017" s="203">
        <v>706</v>
      </c>
      <c r="X1017" s="204"/>
      <c r="Y1017" s="205"/>
      <c r="Z1017" s="205"/>
      <c r="AA1017" s="205"/>
      <c r="AB1017" s="205"/>
      <c r="AC1017" s="205"/>
      <c r="AD1017" s="205"/>
      <c r="AE1017" s="205"/>
      <c r="AF1017" s="205"/>
    </row>
    <row r="1018" ht="31" spans="1:32">
      <c r="A1018" s="192" t="s">
        <v>4174</v>
      </c>
      <c r="B1018" s="193" t="s">
        <v>4175</v>
      </c>
      <c r="C1018" s="194" t="s">
        <v>563</v>
      </c>
      <c r="D1018" s="195" t="e">
        <f>VLOOKUP(C1018,#REF!,2,0)</f>
        <v>#REF!</v>
      </c>
      <c r="E1018" s="20" t="e">
        <f>VLOOKUP(D1018,数据集标准分类!E:F,2,0)</f>
        <v>#REF!</v>
      </c>
      <c r="F1018" s="196">
        <v>32</v>
      </c>
      <c r="G1018" s="197" t="s">
        <v>603</v>
      </c>
      <c r="H1018" s="197" t="s">
        <v>6045</v>
      </c>
      <c r="I1018" s="197" t="s">
        <v>6046</v>
      </c>
      <c r="J1018" s="197" t="s">
        <v>604</v>
      </c>
      <c r="K1018" s="197" t="s">
        <v>606</v>
      </c>
      <c r="L1018" s="197" t="s">
        <v>607</v>
      </c>
      <c r="M1018" s="192" t="s">
        <v>5593</v>
      </c>
      <c r="N1018" s="192" t="s">
        <v>5593</v>
      </c>
      <c r="O1018" s="198">
        <v>19</v>
      </c>
      <c r="P1018" s="199" t="e">
        <f>VLOOKUP(I1018,#REF!,2,0)</f>
        <v>#REF!</v>
      </c>
      <c r="Q1018" s="200"/>
      <c r="R1018" s="199"/>
      <c r="S1018" s="201"/>
      <c r="T1018" s="199"/>
      <c r="U1018" s="201" t="s">
        <v>5593</v>
      </c>
      <c r="V1018" s="202"/>
      <c r="W1018" s="203">
        <v>707</v>
      </c>
      <c r="X1018" s="204"/>
      <c r="Y1018" s="205"/>
      <c r="Z1018" s="205"/>
      <c r="AA1018" s="205"/>
      <c r="AB1018" s="205"/>
      <c r="AC1018" s="205"/>
      <c r="AD1018" s="205"/>
      <c r="AE1018" s="205"/>
      <c r="AF1018" s="205"/>
    </row>
    <row r="1019" ht="31" spans="1:32">
      <c r="A1019" s="192" t="s">
        <v>4174</v>
      </c>
      <c r="B1019" s="193" t="s">
        <v>4175</v>
      </c>
      <c r="C1019" s="194" t="s">
        <v>563</v>
      </c>
      <c r="D1019" s="195" t="e">
        <f>VLOOKUP(C1019,#REF!,2,0)</f>
        <v>#REF!</v>
      </c>
      <c r="E1019" s="20" t="e">
        <f>VLOOKUP(D1019,数据集标准分类!E:F,2,0)</f>
        <v>#REF!</v>
      </c>
      <c r="F1019" s="196">
        <v>32</v>
      </c>
      <c r="G1019" s="197" t="s">
        <v>608</v>
      </c>
      <c r="H1019" s="197" t="s">
        <v>6047</v>
      </c>
      <c r="I1019" s="197" t="s">
        <v>6048</v>
      </c>
      <c r="J1019" s="197" t="s">
        <v>609</v>
      </c>
      <c r="K1019" s="197" t="s">
        <v>611</v>
      </c>
      <c r="L1019" s="197" t="s">
        <v>612</v>
      </c>
      <c r="M1019" s="192" t="s">
        <v>5593</v>
      </c>
      <c r="N1019" s="192" t="s">
        <v>5593</v>
      </c>
      <c r="O1019" s="198">
        <v>20</v>
      </c>
      <c r="P1019" s="199" t="e">
        <f>VLOOKUP(I1019,#REF!,2,0)</f>
        <v>#REF!</v>
      </c>
      <c r="Q1019" s="200"/>
      <c r="R1019" s="199"/>
      <c r="S1019" s="201"/>
      <c r="T1019" s="199"/>
      <c r="U1019" s="201" t="s">
        <v>5593</v>
      </c>
      <c r="V1019" s="202"/>
      <c r="W1019" s="203">
        <v>708</v>
      </c>
      <c r="X1019" s="204"/>
      <c r="Y1019" s="205"/>
      <c r="Z1019" s="205"/>
      <c r="AA1019" s="205"/>
      <c r="AB1019" s="205"/>
      <c r="AC1019" s="205"/>
      <c r="AD1019" s="205"/>
      <c r="AE1019" s="205"/>
      <c r="AF1019" s="205"/>
    </row>
    <row r="1020" ht="31" spans="1:32">
      <c r="A1020" s="192" t="s">
        <v>4174</v>
      </c>
      <c r="B1020" s="193" t="s">
        <v>4175</v>
      </c>
      <c r="C1020" s="194" t="s">
        <v>563</v>
      </c>
      <c r="D1020" s="195" t="e">
        <f>VLOOKUP(C1020,#REF!,2,0)</f>
        <v>#REF!</v>
      </c>
      <c r="E1020" s="20" t="e">
        <f>VLOOKUP(D1020,数据集标准分类!E:F,2,0)</f>
        <v>#REF!</v>
      </c>
      <c r="F1020" s="196">
        <v>32</v>
      </c>
      <c r="G1020" s="197" t="s">
        <v>613</v>
      </c>
      <c r="H1020" s="197" t="s">
        <v>6049</v>
      </c>
      <c r="I1020" s="197" t="s">
        <v>6050</v>
      </c>
      <c r="J1020" s="197" t="s">
        <v>614</v>
      </c>
      <c r="K1020" s="197" t="s">
        <v>616</v>
      </c>
      <c r="L1020" s="197" t="s">
        <v>617</v>
      </c>
      <c r="M1020" s="192" t="s">
        <v>5593</v>
      </c>
      <c r="N1020" s="192" t="s">
        <v>5593</v>
      </c>
      <c r="O1020" s="198">
        <v>21</v>
      </c>
      <c r="P1020" s="199" t="e">
        <f>VLOOKUP(I1020,#REF!,2,0)</f>
        <v>#REF!</v>
      </c>
      <c r="Q1020" s="200"/>
      <c r="R1020" s="199"/>
      <c r="S1020" s="201"/>
      <c r="T1020" s="199"/>
      <c r="U1020" s="201" t="s">
        <v>5593</v>
      </c>
      <c r="V1020" s="202"/>
      <c r="W1020" s="203">
        <v>709</v>
      </c>
      <c r="X1020" s="204"/>
      <c r="Y1020" s="205"/>
      <c r="Z1020" s="205"/>
      <c r="AA1020" s="205"/>
      <c r="AB1020" s="205"/>
      <c r="AC1020" s="205"/>
      <c r="AD1020" s="205"/>
      <c r="AE1020" s="205"/>
      <c r="AF1020" s="205"/>
    </row>
    <row r="1021" ht="31" spans="1:32">
      <c r="A1021" s="192" t="s">
        <v>4174</v>
      </c>
      <c r="B1021" s="193" t="s">
        <v>4175</v>
      </c>
      <c r="C1021" s="194" t="s">
        <v>563</v>
      </c>
      <c r="D1021" s="195" t="e">
        <f>VLOOKUP(C1021,#REF!,2,0)</f>
        <v>#REF!</v>
      </c>
      <c r="E1021" s="20" t="e">
        <f>VLOOKUP(D1021,数据集标准分类!E:F,2,0)</f>
        <v>#REF!</v>
      </c>
      <c r="F1021" s="196">
        <v>32</v>
      </c>
      <c r="G1021" s="197" t="s">
        <v>618</v>
      </c>
      <c r="H1021" s="197" t="s">
        <v>6051</v>
      </c>
      <c r="I1021" s="197" t="s">
        <v>6052</v>
      </c>
      <c r="J1021" s="197" t="s">
        <v>619</v>
      </c>
      <c r="K1021" s="197" t="s">
        <v>621</v>
      </c>
      <c r="L1021" s="197" t="s">
        <v>622</v>
      </c>
      <c r="M1021" s="192" t="s">
        <v>5593</v>
      </c>
      <c r="N1021" s="192" t="s">
        <v>5593</v>
      </c>
      <c r="O1021" s="198">
        <v>22</v>
      </c>
      <c r="P1021" s="199" t="e">
        <f>VLOOKUP(I1021,#REF!,2,0)</f>
        <v>#REF!</v>
      </c>
      <c r="Q1021" s="200"/>
      <c r="R1021" s="199"/>
      <c r="S1021" s="201"/>
      <c r="T1021" s="199"/>
      <c r="U1021" s="201" t="s">
        <v>5593</v>
      </c>
      <c r="V1021" s="202"/>
      <c r="W1021" s="203">
        <v>710</v>
      </c>
      <c r="X1021" s="204"/>
      <c r="Y1021" s="205"/>
      <c r="Z1021" s="205"/>
      <c r="AA1021" s="205"/>
      <c r="AB1021" s="205"/>
      <c r="AC1021" s="205"/>
      <c r="AD1021" s="205"/>
      <c r="AE1021" s="205"/>
      <c r="AF1021" s="205"/>
    </row>
    <row r="1022" ht="31" spans="1:32">
      <c r="A1022" s="16" t="s">
        <v>4174</v>
      </c>
      <c r="B1022" s="17" t="s">
        <v>4175</v>
      </c>
      <c r="C1022" s="30" t="s">
        <v>563</v>
      </c>
      <c r="D1022" s="19" t="e">
        <f>VLOOKUP(C1022,#REF!,2,0)</f>
        <v>#REF!</v>
      </c>
      <c r="E1022" s="20" t="e">
        <f>VLOOKUP(D1022,数据集标准分类!E:F,2,0)</f>
        <v>#REF!</v>
      </c>
      <c r="F1022" s="21">
        <v>32</v>
      </c>
      <c r="G1022" s="22" t="s">
        <v>623</v>
      </c>
      <c r="H1022" s="22" t="s">
        <v>6053</v>
      </c>
      <c r="I1022" s="22" t="s">
        <v>626</v>
      </c>
      <c r="J1022" s="22" t="s">
        <v>624</v>
      </c>
      <c r="K1022" s="22" t="s">
        <v>626</v>
      </c>
      <c r="L1022" s="22" t="s">
        <v>627</v>
      </c>
      <c r="M1022" s="16" t="s">
        <v>5593</v>
      </c>
      <c r="N1022" s="16" t="s">
        <v>5595</v>
      </c>
      <c r="O1022" s="23">
        <v>23</v>
      </c>
      <c r="P1022" s="24" t="e">
        <f>VLOOKUP(I1022,#REF!,2,0)</f>
        <v>#REF!</v>
      </c>
      <c r="Q1022" s="25"/>
      <c r="R1022" s="24"/>
      <c r="S1022" s="26"/>
      <c r="T1022" s="24"/>
      <c r="U1022" s="26" t="s">
        <v>5593</v>
      </c>
      <c r="V1022" s="26"/>
      <c r="W1022" s="27">
        <v>711</v>
      </c>
      <c r="X1022" s="28"/>
    </row>
    <row r="1023" ht="46" spans="1:32">
      <c r="A1023" s="16" t="s">
        <v>4174</v>
      </c>
      <c r="B1023" s="17" t="s">
        <v>4175</v>
      </c>
      <c r="C1023" s="30" t="s">
        <v>563</v>
      </c>
      <c r="D1023" s="19" t="e">
        <f>VLOOKUP(C1023,#REF!,2,0)</f>
        <v>#REF!</v>
      </c>
      <c r="E1023" s="20" t="e">
        <f>VLOOKUP(D1023,数据集标准分类!E:F,2,0)</f>
        <v>#REF!</v>
      </c>
      <c r="F1023" s="21">
        <v>32</v>
      </c>
      <c r="G1023" s="22" t="s">
        <v>628</v>
      </c>
      <c r="H1023" s="22" t="s">
        <v>6054</v>
      </c>
      <c r="I1023" s="22" t="s">
        <v>631</v>
      </c>
      <c r="J1023" s="22" t="s">
        <v>629</v>
      </c>
      <c r="K1023" s="22" t="s">
        <v>631</v>
      </c>
      <c r="L1023" s="22" t="s">
        <v>632</v>
      </c>
      <c r="M1023" s="16" t="s">
        <v>5593</v>
      </c>
      <c r="N1023" s="16" t="s">
        <v>5595</v>
      </c>
      <c r="O1023" s="23">
        <v>24</v>
      </c>
      <c r="P1023" s="24" t="e">
        <f>VLOOKUP(I1023,#REF!,2,0)</f>
        <v>#REF!</v>
      </c>
      <c r="Q1023" s="25"/>
      <c r="R1023" s="24"/>
      <c r="S1023" s="26"/>
      <c r="T1023" s="24"/>
      <c r="U1023" s="26" t="s">
        <v>5593</v>
      </c>
      <c r="V1023" s="26"/>
      <c r="W1023" s="27">
        <v>712</v>
      </c>
      <c r="X1023" s="28"/>
    </row>
    <row r="1024" ht="61" spans="1:32">
      <c r="A1024" s="16" t="s">
        <v>4174</v>
      </c>
      <c r="B1024" s="17" t="s">
        <v>4175</v>
      </c>
      <c r="C1024" s="30" t="s">
        <v>563</v>
      </c>
      <c r="D1024" s="19" t="e">
        <f>VLOOKUP(C1024,#REF!,2,0)</f>
        <v>#REF!</v>
      </c>
      <c r="E1024" s="20" t="e">
        <f>VLOOKUP(D1024,数据集标准分类!E:F,2,0)</f>
        <v>#REF!</v>
      </c>
      <c r="F1024" s="21">
        <v>32</v>
      </c>
      <c r="G1024" s="29" t="s">
        <v>633</v>
      </c>
      <c r="H1024" s="29" t="s">
        <v>6055</v>
      </c>
      <c r="I1024" s="29" t="s">
        <v>636</v>
      </c>
      <c r="J1024" s="22" t="s">
        <v>634</v>
      </c>
      <c r="K1024" s="22" t="s">
        <v>636</v>
      </c>
      <c r="L1024" s="22" t="s">
        <v>637</v>
      </c>
      <c r="M1024" s="16" t="s">
        <v>5593</v>
      </c>
      <c r="N1024" s="16" t="s">
        <v>5595</v>
      </c>
      <c r="O1024" s="23">
        <v>25</v>
      </c>
      <c r="P1024" s="24" t="e">
        <f>VLOOKUP(I1024,#REF!,2,0)</f>
        <v>#REF!</v>
      </c>
      <c r="Q1024" s="25"/>
      <c r="R1024" s="24"/>
      <c r="S1024" s="26"/>
      <c r="T1024" s="24"/>
      <c r="U1024" s="26" t="s">
        <v>5593</v>
      </c>
      <c r="V1024" s="26"/>
      <c r="W1024" s="27">
        <v>713</v>
      </c>
      <c r="X1024" s="28"/>
    </row>
    <row r="1025" ht="15.75" customHeight="1" spans="1:32">
      <c r="A1025" s="192" t="s">
        <v>4174</v>
      </c>
      <c r="B1025" s="193" t="s">
        <v>4175</v>
      </c>
      <c r="C1025" s="194" t="s">
        <v>563</v>
      </c>
      <c r="D1025" s="195" t="e">
        <f>VLOOKUP(C1025,#REF!,2,0)</f>
        <v>#REF!</v>
      </c>
      <c r="E1025" s="20" t="e">
        <f>VLOOKUP(D1025,数据集标准分类!E:F,2,0)</f>
        <v>#REF!</v>
      </c>
      <c r="F1025" s="196">
        <v>32</v>
      </c>
      <c r="G1025" s="197" t="s">
        <v>638</v>
      </c>
      <c r="H1025" s="197" t="s">
        <v>6056</v>
      </c>
      <c r="I1025" s="197" t="s">
        <v>641</v>
      </c>
      <c r="J1025" s="197" t="s">
        <v>639</v>
      </c>
      <c r="K1025" s="197" t="s">
        <v>641</v>
      </c>
      <c r="L1025" s="197" t="s">
        <v>642</v>
      </c>
      <c r="M1025" s="192" t="s">
        <v>5593</v>
      </c>
      <c r="N1025" s="192" t="s">
        <v>5595</v>
      </c>
      <c r="O1025" s="198">
        <v>26</v>
      </c>
      <c r="P1025" s="199" t="e">
        <f>VLOOKUP(I1025,#REF!,2,0)</f>
        <v>#REF!</v>
      </c>
      <c r="Q1025" s="200"/>
      <c r="R1025" s="199"/>
      <c r="S1025" s="201"/>
      <c r="T1025" s="199"/>
      <c r="U1025" s="201" t="s">
        <v>5593</v>
      </c>
      <c r="V1025" s="202"/>
      <c r="W1025" s="203">
        <v>714</v>
      </c>
      <c r="X1025" s="204"/>
      <c r="Y1025" s="205"/>
      <c r="Z1025" s="205"/>
      <c r="AA1025" s="205"/>
      <c r="AB1025" s="205"/>
      <c r="AC1025" s="205"/>
      <c r="AD1025" s="205"/>
      <c r="AE1025" s="205"/>
      <c r="AF1025" s="205"/>
    </row>
    <row r="1026" ht="46" spans="1:32">
      <c r="A1026" s="192" t="s">
        <v>4174</v>
      </c>
      <c r="B1026" s="193" t="s">
        <v>4175</v>
      </c>
      <c r="C1026" s="194" t="s">
        <v>563</v>
      </c>
      <c r="D1026" s="195" t="e">
        <f>VLOOKUP(C1026,#REF!,2,0)</f>
        <v>#REF!</v>
      </c>
      <c r="E1026" s="20" t="e">
        <f>VLOOKUP(D1026,数据集标准分类!E:F,2,0)</f>
        <v>#REF!</v>
      </c>
      <c r="F1026" s="196">
        <v>32</v>
      </c>
      <c r="G1026" s="197" t="s">
        <v>643</v>
      </c>
      <c r="H1026" s="197" t="s">
        <v>6057</v>
      </c>
      <c r="I1026" s="197" t="s">
        <v>646</v>
      </c>
      <c r="J1026" s="197" t="s">
        <v>644</v>
      </c>
      <c r="K1026" s="197" t="s">
        <v>646</v>
      </c>
      <c r="L1026" s="197" t="s">
        <v>647</v>
      </c>
      <c r="M1026" s="192" t="s">
        <v>5593</v>
      </c>
      <c r="N1026" s="192" t="s">
        <v>5595</v>
      </c>
      <c r="O1026" s="198">
        <v>27</v>
      </c>
      <c r="P1026" s="199" t="e">
        <f>VLOOKUP(I1026,#REF!,2,0)</f>
        <v>#REF!</v>
      </c>
      <c r="Q1026" s="200"/>
      <c r="R1026" s="199"/>
      <c r="S1026" s="201"/>
      <c r="T1026" s="199"/>
      <c r="U1026" s="201" t="s">
        <v>5593</v>
      </c>
      <c r="V1026" s="202"/>
      <c r="W1026" s="203">
        <v>715</v>
      </c>
      <c r="X1026" s="204"/>
      <c r="Y1026" s="205"/>
      <c r="Z1026" s="205"/>
      <c r="AA1026" s="205"/>
      <c r="AB1026" s="205"/>
      <c r="AC1026" s="205"/>
      <c r="AD1026" s="205"/>
      <c r="AE1026" s="205"/>
      <c r="AF1026" s="205"/>
    </row>
    <row r="1027" ht="61" spans="1:32">
      <c r="A1027" s="192" t="s">
        <v>4174</v>
      </c>
      <c r="B1027" s="193" t="s">
        <v>4175</v>
      </c>
      <c r="C1027" s="194" t="s">
        <v>563</v>
      </c>
      <c r="D1027" s="195" t="e">
        <f>VLOOKUP(C1027,#REF!,2,0)</f>
        <v>#REF!</v>
      </c>
      <c r="E1027" s="20" t="e">
        <f>VLOOKUP(D1027,数据集标准分类!E:F,2,0)</f>
        <v>#REF!</v>
      </c>
      <c r="F1027" s="196">
        <v>32</v>
      </c>
      <c r="G1027" s="206" t="s">
        <v>648</v>
      </c>
      <c r="H1027" s="206" t="s">
        <v>6058</v>
      </c>
      <c r="I1027" s="206" t="s">
        <v>651</v>
      </c>
      <c r="J1027" s="197" t="s">
        <v>649</v>
      </c>
      <c r="K1027" s="197" t="s">
        <v>651</v>
      </c>
      <c r="L1027" s="197" t="s">
        <v>652</v>
      </c>
      <c r="M1027" s="192" t="s">
        <v>5593</v>
      </c>
      <c r="N1027" s="192" t="s">
        <v>5595</v>
      </c>
      <c r="O1027" s="198">
        <v>28</v>
      </c>
      <c r="P1027" s="199" t="e">
        <f>VLOOKUP(I1027,#REF!,2,0)</f>
        <v>#REF!</v>
      </c>
      <c r="Q1027" s="200"/>
      <c r="R1027" s="199"/>
      <c r="S1027" s="201"/>
      <c r="T1027" s="199"/>
      <c r="U1027" s="201" t="s">
        <v>5593</v>
      </c>
      <c r="V1027" s="202"/>
      <c r="W1027" s="203">
        <v>716</v>
      </c>
      <c r="X1027" s="204"/>
      <c r="Y1027" s="205"/>
      <c r="Z1027" s="205"/>
      <c r="AA1027" s="205"/>
      <c r="AB1027" s="205"/>
      <c r="AC1027" s="205"/>
      <c r="AD1027" s="205"/>
      <c r="AE1027" s="205"/>
      <c r="AF1027" s="205"/>
    </row>
    <row r="1028" ht="122" spans="1:32">
      <c r="A1028" s="16" t="s">
        <v>4174</v>
      </c>
      <c r="B1028" s="17" t="s">
        <v>4175</v>
      </c>
      <c r="C1028" s="30" t="s">
        <v>563</v>
      </c>
      <c r="D1028" s="19" t="e">
        <f>VLOOKUP(C1028,#REF!,2,0)</f>
        <v>#REF!</v>
      </c>
      <c r="E1028" s="20" t="e">
        <f>VLOOKUP(D1028,数据集标准分类!E:F,2,0)</f>
        <v>#REF!</v>
      </c>
      <c r="F1028" s="21">
        <v>32</v>
      </c>
      <c r="G1028" s="22" t="s">
        <v>441</v>
      </c>
      <c r="H1028" s="22" t="s">
        <v>6013</v>
      </c>
      <c r="I1028" s="22" t="s">
        <v>444</v>
      </c>
      <c r="J1028" s="22" t="s">
        <v>442</v>
      </c>
      <c r="K1028" s="22" t="s">
        <v>444</v>
      </c>
      <c r="L1028" s="22" t="s">
        <v>653</v>
      </c>
      <c r="M1028" s="16" t="s">
        <v>5593</v>
      </c>
      <c r="N1028" s="16" t="s">
        <v>5595</v>
      </c>
      <c r="O1028" s="23">
        <v>29</v>
      </c>
      <c r="P1028" s="24" t="e">
        <f>VLOOKUP(I1028,#REF!,2,0)</f>
        <v>#REF!</v>
      </c>
      <c r="Q1028" s="25"/>
      <c r="R1028" s="24"/>
      <c r="S1028" s="26"/>
      <c r="T1028" s="24"/>
      <c r="U1028" s="26" t="s">
        <v>5593</v>
      </c>
      <c r="V1028" s="26"/>
      <c r="W1028" s="27">
        <v>717</v>
      </c>
      <c r="X1028" s="28"/>
    </row>
    <row r="1029" ht="46" spans="1:32">
      <c r="A1029" s="16" t="s">
        <v>4174</v>
      </c>
      <c r="B1029" s="17" t="s">
        <v>4175</v>
      </c>
      <c r="C1029" s="30" t="s">
        <v>563</v>
      </c>
      <c r="D1029" s="19" t="e">
        <f>VLOOKUP(C1029,#REF!,2,0)</f>
        <v>#REF!</v>
      </c>
      <c r="E1029" s="20" t="e">
        <f>VLOOKUP(D1029,数据集标准分类!E:F,2,0)</f>
        <v>#REF!</v>
      </c>
      <c r="F1029" s="21">
        <v>32</v>
      </c>
      <c r="G1029" s="22" t="s">
        <v>446</v>
      </c>
      <c r="H1029" s="22" t="s">
        <v>6014</v>
      </c>
      <c r="I1029" s="22" t="s">
        <v>449</v>
      </c>
      <c r="J1029" s="22" t="s">
        <v>447</v>
      </c>
      <c r="K1029" s="22" t="s">
        <v>449</v>
      </c>
      <c r="L1029" s="22" t="s">
        <v>654</v>
      </c>
      <c r="M1029" s="16" t="s">
        <v>5593</v>
      </c>
      <c r="N1029" s="16" t="s">
        <v>5595</v>
      </c>
      <c r="O1029" s="23">
        <v>30</v>
      </c>
      <c r="P1029" s="24" t="e">
        <f>VLOOKUP(I1029,#REF!,2,0)</f>
        <v>#REF!</v>
      </c>
      <c r="Q1029" s="25"/>
      <c r="R1029" s="24"/>
      <c r="S1029" s="26"/>
      <c r="T1029" s="24"/>
      <c r="U1029" s="26" t="s">
        <v>5593</v>
      </c>
      <c r="V1029" s="26"/>
      <c r="W1029" s="27">
        <v>718</v>
      </c>
      <c r="X1029" s="28"/>
    </row>
    <row r="1030" ht="76" spans="1:32">
      <c r="A1030" s="16" t="s">
        <v>4174</v>
      </c>
      <c r="B1030" s="17" t="s">
        <v>4175</v>
      </c>
      <c r="C1030" s="30" t="s">
        <v>563</v>
      </c>
      <c r="D1030" s="19" t="e">
        <f>VLOOKUP(C1030,#REF!,2,0)</f>
        <v>#REF!</v>
      </c>
      <c r="E1030" s="20" t="e">
        <f>VLOOKUP(D1030,数据集标准分类!E:F,2,0)</f>
        <v>#REF!</v>
      </c>
      <c r="F1030" s="21">
        <v>32</v>
      </c>
      <c r="G1030" s="22" t="s">
        <v>451</v>
      </c>
      <c r="H1030" s="22" t="s">
        <v>6015</v>
      </c>
      <c r="I1030" s="22" t="s">
        <v>454</v>
      </c>
      <c r="J1030" s="22" t="s">
        <v>452</v>
      </c>
      <c r="K1030" s="22" t="s">
        <v>454</v>
      </c>
      <c r="L1030" s="22" t="s">
        <v>655</v>
      </c>
      <c r="M1030" s="16" t="s">
        <v>5593</v>
      </c>
      <c r="N1030" s="16" t="s">
        <v>5595</v>
      </c>
      <c r="O1030" s="23">
        <v>31</v>
      </c>
      <c r="P1030" s="24" t="e">
        <f>VLOOKUP(I1030,#REF!,2,0)</f>
        <v>#REF!</v>
      </c>
      <c r="Q1030" s="25"/>
      <c r="R1030" s="24"/>
      <c r="S1030" s="26"/>
      <c r="T1030" s="24"/>
      <c r="U1030" s="26" t="s">
        <v>5593</v>
      </c>
      <c r="V1030" s="26"/>
      <c r="W1030" s="27">
        <v>719</v>
      </c>
      <c r="X1030" s="28"/>
    </row>
    <row r="1031" ht="61" spans="1:32">
      <c r="A1031" s="16" t="s">
        <v>4174</v>
      </c>
      <c r="B1031" s="17" t="s">
        <v>4175</v>
      </c>
      <c r="C1031" s="30" t="s">
        <v>563</v>
      </c>
      <c r="D1031" s="19" t="e">
        <f>VLOOKUP(C1031,#REF!,2,0)</f>
        <v>#REF!</v>
      </c>
      <c r="E1031" s="20" t="e">
        <f>VLOOKUP(D1031,数据集标准分类!E:F,2,0)</f>
        <v>#REF!</v>
      </c>
      <c r="F1031" s="21">
        <v>32</v>
      </c>
      <c r="G1031" s="22" t="s">
        <v>456</v>
      </c>
      <c r="H1031" s="22" t="s">
        <v>6016</v>
      </c>
      <c r="I1031" s="22" t="s">
        <v>459</v>
      </c>
      <c r="J1031" s="22" t="s">
        <v>457</v>
      </c>
      <c r="K1031" s="22" t="s">
        <v>459</v>
      </c>
      <c r="L1031" s="22" t="s">
        <v>460</v>
      </c>
      <c r="M1031" s="16" t="s">
        <v>5593</v>
      </c>
      <c r="N1031" s="16" t="s">
        <v>5595</v>
      </c>
      <c r="O1031" s="23">
        <v>32</v>
      </c>
      <c r="P1031" s="24" t="e">
        <f>VLOOKUP(I1031,#REF!,2,0)</f>
        <v>#REF!</v>
      </c>
      <c r="Q1031" s="25"/>
      <c r="R1031" s="24"/>
      <c r="S1031" s="26"/>
      <c r="T1031" s="24"/>
      <c r="U1031" s="26" t="s">
        <v>5593</v>
      </c>
      <c r="V1031" s="26"/>
      <c r="W1031" s="27">
        <v>720</v>
      </c>
      <c r="X1031" s="28"/>
    </row>
    <row r="1032" ht="46" spans="1:32">
      <c r="A1032" s="16" t="s">
        <v>4174</v>
      </c>
      <c r="B1032" s="17" t="s">
        <v>4175</v>
      </c>
      <c r="C1032" s="30" t="s">
        <v>563</v>
      </c>
      <c r="D1032" s="19" t="e">
        <f>VLOOKUP(C1032,#REF!,2,0)</f>
        <v>#REF!</v>
      </c>
      <c r="E1032" s="20" t="e">
        <f>VLOOKUP(D1032,数据集标准分类!E:F,2,0)</f>
        <v>#REF!</v>
      </c>
      <c r="F1032" s="21">
        <v>32</v>
      </c>
      <c r="G1032" s="22" t="s">
        <v>187</v>
      </c>
      <c r="H1032" s="22" t="s">
        <v>6017</v>
      </c>
      <c r="I1032" s="22" t="s">
        <v>190</v>
      </c>
      <c r="J1032" s="22" t="s">
        <v>188</v>
      </c>
      <c r="K1032" s="22" t="s">
        <v>190</v>
      </c>
      <c r="L1032" s="22" t="s">
        <v>656</v>
      </c>
      <c r="M1032" s="16" t="s">
        <v>5593</v>
      </c>
      <c r="N1032" s="16" t="s">
        <v>5595</v>
      </c>
      <c r="O1032" s="23">
        <v>33</v>
      </c>
      <c r="P1032" s="24" t="e">
        <f>VLOOKUP(I1032,#REF!,2,0)</f>
        <v>#REF!</v>
      </c>
      <c r="Q1032" s="25"/>
      <c r="R1032" s="24"/>
      <c r="S1032" s="26"/>
      <c r="T1032" s="24"/>
      <c r="U1032" s="26" t="s">
        <v>5593</v>
      </c>
      <c r="V1032" s="26"/>
      <c r="W1032" s="27">
        <v>721</v>
      </c>
      <c r="X1032" s="28"/>
    </row>
    <row r="1033" ht="76" spans="1:32">
      <c r="A1033" s="16" t="s">
        <v>4174</v>
      </c>
      <c r="B1033" s="17" t="s">
        <v>4175</v>
      </c>
      <c r="C1033" s="30" t="s">
        <v>563</v>
      </c>
      <c r="D1033" s="19" t="e">
        <f>VLOOKUP(C1033,#REF!,2,0)</f>
        <v>#REF!</v>
      </c>
      <c r="E1033" s="20" t="e">
        <f>VLOOKUP(D1033,数据集标准分类!E:F,2,0)</f>
        <v>#REF!</v>
      </c>
      <c r="F1033" s="21">
        <v>32</v>
      </c>
      <c r="G1033" s="29" t="s">
        <v>657</v>
      </c>
      <c r="H1033" s="29" t="s">
        <v>6059</v>
      </c>
      <c r="I1033" s="29" t="s">
        <v>660</v>
      </c>
      <c r="J1033" s="22" t="s">
        <v>658</v>
      </c>
      <c r="K1033" s="22" t="s">
        <v>660</v>
      </c>
      <c r="L1033" s="22" t="s">
        <v>661</v>
      </c>
      <c r="M1033" s="16" t="s">
        <v>5593</v>
      </c>
      <c r="N1033" s="16" t="s">
        <v>5595</v>
      </c>
      <c r="O1033" s="23">
        <v>34</v>
      </c>
      <c r="P1033" s="24" t="e">
        <f>VLOOKUP(I1033,#REF!,2,0)</f>
        <v>#REF!</v>
      </c>
      <c r="Q1033" s="25"/>
      <c r="R1033" s="24"/>
      <c r="S1033" s="26"/>
      <c r="T1033" s="24"/>
      <c r="U1033" s="26" t="s">
        <v>5593</v>
      </c>
      <c r="V1033" s="26"/>
      <c r="W1033" s="27">
        <v>722</v>
      </c>
      <c r="X1033" s="28"/>
    </row>
    <row r="1034" ht="31" spans="1:32">
      <c r="A1034" s="16" t="s">
        <v>4174</v>
      </c>
      <c r="B1034" s="17" t="s">
        <v>4175</v>
      </c>
      <c r="C1034" s="30" t="s">
        <v>563</v>
      </c>
      <c r="D1034" s="19" t="e">
        <f>VLOOKUP(C1034,#REF!,2,0)</f>
        <v>#REF!</v>
      </c>
      <c r="E1034" s="20" t="e">
        <f>VLOOKUP(D1034,数据集标准分类!E:F,2,0)</f>
        <v>#REF!</v>
      </c>
      <c r="F1034" s="21">
        <v>32</v>
      </c>
      <c r="G1034" s="29" t="s">
        <v>467</v>
      </c>
      <c r="H1034" s="29" t="s">
        <v>6019</v>
      </c>
      <c r="I1034" s="29" t="s">
        <v>470</v>
      </c>
      <c r="J1034" s="29" t="s">
        <v>468</v>
      </c>
      <c r="K1034" s="29" t="s">
        <v>470</v>
      </c>
      <c r="L1034" s="29" t="s">
        <v>471</v>
      </c>
      <c r="M1034" s="16" t="s">
        <v>5593</v>
      </c>
      <c r="N1034" s="16" t="s">
        <v>5595</v>
      </c>
      <c r="O1034" s="23">
        <v>35</v>
      </c>
      <c r="P1034" s="24" t="e">
        <f>VLOOKUP(I1034,#REF!,2,0)</f>
        <v>#REF!</v>
      </c>
      <c r="Q1034" s="25"/>
      <c r="R1034" s="24"/>
      <c r="S1034" s="26"/>
      <c r="T1034" s="24"/>
      <c r="U1034" s="26"/>
      <c r="V1034" s="26"/>
      <c r="W1034" s="27">
        <v>723</v>
      </c>
      <c r="X1034" s="28"/>
    </row>
    <row r="1035" ht="31" spans="1:32">
      <c r="A1035" s="31" t="s">
        <v>4174</v>
      </c>
      <c r="B1035" s="32" t="s">
        <v>4175</v>
      </c>
      <c r="C1035" s="33" t="s">
        <v>563</v>
      </c>
      <c r="D1035" s="34" t="e">
        <f>VLOOKUP(C1035,#REF!,2,0)</f>
        <v>#REF!</v>
      </c>
      <c r="E1035" s="20" t="e">
        <f>VLOOKUP(D1035,数据集标准分类!E:F,2,0)</f>
        <v>#REF!</v>
      </c>
      <c r="F1035" s="36">
        <v>32</v>
      </c>
      <c r="G1035" s="33" t="s">
        <v>472</v>
      </c>
      <c r="H1035" s="33" t="s">
        <v>6020</v>
      </c>
      <c r="I1035" s="33" t="s">
        <v>475</v>
      </c>
      <c r="J1035" s="33" t="s">
        <v>473</v>
      </c>
      <c r="K1035" s="33" t="s">
        <v>475</v>
      </c>
      <c r="L1035" s="33" t="s">
        <v>476</v>
      </c>
      <c r="M1035" s="31" t="s">
        <v>5593</v>
      </c>
      <c r="N1035" s="31" t="s">
        <v>5595</v>
      </c>
      <c r="O1035" s="38">
        <v>36</v>
      </c>
      <c r="P1035" s="39" t="e">
        <f>VLOOKUP(I1035,#REF!,2,0)</f>
        <v>#REF!</v>
      </c>
      <c r="Q1035" s="207"/>
      <c r="R1035" s="39"/>
      <c r="S1035" s="208"/>
      <c r="T1035" s="39"/>
      <c r="U1035" s="208"/>
      <c r="V1035" s="41"/>
      <c r="W1035" s="42">
        <v>724</v>
      </c>
      <c r="X1035" s="43"/>
      <c r="Y1035" s="44"/>
      <c r="Z1035" s="44"/>
      <c r="AA1035" s="44"/>
      <c r="AB1035" s="44"/>
      <c r="AC1035" s="44"/>
      <c r="AD1035" s="44"/>
      <c r="AE1035" s="44"/>
      <c r="AF1035" s="44"/>
    </row>
    <row r="1036" ht="46" spans="1:32">
      <c r="A1036" s="16" t="s">
        <v>4174</v>
      </c>
      <c r="B1036" s="17" t="s">
        <v>4175</v>
      </c>
      <c r="C1036" s="30" t="s">
        <v>563</v>
      </c>
      <c r="D1036" s="19" t="e">
        <f>VLOOKUP(C1036,#REF!,2,0)</f>
        <v>#REF!</v>
      </c>
      <c r="E1036" s="20" t="e">
        <f>VLOOKUP(D1036,数据集标准分类!E:F,2,0)</f>
        <v>#REF!</v>
      </c>
      <c r="F1036" s="21">
        <v>32</v>
      </c>
      <c r="G1036" s="22" t="s">
        <v>477</v>
      </c>
      <c r="H1036" s="22" t="s">
        <v>478</v>
      </c>
      <c r="I1036" s="22" t="s">
        <v>480</v>
      </c>
      <c r="J1036" s="22" t="s">
        <v>478</v>
      </c>
      <c r="K1036" s="22" t="s">
        <v>480</v>
      </c>
      <c r="L1036" s="22" t="s">
        <v>481</v>
      </c>
      <c r="M1036" s="16" t="s">
        <v>5595</v>
      </c>
      <c r="N1036" s="16" t="s">
        <v>5595</v>
      </c>
      <c r="O1036" s="23">
        <v>37</v>
      </c>
      <c r="P1036" s="24" t="e">
        <f>VLOOKUP(I1036,#REF!,2,0)</f>
        <v>#REF!</v>
      </c>
      <c r="Q1036" s="25"/>
      <c r="R1036" s="24"/>
      <c r="S1036" s="26"/>
      <c r="T1036" s="24"/>
      <c r="U1036" s="26"/>
      <c r="V1036" s="26"/>
      <c r="W1036" s="27">
        <v>725</v>
      </c>
      <c r="X1036" s="28"/>
    </row>
    <row r="1037" ht="31" spans="1:32">
      <c r="A1037" s="16" t="s">
        <v>4174</v>
      </c>
      <c r="B1037" s="17" t="s">
        <v>4175</v>
      </c>
      <c r="C1037" s="30" t="s">
        <v>563</v>
      </c>
      <c r="D1037" s="19" t="e">
        <f>VLOOKUP(C1037,#REF!,2,0)</f>
        <v>#REF!</v>
      </c>
      <c r="E1037" s="20" t="e">
        <f>VLOOKUP(D1037,数据集标准分类!E:F,2,0)</f>
        <v>#REF!</v>
      </c>
      <c r="F1037" s="21">
        <v>32</v>
      </c>
      <c r="G1037" s="22" t="s">
        <v>482</v>
      </c>
      <c r="H1037" s="22" t="s">
        <v>6021</v>
      </c>
      <c r="I1037" s="22" t="s">
        <v>485</v>
      </c>
      <c r="J1037" s="22" t="s">
        <v>483</v>
      </c>
      <c r="K1037" s="22" t="s">
        <v>485</v>
      </c>
      <c r="L1037" s="22" t="s">
        <v>486</v>
      </c>
      <c r="M1037" s="16" t="s">
        <v>5593</v>
      </c>
      <c r="N1037" s="16" t="s">
        <v>5595</v>
      </c>
      <c r="O1037" s="23">
        <v>38</v>
      </c>
      <c r="P1037" s="24" t="e">
        <f>VLOOKUP(I1037,#REF!,2,0)</f>
        <v>#REF!</v>
      </c>
      <c r="Q1037" s="25"/>
      <c r="R1037" s="24"/>
      <c r="S1037" s="26"/>
      <c r="T1037" s="24"/>
      <c r="U1037" s="26"/>
      <c r="V1037" s="26"/>
      <c r="W1037" s="27">
        <v>726</v>
      </c>
      <c r="X1037" s="28"/>
    </row>
    <row r="1038" ht="31" spans="1:32">
      <c r="A1038" s="16" t="s">
        <v>4174</v>
      </c>
      <c r="B1038" s="17" t="s">
        <v>4175</v>
      </c>
      <c r="C1038" s="30" t="s">
        <v>563</v>
      </c>
      <c r="D1038" s="19" t="e">
        <f>VLOOKUP(C1038,#REF!,2,0)</f>
        <v>#REF!</v>
      </c>
      <c r="E1038" s="20" t="e">
        <f>VLOOKUP(D1038,数据集标准分类!E:F,2,0)</f>
        <v>#REF!</v>
      </c>
      <c r="F1038" s="21">
        <v>32</v>
      </c>
      <c r="G1038" s="22" t="s">
        <v>345</v>
      </c>
      <c r="H1038" s="22" t="s">
        <v>6022</v>
      </c>
      <c r="I1038" s="22" t="s">
        <v>348</v>
      </c>
      <c r="J1038" s="22" t="s">
        <v>346</v>
      </c>
      <c r="K1038" s="22" t="s">
        <v>348</v>
      </c>
      <c r="L1038" s="22" t="s">
        <v>349</v>
      </c>
      <c r="M1038" s="16" t="s">
        <v>5593</v>
      </c>
      <c r="N1038" s="16" t="s">
        <v>5595</v>
      </c>
      <c r="O1038" s="23">
        <v>39</v>
      </c>
      <c r="P1038" s="24" t="e">
        <f>VLOOKUP(I1038,#REF!,2,0)</f>
        <v>#REF!</v>
      </c>
      <c r="Q1038" s="25"/>
      <c r="R1038" s="24"/>
      <c r="S1038" s="26"/>
      <c r="T1038" s="24"/>
      <c r="U1038" s="26"/>
      <c r="V1038" s="26"/>
      <c r="W1038" s="27">
        <v>727</v>
      </c>
      <c r="X1038" s="28"/>
    </row>
    <row r="1039" ht="46" spans="1:32">
      <c r="A1039" s="31" t="s">
        <v>4174</v>
      </c>
      <c r="B1039" s="32" t="s">
        <v>4175</v>
      </c>
      <c r="C1039" s="33" t="s">
        <v>563</v>
      </c>
      <c r="D1039" s="34" t="e">
        <f>VLOOKUP(C1039,#REF!,2,0)</f>
        <v>#REF!</v>
      </c>
      <c r="E1039" s="20" t="e">
        <f>VLOOKUP(D1039,数据集标准分类!E:F,2,0)</f>
        <v>#REF!</v>
      </c>
      <c r="F1039" s="36">
        <v>32</v>
      </c>
      <c r="G1039" s="37" t="s">
        <v>503</v>
      </c>
      <c r="H1039" s="37" t="s">
        <v>5591</v>
      </c>
      <c r="I1039" s="37" t="s">
        <v>5592</v>
      </c>
      <c r="J1039" s="37" t="s">
        <v>504</v>
      </c>
      <c r="K1039" s="37" t="s">
        <v>506</v>
      </c>
      <c r="L1039" s="37" t="s">
        <v>507</v>
      </c>
      <c r="M1039" s="31" t="s">
        <v>5593</v>
      </c>
      <c r="N1039" s="31" t="s">
        <v>5593</v>
      </c>
      <c r="O1039" s="38">
        <v>40</v>
      </c>
      <c r="P1039" s="39" t="e">
        <f>VLOOKUP(I1039,#REF!,2,0)</f>
        <v>#REF!</v>
      </c>
      <c r="Q1039" s="207"/>
      <c r="R1039" s="39"/>
      <c r="S1039" s="208"/>
      <c r="T1039" s="39"/>
      <c r="U1039" s="208"/>
      <c r="V1039" s="41"/>
      <c r="W1039" s="42">
        <v>728</v>
      </c>
      <c r="X1039" s="43"/>
      <c r="Y1039" s="44"/>
      <c r="Z1039" s="44"/>
      <c r="AA1039" s="44"/>
      <c r="AB1039" s="44"/>
      <c r="AC1039" s="44"/>
      <c r="AD1039" s="44"/>
      <c r="AE1039" s="44"/>
      <c r="AF1039" s="44"/>
    </row>
    <row r="1040" ht="46" spans="1:32">
      <c r="A1040" s="31" t="s">
        <v>4174</v>
      </c>
      <c r="B1040" s="32" t="s">
        <v>4175</v>
      </c>
      <c r="C1040" s="33" t="s">
        <v>563</v>
      </c>
      <c r="D1040" s="34" t="e">
        <f>VLOOKUP(C1040,#REF!,2,0)</f>
        <v>#REF!</v>
      </c>
      <c r="E1040" s="20" t="e">
        <f>VLOOKUP(D1040,数据集标准分类!E:F,2,0)</f>
        <v>#REF!</v>
      </c>
      <c r="F1040" s="36">
        <v>32</v>
      </c>
      <c r="G1040" s="37" t="s">
        <v>508</v>
      </c>
      <c r="H1040" s="37" t="s">
        <v>5594</v>
      </c>
      <c r="I1040" s="37" t="s">
        <v>511</v>
      </c>
      <c r="J1040" s="37" t="s">
        <v>509</v>
      </c>
      <c r="K1040" s="37" t="s">
        <v>511</v>
      </c>
      <c r="L1040" s="37" t="s">
        <v>512</v>
      </c>
      <c r="M1040" s="31" t="s">
        <v>5593</v>
      </c>
      <c r="N1040" s="31" t="s">
        <v>5595</v>
      </c>
      <c r="O1040" s="38">
        <v>41</v>
      </c>
      <c r="P1040" s="39" t="e">
        <f>VLOOKUP(I1040,#REF!,2,0)</f>
        <v>#REF!</v>
      </c>
      <c r="Q1040" s="207"/>
      <c r="R1040" s="39"/>
      <c r="S1040" s="208"/>
      <c r="T1040" s="39"/>
      <c r="U1040" s="208"/>
      <c r="V1040" s="41"/>
      <c r="W1040" s="42">
        <v>729</v>
      </c>
      <c r="X1040" s="43"/>
      <c r="Y1040" s="44"/>
      <c r="Z1040" s="44"/>
      <c r="AA1040" s="44"/>
      <c r="AB1040" s="44"/>
      <c r="AC1040" s="44"/>
      <c r="AD1040" s="44"/>
      <c r="AE1040" s="44"/>
      <c r="AF1040" s="44"/>
    </row>
    <row r="1041" ht="61" spans="1:32">
      <c r="A1041" s="31" t="s">
        <v>4174</v>
      </c>
      <c r="B1041" s="32" t="s">
        <v>4175</v>
      </c>
      <c r="C1041" s="33" t="s">
        <v>563</v>
      </c>
      <c r="D1041" s="34" t="e">
        <f>VLOOKUP(C1041,#REF!,2,0)</f>
        <v>#REF!</v>
      </c>
      <c r="E1041" s="20" t="e">
        <f>VLOOKUP(D1041,数据集标准分类!E:F,2,0)</f>
        <v>#REF!</v>
      </c>
      <c r="F1041" s="36">
        <v>32</v>
      </c>
      <c r="G1041" s="37" t="s">
        <v>350</v>
      </c>
      <c r="H1041" s="37" t="s">
        <v>6023</v>
      </c>
      <c r="I1041" s="37" t="s">
        <v>6024</v>
      </c>
      <c r="J1041" s="37" t="s">
        <v>351</v>
      </c>
      <c r="K1041" s="37" t="s">
        <v>353</v>
      </c>
      <c r="L1041" s="37" t="s">
        <v>354</v>
      </c>
      <c r="M1041" s="31" t="s">
        <v>5593</v>
      </c>
      <c r="N1041" s="31" t="s">
        <v>5593</v>
      </c>
      <c r="O1041" s="38">
        <v>42</v>
      </c>
      <c r="P1041" s="39" t="e">
        <f>VLOOKUP(I1041,#REF!,2,0)</f>
        <v>#REF!</v>
      </c>
      <c r="Q1041" s="207"/>
      <c r="R1041" s="39"/>
      <c r="S1041" s="208"/>
      <c r="T1041" s="39"/>
      <c r="U1041" s="208"/>
      <c r="V1041" s="41"/>
      <c r="W1041" s="42">
        <v>730</v>
      </c>
      <c r="X1041" s="43"/>
      <c r="Y1041" s="44"/>
      <c r="Z1041" s="44"/>
      <c r="AA1041" s="44"/>
      <c r="AB1041" s="44"/>
      <c r="AC1041" s="44"/>
      <c r="AD1041" s="44"/>
      <c r="AE1041" s="44"/>
      <c r="AF1041" s="44"/>
    </row>
    <row r="1042" ht="61" spans="1:32">
      <c r="A1042" s="16" t="s">
        <v>4174</v>
      </c>
      <c r="B1042" s="17" t="s">
        <v>4175</v>
      </c>
      <c r="C1042" s="30" t="s">
        <v>563</v>
      </c>
      <c r="D1042" s="19" t="e">
        <f>VLOOKUP(C1042,#REF!,2,0)</f>
        <v>#REF!</v>
      </c>
      <c r="E1042" s="20" t="e">
        <f>VLOOKUP(D1042,数据集标准分类!E:F,2,0)</f>
        <v>#REF!</v>
      </c>
      <c r="F1042" s="21">
        <v>32</v>
      </c>
      <c r="G1042" s="22" t="s">
        <v>77</v>
      </c>
      <c r="H1042" s="22" t="s">
        <v>5686</v>
      </c>
      <c r="I1042" s="22" t="s">
        <v>80</v>
      </c>
      <c r="J1042" s="22" t="s">
        <v>78</v>
      </c>
      <c r="K1042" s="22" t="s">
        <v>80</v>
      </c>
      <c r="L1042" s="22" t="s">
        <v>310</v>
      </c>
      <c r="M1042" s="16" t="s">
        <v>5593</v>
      </c>
      <c r="N1042" s="16" t="s">
        <v>5595</v>
      </c>
      <c r="O1042" s="23">
        <v>43</v>
      </c>
      <c r="P1042" s="24" t="e">
        <f>VLOOKUP(I1042,#REF!,2,0)</f>
        <v>#REF!</v>
      </c>
      <c r="Q1042" s="25"/>
      <c r="R1042" s="24"/>
      <c r="S1042" s="26"/>
      <c r="T1042" s="24"/>
      <c r="U1042" s="26"/>
      <c r="V1042" s="26"/>
      <c r="W1042" s="27">
        <v>731</v>
      </c>
      <c r="X1042" s="28"/>
    </row>
    <row r="1043" ht="61" spans="1:32">
      <c r="A1043" s="16" t="s">
        <v>4174</v>
      </c>
      <c r="B1043" s="17" t="s">
        <v>4175</v>
      </c>
      <c r="C1043" s="30" t="s">
        <v>563</v>
      </c>
      <c r="D1043" s="19" t="e">
        <f>VLOOKUP(C1043,#REF!,2,0)</f>
        <v>#REF!</v>
      </c>
      <c r="E1043" s="20" t="e">
        <f>VLOOKUP(D1043,数据集标准分类!E:F,2,0)</f>
        <v>#REF!</v>
      </c>
      <c r="F1043" s="21">
        <v>32</v>
      </c>
      <c r="G1043" s="22" t="s">
        <v>82</v>
      </c>
      <c r="H1043" s="22" t="s">
        <v>5687</v>
      </c>
      <c r="I1043" s="22" t="s">
        <v>85</v>
      </c>
      <c r="J1043" s="22" t="s">
        <v>83</v>
      </c>
      <c r="K1043" s="22" t="s">
        <v>85</v>
      </c>
      <c r="L1043" s="22" t="s">
        <v>311</v>
      </c>
      <c r="M1043" s="16" t="s">
        <v>5593</v>
      </c>
      <c r="N1043" s="16" t="s">
        <v>5595</v>
      </c>
      <c r="O1043" s="23">
        <v>44</v>
      </c>
      <c r="P1043" s="24" t="e">
        <f>VLOOKUP(I1043,#REF!,2,0)</f>
        <v>#REF!</v>
      </c>
      <c r="Q1043" s="25"/>
      <c r="R1043" s="24"/>
      <c r="S1043" s="26"/>
      <c r="T1043" s="24"/>
      <c r="U1043" s="26"/>
      <c r="V1043" s="26"/>
      <c r="W1043" s="27">
        <v>732</v>
      </c>
      <c r="X1043" s="28"/>
    </row>
    <row r="1044" ht="46" spans="1:32">
      <c r="A1044" s="16" t="s">
        <v>4174</v>
      </c>
      <c r="B1044" s="17" t="s">
        <v>4175</v>
      </c>
      <c r="C1044" s="30" t="s">
        <v>563</v>
      </c>
      <c r="D1044" s="19" t="e">
        <f>VLOOKUP(C1044,#REF!,2,0)</f>
        <v>#REF!</v>
      </c>
      <c r="E1044" s="20" t="e">
        <f>VLOOKUP(D1044,数据集标准分类!E:F,2,0)</f>
        <v>#REF!</v>
      </c>
      <c r="F1044" s="21">
        <v>32</v>
      </c>
      <c r="G1044" s="22" t="s">
        <v>192</v>
      </c>
      <c r="H1044" s="22" t="s">
        <v>5630</v>
      </c>
      <c r="I1044" s="22" t="s">
        <v>5631</v>
      </c>
      <c r="J1044" s="22" t="s">
        <v>193</v>
      </c>
      <c r="K1044" s="22" t="s">
        <v>195</v>
      </c>
      <c r="L1044" s="22" t="s">
        <v>385</v>
      </c>
      <c r="M1044" s="16" t="s">
        <v>5593</v>
      </c>
      <c r="N1044" s="16" t="s">
        <v>5593</v>
      </c>
      <c r="O1044" s="23">
        <v>45</v>
      </c>
      <c r="P1044" s="24" t="e">
        <f>VLOOKUP(I1044,#REF!,2,0)</f>
        <v>#REF!</v>
      </c>
      <c r="Q1044" s="25"/>
      <c r="R1044" s="24"/>
      <c r="S1044" s="26"/>
      <c r="T1044" s="24"/>
      <c r="U1044" s="26"/>
      <c r="V1044" s="26"/>
      <c r="W1044" s="27">
        <v>733</v>
      </c>
      <c r="X1044" s="28"/>
    </row>
    <row r="1045" ht="46" spans="1:32">
      <c r="A1045" s="16" t="s">
        <v>4174</v>
      </c>
      <c r="B1045" s="17" t="s">
        <v>4175</v>
      </c>
      <c r="C1045" s="30" t="s">
        <v>563</v>
      </c>
      <c r="D1045" s="19" t="e">
        <f>VLOOKUP(C1045,#REF!,2,0)</f>
        <v>#REF!</v>
      </c>
      <c r="E1045" s="20" t="e">
        <f>VLOOKUP(D1045,数据集标准分类!E:F,2,0)</f>
        <v>#REF!</v>
      </c>
      <c r="F1045" s="21">
        <v>32</v>
      </c>
      <c r="G1045" s="22" t="s">
        <v>386</v>
      </c>
      <c r="H1045" s="22" t="s">
        <v>6025</v>
      </c>
      <c r="I1045" s="22" t="s">
        <v>389</v>
      </c>
      <c r="J1045" s="22" t="s">
        <v>387</v>
      </c>
      <c r="K1045" s="22" t="s">
        <v>389</v>
      </c>
      <c r="L1045" s="22" t="s">
        <v>390</v>
      </c>
      <c r="M1045" s="16" t="s">
        <v>5593</v>
      </c>
      <c r="N1045" s="16" t="s">
        <v>5595</v>
      </c>
      <c r="O1045" s="23">
        <v>46</v>
      </c>
      <c r="P1045" s="24" t="e">
        <f>VLOOKUP(I1045,#REF!,2,0)</f>
        <v>#REF!</v>
      </c>
      <c r="Q1045" s="25"/>
      <c r="R1045" s="24"/>
      <c r="S1045" s="26"/>
      <c r="T1045" s="24"/>
      <c r="U1045" s="26"/>
      <c r="V1045" s="26"/>
      <c r="W1045" s="27">
        <v>734</v>
      </c>
      <c r="X1045" s="28"/>
    </row>
    <row r="1046" ht="61" spans="1:32">
      <c r="A1046" s="16" t="s">
        <v>4174</v>
      </c>
      <c r="B1046" s="17" t="s">
        <v>4175</v>
      </c>
      <c r="C1046" s="30" t="s">
        <v>563</v>
      </c>
      <c r="D1046" s="19" t="e">
        <f>VLOOKUP(C1046,#REF!,2,0)</f>
        <v>#REF!</v>
      </c>
      <c r="E1046" s="20" t="e">
        <f>VLOOKUP(D1046,数据集标准分类!E:F,2,0)</f>
        <v>#REF!</v>
      </c>
      <c r="F1046" s="21">
        <v>32</v>
      </c>
      <c r="G1046" s="22" t="s">
        <v>391</v>
      </c>
      <c r="H1046" s="22" t="s">
        <v>5664</v>
      </c>
      <c r="I1046" s="22" t="s">
        <v>394</v>
      </c>
      <c r="J1046" s="22" t="s">
        <v>392</v>
      </c>
      <c r="K1046" s="22" t="s">
        <v>394</v>
      </c>
      <c r="L1046" s="22" t="s">
        <v>395</v>
      </c>
      <c r="M1046" s="16" t="s">
        <v>5593</v>
      </c>
      <c r="N1046" s="16" t="s">
        <v>5595</v>
      </c>
      <c r="O1046" s="23">
        <v>47</v>
      </c>
      <c r="P1046" s="24" t="e">
        <f>VLOOKUP(I1046,#REF!,2,0)</f>
        <v>#REF!</v>
      </c>
      <c r="Q1046" s="25"/>
      <c r="R1046" s="24"/>
      <c r="S1046" s="26"/>
      <c r="T1046" s="24"/>
      <c r="U1046" s="26" t="s">
        <v>5593</v>
      </c>
      <c r="V1046" s="26"/>
      <c r="W1046" s="27">
        <v>735</v>
      </c>
      <c r="X1046" s="28"/>
    </row>
    <row r="1047" ht="61" spans="1:32">
      <c r="A1047" s="16" t="s">
        <v>4174</v>
      </c>
      <c r="B1047" s="17" t="s">
        <v>4175</v>
      </c>
      <c r="C1047" s="30" t="s">
        <v>563</v>
      </c>
      <c r="D1047" s="19" t="e">
        <f>VLOOKUP(C1047,#REF!,2,0)</f>
        <v>#REF!</v>
      </c>
      <c r="E1047" s="20" t="e">
        <f>VLOOKUP(D1047,数据集标准分类!E:F,2,0)</f>
        <v>#REF!</v>
      </c>
      <c r="F1047" s="21">
        <v>32</v>
      </c>
      <c r="G1047" s="22" t="s">
        <v>396</v>
      </c>
      <c r="H1047" s="22" t="s">
        <v>5628</v>
      </c>
      <c r="I1047" s="22" t="s">
        <v>5629</v>
      </c>
      <c r="J1047" s="22" t="s">
        <v>397</v>
      </c>
      <c r="K1047" s="22" t="s">
        <v>399</v>
      </c>
      <c r="L1047" s="22" t="s">
        <v>400</v>
      </c>
      <c r="M1047" s="16" t="s">
        <v>5593</v>
      </c>
      <c r="N1047" s="16" t="s">
        <v>5593</v>
      </c>
      <c r="O1047" s="23">
        <v>48</v>
      </c>
      <c r="P1047" s="24" t="e">
        <f>VLOOKUP(I1047,#REF!,2,0)</f>
        <v>#REF!</v>
      </c>
      <c r="Q1047" s="25"/>
      <c r="R1047" s="24"/>
      <c r="S1047" s="26"/>
      <c r="T1047" s="24"/>
      <c r="U1047" s="26"/>
      <c r="V1047" s="26"/>
      <c r="W1047" s="27">
        <v>736</v>
      </c>
      <c r="X1047" s="28"/>
    </row>
    <row r="1048" ht="46" spans="1:32">
      <c r="A1048" s="66" t="s">
        <v>4174</v>
      </c>
      <c r="B1048" s="67" t="s">
        <v>4175</v>
      </c>
      <c r="C1048" s="68" t="s">
        <v>563</v>
      </c>
      <c r="D1048" s="69" t="e">
        <f>VLOOKUP(C1048,#REF!,2,0)</f>
        <v>#REF!</v>
      </c>
      <c r="E1048" s="70" t="e">
        <f>VLOOKUP(D1048,数据集标准分类!E:F,2,0)</f>
        <v>#REF!</v>
      </c>
      <c r="F1048" s="71">
        <v>32</v>
      </c>
      <c r="G1048" s="72" t="s">
        <v>245</v>
      </c>
      <c r="H1048" s="72" t="s">
        <v>5680</v>
      </c>
      <c r="I1048" s="72" t="s">
        <v>248</v>
      </c>
      <c r="J1048" s="72" t="s">
        <v>246</v>
      </c>
      <c r="K1048" s="72" t="s">
        <v>248</v>
      </c>
      <c r="L1048" s="72" t="s">
        <v>249</v>
      </c>
      <c r="M1048" s="66" t="s">
        <v>5593</v>
      </c>
      <c r="N1048" s="66" t="s">
        <v>5595</v>
      </c>
      <c r="O1048" s="73">
        <v>49</v>
      </c>
      <c r="P1048" s="74" t="e">
        <f>VLOOKUP(I1048,#REF!,2,0)</f>
        <v>#REF!</v>
      </c>
      <c r="Q1048" s="75"/>
      <c r="R1048" s="74"/>
      <c r="S1048" s="76"/>
      <c r="T1048" s="74"/>
      <c r="U1048" s="76"/>
      <c r="V1048" s="76"/>
      <c r="W1048" s="77">
        <v>737</v>
      </c>
      <c r="X1048" s="78"/>
      <c r="Y1048" s="79"/>
      <c r="Z1048" s="79"/>
      <c r="AA1048" s="79"/>
      <c r="AB1048" s="79"/>
      <c r="AC1048" s="79"/>
      <c r="AD1048" s="79"/>
      <c r="AE1048" s="79"/>
      <c r="AF1048" s="79"/>
    </row>
    <row r="1049" ht="61" spans="1:32">
      <c r="A1049" s="16" t="s">
        <v>4174</v>
      </c>
      <c r="B1049" s="17" t="s">
        <v>4175</v>
      </c>
      <c r="C1049" s="30" t="s">
        <v>563</v>
      </c>
      <c r="D1049" s="19" t="e">
        <f>VLOOKUP(C1049,#REF!,2,0)</f>
        <v>#REF!</v>
      </c>
      <c r="E1049" s="20" t="e">
        <f>VLOOKUP(D1049,数据集标准分类!E:F,2,0)</f>
        <v>#REF!</v>
      </c>
      <c r="F1049" s="21">
        <v>32</v>
      </c>
      <c r="G1049" s="22" t="s">
        <v>401</v>
      </c>
      <c r="H1049" s="22" t="s">
        <v>5681</v>
      </c>
      <c r="I1049" s="22" t="s">
        <v>5682</v>
      </c>
      <c r="J1049" s="22" t="s">
        <v>402</v>
      </c>
      <c r="K1049" s="22" t="s">
        <v>404</v>
      </c>
      <c r="L1049" s="22" t="s">
        <v>405</v>
      </c>
      <c r="M1049" s="16" t="s">
        <v>5593</v>
      </c>
      <c r="N1049" s="16" t="s">
        <v>5593</v>
      </c>
      <c r="O1049" s="23">
        <v>50</v>
      </c>
      <c r="P1049" s="24" t="e">
        <f>VLOOKUP(I1049,#REF!,2,0)</f>
        <v>#REF!</v>
      </c>
      <c r="Q1049" s="25"/>
      <c r="R1049" s="24"/>
      <c r="S1049" s="26"/>
      <c r="T1049" s="24"/>
      <c r="U1049" s="26" t="s">
        <v>5593</v>
      </c>
      <c r="V1049" s="26"/>
      <c r="W1049" s="27">
        <v>738</v>
      </c>
      <c r="X1049" s="28"/>
    </row>
    <row r="1050" ht="61" spans="1:32">
      <c r="A1050" s="16" t="s">
        <v>4174</v>
      </c>
      <c r="B1050" s="17" t="s">
        <v>4175</v>
      </c>
      <c r="C1050" s="30" t="s">
        <v>563</v>
      </c>
      <c r="D1050" s="19" t="e">
        <f>VLOOKUP(C1050,#REF!,2,0)</f>
        <v>#REF!</v>
      </c>
      <c r="E1050" s="20" t="e">
        <f>VLOOKUP(D1050,数据集标准分类!E:F,2,0)</f>
        <v>#REF!</v>
      </c>
      <c r="F1050" s="21">
        <v>32</v>
      </c>
      <c r="G1050" s="22" t="s">
        <v>406</v>
      </c>
      <c r="H1050" s="22" t="s">
        <v>5683</v>
      </c>
      <c r="I1050" s="22" t="s">
        <v>5684</v>
      </c>
      <c r="J1050" s="22" t="s">
        <v>407</v>
      </c>
      <c r="K1050" s="22" t="s">
        <v>409</v>
      </c>
      <c r="L1050" s="22" t="s">
        <v>410</v>
      </c>
      <c r="M1050" s="16" t="s">
        <v>5593</v>
      </c>
      <c r="N1050" s="16" t="s">
        <v>5593</v>
      </c>
      <c r="O1050" s="23">
        <v>51</v>
      </c>
      <c r="P1050" s="24" t="e">
        <f>VLOOKUP(I1050,#REF!,2,0)</f>
        <v>#REF!</v>
      </c>
      <c r="Q1050" s="25"/>
      <c r="R1050" s="24"/>
      <c r="S1050" s="26"/>
      <c r="T1050" s="24"/>
      <c r="U1050" s="26" t="s">
        <v>5593</v>
      </c>
      <c r="V1050" s="26"/>
      <c r="W1050" s="27">
        <v>739</v>
      </c>
      <c r="X1050" s="28"/>
    </row>
    <row r="1051" ht="31" spans="1:32">
      <c r="A1051" s="16" t="s">
        <v>4174</v>
      </c>
      <c r="B1051" s="17" t="s">
        <v>4175</v>
      </c>
      <c r="C1051" s="30" t="s">
        <v>563</v>
      </c>
      <c r="D1051" s="19" t="e">
        <f>VLOOKUP(C1051,#REF!,2,0)</f>
        <v>#REF!</v>
      </c>
      <c r="E1051" s="20" t="e">
        <f>VLOOKUP(D1051,数据集标准分类!E:F,2,0)</f>
        <v>#REF!</v>
      </c>
      <c r="F1051" s="21">
        <v>32</v>
      </c>
      <c r="G1051" s="22" t="s">
        <v>411</v>
      </c>
      <c r="H1051" s="22" t="s">
        <v>6026</v>
      </c>
      <c r="I1051" s="22" t="s">
        <v>414</v>
      </c>
      <c r="J1051" s="22" t="s">
        <v>412</v>
      </c>
      <c r="K1051" s="22" t="s">
        <v>414</v>
      </c>
      <c r="L1051" s="22" t="s">
        <v>415</v>
      </c>
      <c r="M1051" s="16" t="s">
        <v>5593</v>
      </c>
      <c r="N1051" s="16" t="s">
        <v>5595</v>
      </c>
      <c r="O1051" s="23">
        <v>52</v>
      </c>
      <c r="P1051" s="24" t="e">
        <f>VLOOKUP(I1051,#REF!,2,0)</f>
        <v>#REF!</v>
      </c>
      <c r="Q1051" s="25"/>
      <c r="R1051" s="24"/>
      <c r="S1051" s="26"/>
      <c r="T1051" s="24"/>
      <c r="U1051" s="26" t="s">
        <v>5593</v>
      </c>
      <c r="V1051" s="26"/>
      <c r="W1051" s="27">
        <v>740</v>
      </c>
      <c r="X1051" s="28"/>
    </row>
    <row r="1052" ht="31" spans="1:32">
      <c r="A1052" s="16" t="s">
        <v>4174</v>
      </c>
      <c r="B1052" s="17" t="s">
        <v>4175</v>
      </c>
      <c r="C1052" s="30" t="s">
        <v>563</v>
      </c>
      <c r="D1052" s="19" t="e">
        <f>VLOOKUP(C1052,#REF!,2,0)</f>
        <v>#REF!</v>
      </c>
      <c r="E1052" s="20" t="e">
        <f>VLOOKUP(D1052,数据集标准分类!E:F,2,0)</f>
        <v>#REF!</v>
      </c>
      <c r="F1052" s="21">
        <v>32</v>
      </c>
      <c r="G1052" s="22" t="s">
        <v>416</v>
      </c>
      <c r="H1052" s="22" t="s">
        <v>6027</v>
      </c>
      <c r="I1052" s="22" t="s">
        <v>419</v>
      </c>
      <c r="J1052" s="22" t="s">
        <v>417</v>
      </c>
      <c r="K1052" s="22" t="s">
        <v>419</v>
      </c>
      <c r="L1052" s="22" t="s">
        <v>420</v>
      </c>
      <c r="M1052" s="16" t="s">
        <v>5593</v>
      </c>
      <c r="N1052" s="16" t="s">
        <v>5595</v>
      </c>
      <c r="O1052" s="23">
        <v>53</v>
      </c>
      <c r="P1052" s="24" t="e">
        <f>VLOOKUP(I1052,#REF!,2,0)</f>
        <v>#REF!</v>
      </c>
      <c r="Q1052" s="25"/>
      <c r="R1052" s="24"/>
      <c r="S1052" s="26"/>
      <c r="T1052" s="24"/>
      <c r="U1052" s="26" t="s">
        <v>5593</v>
      </c>
      <c r="V1052" s="26"/>
      <c r="W1052" s="27">
        <v>741</v>
      </c>
      <c r="X1052" s="28"/>
    </row>
    <row r="1053" ht="46" spans="1:32">
      <c r="A1053" s="16" t="s">
        <v>4174</v>
      </c>
      <c r="B1053" s="17" t="s">
        <v>4175</v>
      </c>
      <c r="C1053" s="30" t="s">
        <v>563</v>
      </c>
      <c r="D1053" s="19" t="e">
        <f>VLOOKUP(C1053,#REF!,2,0)</f>
        <v>#REF!</v>
      </c>
      <c r="E1053" s="20" t="e">
        <f>VLOOKUP(D1053,数据集标准分类!E:F,2,0)</f>
        <v>#REF!</v>
      </c>
      <c r="F1053" s="21">
        <v>32</v>
      </c>
      <c r="G1053" s="22" t="s">
        <v>421</v>
      </c>
      <c r="H1053" s="22" t="s">
        <v>5685</v>
      </c>
      <c r="I1053" s="22" t="s">
        <v>424</v>
      </c>
      <c r="J1053" s="22" t="s">
        <v>422</v>
      </c>
      <c r="K1053" s="22" t="s">
        <v>424</v>
      </c>
      <c r="L1053" s="22" t="s">
        <v>425</v>
      </c>
      <c r="M1053" s="16" t="s">
        <v>5593</v>
      </c>
      <c r="N1053" s="16" t="s">
        <v>5595</v>
      </c>
      <c r="O1053" s="23">
        <v>54</v>
      </c>
      <c r="P1053" s="24" t="e">
        <f>VLOOKUP(I1053,#REF!,2,0)</f>
        <v>#REF!</v>
      </c>
      <c r="Q1053" s="25"/>
      <c r="R1053" s="24"/>
      <c r="S1053" s="26"/>
      <c r="T1053" s="24"/>
      <c r="U1053" s="26" t="s">
        <v>5593</v>
      </c>
      <c r="V1053" s="26"/>
      <c r="W1053" s="27">
        <v>742</v>
      </c>
      <c r="X1053" s="28"/>
    </row>
    <row r="1054" ht="46" spans="1:32">
      <c r="A1054" s="16" t="s">
        <v>4174</v>
      </c>
      <c r="B1054" s="17" t="s">
        <v>4175</v>
      </c>
      <c r="C1054" s="30" t="s">
        <v>563</v>
      </c>
      <c r="D1054" s="19" t="e">
        <f>VLOOKUP(C1054,#REF!,2,0)</f>
        <v>#REF!</v>
      </c>
      <c r="E1054" s="20" t="e">
        <f>VLOOKUP(D1054,数据集标准分类!E:F,2,0)</f>
        <v>#REF!</v>
      </c>
      <c r="F1054" s="21">
        <v>32</v>
      </c>
      <c r="G1054" s="22" t="s">
        <v>426</v>
      </c>
      <c r="H1054" s="22" t="s">
        <v>427</v>
      </c>
      <c r="I1054" s="22" t="s">
        <v>429</v>
      </c>
      <c r="J1054" s="22" t="s">
        <v>427</v>
      </c>
      <c r="K1054" s="22" t="s">
        <v>429</v>
      </c>
      <c r="L1054" s="22" t="s">
        <v>430</v>
      </c>
      <c r="M1054" s="16" t="s">
        <v>5595</v>
      </c>
      <c r="N1054" s="16" t="s">
        <v>5595</v>
      </c>
      <c r="O1054" s="23">
        <v>55</v>
      </c>
      <c r="P1054" s="24" t="e">
        <f>VLOOKUP(I1054,#REF!,2,0)</f>
        <v>#REF!</v>
      </c>
      <c r="Q1054" s="25"/>
      <c r="R1054" s="24"/>
      <c r="S1054" s="26"/>
      <c r="T1054" s="24"/>
      <c r="U1054" s="26" t="s">
        <v>5593</v>
      </c>
      <c r="V1054" s="26"/>
      <c r="W1054" s="27">
        <v>743</v>
      </c>
      <c r="X1054" s="28"/>
    </row>
    <row r="1055" ht="31" spans="1:32">
      <c r="A1055" s="16" t="s">
        <v>4174</v>
      </c>
      <c r="B1055" s="17" t="s">
        <v>4175</v>
      </c>
      <c r="C1055" s="30" t="s">
        <v>563</v>
      </c>
      <c r="D1055" s="19" t="e">
        <f>VLOOKUP(C1055,#REF!,2,0)</f>
        <v>#REF!</v>
      </c>
      <c r="E1055" s="20" t="e">
        <f>VLOOKUP(D1055,数据集标准分类!E:F,2,0)</f>
        <v>#REF!</v>
      </c>
      <c r="F1055" s="21">
        <v>32</v>
      </c>
      <c r="G1055" s="22" t="s">
        <v>355</v>
      </c>
      <c r="H1055" s="22" t="s">
        <v>356</v>
      </c>
      <c r="I1055" s="22" t="s">
        <v>358</v>
      </c>
      <c r="J1055" s="22" t="s">
        <v>356</v>
      </c>
      <c r="K1055" s="22" t="s">
        <v>358</v>
      </c>
      <c r="L1055" s="22" t="s">
        <v>359</v>
      </c>
      <c r="M1055" s="16" t="s">
        <v>5595</v>
      </c>
      <c r="N1055" s="16" t="s">
        <v>5595</v>
      </c>
      <c r="O1055" s="23">
        <v>56</v>
      </c>
      <c r="P1055" s="24" t="e">
        <f>VLOOKUP(I1055,#REF!,2,0)</f>
        <v>#REF!</v>
      </c>
      <c r="Q1055" s="25"/>
      <c r="R1055" s="24"/>
      <c r="S1055" s="26"/>
      <c r="T1055" s="24"/>
      <c r="U1055" s="26"/>
      <c r="V1055" s="26"/>
      <c r="W1055" s="27">
        <v>744</v>
      </c>
      <c r="X1055" s="28"/>
    </row>
    <row r="1056" ht="46" spans="1:32">
      <c r="A1056" s="16" t="s">
        <v>4174</v>
      </c>
      <c r="B1056" s="17" t="s">
        <v>4175</v>
      </c>
      <c r="C1056" s="30" t="s">
        <v>563</v>
      </c>
      <c r="D1056" s="19" t="e">
        <f>VLOOKUP(C1056,#REF!,2,0)</f>
        <v>#REF!</v>
      </c>
      <c r="E1056" s="20" t="e">
        <f>VLOOKUP(D1056,数据集标准分类!E:F,2,0)</f>
        <v>#REF!</v>
      </c>
      <c r="F1056" s="21">
        <v>32</v>
      </c>
      <c r="G1056" s="22" t="s">
        <v>513</v>
      </c>
      <c r="H1056" s="22" t="s">
        <v>6028</v>
      </c>
      <c r="I1056" s="22" t="s">
        <v>6029</v>
      </c>
      <c r="J1056" s="22" t="s">
        <v>514</v>
      </c>
      <c r="K1056" s="22" t="s">
        <v>516</v>
      </c>
      <c r="L1056" s="22" t="s">
        <v>517</v>
      </c>
      <c r="M1056" s="16" t="s">
        <v>5593</v>
      </c>
      <c r="N1056" s="16" t="s">
        <v>5593</v>
      </c>
      <c r="O1056" s="23">
        <v>57</v>
      </c>
      <c r="P1056" s="24" t="e">
        <f>VLOOKUP(I1056,#REF!,2,0)</f>
        <v>#REF!</v>
      </c>
      <c r="Q1056" s="25"/>
      <c r="R1056" s="24"/>
      <c r="S1056" s="26"/>
      <c r="T1056" s="24"/>
      <c r="U1056" s="26"/>
      <c r="V1056" s="26"/>
      <c r="W1056" s="27">
        <v>745</v>
      </c>
      <c r="X1056" s="28"/>
    </row>
    <row r="1057" ht="31" spans="1:32">
      <c r="A1057" s="16" t="s">
        <v>4174</v>
      </c>
      <c r="B1057" s="17" t="s">
        <v>4175</v>
      </c>
      <c r="C1057" s="30" t="s">
        <v>563</v>
      </c>
      <c r="D1057" s="19" t="e">
        <f>VLOOKUP(C1057,#REF!,2,0)</f>
        <v>#REF!</v>
      </c>
      <c r="E1057" s="20" t="e">
        <f>VLOOKUP(D1057,数据集标准分类!E:F,2,0)</f>
        <v>#REF!</v>
      </c>
      <c r="F1057" s="21">
        <v>32</v>
      </c>
      <c r="G1057" s="22" t="s">
        <v>518</v>
      </c>
      <c r="H1057" s="22" t="s">
        <v>6030</v>
      </c>
      <c r="I1057" s="22" t="s">
        <v>6031</v>
      </c>
      <c r="J1057" s="22" t="s">
        <v>519</v>
      </c>
      <c r="K1057" s="22" t="s">
        <v>521</v>
      </c>
      <c r="L1057" s="22" t="s">
        <v>522</v>
      </c>
      <c r="M1057" s="16" t="s">
        <v>5593</v>
      </c>
      <c r="N1057" s="16" t="s">
        <v>5593</v>
      </c>
      <c r="O1057" s="23">
        <v>58</v>
      </c>
      <c r="P1057" s="24" t="e">
        <f>VLOOKUP(I1057,#REF!,2,0)</f>
        <v>#REF!</v>
      </c>
      <c r="Q1057" s="25"/>
      <c r="R1057" s="24"/>
      <c r="S1057" s="26"/>
      <c r="T1057" s="24"/>
      <c r="U1057" s="26"/>
      <c r="V1057" s="26"/>
      <c r="W1057" s="27">
        <v>746</v>
      </c>
      <c r="X1057" s="28"/>
    </row>
    <row r="1058" ht="31" spans="1:32">
      <c r="A1058" s="16" t="s">
        <v>4174</v>
      </c>
      <c r="B1058" s="17" t="s">
        <v>4175</v>
      </c>
      <c r="C1058" s="30" t="s">
        <v>563</v>
      </c>
      <c r="D1058" s="19" t="e">
        <f>VLOOKUP(C1058,#REF!,2,0)</f>
        <v>#REF!</v>
      </c>
      <c r="E1058" s="20" t="e">
        <f>VLOOKUP(D1058,数据集标准分类!E:F,2,0)</f>
        <v>#REF!</v>
      </c>
      <c r="F1058" s="21">
        <v>32</v>
      </c>
      <c r="G1058" s="22" t="s">
        <v>523</v>
      </c>
      <c r="H1058" s="22" t="s">
        <v>6032</v>
      </c>
      <c r="I1058" s="22" t="s">
        <v>526</v>
      </c>
      <c r="J1058" s="22" t="s">
        <v>524</v>
      </c>
      <c r="K1058" s="22" t="s">
        <v>526</v>
      </c>
      <c r="L1058" s="22" t="s">
        <v>527</v>
      </c>
      <c r="M1058" s="16" t="s">
        <v>5593</v>
      </c>
      <c r="N1058" s="16" t="s">
        <v>5595</v>
      </c>
      <c r="O1058" s="23">
        <v>59</v>
      </c>
      <c r="P1058" s="24" t="e">
        <f>VLOOKUP(I1058,#REF!,2,0)</f>
        <v>#REF!</v>
      </c>
      <c r="Q1058" s="25"/>
      <c r="R1058" s="24"/>
      <c r="S1058" s="26"/>
      <c r="T1058" s="24"/>
      <c r="U1058" s="26"/>
      <c r="V1058" s="26"/>
      <c r="W1058" s="27">
        <v>747</v>
      </c>
      <c r="X1058" s="28"/>
    </row>
    <row r="1059" ht="31" spans="1:32">
      <c r="A1059" s="16" t="s">
        <v>4174</v>
      </c>
      <c r="B1059" s="17" t="s">
        <v>4175</v>
      </c>
      <c r="C1059" s="30" t="s">
        <v>563</v>
      </c>
      <c r="D1059" s="19" t="e">
        <f>VLOOKUP(C1059,#REF!,2,0)</f>
        <v>#REF!</v>
      </c>
      <c r="E1059" s="20" t="e">
        <f>VLOOKUP(D1059,数据集标准分类!E:F,2,0)</f>
        <v>#REF!</v>
      </c>
      <c r="F1059" s="21">
        <v>32</v>
      </c>
      <c r="G1059" s="22" t="s">
        <v>528</v>
      </c>
      <c r="H1059" s="22" t="s">
        <v>6033</v>
      </c>
      <c r="I1059" s="22" t="s">
        <v>531</v>
      </c>
      <c r="J1059" s="22" t="s">
        <v>529</v>
      </c>
      <c r="K1059" s="22" t="s">
        <v>531</v>
      </c>
      <c r="L1059" s="22" t="s">
        <v>532</v>
      </c>
      <c r="M1059" s="16" t="s">
        <v>5593</v>
      </c>
      <c r="N1059" s="16" t="s">
        <v>5595</v>
      </c>
      <c r="O1059" s="23">
        <v>60</v>
      </c>
      <c r="P1059" s="24" t="e">
        <f>VLOOKUP(I1059,#REF!,2,0)</f>
        <v>#REF!</v>
      </c>
      <c r="Q1059" s="25"/>
      <c r="R1059" s="24"/>
      <c r="S1059" s="26"/>
      <c r="T1059" s="24"/>
      <c r="U1059" s="26"/>
      <c r="V1059" s="26"/>
      <c r="W1059" s="27">
        <v>748</v>
      </c>
      <c r="X1059" s="28"/>
    </row>
    <row r="1060" ht="31" spans="1:32">
      <c r="A1060" s="16" t="s">
        <v>4174</v>
      </c>
      <c r="B1060" s="17" t="s">
        <v>4175</v>
      </c>
      <c r="C1060" s="30" t="s">
        <v>563</v>
      </c>
      <c r="D1060" s="19" t="e">
        <f>VLOOKUP(C1060,#REF!,2,0)</f>
        <v>#REF!</v>
      </c>
      <c r="E1060" s="20" t="e">
        <f>VLOOKUP(D1060,数据集标准分类!E:F,2,0)</f>
        <v>#REF!</v>
      </c>
      <c r="F1060" s="21">
        <v>32</v>
      </c>
      <c r="G1060" s="22" t="s">
        <v>533</v>
      </c>
      <c r="H1060" s="22" t="s">
        <v>6034</v>
      </c>
      <c r="I1060" s="22" t="s">
        <v>536</v>
      </c>
      <c r="J1060" s="22" t="s">
        <v>534</v>
      </c>
      <c r="K1060" s="22" t="s">
        <v>536</v>
      </c>
      <c r="L1060" s="22" t="s">
        <v>537</v>
      </c>
      <c r="M1060" s="16" t="s">
        <v>5593</v>
      </c>
      <c r="N1060" s="16" t="s">
        <v>5595</v>
      </c>
      <c r="O1060" s="23">
        <v>61</v>
      </c>
      <c r="P1060" s="24" t="e">
        <f>VLOOKUP(I1060,#REF!,2,0)</f>
        <v>#REF!</v>
      </c>
      <c r="Q1060" s="25"/>
      <c r="R1060" s="24"/>
      <c r="S1060" s="26"/>
      <c r="T1060" s="24"/>
      <c r="U1060" s="26"/>
      <c r="V1060" s="26"/>
      <c r="W1060" s="27">
        <v>749</v>
      </c>
      <c r="X1060" s="28"/>
    </row>
    <row r="1061" ht="31" spans="1:32">
      <c r="A1061" s="16" t="s">
        <v>4174</v>
      </c>
      <c r="B1061" s="17" t="s">
        <v>4175</v>
      </c>
      <c r="C1061" s="30" t="s">
        <v>563</v>
      </c>
      <c r="D1061" s="19" t="e">
        <f>VLOOKUP(C1061,#REF!,2,0)</f>
        <v>#REF!</v>
      </c>
      <c r="E1061" s="20" t="e">
        <f>VLOOKUP(D1061,数据集标准分类!E:F,2,0)</f>
        <v>#REF!</v>
      </c>
      <c r="F1061" s="21">
        <v>32</v>
      </c>
      <c r="G1061" s="22" t="s">
        <v>538</v>
      </c>
      <c r="H1061" s="22" t="s">
        <v>6035</v>
      </c>
      <c r="I1061" s="22" t="s">
        <v>541</v>
      </c>
      <c r="J1061" s="22" t="s">
        <v>539</v>
      </c>
      <c r="K1061" s="22" t="s">
        <v>541</v>
      </c>
      <c r="L1061" s="22" t="s">
        <v>542</v>
      </c>
      <c r="M1061" s="16" t="s">
        <v>5593</v>
      </c>
      <c r="N1061" s="16" t="s">
        <v>5595</v>
      </c>
      <c r="O1061" s="23">
        <v>62</v>
      </c>
      <c r="P1061" s="24" t="e">
        <f>VLOOKUP(I1061,#REF!,2,0)</f>
        <v>#REF!</v>
      </c>
      <c r="Q1061" s="25"/>
      <c r="R1061" s="24"/>
      <c r="S1061" s="26"/>
      <c r="T1061" s="24"/>
      <c r="U1061" s="26"/>
      <c r="V1061" s="26"/>
      <c r="W1061" s="27">
        <v>750</v>
      </c>
      <c r="X1061" s="28"/>
    </row>
    <row r="1062" ht="31" spans="1:32">
      <c r="A1062" s="16" t="s">
        <v>4174</v>
      </c>
      <c r="B1062" s="17" t="s">
        <v>4175</v>
      </c>
      <c r="C1062" s="30" t="s">
        <v>563</v>
      </c>
      <c r="D1062" s="19" t="e">
        <f>VLOOKUP(C1062,#REF!,2,0)</f>
        <v>#REF!</v>
      </c>
      <c r="E1062" s="20" t="e">
        <f>VLOOKUP(D1062,数据集标准分类!E:F,2,0)</f>
        <v>#REF!</v>
      </c>
      <c r="F1062" s="21">
        <v>32</v>
      </c>
      <c r="G1062" s="22" t="s">
        <v>543</v>
      </c>
      <c r="H1062" s="22" t="s">
        <v>6036</v>
      </c>
      <c r="I1062" s="22" t="s">
        <v>546</v>
      </c>
      <c r="J1062" s="22" t="s">
        <v>544</v>
      </c>
      <c r="K1062" s="22" t="s">
        <v>546</v>
      </c>
      <c r="L1062" s="22" t="s">
        <v>547</v>
      </c>
      <c r="M1062" s="16" t="s">
        <v>5593</v>
      </c>
      <c r="N1062" s="16" t="s">
        <v>5595</v>
      </c>
      <c r="O1062" s="23">
        <v>63</v>
      </c>
      <c r="P1062" s="24" t="e">
        <f>VLOOKUP(I1062,#REF!,2,0)</f>
        <v>#REF!</v>
      </c>
      <c r="Q1062" s="25"/>
      <c r="R1062" s="24"/>
      <c r="S1062" s="26"/>
      <c r="T1062" s="24"/>
      <c r="U1062" s="26"/>
      <c r="V1062" s="26"/>
      <c r="W1062" s="27">
        <v>751</v>
      </c>
      <c r="X1062" s="28"/>
    </row>
    <row r="1063" ht="31" spans="1:32">
      <c r="A1063" s="16" t="s">
        <v>4174</v>
      </c>
      <c r="B1063" s="17" t="s">
        <v>4175</v>
      </c>
      <c r="C1063" s="30" t="s">
        <v>563</v>
      </c>
      <c r="D1063" s="19" t="e">
        <f>VLOOKUP(C1063,#REF!,2,0)</f>
        <v>#REF!</v>
      </c>
      <c r="E1063" s="20" t="e">
        <f>VLOOKUP(D1063,数据集标准分类!E:F,2,0)</f>
        <v>#REF!</v>
      </c>
      <c r="F1063" s="21">
        <v>32</v>
      </c>
      <c r="G1063" s="22" t="s">
        <v>548</v>
      </c>
      <c r="H1063" s="22" t="s">
        <v>6037</v>
      </c>
      <c r="I1063" s="22" t="s">
        <v>551</v>
      </c>
      <c r="J1063" s="22" t="s">
        <v>549</v>
      </c>
      <c r="K1063" s="22" t="s">
        <v>551</v>
      </c>
      <c r="L1063" s="22" t="s">
        <v>552</v>
      </c>
      <c r="M1063" s="16" t="s">
        <v>5593</v>
      </c>
      <c r="N1063" s="16" t="s">
        <v>5595</v>
      </c>
      <c r="O1063" s="23">
        <v>64</v>
      </c>
      <c r="P1063" s="24" t="e">
        <f>VLOOKUP(I1063,#REF!,2,0)</f>
        <v>#REF!</v>
      </c>
      <c r="Q1063" s="25"/>
      <c r="R1063" s="24"/>
      <c r="S1063" s="26"/>
      <c r="T1063" s="24"/>
      <c r="U1063" s="26"/>
      <c r="V1063" s="26"/>
      <c r="W1063" s="27">
        <v>752</v>
      </c>
      <c r="X1063" s="28"/>
    </row>
    <row r="1064" ht="60" customHeight="1" spans="1:32">
      <c r="A1064" s="16" t="s">
        <v>4174</v>
      </c>
      <c r="B1064" s="17" t="s">
        <v>4175</v>
      </c>
      <c r="C1064" s="30" t="s">
        <v>563</v>
      </c>
      <c r="D1064" s="19" t="e">
        <f>VLOOKUP(C1064,#REF!,2,0)</f>
        <v>#REF!</v>
      </c>
      <c r="E1064" s="20" t="e">
        <f>VLOOKUP(D1064,数据集标准分类!E:F,2,0)</f>
        <v>#REF!</v>
      </c>
      <c r="F1064" s="21">
        <v>32</v>
      </c>
      <c r="G1064" s="22" t="s">
        <v>553</v>
      </c>
      <c r="H1064" s="22" t="s">
        <v>554</v>
      </c>
      <c r="I1064" s="22" t="s">
        <v>556</v>
      </c>
      <c r="J1064" s="22" t="s">
        <v>554</v>
      </c>
      <c r="K1064" s="22" t="s">
        <v>556</v>
      </c>
      <c r="L1064" s="22" t="s">
        <v>557</v>
      </c>
      <c r="M1064" s="16" t="s">
        <v>5595</v>
      </c>
      <c r="N1064" s="16" t="s">
        <v>5595</v>
      </c>
      <c r="O1064" s="23">
        <v>65</v>
      </c>
      <c r="P1064" s="24" t="e">
        <f>VLOOKUP(I1064,#REF!,2,0)</f>
        <v>#REF!</v>
      </c>
      <c r="Q1064" s="25"/>
      <c r="R1064" s="24"/>
      <c r="S1064" s="26"/>
      <c r="T1064" s="24"/>
      <c r="U1064" s="26"/>
      <c r="V1064" s="26"/>
      <c r="W1064" s="27">
        <v>753</v>
      </c>
      <c r="X1064" s="28"/>
    </row>
    <row r="1065" ht="92" spans="1:32">
      <c r="A1065" s="16" t="s">
        <v>4174</v>
      </c>
      <c r="B1065" s="17" t="s">
        <v>4175</v>
      </c>
      <c r="C1065" s="30" t="s">
        <v>563</v>
      </c>
      <c r="D1065" s="19" t="e">
        <f>VLOOKUP(C1065,#REF!,2,0)</f>
        <v>#REF!</v>
      </c>
      <c r="E1065" s="20" t="e">
        <f>VLOOKUP(D1065,数据集标准分类!E:F,2,0)</f>
        <v>#REF!</v>
      </c>
      <c r="F1065" s="21">
        <v>32</v>
      </c>
      <c r="G1065" s="22" t="s">
        <v>558</v>
      </c>
      <c r="H1065" s="22" t="s">
        <v>6038</v>
      </c>
      <c r="I1065" s="22" t="s">
        <v>561</v>
      </c>
      <c r="J1065" s="22" t="s">
        <v>559</v>
      </c>
      <c r="K1065" s="22" t="s">
        <v>561</v>
      </c>
      <c r="L1065" s="22" t="s">
        <v>562</v>
      </c>
      <c r="M1065" s="16" t="s">
        <v>5593</v>
      </c>
      <c r="N1065" s="16" t="s">
        <v>5595</v>
      </c>
      <c r="O1065" s="23">
        <v>66</v>
      </c>
      <c r="P1065" s="24" t="e">
        <f>VLOOKUP(I1065,#REF!,2,0)</f>
        <v>#REF!</v>
      </c>
      <c r="Q1065" s="25"/>
      <c r="R1065" s="24"/>
      <c r="S1065" s="26"/>
      <c r="T1065" s="24"/>
      <c r="U1065" s="26"/>
      <c r="V1065" s="26"/>
      <c r="W1065" s="27">
        <v>754</v>
      </c>
      <c r="X1065" s="28"/>
    </row>
    <row r="1066" ht="46" spans="1:32">
      <c r="A1066" s="16" t="s">
        <v>4174</v>
      </c>
      <c r="B1066" s="17" t="s">
        <v>4175</v>
      </c>
      <c r="C1066" s="30" t="s">
        <v>662</v>
      </c>
      <c r="D1066" s="19" t="e">
        <f>VLOOKUP(C1066,#REF!,2,0)</f>
        <v>#REF!</v>
      </c>
      <c r="E1066" s="20" t="e">
        <f>VLOOKUP(D1066,数据集标准分类!E:F,2,0)</f>
        <v>#REF!</v>
      </c>
      <c r="F1066" s="21">
        <v>33</v>
      </c>
      <c r="G1066" s="22" t="s">
        <v>152</v>
      </c>
      <c r="H1066" s="22" t="s">
        <v>5905</v>
      </c>
      <c r="I1066" s="37" t="s">
        <v>5906</v>
      </c>
      <c r="J1066" s="22" t="s">
        <v>153</v>
      </c>
      <c r="K1066" s="22" t="s">
        <v>155</v>
      </c>
      <c r="L1066" s="22" t="s">
        <v>156</v>
      </c>
      <c r="M1066" s="16" t="s">
        <v>5593</v>
      </c>
      <c r="N1066" s="16" t="s">
        <v>5593</v>
      </c>
      <c r="O1066" s="23">
        <v>1</v>
      </c>
      <c r="P1066" s="24" t="e">
        <f>VLOOKUP(I1066,#REF!,2,0)</f>
        <v>#REF!</v>
      </c>
      <c r="Q1066" s="25"/>
      <c r="R1066" s="24"/>
      <c r="S1066" s="26"/>
      <c r="T1066" s="24"/>
      <c r="U1066" s="26" t="s">
        <v>5593</v>
      </c>
      <c r="V1066" s="26"/>
      <c r="W1066" s="27">
        <v>755</v>
      </c>
      <c r="X1066" s="28"/>
    </row>
    <row r="1067" ht="61" spans="1:32">
      <c r="A1067" s="16" t="s">
        <v>4174</v>
      </c>
      <c r="B1067" s="17" t="s">
        <v>4175</v>
      </c>
      <c r="C1067" s="30" t="s">
        <v>662</v>
      </c>
      <c r="D1067" s="19" t="e">
        <f>VLOOKUP(C1067,#REF!,2,0)</f>
        <v>#REF!</v>
      </c>
      <c r="E1067" s="20" t="e">
        <f>VLOOKUP(D1067,数据集标准分类!E:F,2,0)</f>
        <v>#REF!</v>
      </c>
      <c r="F1067" s="21">
        <v>33</v>
      </c>
      <c r="G1067" s="22" t="s">
        <v>663</v>
      </c>
      <c r="H1067" s="22" t="s">
        <v>664</v>
      </c>
      <c r="I1067" s="37" t="s">
        <v>666</v>
      </c>
      <c r="J1067" s="22" t="s">
        <v>664</v>
      </c>
      <c r="K1067" s="22" t="s">
        <v>666</v>
      </c>
      <c r="L1067" s="22" t="s">
        <v>667</v>
      </c>
      <c r="M1067" s="16" t="s">
        <v>5595</v>
      </c>
      <c r="N1067" s="16" t="s">
        <v>5595</v>
      </c>
      <c r="O1067" s="23">
        <v>2</v>
      </c>
      <c r="P1067" s="24" t="e">
        <f>VLOOKUP(I1067,#REF!,2,0)</f>
        <v>#REF!</v>
      </c>
      <c r="Q1067" s="25"/>
      <c r="R1067" s="24"/>
      <c r="S1067" s="26"/>
      <c r="T1067" s="24"/>
      <c r="U1067" s="26"/>
      <c r="V1067" s="26"/>
      <c r="W1067" s="27">
        <v>756</v>
      </c>
      <c r="X1067" s="28"/>
    </row>
    <row r="1068" ht="31" spans="1:32">
      <c r="A1068" s="16" t="s">
        <v>4174</v>
      </c>
      <c r="B1068" s="17" t="s">
        <v>4175</v>
      </c>
      <c r="C1068" s="30" t="s">
        <v>662</v>
      </c>
      <c r="D1068" s="19" t="e">
        <f>VLOOKUP(C1068,#REF!,2,0)</f>
        <v>#REF!</v>
      </c>
      <c r="E1068" s="20" t="e">
        <f>VLOOKUP(D1068,数据集标准分类!E:F,2,0)</f>
        <v>#REF!</v>
      </c>
      <c r="F1068" s="21">
        <v>33</v>
      </c>
      <c r="G1068" s="22" t="s">
        <v>668</v>
      </c>
      <c r="H1068" s="22" t="s">
        <v>5598</v>
      </c>
      <c r="I1068" s="37" t="s">
        <v>671</v>
      </c>
      <c r="J1068" s="22" t="s">
        <v>669</v>
      </c>
      <c r="K1068" s="22" t="s">
        <v>671</v>
      </c>
      <c r="L1068" s="22" t="s">
        <v>672</v>
      </c>
      <c r="M1068" s="16" t="s">
        <v>5593</v>
      </c>
      <c r="N1068" s="16" t="s">
        <v>5595</v>
      </c>
      <c r="O1068" s="23">
        <v>3</v>
      </c>
      <c r="P1068" s="24" t="e">
        <f>VLOOKUP(I1068,#REF!,2,0)</f>
        <v>#REF!</v>
      </c>
      <c r="Q1068" s="25"/>
      <c r="R1068" s="24"/>
      <c r="S1068" s="26"/>
      <c r="T1068" s="24"/>
      <c r="U1068" s="26"/>
      <c r="V1068" s="26"/>
      <c r="W1068" s="27">
        <v>757</v>
      </c>
      <c r="X1068" s="28"/>
    </row>
    <row r="1069" ht="31" spans="1:32">
      <c r="A1069" s="16" t="s">
        <v>4174</v>
      </c>
      <c r="B1069" s="17" t="s">
        <v>4175</v>
      </c>
      <c r="C1069" s="30" t="s">
        <v>662</v>
      </c>
      <c r="D1069" s="19" t="e">
        <f>VLOOKUP(C1069,#REF!,2,0)</f>
        <v>#REF!</v>
      </c>
      <c r="E1069" s="20" t="e">
        <f>VLOOKUP(D1069,数据集标准分类!E:F,2,0)</f>
        <v>#REF!</v>
      </c>
      <c r="F1069" s="21">
        <v>33</v>
      </c>
      <c r="G1069" s="22" t="s">
        <v>673</v>
      </c>
      <c r="H1069" s="22" t="s">
        <v>5934</v>
      </c>
      <c r="I1069" s="37" t="s">
        <v>5935</v>
      </c>
      <c r="J1069" s="22" t="s">
        <v>674</v>
      </c>
      <c r="K1069" s="22" t="s">
        <v>676</v>
      </c>
      <c r="L1069" s="22" t="s">
        <v>677</v>
      </c>
      <c r="M1069" s="16" t="s">
        <v>5593</v>
      </c>
      <c r="N1069" s="16" t="s">
        <v>5593</v>
      </c>
      <c r="O1069" s="23">
        <v>4</v>
      </c>
      <c r="P1069" s="24" t="e">
        <f>VLOOKUP(I1069,#REF!,2,0)</f>
        <v>#REF!</v>
      </c>
      <c r="Q1069" s="25"/>
      <c r="R1069" s="24"/>
      <c r="S1069" s="26"/>
      <c r="T1069" s="24"/>
      <c r="U1069" s="26"/>
      <c r="V1069" s="26"/>
      <c r="W1069" s="27">
        <v>758</v>
      </c>
      <c r="X1069" s="28"/>
    </row>
    <row r="1070" ht="31" spans="1:32">
      <c r="A1070" s="31" t="s">
        <v>4174</v>
      </c>
      <c r="B1070" s="32" t="s">
        <v>4175</v>
      </c>
      <c r="C1070" s="33" t="s">
        <v>662</v>
      </c>
      <c r="D1070" s="34" t="e">
        <f>VLOOKUP(C1070,#REF!,2,0)</f>
        <v>#REF!</v>
      </c>
      <c r="E1070" s="20" t="e">
        <f>VLOOKUP(D1070,数据集标准分类!E:F,2,0)</f>
        <v>#REF!</v>
      </c>
      <c r="F1070" s="36">
        <v>33</v>
      </c>
      <c r="G1070" s="37" t="s">
        <v>87</v>
      </c>
      <c r="H1070" s="37" t="s">
        <v>5936</v>
      </c>
      <c r="I1070" s="37" t="s">
        <v>90</v>
      </c>
      <c r="J1070" s="37" t="s">
        <v>88</v>
      </c>
      <c r="K1070" s="37" t="s">
        <v>90</v>
      </c>
      <c r="L1070" s="37" t="s">
        <v>91</v>
      </c>
      <c r="M1070" s="31" t="s">
        <v>5593</v>
      </c>
      <c r="N1070" s="31" t="s">
        <v>5595</v>
      </c>
      <c r="O1070" s="38">
        <v>5</v>
      </c>
      <c r="P1070" s="39" t="e">
        <f>VLOOKUP(I1070,#REF!,2,0)</f>
        <v>#REF!</v>
      </c>
      <c r="Q1070" s="207"/>
      <c r="R1070" s="39"/>
      <c r="S1070" s="208"/>
      <c r="T1070" s="39"/>
      <c r="U1070" s="208"/>
      <c r="V1070" s="41"/>
      <c r="W1070" s="42">
        <v>759</v>
      </c>
      <c r="X1070" s="43"/>
      <c r="Y1070" s="44"/>
      <c r="Z1070" s="44"/>
      <c r="AA1070" s="44"/>
      <c r="AB1070" s="44"/>
      <c r="AC1070" s="44"/>
      <c r="AD1070" s="44"/>
      <c r="AE1070" s="44"/>
      <c r="AF1070" s="44"/>
    </row>
    <row r="1071" ht="31" spans="1:32">
      <c r="A1071" s="31" t="s">
        <v>4174</v>
      </c>
      <c r="B1071" s="32" t="s">
        <v>4175</v>
      </c>
      <c r="C1071" s="33" t="s">
        <v>662</v>
      </c>
      <c r="D1071" s="34" t="e">
        <f>VLOOKUP(C1071,#REF!,2,0)</f>
        <v>#REF!</v>
      </c>
      <c r="E1071" s="20" t="e">
        <f>VLOOKUP(D1071,数据集标准分类!E:F,2,0)</f>
        <v>#REF!</v>
      </c>
      <c r="F1071" s="36">
        <v>33</v>
      </c>
      <c r="G1071" s="37" t="s">
        <v>678</v>
      </c>
      <c r="H1071" s="37" t="s">
        <v>5937</v>
      </c>
      <c r="I1071" s="37" t="s">
        <v>5938</v>
      </c>
      <c r="J1071" s="37" t="s">
        <v>679</v>
      </c>
      <c r="K1071" s="37" t="s">
        <v>681</v>
      </c>
      <c r="L1071" s="37" t="s">
        <v>682</v>
      </c>
      <c r="M1071" s="31" t="s">
        <v>5593</v>
      </c>
      <c r="N1071" s="31" t="s">
        <v>5593</v>
      </c>
      <c r="O1071" s="38">
        <v>6</v>
      </c>
      <c r="P1071" s="39" t="e">
        <f>VLOOKUP(I1071,#REF!,2,0)</f>
        <v>#REF!</v>
      </c>
      <c r="Q1071" s="207"/>
      <c r="R1071" s="39"/>
      <c r="S1071" s="208"/>
      <c r="T1071" s="39"/>
      <c r="U1071" s="208"/>
      <c r="V1071" s="41"/>
      <c r="W1071" s="42">
        <v>760</v>
      </c>
      <c r="X1071" s="43"/>
      <c r="Y1071" s="44"/>
      <c r="Z1071" s="44"/>
      <c r="AA1071" s="44"/>
      <c r="AB1071" s="44"/>
      <c r="AC1071" s="44"/>
      <c r="AD1071" s="44"/>
      <c r="AE1071" s="44"/>
      <c r="AF1071" s="44"/>
    </row>
    <row r="1072" ht="46" spans="1:32">
      <c r="A1072" s="31" t="s">
        <v>4174</v>
      </c>
      <c r="B1072" s="32" t="s">
        <v>4175</v>
      </c>
      <c r="C1072" s="33" t="s">
        <v>662</v>
      </c>
      <c r="D1072" s="34" t="e">
        <f>VLOOKUP(C1072,#REF!,2,0)</f>
        <v>#REF!</v>
      </c>
      <c r="E1072" s="20" t="e">
        <f>VLOOKUP(D1072,数据集标准分类!E:F,2,0)</f>
        <v>#REF!</v>
      </c>
      <c r="F1072" s="36">
        <v>33</v>
      </c>
      <c r="G1072" s="37" t="s">
        <v>92</v>
      </c>
      <c r="H1072" s="37" t="s">
        <v>5939</v>
      </c>
      <c r="I1072" s="37" t="s">
        <v>95</v>
      </c>
      <c r="J1072" s="37" t="s">
        <v>93</v>
      </c>
      <c r="K1072" s="37" t="s">
        <v>95</v>
      </c>
      <c r="L1072" s="37" t="s">
        <v>96</v>
      </c>
      <c r="M1072" s="31" t="s">
        <v>5593</v>
      </c>
      <c r="N1072" s="31" t="s">
        <v>5595</v>
      </c>
      <c r="O1072" s="38">
        <v>7</v>
      </c>
      <c r="P1072" s="39" t="e">
        <f>VLOOKUP(I1072,#REF!,2,0)</f>
        <v>#REF!</v>
      </c>
      <c r="Q1072" s="207"/>
      <c r="R1072" s="39"/>
      <c r="S1072" s="208"/>
      <c r="T1072" s="39"/>
      <c r="U1072" s="208"/>
      <c r="V1072" s="41"/>
      <c r="W1072" s="42">
        <v>761</v>
      </c>
      <c r="X1072" s="43"/>
      <c r="Y1072" s="44"/>
      <c r="Z1072" s="44"/>
      <c r="AA1072" s="44"/>
      <c r="AB1072" s="44"/>
      <c r="AC1072" s="44"/>
      <c r="AD1072" s="44"/>
      <c r="AE1072" s="44"/>
      <c r="AF1072" s="44"/>
    </row>
    <row r="1073" ht="31" spans="1:32">
      <c r="A1073" s="31" t="s">
        <v>4174</v>
      </c>
      <c r="B1073" s="32" t="s">
        <v>4175</v>
      </c>
      <c r="C1073" s="33" t="s">
        <v>662</v>
      </c>
      <c r="D1073" s="34" t="e">
        <f>VLOOKUP(C1073,#REF!,2,0)</f>
        <v>#REF!</v>
      </c>
      <c r="E1073" s="20" t="e">
        <f>VLOOKUP(D1073,数据集标准分类!E:F,2,0)</f>
        <v>#REF!</v>
      </c>
      <c r="F1073" s="36">
        <v>33</v>
      </c>
      <c r="G1073" s="37" t="s">
        <v>107</v>
      </c>
      <c r="H1073" s="37" t="s">
        <v>5940</v>
      </c>
      <c r="I1073" s="37" t="s">
        <v>110</v>
      </c>
      <c r="J1073" s="37" t="s">
        <v>108</v>
      </c>
      <c r="K1073" s="37" t="s">
        <v>110</v>
      </c>
      <c r="L1073" s="37" t="s">
        <v>101</v>
      </c>
      <c r="M1073" s="31" t="s">
        <v>5593</v>
      </c>
      <c r="N1073" s="31" t="s">
        <v>5595</v>
      </c>
      <c r="O1073" s="38">
        <v>8</v>
      </c>
      <c r="P1073" s="39" t="e">
        <f>VLOOKUP(I1073,#REF!,2,0)</f>
        <v>#REF!</v>
      </c>
      <c r="Q1073" s="207"/>
      <c r="R1073" s="39"/>
      <c r="S1073" s="208"/>
      <c r="T1073" s="39"/>
      <c r="U1073" s="208"/>
      <c r="V1073" s="41"/>
      <c r="W1073" s="42">
        <v>762</v>
      </c>
      <c r="X1073" s="43"/>
      <c r="Y1073" s="44"/>
      <c r="Z1073" s="44"/>
      <c r="AA1073" s="44"/>
      <c r="AB1073" s="44"/>
      <c r="AC1073" s="44"/>
      <c r="AD1073" s="44"/>
      <c r="AE1073" s="44"/>
      <c r="AF1073" s="44"/>
    </row>
    <row r="1074" ht="31" spans="1:32">
      <c r="A1074" s="31" t="s">
        <v>4174</v>
      </c>
      <c r="B1074" s="32" t="s">
        <v>4175</v>
      </c>
      <c r="C1074" s="33" t="s">
        <v>662</v>
      </c>
      <c r="D1074" s="34" t="e">
        <f>VLOOKUP(C1074,#REF!,2,0)</f>
        <v>#REF!</v>
      </c>
      <c r="E1074" s="20" t="e">
        <f>VLOOKUP(D1074,数据集标准分类!E:F,2,0)</f>
        <v>#REF!</v>
      </c>
      <c r="F1074" s="36">
        <v>33</v>
      </c>
      <c r="G1074" s="37" t="s">
        <v>97</v>
      </c>
      <c r="H1074" s="37" t="s">
        <v>5755</v>
      </c>
      <c r="I1074" s="37" t="s">
        <v>100</v>
      </c>
      <c r="J1074" s="37" t="s">
        <v>98</v>
      </c>
      <c r="K1074" s="37" t="s">
        <v>100</v>
      </c>
      <c r="L1074" s="37" t="s">
        <v>106</v>
      </c>
      <c r="M1074" s="31" t="s">
        <v>5593</v>
      </c>
      <c r="N1074" s="31" t="s">
        <v>5595</v>
      </c>
      <c r="O1074" s="38">
        <v>9</v>
      </c>
      <c r="P1074" s="39" t="e">
        <f>VLOOKUP(I1074,#REF!,2,0)</f>
        <v>#REF!</v>
      </c>
      <c r="Q1074" s="207"/>
      <c r="R1074" s="39"/>
      <c r="S1074" s="208"/>
      <c r="T1074" s="39"/>
      <c r="U1074" s="208"/>
      <c r="V1074" s="41"/>
      <c r="W1074" s="42">
        <v>763</v>
      </c>
      <c r="X1074" s="43"/>
      <c r="Y1074" s="44"/>
      <c r="Z1074" s="44"/>
      <c r="AA1074" s="44"/>
      <c r="AB1074" s="44"/>
      <c r="AC1074" s="44"/>
      <c r="AD1074" s="44"/>
      <c r="AE1074" s="44"/>
      <c r="AF1074" s="44"/>
    </row>
    <row r="1075" ht="31" spans="1:32">
      <c r="A1075" s="31" t="s">
        <v>4174</v>
      </c>
      <c r="B1075" s="32" t="s">
        <v>4175</v>
      </c>
      <c r="C1075" s="33" t="s">
        <v>662</v>
      </c>
      <c r="D1075" s="34" t="e">
        <f>VLOOKUP(C1075,#REF!,2,0)</f>
        <v>#REF!</v>
      </c>
      <c r="E1075" s="20" t="e">
        <f>VLOOKUP(D1075,数据集标准分类!E:F,2,0)</f>
        <v>#REF!</v>
      </c>
      <c r="F1075" s="36">
        <v>33</v>
      </c>
      <c r="G1075" s="37" t="s">
        <v>112</v>
      </c>
      <c r="H1075" s="37" t="s">
        <v>5941</v>
      </c>
      <c r="I1075" s="37" t="s">
        <v>115</v>
      </c>
      <c r="J1075" s="37" t="s">
        <v>113</v>
      </c>
      <c r="K1075" s="37" t="s">
        <v>115</v>
      </c>
      <c r="L1075" s="37" t="s">
        <v>111</v>
      </c>
      <c r="M1075" s="31" t="s">
        <v>5593</v>
      </c>
      <c r="N1075" s="31" t="s">
        <v>5595</v>
      </c>
      <c r="O1075" s="38">
        <v>10</v>
      </c>
      <c r="P1075" s="39" t="e">
        <f>VLOOKUP(I1075,#REF!,2,0)</f>
        <v>#REF!</v>
      </c>
      <c r="Q1075" s="207"/>
      <c r="R1075" s="39"/>
      <c r="S1075" s="208"/>
      <c r="T1075" s="39"/>
      <c r="U1075" s="208"/>
      <c r="V1075" s="41"/>
      <c r="W1075" s="42">
        <v>764</v>
      </c>
      <c r="X1075" s="43"/>
      <c r="Y1075" s="44"/>
      <c r="Z1075" s="44"/>
      <c r="AA1075" s="44"/>
      <c r="AB1075" s="44"/>
      <c r="AC1075" s="44"/>
      <c r="AD1075" s="44"/>
      <c r="AE1075" s="44"/>
      <c r="AF1075" s="44"/>
    </row>
    <row r="1076" ht="31" spans="1:32">
      <c r="A1076" s="16" t="s">
        <v>4174</v>
      </c>
      <c r="B1076" s="17" t="s">
        <v>4175</v>
      </c>
      <c r="C1076" s="30" t="s">
        <v>662</v>
      </c>
      <c r="D1076" s="19" t="e">
        <f>VLOOKUP(C1076,#REF!,2,0)</f>
        <v>#REF!</v>
      </c>
      <c r="E1076" s="20" t="e">
        <f>VLOOKUP(D1076,数据集标准分类!E:F,2,0)</f>
        <v>#REF!</v>
      </c>
      <c r="F1076" s="21">
        <v>33</v>
      </c>
      <c r="G1076" s="22" t="s">
        <v>508</v>
      </c>
      <c r="H1076" s="22" t="s">
        <v>5594</v>
      </c>
      <c r="I1076" s="37" t="s">
        <v>511</v>
      </c>
      <c r="J1076" s="22" t="s">
        <v>509</v>
      </c>
      <c r="K1076" s="22" t="s">
        <v>511</v>
      </c>
      <c r="L1076" s="22" t="s">
        <v>116</v>
      </c>
      <c r="M1076" s="16" t="s">
        <v>5593</v>
      </c>
      <c r="N1076" s="16" t="s">
        <v>5595</v>
      </c>
      <c r="O1076" s="23">
        <v>11</v>
      </c>
      <c r="P1076" s="24" t="e">
        <f>VLOOKUP(I1076,#REF!,2,0)</f>
        <v>#REF!</v>
      </c>
      <c r="Q1076" s="25"/>
      <c r="R1076" s="24"/>
      <c r="S1076" s="26"/>
      <c r="T1076" s="24"/>
      <c r="U1076" s="26"/>
      <c r="V1076" s="26"/>
      <c r="W1076" s="27">
        <v>765</v>
      </c>
      <c r="X1076" s="28"/>
    </row>
    <row r="1077" ht="76" spans="1:32">
      <c r="A1077" s="16" t="s">
        <v>4174</v>
      </c>
      <c r="B1077" s="17" t="s">
        <v>4175</v>
      </c>
      <c r="C1077" s="30" t="s">
        <v>662</v>
      </c>
      <c r="D1077" s="19" t="e">
        <f>VLOOKUP(C1077,#REF!,2,0)</f>
        <v>#REF!</v>
      </c>
      <c r="E1077" s="20" t="e">
        <f>VLOOKUP(D1077,数据集标准分类!E:F,2,0)</f>
        <v>#REF!</v>
      </c>
      <c r="F1077" s="21">
        <v>33</v>
      </c>
      <c r="G1077" s="22" t="s">
        <v>117</v>
      </c>
      <c r="H1077" s="22" t="s">
        <v>6060</v>
      </c>
      <c r="I1077" s="37" t="s">
        <v>120</v>
      </c>
      <c r="J1077" s="22" t="s">
        <v>118</v>
      </c>
      <c r="K1077" s="22" t="s">
        <v>120</v>
      </c>
      <c r="L1077" s="22" t="s">
        <v>683</v>
      </c>
      <c r="M1077" s="16" t="s">
        <v>5593</v>
      </c>
      <c r="N1077" s="16" t="s">
        <v>5595</v>
      </c>
      <c r="O1077" s="23">
        <v>12</v>
      </c>
      <c r="P1077" s="24" t="e">
        <f>VLOOKUP(I1077,#REF!,2,0)</f>
        <v>#REF!</v>
      </c>
      <c r="Q1077" s="25"/>
      <c r="R1077" s="24"/>
      <c r="S1077" s="26"/>
      <c r="T1077" s="24"/>
      <c r="U1077" s="26"/>
      <c r="V1077" s="26"/>
      <c r="W1077" s="27">
        <v>766</v>
      </c>
      <c r="X1077" s="28"/>
    </row>
    <row r="1078" spans="1:32">
      <c r="A1078" s="16" t="s">
        <v>4174</v>
      </c>
      <c r="B1078" s="17">
        <v>2</v>
      </c>
      <c r="C1078" s="30" t="s">
        <v>662</v>
      </c>
      <c r="D1078" s="19" t="e">
        <f>VLOOKUP(C1078,#REF!,2,0)</f>
        <v>#REF!</v>
      </c>
      <c r="E1078" s="20" t="e">
        <f>VLOOKUP(D1078,数据集标准分类!E:F,2,0)</f>
        <v>#REF!</v>
      </c>
      <c r="F1078" s="21">
        <v>33</v>
      </c>
      <c r="G1078" s="22" t="s">
        <v>102</v>
      </c>
      <c r="H1078" s="22" t="s">
        <v>5756</v>
      </c>
      <c r="I1078" s="37" t="s">
        <v>105</v>
      </c>
      <c r="J1078" s="22" t="s">
        <v>103</v>
      </c>
      <c r="K1078" s="22" t="s">
        <v>105</v>
      </c>
      <c r="L1078" s="22" t="s">
        <v>121</v>
      </c>
      <c r="M1078" s="16" t="s">
        <v>5593</v>
      </c>
      <c r="N1078" s="16" t="s">
        <v>5595</v>
      </c>
      <c r="O1078" s="23">
        <v>13</v>
      </c>
      <c r="P1078" s="24" t="e">
        <f>VLOOKUP(I1078,#REF!,2,0)</f>
        <v>#REF!</v>
      </c>
      <c r="Q1078" s="25"/>
      <c r="R1078" s="24"/>
      <c r="S1078" s="26"/>
      <c r="T1078" s="24"/>
      <c r="U1078" s="26"/>
      <c r="V1078" s="26"/>
      <c r="W1078" s="27">
        <v>767</v>
      </c>
      <c r="X1078" s="28"/>
    </row>
    <row r="1079" spans="1:32">
      <c r="A1079" s="16" t="s">
        <v>4174</v>
      </c>
      <c r="B1079" s="17" t="s">
        <v>4175</v>
      </c>
      <c r="C1079" s="30" t="s">
        <v>662</v>
      </c>
      <c r="D1079" s="19" t="e">
        <f>VLOOKUP(C1079,#REF!,2,0)</f>
        <v>#REF!</v>
      </c>
      <c r="E1079" s="20" t="e">
        <f>VLOOKUP(D1079,数据集标准分类!E:F,2,0)</f>
        <v>#REF!</v>
      </c>
      <c r="F1079" s="21">
        <v>33</v>
      </c>
      <c r="G1079" s="22" t="s">
        <v>122</v>
      </c>
      <c r="H1079" s="22" t="s">
        <v>6061</v>
      </c>
      <c r="I1079" s="37" t="s">
        <v>124</v>
      </c>
      <c r="J1079" s="22" t="s">
        <v>123</v>
      </c>
      <c r="K1079" s="22" t="s">
        <v>124</v>
      </c>
      <c r="L1079" s="22" t="s">
        <v>125</v>
      </c>
      <c r="M1079" s="16" t="s">
        <v>5593</v>
      </c>
      <c r="N1079" s="16" t="s">
        <v>5595</v>
      </c>
      <c r="O1079" s="23">
        <v>14</v>
      </c>
      <c r="P1079" s="24" t="e">
        <f>VLOOKUP(I1079,#REF!,2,0)</f>
        <v>#REF!</v>
      </c>
      <c r="Q1079" s="25"/>
      <c r="R1079" s="24"/>
      <c r="S1079" s="26"/>
      <c r="T1079" s="24"/>
      <c r="U1079" s="26"/>
      <c r="V1079" s="26"/>
      <c r="W1079" s="27">
        <v>768</v>
      </c>
      <c r="X1079" s="28"/>
    </row>
    <row r="1080" ht="46" spans="1:32">
      <c r="A1080" s="16" t="s">
        <v>4174</v>
      </c>
      <c r="B1080" s="17" t="s">
        <v>4175</v>
      </c>
      <c r="C1080" s="30" t="s">
        <v>662</v>
      </c>
      <c r="D1080" s="19" t="e">
        <f>VLOOKUP(C1080,#REF!,2,0)</f>
        <v>#REF!</v>
      </c>
      <c r="E1080" s="20" t="e">
        <f>VLOOKUP(D1080,数据集标准分类!E:F,2,0)</f>
        <v>#REF!</v>
      </c>
      <c r="F1080" s="21">
        <v>33</v>
      </c>
      <c r="G1080" s="22" t="s">
        <v>126</v>
      </c>
      <c r="H1080" s="22" t="s">
        <v>5942</v>
      </c>
      <c r="I1080" s="37" t="s">
        <v>129</v>
      </c>
      <c r="J1080" s="22" t="s">
        <v>127</v>
      </c>
      <c r="K1080" s="22" t="s">
        <v>129</v>
      </c>
      <c r="L1080" s="22" t="s">
        <v>130</v>
      </c>
      <c r="M1080" s="16" t="s">
        <v>5593</v>
      </c>
      <c r="N1080" s="16" t="s">
        <v>5595</v>
      </c>
      <c r="O1080" s="23">
        <v>15</v>
      </c>
      <c r="P1080" s="24" t="e">
        <f>VLOOKUP(I1080,#REF!,2,0)</f>
        <v>#REF!</v>
      </c>
      <c r="Q1080" s="25"/>
      <c r="R1080" s="24"/>
      <c r="S1080" s="26"/>
      <c r="T1080" s="24"/>
      <c r="U1080" s="26"/>
      <c r="V1080" s="26"/>
      <c r="W1080" s="27">
        <v>769</v>
      </c>
      <c r="X1080" s="28"/>
    </row>
    <row r="1081" ht="31" spans="1:32">
      <c r="A1081" s="16" t="s">
        <v>4174</v>
      </c>
      <c r="B1081" s="17" t="s">
        <v>4175</v>
      </c>
      <c r="C1081" s="30" t="s">
        <v>662</v>
      </c>
      <c r="D1081" s="19" t="e">
        <f>VLOOKUP(C1081,#REF!,2,0)</f>
        <v>#REF!</v>
      </c>
      <c r="E1081" s="20" t="e">
        <f>VLOOKUP(D1081,数据集标准分类!E:F,2,0)</f>
        <v>#REF!</v>
      </c>
      <c r="F1081" s="21">
        <v>33</v>
      </c>
      <c r="G1081" s="22" t="s">
        <v>684</v>
      </c>
      <c r="H1081" s="22" t="s">
        <v>5716</v>
      </c>
      <c r="I1081" s="37" t="s">
        <v>687</v>
      </c>
      <c r="J1081" s="22" t="s">
        <v>685</v>
      </c>
      <c r="K1081" s="22" t="s">
        <v>687</v>
      </c>
      <c r="L1081" s="22" t="s">
        <v>688</v>
      </c>
      <c r="M1081" s="16" t="s">
        <v>5593</v>
      </c>
      <c r="N1081" s="16" t="s">
        <v>5595</v>
      </c>
      <c r="O1081" s="23">
        <v>16</v>
      </c>
      <c r="P1081" s="24" t="e">
        <f>VLOOKUP(I1081,#REF!,2,0)</f>
        <v>#REF!</v>
      </c>
      <c r="Q1081" s="25"/>
      <c r="R1081" s="24"/>
      <c r="S1081" s="26"/>
      <c r="T1081" s="24"/>
      <c r="U1081" s="26"/>
      <c r="V1081" s="26"/>
      <c r="W1081" s="27">
        <v>770</v>
      </c>
      <c r="X1081" s="28"/>
    </row>
    <row r="1082" ht="31" spans="1:32">
      <c r="A1082" s="16" t="s">
        <v>4174</v>
      </c>
      <c r="B1082" s="17" t="s">
        <v>4175</v>
      </c>
      <c r="C1082" s="30" t="s">
        <v>662</v>
      </c>
      <c r="D1082" s="19" t="e">
        <f>VLOOKUP(C1082,#REF!,2,0)</f>
        <v>#REF!</v>
      </c>
      <c r="E1082" s="20" t="e">
        <f>VLOOKUP(D1082,数据集标准分类!E:F,2,0)</f>
        <v>#REF!</v>
      </c>
      <c r="F1082" s="21">
        <v>33</v>
      </c>
      <c r="G1082" s="22" t="s">
        <v>689</v>
      </c>
      <c r="H1082" s="22" t="s">
        <v>690</v>
      </c>
      <c r="I1082" s="37" t="s">
        <v>692</v>
      </c>
      <c r="J1082" s="22" t="s">
        <v>690</v>
      </c>
      <c r="K1082" s="22" t="s">
        <v>692</v>
      </c>
      <c r="L1082" s="22" t="s">
        <v>693</v>
      </c>
      <c r="M1082" s="16" t="s">
        <v>5595</v>
      </c>
      <c r="N1082" s="16" t="s">
        <v>5595</v>
      </c>
      <c r="O1082" s="23">
        <v>17</v>
      </c>
      <c r="P1082" s="24" t="e">
        <f>VLOOKUP(I1082,#REF!,2,0)</f>
        <v>#REF!</v>
      </c>
      <c r="Q1082" s="25"/>
      <c r="R1082" s="24"/>
      <c r="S1082" s="26"/>
      <c r="T1082" s="24"/>
      <c r="U1082" s="26"/>
      <c r="V1082" s="26"/>
      <c r="W1082" s="27">
        <v>771</v>
      </c>
      <c r="X1082" s="28"/>
    </row>
    <row r="1083" ht="31" spans="1:32">
      <c r="A1083" s="16" t="s">
        <v>4174</v>
      </c>
      <c r="B1083" s="17" t="s">
        <v>4175</v>
      </c>
      <c r="C1083" s="30" t="s">
        <v>662</v>
      </c>
      <c r="D1083" s="19" t="e">
        <f>VLOOKUP(C1083,#REF!,2,0)</f>
        <v>#REF!</v>
      </c>
      <c r="E1083" s="20" t="e">
        <f>VLOOKUP(D1083,数据集标准分类!E:F,2,0)</f>
        <v>#REF!</v>
      </c>
      <c r="F1083" s="21">
        <v>33</v>
      </c>
      <c r="G1083" s="22" t="s">
        <v>694</v>
      </c>
      <c r="H1083" s="22" t="s">
        <v>5717</v>
      </c>
      <c r="I1083" s="37" t="s">
        <v>697</v>
      </c>
      <c r="J1083" s="22" t="s">
        <v>695</v>
      </c>
      <c r="K1083" s="22" t="s">
        <v>697</v>
      </c>
      <c r="L1083" s="22" t="s">
        <v>698</v>
      </c>
      <c r="M1083" s="16" t="s">
        <v>5593</v>
      </c>
      <c r="N1083" s="16" t="s">
        <v>5595</v>
      </c>
      <c r="O1083" s="23">
        <v>18</v>
      </c>
      <c r="P1083" s="24" t="e">
        <f>VLOOKUP(I1083,#REF!,2,0)</f>
        <v>#REF!</v>
      </c>
      <c r="Q1083" s="25"/>
      <c r="R1083" s="24"/>
      <c r="S1083" s="26"/>
      <c r="T1083" s="24"/>
      <c r="U1083" s="26"/>
      <c r="V1083" s="26"/>
      <c r="W1083" s="27">
        <v>772</v>
      </c>
      <c r="X1083" s="28"/>
    </row>
    <row r="1084" ht="31" spans="1:32">
      <c r="A1084" s="16" t="s">
        <v>4174</v>
      </c>
      <c r="B1084" s="17" t="s">
        <v>4175</v>
      </c>
      <c r="C1084" s="30" t="s">
        <v>662</v>
      </c>
      <c r="D1084" s="19" t="e">
        <f>VLOOKUP(C1084,#REF!,2,0)</f>
        <v>#REF!</v>
      </c>
      <c r="E1084" s="20" t="e">
        <f>VLOOKUP(D1084,数据集标准分类!E:F,2,0)</f>
        <v>#REF!</v>
      </c>
      <c r="F1084" s="21">
        <v>33</v>
      </c>
      <c r="G1084" s="22" t="s">
        <v>699</v>
      </c>
      <c r="H1084" s="22" t="s">
        <v>700</v>
      </c>
      <c r="I1084" s="37" t="s">
        <v>701</v>
      </c>
      <c r="J1084" s="22" t="s">
        <v>700</v>
      </c>
      <c r="K1084" s="22" t="s">
        <v>701</v>
      </c>
      <c r="L1084" s="22" t="s">
        <v>702</v>
      </c>
      <c r="M1084" s="16" t="s">
        <v>5595</v>
      </c>
      <c r="N1084" s="16" t="s">
        <v>5595</v>
      </c>
      <c r="O1084" s="23">
        <v>19</v>
      </c>
      <c r="P1084" s="24" t="e">
        <f>VLOOKUP(I1084,#REF!,2,0)</f>
        <v>#REF!</v>
      </c>
      <c r="Q1084" s="25"/>
      <c r="R1084" s="24"/>
      <c r="S1084" s="26"/>
      <c r="T1084" s="24"/>
      <c r="U1084" s="26"/>
      <c r="V1084" s="26"/>
      <c r="W1084" s="27">
        <v>773</v>
      </c>
      <c r="X1084" s="28"/>
    </row>
    <row r="1085" ht="31" spans="1:32">
      <c r="A1085" s="16" t="s">
        <v>4174</v>
      </c>
      <c r="B1085" s="17" t="s">
        <v>4175</v>
      </c>
      <c r="C1085" s="30" t="s">
        <v>662</v>
      </c>
      <c r="D1085" s="19" t="e">
        <f>VLOOKUP(C1085,#REF!,2,0)</f>
        <v>#REF!</v>
      </c>
      <c r="E1085" s="20" t="e">
        <f>VLOOKUP(D1085,数据集标准分类!E:F,2,0)</f>
        <v>#REF!</v>
      </c>
      <c r="F1085" s="21">
        <v>33</v>
      </c>
      <c r="G1085" s="22" t="s">
        <v>703</v>
      </c>
      <c r="H1085" s="22" t="s">
        <v>704</v>
      </c>
      <c r="I1085" s="37" t="s">
        <v>705</v>
      </c>
      <c r="J1085" s="22" t="s">
        <v>704</v>
      </c>
      <c r="K1085" s="22" t="s">
        <v>705</v>
      </c>
      <c r="L1085" s="22" t="s">
        <v>706</v>
      </c>
      <c r="M1085" s="16" t="s">
        <v>5595</v>
      </c>
      <c r="N1085" s="16" t="s">
        <v>5595</v>
      </c>
      <c r="O1085" s="23">
        <v>20</v>
      </c>
      <c r="P1085" s="24" t="e">
        <f>VLOOKUP(I1085,#REF!,2,0)</f>
        <v>#REF!</v>
      </c>
      <c r="Q1085" s="25"/>
      <c r="R1085" s="24"/>
      <c r="S1085" s="26"/>
      <c r="T1085" s="24"/>
      <c r="U1085" s="26"/>
      <c r="V1085" s="26"/>
      <c r="W1085" s="27">
        <v>774</v>
      </c>
      <c r="X1085" s="28"/>
    </row>
    <row r="1086" ht="31" spans="1:32">
      <c r="A1086" s="16" t="s">
        <v>4174</v>
      </c>
      <c r="B1086" s="17" t="s">
        <v>4175</v>
      </c>
      <c r="C1086" s="30" t="s">
        <v>662</v>
      </c>
      <c r="D1086" s="19" t="e">
        <f>VLOOKUP(C1086,#REF!,2,0)</f>
        <v>#REF!</v>
      </c>
      <c r="E1086" s="20" t="e">
        <f>VLOOKUP(D1086,数据集标准分类!E:F,2,0)</f>
        <v>#REF!</v>
      </c>
      <c r="F1086" s="21">
        <v>33</v>
      </c>
      <c r="G1086" s="22" t="s">
        <v>707</v>
      </c>
      <c r="H1086" s="22" t="s">
        <v>708</v>
      </c>
      <c r="I1086" s="37" t="s">
        <v>709</v>
      </c>
      <c r="J1086" s="22" t="s">
        <v>708</v>
      </c>
      <c r="K1086" s="22" t="s">
        <v>709</v>
      </c>
      <c r="L1086" s="22" t="s">
        <v>710</v>
      </c>
      <c r="M1086" s="16" t="s">
        <v>5595</v>
      </c>
      <c r="N1086" s="16" t="s">
        <v>5595</v>
      </c>
      <c r="O1086" s="23">
        <v>21</v>
      </c>
      <c r="P1086" s="24" t="e">
        <f>VLOOKUP(I1086,#REF!,2,0)</f>
        <v>#REF!</v>
      </c>
      <c r="Q1086" s="25"/>
      <c r="R1086" s="24"/>
      <c r="S1086" s="26"/>
      <c r="T1086" s="24"/>
      <c r="U1086" s="26"/>
      <c r="V1086" s="26"/>
      <c r="W1086" s="27">
        <v>775</v>
      </c>
      <c r="X1086" s="28"/>
    </row>
    <row r="1087" ht="31" spans="1:32">
      <c r="A1087" s="16" t="s">
        <v>4174</v>
      </c>
      <c r="B1087" s="17" t="s">
        <v>4175</v>
      </c>
      <c r="C1087" s="30" t="s">
        <v>662</v>
      </c>
      <c r="D1087" s="19" t="e">
        <f>VLOOKUP(C1087,#REF!,2,0)</f>
        <v>#REF!</v>
      </c>
      <c r="E1087" s="20" t="e">
        <f>VLOOKUP(D1087,数据集标准分类!E:F,2,0)</f>
        <v>#REF!</v>
      </c>
      <c r="F1087" s="21">
        <v>33</v>
      </c>
      <c r="G1087" s="22" t="s">
        <v>711</v>
      </c>
      <c r="H1087" s="22" t="s">
        <v>712</v>
      </c>
      <c r="I1087" s="37" t="s">
        <v>713</v>
      </c>
      <c r="J1087" s="22" t="s">
        <v>712</v>
      </c>
      <c r="K1087" s="22" t="s">
        <v>713</v>
      </c>
      <c r="L1087" s="22" t="s">
        <v>714</v>
      </c>
      <c r="M1087" s="16" t="s">
        <v>5595</v>
      </c>
      <c r="N1087" s="16" t="s">
        <v>5595</v>
      </c>
      <c r="O1087" s="23">
        <v>22</v>
      </c>
      <c r="P1087" s="24" t="e">
        <f>VLOOKUP(I1087,#REF!,2,0)</f>
        <v>#REF!</v>
      </c>
      <c r="Q1087" s="25"/>
      <c r="R1087" s="24"/>
      <c r="S1087" s="26"/>
      <c r="T1087" s="24"/>
      <c r="U1087" s="26"/>
      <c r="V1087" s="26"/>
      <c r="W1087" s="27">
        <v>776</v>
      </c>
      <c r="X1087" s="28"/>
    </row>
    <row r="1088" ht="76" spans="1:32">
      <c r="A1088" s="16" t="s">
        <v>4174</v>
      </c>
      <c r="B1088" s="17" t="s">
        <v>4175</v>
      </c>
      <c r="C1088" s="30" t="s">
        <v>662</v>
      </c>
      <c r="D1088" s="19" t="e">
        <f>VLOOKUP(C1088,#REF!,2,0)</f>
        <v>#REF!</v>
      </c>
      <c r="E1088" s="20" t="e">
        <f>VLOOKUP(D1088,数据集标准分类!E:F,2,0)</f>
        <v>#REF!</v>
      </c>
      <c r="F1088" s="21">
        <v>33</v>
      </c>
      <c r="G1088" s="22" t="s">
        <v>715</v>
      </c>
      <c r="H1088" s="22" t="s">
        <v>5697</v>
      </c>
      <c r="I1088" s="37" t="s">
        <v>718</v>
      </c>
      <c r="J1088" s="22" t="s">
        <v>716</v>
      </c>
      <c r="K1088" s="22" t="s">
        <v>718</v>
      </c>
      <c r="L1088" s="22" t="s">
        <v>719</v>
      </c>
      <c r="M1088" s="16" t="s">
        <v>5593</v>
      </c>
      <c r="N1088" s="16" t="s">
        <v>5595</v>
      </c>
      <c r="O1088" s="23">
        <v>23</v>
      </c>
      <c r="P1088" s="24" t="e">
        <f>VLOOKUP(I1088,#REF!,2,0)</f>
        <v>#REF!</v>
      </c>
      <c r="Q1088" s="25"/>
      <c r="R1088" s="24"/>
      <c r="S1088" s="26"/>
      <c r="T1088" s="24"/>
      <c r="U1088" s="26"/>
      <c r="V1088" s="26"/>
      <c r="W1088" s="27">
        <v>777</v>
      </c>
      <c r="X1088" s="28"/>
    </row>
    <row r="1089" ht="31" spans="1:24">
      <c r="A1089" s="16" t="s">
        <v>4174</v>
      </c>
      <c r="B1089" s="17" t="s">
        <v>4175</v>
      </c>
      <c r="C1089" s="30" t="s">
        <v>662</v>
      </c>
      <c r="D1089" s="19" t="e">
        <f>VLOOKUP(C1089,#REF!,2,0)</f>
        <v>#REF!</v>
      </c>
      <c r="E1089" s="20" t="e">
        <f>VLOOKUP(D1089,数据集标准分类!E:F,2,0)</f>
        <v>#REF!</v>
      </c>
      <c r="F1089" s="21">
        <v>33</v>
      </c>
      <c r="G1089" s="22" t="s">
        <v>720</v>
      </c>
      <c r="H1089" s="22" t="s">
        <v>721</v>
      </c>
      <c r="I1089" s="37" t="s">
        <v>723</v>
      </c>
      <c r="J1089" s="22" t="s">
        <v>721</v>
      </c>
      <c r="K1089" s="22" t="s">
        <v>723</v>
      </c>
      <c r="L1089" s="22" t="s">
        <v>724</v>
      </c>
      <c r="M1089" s="16" t="s">
        <v>5595</v>
      </c>
      <c r="N1089" s="16" t="s">
        <v>5595</v>
      </c>
      <c r="O1089" s="23">
        <v>24</v>
      </c>
      <c r="P1089" s="24" t="e">
        <f>VLOOKUP(I1089,#REF!,2,0)</f>
        <v>#REF!</v>
      </c>
      <c r="Q1089" s="25"/>
      <c r="R1089" s="24"/>
      <c r="S1089" s="26"/>
      <c r="T1089" s="24"/>
      <c r="U1089" s="26"/>
      <c r="V1089" s="26"/>
      <c r="W1089" s="27">
        <v>778</v>
      </c>
      <c r="X1089" s="28"/>
    </row>
    <row r="1090" ht="31" spans="1:24">
      <c r="A1090" s="16" t="s">
        <v>4174</v>
      </c>
      <c r="B1090" s="17" t="s">
        <v>4175</v>
      </c>
      <c r="C1090" s="30" t="s">
        <v>662</v>
      </c>
      <c r="D1090" s="19" t="e">
        <f>VLOOKUP(C1090,#REF!,2,0)</f>
        <v>#REF!</v>
      </c>
      <c r="E1090" s="20" t="e">
        <f>VLOOKUP(D1090,数据集标准分类!E:F,2,0)</f>
        <v>#REF!</v>
      </c>
      <c r="F1090" s="21">
        <v>33</v>
      </c>
      <c r="G1090" s="22" t="s">
        <v>725</v>
      </c>
      <c r="H1090" s="22" t="s">
        <v>726</v>
      </c>
      <c r="I1090" s="37" t="s">
        <v>728</v>
      </c>
      <c r="J1090" s="22" t="s">
        <v>726</v>
      </c>
      <c r="K1090" s="22" t="s">
        <v>728</v>
      </c>
      <c r="L1090" s="22" t="s">
        <v>724</v>
      </c>
      <c r="M1090" s="16" t="s">
        <v>5595</v>
      </c>
      <c r="N1090" s="16" t="s">
        <v>5595</v>
      </c>
      <c r="O1090" s="23">
        <v>25</v>
      </c>
      <c r="P1090" s="24" t="e">
        <f>VLOOKUP(I1090,#REF!,2,0)</f>
        <v>#REF!</v>
      </c>
      <c r="Q1090" s="25"/>
      <c r="R1090" s="24"/>
      <c r="S1090" s="26"/>
      <c r="T1090" s="24"/>
      <c r="U1090" s="26"/>
      <c r="V1090" s="26"/>
      <c r="W1090" s="27">
        <v>779</v>
      </c>
      <c r="X1090" s="28"/>
    </row>
    <row r="1091" ht="31" spans="1:24">
      <c r="A1091" s="16" t="s">
        <v>4174</v>
      </c>
      <c r="B1091" s="17" t="s">
        <v>4175</v>
      </c>
      <c r="C1091" s="30" t="s">
        <v>662</v>
      </c>
      <c r="D1091" s="19" t="e">
        <f>VLOOKUP(C1091,#REF!,2,0)</f>
        <v>#REF!</v>
      </c>
      <c r="E1091" s="20" t="e">
        <f>VLOOKUP(D1091,数据集标准分类!E:F,2,0)</f>
        <v>#REF!</v>
      </c>
      <c r="F1091" s="21">
        <v>33</v>
      </c>
      <c r="G1091" s="22" t="s">
        <v>729</v>
      </c>
      <c r="H1091" s="22" t="s">
        <v>730</v>
      </c>
      <c r="I1091" s="37" t="s">
        <v>732</v>
      </c>
      <c r="J1091" s="22" t="s">
        <v>730</v>
      </c>
      <c r="K1091" s="22" t="s">
        <v>732</v>
      </c>
      <c r="L1091" s="22" t="s">
        <v>733</v>
      </c>
      <c r="M1091" s="16" t="s">
        <v>5595</v>
      </c>
      <c r="N1091" s="16" t="s">
        <v>5595</v>
      </c>
      <c r="O1091" s="23">
        <v>26</v>
      </c>
      <c r="P1091" s="24" t="e">
        <f>VLOOKUP(I1091,#REF!,2,0)</f>
        <v>#REF!</v>
      </c>
      <c r="Q1091" s="25"/>
      <c r="R1091" s="24"/>
      <c r="S1091" s="26"/>
      <c r="T1091" s="24"/>
      <c r="U1091" s="26"/>
      <c r="V1091" s="26"/>
      <c r="W1091" s="27">
        <v>780</v>
      </c>
      <c r="X1091" s="28"/>
    </row>
    <row r="1092" ht="31" spans="1:24">
      <c r="A1092" s="16" t="s">
        <v>4174</v>
      </c>
      <c r="B1092" s="17" t="s">
        <v>4175</v>
      </c>
      <c r="C1092" s="30" t="s">
        <v>662</v>
      </c>
      <c r="D1092" s="19" t="e">
        <f>VLOOKUP(C1092,#REF!,2,0)</f>
        <v>#REF!</v>
      </c>
      <c r="E1092" s="20" t="e">
        <f>VLOOKUP(D1092,数据集标准分类!E:F,2,0)</f>
        <v>#REF!</v>
      </c>
      <c r="F1092" s="21">
        <v>33</v>
      </c>
      <c r="G1092" s="22" t="s">
        <v>734</v>
      </c>
      <c r="H1092" s="22" t="s">
        <v>735</v>
      </c>
      <c r="I1092" s="37" t="s">
        <v>737</v>
      </c>
      <c r="J1092" s="22" t="s">
        <v>735</v>
      </c>
      <c r="K1092" s="22" t="s">
        <v>737</v>
      </c>
      <c r="L1092" s="22" t="s">
        <v>738</v>
      </c>
      <c r="M1092" s="16" t="s">
        <v>5595</v>
      </c>
      <c r="N1092" s="16" t="s">
        <v>5595</v>
      </c>
      <c r="O1092" s="23">
        <v>27</v>
      </c>
      <c r="P1092" s="24" t="e">
        <f>VLOOKUP(I1092,#REF!,2,0)</f>
        <v>#REF!</v>
      </c>
      <c r="Q1092" s="25"/>
      <c r="R1092" s="24"/>
      <c r="S1092" s="26"/>
      <c r="T1092" s="24"/>
      <c r="U1092" s="26"/>
      <c r="V1092" s="26"/>
      <c r="W1092" s="27">
        <v>781</v>
      </c>
      <c r="X1092" s="28"/>
    </row>
    <row r="1093" ht="61" spans="1:24">
      <c r="A1093" s="16" t="s">
        <v>4174</v>
      </c>
      <c r="B1093" s="17" t="s">
        <v>4175</v>
      </c>
      <c r="C1093" s="30" t="s">
        <v>662</v>
      </c>
      <c r="D1093" s="19" t="e">
        <f>VLOOKUP(C1093,#REF!,2,0)</f>
        <v>#REF!</v>
      </c>
      <c r="E1093" s="20" t="e">
        <f>VLOOKUP(D1093,数据集标准分类!E:F,2,0)</f>
        <v>#REF!</v>
      </c>
      <c r="F1093" s="21">
        <v>33</v>
      </c>
      <c r="G1093" s="22" t="s">
        <v>739</v>
      </c>
      <c r="H1093" s="22" t="s">
        <v>740</v>
      </c>
      <c r="I1093" s="37" t="s">
        <v>742</v>
      </c>
      <c r="J1093" s="22" t="s">
        <v>740</v>
      </c>
      <c r="K1093" s="22" t="s">
        <v>742</v>
      </c>
      <c r="L1093" s="22" t="s">
        <v>743</v>
      </c>
      <c r="M1093" s="16" t="s">
        <v>5595</v>
      </c>
      <c r="N1093" s="16" t="s">
        <v>5595</v>
      </c>
      <c r="O1093" s="23">
        <v>28</v>
      </c>
      <c r="P1093" s="24" t="e">
        <f>VLOOKUP(I1093,#REF!,2,0)</f>
        <v>#REF!</v>
      </c>
      <c r="Q1093" s="25"/>
      <c r="R1093" s="24"/>
      <c r="S1093" s="26"/>
      <c r="T1093" s="24"/>
      <c r="U1093" s="26"/>
      <c r="V1093" s="26"/>
      <c r="W1093" s="27">
        <v>782</v>
      </c>
      <c r="X1093" s="28"/>
    </row>
    <row r="1094" ht="46" spans="1:24">
      <c r="A1094" s="16" t="s">
        <v>4174</v>
      </c>
      <c r="B1094" s="17" t="s">
        <v>4175</v>
      </c>
      <c r="C1094" s="30" t="s">
        <v>662</v>
      </c>
      <c r="D1094" s="19" t="e">
        <f>VLOOKUP(C1094,#REF!,2,0)</f>
        <v>#REF!</v>
      </c>
      <c r="E1094" s="20" t="e">
        <f>VLOOKUP(D1094,数据集标准分类!E:F,2,0)</f>
        <v>#REF!</v>
      </c>
      <c r="F1094" s="21">
        <v>33</v>
      </c>
      <c r="G1094" s="22" t="s">
        <v>744</v>
      </c>
      <c r="H1094" s="22" t="s">
        <v>5701</v>
      </c>
      <c r="I1094" s="37" t="s">
        <v>747</v>
      </c>
      <c r="J1094" s="22" t="s">
        <v>745</v>
      </c>
      <c r="K1094" s="22" t="s">
        <v>747</v>
      </c>
      <c r="L1094" s="22" t="s">
        <v>748</v>
      </c>
      <c r="M1094" s="16" t="s">
        <v>5593</v>
      </c>
      <c r="N1094" s="16" t="s">
        <v>5595</v>
      </c>
      <c r="O1094" s="23">
        <v>29</v>
      </c>
      <c r="P1094" s="24" t="e">
        <f>VLOOKUP(I1094,#REF!,2,0)</f>
        <v>#REF!</v>
      </c>
      <c r="Q1094" s="25"/>
      <c r="R1094" s="24"/>
      <c r="S1094" s="26"/>
      <c r="T1094" s="24"/>
      <c r="U1094" s="26"/>
      <c r="V1094" s="26"/>
      <c r="W1094" s="27">
        <v>783</v>
      </c>
      <c r="X1094" s="28"/>
    </row>
    <row r="1095" ht="31" spans="1:24">
      <c r="A1095" s="16" t="s">
        <v>4174</v>
      </c>
      <c r="B1095" s="17" t="s">
        <v>4175</v>
      </c>
      <c r="C1095" s="30" t="s">
        <v>662</v>
      </c>
      <c r="D1095" s="19" t="e">
        <f>VLOOKUP(C1095,#REF!,2,0)</f>
        <v>#REF!</v>
      </c>
      <c r="E1095" s="20" t="e">
        <f>VLOOKUP(D1095,数据集标准分类!E:F,2,0)</f>
        <v>#REF!</v>
      </c>
      <c r="F1095" s="21">
        <v>33</v>
      </c>
      <c r="G1095" s="22" t="s">
        <v>749</v>
      </c>
      <c r="H1095" s="22" t="s">
        <v>750</v>
      </c>
      <c r="I1095" s="37" t="s">
        <v>752</v>
      </c>
      <c r="J1095" s="22" t="s">
        <v>750</v>
      </c>
      <c r="K1095" s="22" t="s">
        <v>752</v>
      </c>
      <c r="L1095" s="22" t="s">
        <v>753</v>
      </c>
      <c r="M1095" s="16" t="s">
        <v>5595</v>
      </c>
      <c r="N1095" s="16" t="s">
        <v>5595</v>
      </c>
      <c r="O1095" s="23">
        <v>30</v>
      </c>
      <c r="P1095" s="24" t="e">
        <f>VLOOKUP(I1095,#REF!,2,0)</f>
        <v>#REF!</v>
      </c>
      <c r="Q1095" s="25"/>
      <c r="R1095" s="24"/>
      <c r="S1095" s="26"/>
      <c r="T1095" s="24"/>
      <c r="U1095" s="26"/>
      <c r="V1095" s="26"/>
      <c r="W1095" s="27">
        <v>784</v>
      </c>
      <c r="X1095" s="28"/>
    </row>
    <row r="1096" ht="31" spans="1:24">
      <c r="A1096" s="16" t="s">
        <v>4174</v>
      </c>
      <c r="B1096" s="17" t="s">
        <v>4175</v>
      </c>
      <c r="C1096" s="30" t="s">
        <v>662</v>
      </c>
      <c r="D1096" s="19" t="e">
        <f>VLOOKUP(C1096,#REF!,2,0)</f>
        <v>#REF!</v>
      </c>
      <c r="E1096" s="20" t="e">
        <f>VLOOKUP(D1096,数据集标准分类!E:F,2,0)</f>
        <v>#REF!</v>
      </c>
      <c r="F1096" s="21">
        <v>33</v>
      </c>
      <c r="G1096" s="22" t="s">
        <v>754</v>
      </c>
      <c r="H1096" s="22" t="s">
        <v>6062</v>
      </c>
      <c r="I1096" s="37" t="s">
        <v>757</v>
      </c>
      <c r="J1096" s="22" t="s">
        <v>755</v>
      </c>
      <c r="K1096" s="22" t="s">
        <v>757</v>
      </c>
      <c r="L1096" s="22" t="s">
        <v>758</v>
      </c>
      <c r="M1096" s="16" t="s">
        <v>5593</v>
      </c>
      <c r="N1096" s="16" t="s">
        <v>5595</v>
      </c>
      <c r="O1096" s="23">
        <v>31</v>
      </c>
      <c r="P1096" s="24" t="e">
        <f>VLOOKUP(I1096,#REF!,2,0)</f>
        <v>#REF!</v>
      </c>
      <c r="Q1096" s="25"/>
      <c r="R1096" s="24"/>
      <c r="S1096" s="26"/>
      <c r="T1096" s="24"/>
      <c r="U1096" s="26"/>
      <c r="V1096" s="26"/>
      <c r="W1096" s="27">
        <v>785</v>
      </c>
      <c r="X1096" s="28"/>
    </row>
    <row r="1097" ht="31" spans="1:24">
      <c r="A1097" s="16" t="s">
        <v>4174</v>
      </c>
      <c r="B1097" s="17" t="s">
        <v>4175</v>
      </c>
      <c r="C1097" s="30" t="s">
        <v>662</v>
      </c>
      <c r="D1097" s="19" t="e">
        <f>VLOOKUP(C1097,#REF!,2,0)</f>
        <v>#REF!</v>
      </c>
      <c r="E1097" s="20" t="e">
        <f>VLOOKUP(D1097,数据集标准分类!E:F,2,0)</f>
        <v>#REF!</v>
      </c>
      <c r="F1097" s="21">
        <v>33</v>
      </c>
      <c r="G1097" s="22" t="s">
        <v>759</v>
      </c>
      <c r="H1097" s="22" t="s">
        <v>760</v>
      </c>
      <c r="I1097" s="37" t="s">
        <v>762</v>
      </c>
      <c r="J1097" s="22" t="s">
        <v>760</v>
      </c>
      <c r="K1097" s="22" t="s">
        <v>762</v>
      </c>
      <c r="L1097" s="22" t="s">
        <v>763</v>
      </c>
      <c r="M1097" s="16" t="s">
        <v>5595</v>
      </c>
      <c r="N1097" s="16" t="s">
        <v>5595</v>
      </c>
      <c r="O1097" s="23">
        <v>32</v>
      </c>
      <c r="P1097" s="24" t="e">
        <f>VLOOKUP(I1097,#REF!,2,0)</f>
        <v>#REF!</v>
      </c>
      <c r="Q1097" s="25"/>
      <c r="R1097" s="24"/>
      <c r="S1097" s="26"/>
      <c r="T1097" s="24"/>
      <c r="U1097" s="26"/>
      <c r="V1097" s="26"/>
      <c r="W1097" s="27">
        <v>786</v>
      </c>
      <c r="X1097" s="28"/>
    </row>
    <row r="1098" ht="31" spans="1:24">
      <c r="A1098" s="16" t="s">
        <v>4174</v>
      </c>
      <c r="B1098" s="17" t="s">
        <v>4175</v>
      </c>
      <c r="C1098" s="30" t="s">
        <v>662</v>
      </c>
      <c r="D1098" s="19" t="e">
        <f>VLOOKUP(C1098,#REF!,2,0)</f>
        <v>#REF!</v>
      </c>
      <c r="E1098" s="20" t="e">
        <f>VLOOKUP(D1098,数据集标准分类!E:F,2,0)</f>
        <v>#REF!</v>
      </c>
      <c r="F1098" s="21">
        <v>33</v>
      </c>
      <c r="G1098" s="22" t="s">
        <v>764</v>
      </c>
      <c r="H1098" s="22" t="s">
        <v>765</v>
      </c>
      <c r="I1098" s="37" t="s">
        <v>767</v>
      </c>
      <c r="J1098" s="22" t="s">
        <v>765</v>
      </c>
      <c r="K1098" s="22" t="s">
        <v>767</v>
      </c>
      <c r="L1098" s="22" t="s">
        <v>768</v>
      </c>
      <c r="M1098" s="16" t="s">
        <v>5595</v>
      </c>
      <c r="N1098" s="16" t="s">
        <v>5595</v>
      </c>
      <c r="O1098" s="23">
        <v>33</v>
      </c>
      <c r="P1098" s="24" t="e">
        <f>VLOOKUP(I1098,#REF!,2,0)</f>
        <v>#REF!</v>
      </c>
      <c r="Q1098" s="25"/>
      <c r="R1098" s="24"/>
      <c r="S1098" s="26"/>
      <c r="T1098" s="24"/>
      <c r="U1098" s="26"/>
      <c r="V1098" s="26"/>
      <c r="W1098" s="27">
        <v>787</v>
      </c>
      <c r="X1098" s="28"/>
    </row>
    <row r="1099" ht="31" spans="1:24">
      <c r="A1099" s="16" t="s">
        <v>4174</v>
      </c>
      <c r="B1099" s="17" t="s">
        <v>4175</v>
      </c>
      <c r="C1099" s="30" t="s">
        <v>662</v>
      </c>
      <c r="D1099" s="19" t="e">
        <f>VLOOKUP(C1099,#REF!,2,0)</f>
        <v>#REF!</v>
      </c>
      <c r="E1099" s="20" t="e">
        <f>VLOOKUP(D1099,数据集标准分类!E:F,2,0)</f>
        <v>#REF!</v>
      </c>
      <c r="F1099" s="21">
        <v>33</v>
      </c>
      <c r="G1099" s="22" t="s">
        <v>769</v>
      </c>
      <c r="H1099" s="22" t="s">
        <v>6063</v>
      </c>
      <c r="I1099" s="37" t="s">
        <v>772</v>
      </c>
      <c r="J1099" s="22" t="s">
        <v>770</v>
      </c>
      <c r="K1099" s="22" t="s">
        <v>772</v>
      </c>
      <c r="L1099" s="22" t="s">
        <v>773</v>
      </c>
      <c r="M1099" s="16" t="s">
        <v>5593</v>
      </c>
      <c r="N1099" s="16" t="s">
        <v>5595</v>
      </c>
      <c r="O1099" s="23">
        <v>34</v>
      </c>
      <c r="P1099" s="24" t="e">
        <f>VLOOKUP(I1099,#REF!,2,0)</f>
        <v>#REF!</v>
      </c>
      <c r="Q1099" s="25"/>
      <c r="R1099" s="24"/>
      <c r="S1099" s="26"/>
      <c r="T1099" s="24"/>
      <c r="U1099" s="26"/>
      <c r="V1099" s="26"/>
      <c r="W1099" s="27">
        <v>788</v>
      </c>
      <c r="X1099" s="28"/>
    </row>
    <row r="1100" ht="31" spans="1:24">
      <c r="A1100" s="16" t="s">
        <v>4174</v>
      </c>
      <c r="B1100" s="17" t="s">
        <v>4175</v>
      </c>
      <c r="C1100" s="30" t="s">
        <v>662</v>
      </c>
      <c r="D1100" s="19" t="e">
        <f>VLOOKUP(C1100,#REF!,2,0)</f>
        <v>#REF!</v>
      </c>
      <c r="E1100" s="20" t="e">
        <f>VLOOKUP(D1100,数据集标准分类!E:F,2,0)</f>
        <v>#REF!</v>
      </c>
      <c r="F1100" s="21">
        <v>33</v>
      </c>
      <c r="G1100" s="22" t="s">
        <v>774</v>
      </c>
      <c r="H1100" s="22" t="s">
        <v>6064</v>
      </c>
      <c r="I1100" s="37" t="s">
        <v>777</v>
      </c>
      <c r="J1100" s="22" t="s">
        <v>775</v>
      </c>
      <c r="K1100" s="22" t="s">
        <v>777</v>
      </c>
      <c r="L1100" s="22" t="s">
        <v>778</v>
      </c>
      <c r="M1100" s="16" t="s">
        <v>5593</v>
      </c>
      <c r="N1100" s="16" t="s">
        <v>5595</v>
      </c>
      <c r="O1100" s="23">
        <v>35</v>
      </c>
      <c r="P1100" s="24" t="e">
        <f>VLOOKUP(I1100,#REF!,2,0)</f>
        <v>#REF!</v>
      </c>
      <c r="Q1100" s="25"/>
      <c r="R1100" s="24"/>
      <c r="S1100" s="26"/>
      <c r="T1100" s="24"/>
      <c r="U1100" s="26"/>
      <c r="V1100" s="26"/>
      <c r="W1100" s="27">
        <v>789</v>
      </c>
      <c r="X1100" s="28"/>
    </row>
    <row r="1101" ht="31" spans="1:24">
      <c r="A1101" s="16" t="s">
        <v>4174</v>
      </c>
      <c r="B1101" s="17" t="s">
        <v>4175</v>
      </c>
      <c r="C1101" s="30" t="s">
        <v>662</v>
      </c>
      <c r="D1101" s="19" t="e">
        <f>VLOOKUP(C1101,#REF!,2,0)</f>
        <v>#REF!</v>
      </c>
      <c r="E1101" s="20" t="e">
        <f>VLOOKUP(D1101,数据集标准分类!E:F,2,0)</f>
        <v>#REF!</v>
      </c>
      <c r="F1101" s="21">
        <v>33</v>
      </c>
      <c r="G1101" s="22" t="s">
        <v>779</v>
      </c>
      <c r="H1101" s="22" t="s">
        <v>780</v>
      </c>
      <c r="I1101" s="37" t="s">
        <v>782</v>
      </c>
      <c r="J1101" s="22" t="s">
        <v>780</v>
      </c>
      <c r="K1101" s="22" t="s">
        <v>782</v>
      </c>
      <c r="L1101" s="22" t="s">
        <v>783</v>
      </c>
      <c r="M1101" s="16" t="s">
        <v>5595</v>
      </c>
      <c r="N1101" s="16" t="s">
        <v>5595</v>
      </c>
      <c r="O1101" s="23">
        <v>36</v>
      </c>
      <c r="P1101" s="24" t="e">
        <f>VLOOKUP(I1101,#REF!,2,0)</f>
        <v>#REF!</v>
      </c>
      <c r="Q1101" s="25"/>
      <c r="R1101" s="24"/>
      <c r="S1101" s="26"/>
      <c r="T1101" s="24"/>
      <c r="U1101" s="26"/>
      <c r="V1101" s="26"/>
      <c r="W1101" s="27">
        <v>790</v>
      </c>
      <c r="X1101" s="28"/>
    </row>
    <row r="1102" ht="46" spans="1:24">
      <c r="A1102" s="16" t="s">
        <v>4174</v>
      </c>
      <c r="B1102" s="17" t="s">
        <v>4175</v>
      </c>
      <c r="C1102" s="30" t="s">
        <v>662</v>
      </c>
      <c r="D1102" s="19" t="e">
        <f>VLOOKUP(C1102,#REF!,2,0)</f>
        <v>#REF!</v>
      </c>
      <c r="E1102" s="20" t="e">
        <f>VLOOKUP(D1102,数据集标准分类!E:F,2,0)</f>
        <v>#REF!</v>
      </c>
      <c r="F1102" s="21">
        <v>33</v>
      </c>
      <c r="G1102" s="22" t="s">
        <v>784</v>
      </c>
      <c r="H1102" s="22" t="s">
        <v>785</v>
      </c>
      <c r="I1102" s="37" t="s">
        <v>787</v>
      </c>
      <c r="J1102" s="22" t="s">
        <v>785</v>
      </c>
      <c r="K1102" s="22" t="s">
        <v>787</v>
      </c>
      <c r="L1102" s="22" t="s">
        <v>788</v>
      </c>
      <c r="M1102" s="16" t="s">
        <v>5595</v>
      </c>
      <c r="N1102" s="16" t="s">
        <v>5595</v>
      </c>
      <c r="O1102" s="23">
        <v>37</v>
      </c>
      <c r="P1102" s="24" t="e">
        <f>VLOOKUP(I1102,#REF!,2,0)</f>
        <v>#REF!</v>
      </c>
      <c r="Q1102" s="25"/>
      <c r="R1102" s="24"/>
      <c r="S1102" s="26"/>
      <c r="T1102" s="24"/>
      <c r="U1102" s="26"/>
      <c r="V1102" s="26"/>
      <c r="W1102" s="27">
        <v>791</v>
      </c>
      <c r="X1102" s="28"/>
    </row>
    <row r="1103" ht="31" spans="1:24">
      <c r="A1103" s="16" t="s">
        <v>4174</v>
      </c>
      <c r="B1103" s="17" t="s">
        <v>4175</v>
      </c>
      <c r="C1103" s="30" t="s">
        <v>662</v>
      </c>
      <c r="D1103" s="19" t="e">
        <f>VLOOKUP(C1103,#REF!,2,0)</f>
        <v>#REF!</v>
      </c>
      <c r="E1103" s="20" t="e">
        <f>VLOOKUP(D1103,数据集标准分类!E:F,2,0)</f>
        <v>#REF!</v>
      </c>
      <c r="F1103" s="21">
        <v>33</v>
      </c>
      <c r="G1103" s="22" t="s">
        <v>789</v>
      </c>
      <c r="H1103" s="22" t="s">
        <v>790</v>
      </c>
      <c r="I1103" s="37" t="s">
        <v>791</v>
      </c>
      <c r="J1103" s="22" t="s">
        <v>790</v>
      </c>
      <c r="K1103" s="22" t="s">
        <v>791</v>
      </c>
      <c r="L1103" s="22" t="s">
        <v>792</v>
      </c>
      <c r="M1103" s="16" t="s">
        <v>5595</v>
      </c>
      <c r="N1103" s="16" t="s">
        <v>5595</v>
      </c>
      <c r="O1103" s="23">
        <v>38</v>
      </c>
      <c r="P1103" s="24" t="e">
        <f>VLOOKUP(I1103,#REF!,2,0)</f>
        <v>#REF!</v>
      </c>
      <c r="Q1103" s="25"/>
      <c r="R1103" s="24"/>
      <c r="S1103" s="26"/>
      <c r="T1103" s="24"/>
      <c r="U1103" s="26"/>
      <c r="V1103" s="26"/>
      <c r="W1103" s="27">
        <v>792</v>
      </c>
      <c r="X1103" s="28"/>
    </row>
    <row r="1104" ht="46" spans="1:24">
      <c r="A1104" s="16" t="s">
        <v>4174</v>
      </c>
      <c r="B1104" s="17" t="s">
        <v>4175</v>
      </c>
      <c r="C1104" s="30" t="s">
        <v>662</v>
      </c>
      <c r="D1104" s="19" t="e">
        <f>VLOOKUP(C1104,#REF!,2,0)</f>
        <v>#REF!</v>
      </c>
      <c r="E1104" s="20" t="e">
        <f>VLOOKUP(D1104,数据集标准分类!E:F,2,0)</f>
        <v>#REF!</v>
      </c>
      <c r="F1104" s="21">
        <v>33</v>
      </c>
      <c r="G1104" s="22" t="s">
        <v>793</v>
      </c>
      <c r="H1104" s="22" t="s">
        <v>5605</v>
      </c>
      <c r="I1104" s="37" t="s">
        <v>5606</v>
      </c>
      <c r="J1104" s="22" t="s">
        <v>794</v>
      </c>
      <c r="K1104" s="22" t="s">
        <v>796</v>
      </c>
      <c r="L1104" s="22" t="s">
        <v>797</v>
      </c>
      <c r="M1104" s="16" t="s">
        <v>5593</v>
      </c>
      <c r="N1104" s="16" t="s">
        <v>5593</v>
      </c>
      <c r="O1104" s="23">
        <v>39</v>
      </c>
      <c r="P1104" s="24" t="e">
        <f>VLOOKUP(I1104,#REF!,2,0)</f>
        <v>#REF!</v>
      </c>
      <c r="Q1104" s="25"/>
      <c r="R1104" s="24"/>
      <c r="S1104" s="26"/>
      <c r="T1104" s="24"/>
      <c r="U1104" s="26"/>
      <c r="V1104" s="26"/>
      <c r="W1104" s="27">
        <v>793</v>
      </c>
      <c r="X1104" s="28"/>
    </row>
    <row r="1105" ht="46" spans="1:32">
      <c r="A1105" s="83" t="s">
        <v>4174</v>
      </c>
      <c r="B1105" s="84" t="s">
        <v>4175</v>
      </c>
      <c r="C1105" s="85" t="s">
        <v>662</v>
      </c>
      <c r="D1105" s="86" t="e">
        <f>VLOOKUP(C1105,#REF!,2,0)</f>
        <v>#REF!</v>
      </c>
      <c r="E1105" s="20" t="e">
        <f>VLOOKUP(D1105,数据集标准分类!E:F,2,0)</f>
        <v>#REF!</v>
      </c>
      <c r="F1105" s="87">
        <v>33</v>
      </c>
      <c r="G1105" s="88" t="s">
        <v>798</v>
      </c>
      <c r="H1105" s="88" t="s">
        <v>5603</v>
      </c>
      <c r="I1105" s="88" t="s">
        <v>5604</v>
      </c>
      <c r="J1105" s="88" t="s">
        <v>799</v>
      </c>
      <c r="K1105" s="88" t="s">
        <v>801</v>
      </c>
      <c r="L1105" s="88" t="s">
        <v>802</v>
      </c>
      <c r="M1105" s="83" t="s">
        <v>5593</v>
      </c>
      <c r="N1105" s="83" t="s">
        <v>5593</v>
      </c>
      <c r="O1105" s="89">
        <v>40</v>
      </c>
      <c r="P1105" s="90" t="e">
        <f>VLOOKUP(I1105,#REF!,2,0)</f>
        <v>#REF!</v>
      </c>
      <c r="Q1105" s="91"/>
      <c r="R1105" s="90"/>
      <c r="S1105" s="92"/>
      <c r="T1105" s="90"/>
      <c r="U1105" s="92" t="s">
        <v>5593</v>
      </c>
      <c r="V1105" s="92" t="s">
        <v>5593</v>
      </c>
      <c r="W1105" s="93">
        <v>794</v>
      </c>
      <c r="X1105" s="94"/>
      <c r="Y1105" s="95"/>
      <c r="Z1105" s="95"/>
      <c r="AA1105" s="95"/>
      <c r="AB1105" s="95"/>
      <c r="AC1105" s="95"/>
      <c r="AD1105" s="95"/>
      <c r="AE1105" s="95"/>
      <c r="AF1105" s="95"/>
    </row>
    <row r="1106" ht="46" spans="1:32">
      <c r="A1106" s="16" t="s">
        <v>4174</v>
      </c>
      <c r="B1106" s="17" t="s">
        <v>4175</v>
      </c>
      <c r="C1106" s="30" t="s">
        <v>662</v>
      </c>
      <c r="D1106" s="19" t="e">
        <f>VLOOKUP(C1106,#REF!,2,0)</f>
        <v>#REF!</v>
      </c>
      <c r="E1106" s="20" t="e">
        <f>VLOOKUP(D1106,数据集标准分类!E:F,2,0)</f>
        <v>#REF!</v>
      </c>
      <c r="F1106" s="21">
        <v>33</v>
      </c>
      <c r="G1106" s="22" t="s">
        <v>803</v>
      </c>
      <c r="H1106" s="22" t="s">
        <v>5608</v>
      </c>
      <c r="I1106" s="22" t="s">
        <v>806</v>
      </c>
      <c r="J1106" s="22" t="s">
        <v>804</v>
      </c>
      <c r="K1106" s="22" t="s">
        <v>806</v>
      </c>
      <c r="L1106" s="22" t="s">
        <v>807</v>
      </c>
      <c r="M1106" s="16" t="s">
        <v>5593</v>
      </c>
      <c r="N1106" s="16" t="s">
        <v>5595</v>
      </c>
      <c r="O1106" s="23">
        <v>41</v>
      </c>
      <c r="P1106" s="24" t="e">
        <f>VLOOKUP(I1106,#REF!,2,0)</f>
        <v>#REF!</v>
      </c>
      <c r="Q1106" s="25"/>
      <c r="R1106" s="24"/>
      <c r="S1106" s="26"/>
      <c r="T1106" s="24"/>
      <c r="U1106" s="26" t="s">
        <v>5593</v>
      </c>
      <c r="V1106" s="26"/>
      <c r="W1106" s="27">
        <v>795</v>
      </c>
      <c r="X1106" s="28"/>
    </row>
    <row r="1107" ht="46" spans="1:32">
      <c r="A1107" s="83" t="s">
        <v>4174</v>
      </c>
      <c r="B1107" s="84" t="s">
        <v>4175</v>
      </c>
      <c r="C1107" s="85" t="s">
        <v>662</v>
      </c>
      <c r="D1107" s="86" t="e">
        <f>VLOOKUP(C1107,#REF!,2,0)</f>
        <v>#REF!</v>
      </c>
      <c r="E1107" s="20" t="e">
        <f>VLOOKUP(D1107,数据集标准分类!E:F,2,0)</f>
        <v>#REF!</v>
      </c>
      <c r="F1107" s="87">
        <v>33</v>
      </c>
      <c r="G1107" s="88" t="s">
        <v>808</v>
      </c>
      <c r="H1107" s="88" t="s">
        <v>5607</v>
      </c>
      <c r="I1107" s="88" t="s">
        <v>811</v>
      </c>
      <c r="J1107" s="88" t="s">
        <v>809</v>
      </c>
      <c r="K1107" s="88" t="s">
        <v>811</v>
      </c>
      <c r="L1107" s="88" t="s">
        <v>812</v>
      </c>
      <c r="M1107" s="83" t="s">
        <v>5593</v>
      </c>
      <c r="N1107" s="83" t="s">
        <v>5595</v>
      </c>
      <c r="O1107" s="89">
        <v>42</v>
      </c>
      <c r="P1107" s="90" t="e">
        <f>VLOOKUP(I1107,#REF!,2,0)</f>
        <v>#REF!</v>
      </c>
      <c r="Q1107" s="91"/>
      <c r="R1107" s="90"/>
      <c r="S1107" s="92"/>
      <c r="T1107" s="90"/>
      <c r="U1107" s="92" t="s">
        <v>5593</v>
      </c>
      <c r="V1107" s="92" t="s">
        <v>5593</v>
      </c>
      <c r="W1107" s="93">
        <v>796</v>
      </c>
      <c r="X1107" s="94"/>
      <c r="Y1107" s="95"/>
      <c r="Z1107" s="95"/>
      <c r="AA1107" s="95"/>
      <c r="AB1107" s="95"/>
      <c r="AC1107" s="95"/>
      <c r="AD1107" s="95"/>
      <c r="AE1107" s="95"/>
      <c r="AF1107" s="95"/>
    </row>
    <row r="1108" ht="46" spans="1:32">
      <c r="A1108" s="16" t="s">
        <v>4174</v>
      </c>
      <c r="B1108" s="17" t="s">
        <v>4175</v>
      </c>
      <c r="C1108" s="30" t="s">
        <v>662</v>
      </c>
      <c r="D1108" s="19" t="e">
        <f>VLOOKUP(C1108,#REF!,2,0)</f>
        <v>#REF!</v>
      </c>
      <c r="E1108" s="20" t="e">
        <f>VLOOKUP(D1108,数据集标准分类!E:F,2,0)</f>
        <v>#REF!</v>
      </c>
      <c r="F1108" s="21">
        <v>33</v>
      </c>
      <c r="G1108" s="22" t="s">
        <v>813</v>
      </c>
      <c r="H1108" s="22" t="s">
        <v>5610</v>
      </c>
      <c r="I1108" s="22" t="s">
        <v>816</v>
      </c>
      <c r="J1108" s="22" t="s">
        <v>814</v>
      </c>
      <c r="K1108" s="22" t="s">
        <v>816</v>
      </c>
      <c r="L1108" s="22" t="s">
        <v>817</v>
      </c>
      <c r="M1108" s="16" t="s">
        <v>5593</v>
      </c>
      <c r="N1108" s="16" t="s">
        <v>5595</v>
      </c>
      <c r="O1108" s="23">
        <v>43</v>
      </c>
      <c r="P1108" s="24" t="e">
        <f>VLOOKUP(I1108,#REF!,2,0)</f>
        <v>#REF!</v>
      </c>
      <c r="Q1108" s="25"/>
      <c r="R1108" s="24"/>
      <c r="S1108" s="26"/>
      <c r="T1108" s="24"/>
      <c r="U1108" s="26" t="s">
        <v>5593</v>
      </c>
      <c r="V1108" s="26"/>
      <c r="W1108" s="27">
        <v>797</v>
      </c>
      <c r="X1108" s="28"/>
    </row>
    <row r="1109" ht="46" spans="1:32">
      <c r="A1109" s="83" t="s">
        <v>4174</v>
      </c>
      <c r="B1109" s="84" t="s">
        <v>4175</v>
      </c>
      <c r="C1109" s="85" t="s">
        <v>662</v>
      </c>
      <c r="D1109" s="86" t="e">
        <f>VLOOKUP(C1109,#REF!,2,0)</f>
        <v>#REF!</v>
      </c>
      <c r="E1109" s="20" t="e">
        <f>VLOOKUP(D1109,数据集标准分类!E:F,2,0)</f>
        <v>#REF!</v>
      </c>
      <c r="F1109" s="87">
        <v>33</v>
      </c>
      <c r="G1109" s="88" t="s">
        <v>818</v>
      </c>
      <c r="H1109" s="88" t="s">
        <v>5609</v>
      </c>
      <c r="I1109" s="88" t="s">
        <v>821</v>
      </c>
      <c r="J1109" s="88" t="s">
        <v>819</v>
      </c>
      <c r="K1109" s="88" t="s">
        <v>821</v>
      </c>
      <c r="L1109" s="88" t="s">
        <v>822</v>
      </c>
      <c r="M1109" s="83" t="s">
        <v>5593</v>
      </c>
      <c r="N1109" s="83" t="s">
        <v>5595</v>
      </c>
      <c r="O1109" s="89">
        <v>44</v>
      </c>
      <c r="P1109" s="90" t="e">
        <f>VLOOKUP(I1109,#REF!,2,0)</f>
        <v>#REF!</v>
      </c>
      <c r="Q1109" s="91"/>
      <c r="R1109" s="90"/>
      <c r="S1109" s="92"/>
      <c r="T1109" s="90"/>
      <c r="U1109" s="92" t="s">
        <v>5593</v>
      </c>
      <c r="V1109" s="92" t="s">
        <v>5593</v>
      </c>
      <c r="W1109" s="93">
        <v>798</v>
      </c>
      <c r="X1109" s="94"/>
      <c r="Y1109" s="95"/>
      <c r="Z1109" s="95"/>
      <c r="AA1109" s="95"/>
      <c r="AB1109" s="95"/>
      <c r="AC1109" s="95"/>
      <c r="AD1109" s="95"/>
      <c r="AE1109" s="95"/>
      <c r="AF1109" s="95"/>
    </row>
    <row r="1110" ht="31" spans="1:32">
      <c r="A1110" s="16" t="s">
        <v>4174</v>
      </c>
      <c r="B1110" s="17" t="s">
        <v>4175</v>
      </c>
      <c r="C1110" s="30" t="s">
        <v>662</v>
      </c>
      <c r="D1110" s="19" t="e">
        <f>VLOOKUP(C1110,#REF!,2,0)</f>
        <v>#REF!</v>
      </c>
      <c r="E1110" s="20" t="e">
        <f>VLOOKUP(D1110,数据集标准分类!E:F,2,0)</f>
        <v>#REF!</v>
      </c>
      <c r="F1110" s="21">
        <v>33</v>
      </c>
      <c r="G1110" s="29" t="s">
        <v>823</v>
      </c>
      <c r="H1110" s="29" t="s">
        <v>6065</v>
      </c>
      <c r="I1110" s="209" t="s">
        <v>826</v>
      </c>
      <c r="J1110" s="22" t="s">
        <v>824</v>
      </c>
      <c r="K1110" s="22" t="s">
        <v>826</v>
      </c>
      <c r="L1110" s="22" t="s">
        <v>827</v>
      </c>
      <c r="M1110" s="16" t="s">
        <v>5593</v>
      </c>
      <c r="N1110" s="16" t="s">
        <v>5595</v>
      </c>
      <c r="O1110" s="23">
        <v>45</v>
      </c>
      <c r="P1110" s="24" t="e">
        <f>VLOOKUP(I1110,#REF!,2,0)</f>
        <v>#REF!</v>
      </c>
      <c r="Q1110" s="25"/>
      <c r="R1110" s="24"/>
      <c r="S1110" s="26"/>
      <c r="T1110" s="24"/>
      <c r="U1110" s="26"/>
      <c r="V1110" s="26"/>
      <c r="W1110" s="27">
        <v>799</v>
      </c>
      <c r="X1110" s="28"/>
    </row>
    <row r="1111" spans="1:32">
      <c r="A1111" s="16" t="s">
        <v>4174</v>
      </c>
      <c r="B1111" s="17" t="s">
        <v>4175</v>
      </c>
      <c r="C1111" s="30" t="s">
        <v>662</v>
      </c>
      <c r="D1111" s="19" t="e">
        <f>VLOOKUP(C1111,#REF!,2,0)</f>
        <v>#REF!</v>
      </c>
      <c r="E1111" s="20" t="e">
        <f>VLOOKUP(D1111,数据集标准分类!E:F,2,0)</f>
        <v>#REF!</v>
      </c>
      <c r="F1111" s="21">
        <v>33</v>
      </c>
      <c r="G1111" s="22" t="s">
        <v>828</v>
      </c>
      <c r="H1111" s="22" t="s">
        <v>6066</v>
      </c>
      <c r="I1111" s="37" t="s">
        <v>831</v>
      </c>
      <c r="J1111" s="22" t="s">
        <v>829</v>
      </c>
      <c r="K1111" s="22" t="s">
        <v>831</v>
      </c>
      <c r="L1111" s="22" t="s">
        <v>832</v>
      </c>
      <c r="M1111" s="16" t="s">
        <v>5593</v>
      </c>
      <c r="N1111" s="16" t="s">
        <v>5595</v>
      </c>
      <c r="O1111" s="23">
        <v>46</v>
      </c>
      <c r="P1111" s="24" t="e">
        <f>VLOOKUP(I1111,#REF!,2,0)</f>
        <v>#REF!</v>
      </c>
      <c r="Q1111" s="25"/>
      <c r="R1111" s="24"/>
      <c r="S1111" s="26"/>
      <c r="T1111" s="24"/>
      <c r="U1111" s="26"/>
      <c r="V1111" s="26"/>
      <c r="W1111" s="27">
        <v>800</v>
      </c>
      <c r="X1111" s="28"/>
    </row>
    <row r="1112" ht="31" spans="1:32">
      <c r="A1112" s="83" t="s">
        <v>4174</v>
      </c>
      <c r="B1112" s="84" t="s">
        <v>4175</v>
      </c>
      <c r="C1112" s="85" t="s">
        <v>662</v>
      </c>
      <c r="D1112" s="86" t="e">
        <f>VLOOKUP(C1112,#REF!,2,0)</f>
        <v>#REF!</v>
      </c>
      <c r="E1112" s="20" t="e">
        <f>VLOOKUP(D1112,数据集标准分类!E:F,2,0)</f>
        <v>#REF!</v>
      </c>
      <c r="F1112" s="87">
        <v>33</v>
      </c>
      <c r="G1112" s="88" t="s">
        <v>833</v>
      </c>
      <c r="H1112" s="88" t="s">
        <v>6067</v>
      </c>
      <c r="I1112" s="88" t="s">
        <v>836</v>
      </c>
      <c r="J1112" s="88" t="s">
        <v>834</v>
      </c>
      <c r="K1112" s="88" t="s">
        <v>836</v>
      </c>
      <c r="L1112" s="88" t="s">
        <v>837</v>
      </c>
      <c r="M1112" s="83" t="s">
        <v>5593</v>
      </c>
      <c r="N1112" s="83" t="s">
        <v>5595</v>
      </c>
      <c r="O1112" s="89">
        <v>47</v>
      </c>
      <c r="P1112" s="90" t="e">
        <f>VLOOKUP(I1112,#REF!,2,0)</f>
        <v>#REF!</v>
      </c>
      <c r="Q1112" s="91"/>
      <c r="R1112" s="90"/>
      <c r="S1112" s="92"/>
      <c r="T1112" s="90"/>
      <c r="U1112" s="92" t="s">
        <v>5593</v>
      </c>
      <c r="V1112" s="92" t="s">
        <v>5593</v>
      </c>
      <c r="W1112" s="93">
        <v>801</v>
      </c>
      <c r="X1112" s="94"/>
      <c r="Y1112" s="95"/>
      <c r="Z1112" s="95"/>
      <c r="AA1112" s="95"/>
      <c r="AB1112" s="95"/>
      <c r="AC1112" s="95"/>
      <c r="AD1112" s="95"/>
      <c r="AE1112" s="95"/>
      <c r="AF1112" s="95"/>
    </row>
    <row r="1113" spans="1:32">
      <c r="A1113" s="16" t="s">
        <v>4174</v>
      </c>
      <c r="B1113" s="17" t="s">
        <v>4175</v>
      </c>
      <c r="C1113" s="30" t="s">
        <v>662</v>
      </c>
      <c r="D1113" s="19" t="e">
        <f>VLOOKUP(C1113,#REF!,2,0)</f>
        <v>#REF!</v>
      </c>
      <c r="E1113" s="20" t="e">
        <f>VLOOKUP(D1113,数据集标准分类!E:F,2,0)</f>
        <v>#REF!</v>
      </c>
      <c r="F1113" s="21">
        <v>33</v>
      </c>
      <c r="G1113" s="22" t="s">
        <v>838</v>
      </c>
      <c r="H1113" s="22" t="s">
        <v>6068</v>
      </c>
      <c r="I1113" s="22" t="s">
        <v>841</v>
      </c>
      <c r="J1113" s="22" t="s">
        <v>839</v>
      </c>
      <c r="K1113" s="22" t="s">
        <v>841</v>
      </c>
      <c r="L1113" s="22" t="s">
        <v>842</v>
      </c>
      <c r="M1113" s="16" t="s">
        <v>5593</v>
      </c>
      <c r="N1113" s="16" t="s">
        <v>5595</v>
      </c>
      <c r="O1113" s="23">
        <v>48</v>
      </c>
      <c r="P1113" s="24" t="e">
        <f>VLOOKUP(I1113,#REF!,2,0)</f>
        <v>#REF!</v>
      </c>
      <c r="Q1113" s="25"/>
      <c r="R1113" s="24"/>
      <c r="S1113" s="26"/>
      <c r="T1113" s="24"/>
      <c r="U1113" s="26" t="s">
        <v>5593</v>
      </c>
      <c r="V1113" s="26"/>
      <c r="W1113" s="27">
        <v>802</v>
      </c>
      <c r="X1113" s="28"/>
    </row>
    <row r="1114" ht="31" spans="1:32">
      <c r="A1114" s="83" t="s">
        <v>4174</v>
      </c>
      <c r="B1114" s="84" t="s">
        <v>4175</v>
      </c>
      <c r="C1114" s="85" t="s">
        <v>662</v>
      </c>
      <c r="D1114" s="86" t="e">
        <f>VLOOKUP(C1114,#REF!,2,0)</f>
        <v>#REF!</v>
      </c>
      <c r="E1114" s="20" t="e">
        <f>VLOOKUP(D1114,数据集标准分类!E:F,2,0)</f>
        <v>#REF!</v>
      </c>
      <c r="F1114" s="87">
        <v>33</v>
      </c>
      <c r="G1114" s="88" t="s">
        <v>843</v>
      </c>
      <c r="H1114" s="88" t="s">
        <v>6069</v>
      </c>
      <c r="I1114" s="88" t="s">
        <v>846</v>
      </c>
      <c r="J1114" s="88" t="s">
        <v>844</v>
      </c>
      <c r="K1114" s="88" t="s">
        <v>846</v>
      </c>
      <c r="L1114" s="88" t="s">
        <v>847</v>
      </c>
      <c r="M1114" s="83" t="s">
        <v>5593</v>
      </c>
      <c r="N1114" s="83" t="s">
        <v>5595</v>
      </c>
      <c r="O1114" s="89">
        <v>49</v>
      </c>
      <c r="P1114" s="90" t="e">
        <f>VLOOKUP(I1114,#REF!,2,0)</f>
        <v>#REF!</v>
      </c>
      <c r="Q1114" s="91"/>
      <c r="R1114" s="90"/>
      <c r="S1114" s="92"/>
      <c r="T1114" s="90"/>
      <c r="U1114" s="92" t="s">
        <v>5593</v>
      </c>
      <c r="V1114" s="92" t="s">
        <v>5593</v>
      </c>
      <c r="W1114" s="93">
        <v>803</v>
      </c>
      <c r="X1114" s="94"/>
      <c r="Y1114" s="95"/>
      <c r="Z1114" s="95"/>
      <c r="AA1114" s="95"/>
      <c r="AB1114" s="95"/>
      <c r="AC1114" s="95"/>
      <c r="AD1114" s="95"/>
      <c r="AE1114" s="95"/>
      <c r="AF1114" s="95"/>
    </row>
    <row r="1115" ht="31" spans="1:32">
      <c r="A1115" s="16" t="s">
        <v>4174</v>
      </c>
      <c r="B1115" s="17" t="s">
        <v>4175</v>
      </c>
      <c r="C1115" s="30" t="s">
        <v>662</v>
      </c>
      <c r="D1115" s="19" t="e">
        <f>VLOOKUP(C1115,#REF!,2,0)</f>
        <v>#REF!</v>
      </c>
      <c r="E1115" s="20" t="e">
        <f>VLOOKUP(D1115,数据集标准分类!E:F,2,0)</f>
        <v>#REF!</v>
      </c>
      <c r="F1115" s="21">
        <v>33</v>
      </c>
      <c r="G1115" s="22" t="s">
        <v>848</v>
      </c>
      <c r="H1115" s="22" t="s">
        <v>6070</v>
      </c>
      <c r="I1115" s="22" t="s">
        <v>851</v>
      </c>
      <c r="J1115" s="22" t="s">
        <v>849</v>
      </c>
      <c r="K1115" s="22" t="s">
        <v>851</v>
      </c>
      <c r="L1115" s="22" t="s">
        <v>852</v>
      </c>
      <c r="M1115" s="16" t="s">
        <v>5593</v>
      </c>
      <c r="N1115" s="16" t="s">
        <v>5595</v>
      </c>
      <c r="O1115" s="23">
        <v>50</v>
      </c>
      <c r="P1115" s="24" t="e">
        <f>VLOOKUP(I1115,#REF!,2,0)</f>
        <v>#REF!</v>
      </c>
      <c r="Q1115" s="25"/>
      <c r="R1115" s="24"/>
      <c r="S1115" s="26"/>
      <c r="T1115" s="24"/>
      <c r="U1115" s="26" t="s">
        <v>5593</v>
      </c>
      <c r="V1115" s="26"/>
      <c r="W1115" s="27">
        <v>804</v>
      </c>
      <c r="X1115" s="28"/>
    </row>
    <row r="1116" ht="31" spans="1:32">
      <c r="A1116" s="83" t="s">
        <v>4174</v>
      </c>
      <c r="B1116" s="84" t="s">
        <v>4175</v>
      </c>
      <c r="C1116" s="85" t="s">
        <v>662</v>
      </c>
      <c r="D1116" s="86" t="e">
        <f>VLOOKUP(C1116,#REF!,2,0)</f>
        <v>#REF!</v>
      </c>
      <c r="E1116" s="20" t="e">
        <f>VLOOKUP(D1116,数据集标准分类!E:F,2,0)</f>
        <v>#REF!</v>
      </c>
      <c r="F1116" s="87">
        <v>33</v>
      </c>
      <c r="G1116" s="88" t="s">
        <v>853</v>
      </c>
      <c r="H1116" s="88" t="s">
        <v>6071</v>
      </c>
      <c r="I1116" s="88" t="s">
        <v>856</v>
      </c>
      <c r="J1116" s="88" t="s">
        <v>854</v>
      </c>
      <c r="K1116" s="88" t="s">
        <v>856</v>
      </c>
      <c r="L1116" s="88" t="s">
        <v>857</v>
      </c>
      <c r="M1116" s="83" t="s">
        <v>5593</v>
      </c>
      <c r="N1116" s="83" t="s">
        <v>5595</v>
      </c>
      <c r="O1116" s="89">
        <v>51</v>
      </c>
      <c r="P1116" s="90" t="e">
        <f>VLOOKUP(I1116,#REF!,2,0)</f>
        <v>#REF!</v>
      </c>
      <c r="Q1116" s="91"/>
      <c r="R1116" s="90"/>
      <c r="S1116" s="92"/>
      <c r="T1116" s="90"/>
      <c r="U1116" s="92" t="s">
        <v>5593</v>
      </c>
      <c r="V1116" s="92" t="s">
        <v>5593</v>
      </c>
      <c r="W1116" s="93">
        <v>805</v>
      </c>
      <c r="X1116" s="94"/>
      <c r="Y1116" s="95"/>
      <c r="Z1116" s="95"/>
      <c r="AA1116" s="95"/>
      <c r="AB1116" s="95"/>
      <c r="AC1116" s="95"/>
      <c r="AD1116" s="95"/>
      <c r="AE1116" s="95"/>
      <c r="AF1116" s="95"/>
    </row>
    <row r="1117" ht="31" spans="1:32">
      <c r="A1117" s="16" t="s">
        <v>4174</v>
      </c>
      <c r="B1117" s="17" t="s">
        <v>4175</v>
      </c>
      <c r="C1117" s="30" t="s">
        <v>662</v>
      </c>
      <c r="D1117" s="19" t="e">
        <f>VLOOKUP(C1117,#REF!,2,0)</f>
        <v>#REF!</v>
      </c>
      <c r="E1117" s="20" t="e">
        <f>VLOOKUP(D1117,数据集标准分类!E:F,2,0)</f>
        <v>#REF!</v>
      </c>
      <c r="F1117" s="21">
        <v>33</v>
      </c>
      <c r="G1117" s="29" t="s">
        <v>858</v>
      </c>
      <c r="H1117" s="29" t="s">
        <v>6072</v>
      </c>
      <c r="I1117" s="30" t="s">
        <v>861</v>
      </c>
      <c r="J1117" s="22" t="s">
        <v>859</v>
      </c>
      <c r="K1117" s="22" t="s">
        <v>861</v>
      </c>
      <c r="L1117" s="22" t="s">
        <v>862</v>
      </c>
      <c r="M1117" s="16" t="s">
        <v>5593</v>
      </c>
      <c r="N1117" s="16" t="s">
        <v>5595</v>
      </c>
      <c r="O1117" s="23">
        <v>52</v>
      </c>
      <c r="P1117" s="24" t="e">
        <f>VLOOKUP(I1117,#REF!,2,0)</f>
        <v>#REF!</v>
      </c>
      <c r="Q1117" s="25"/>
      <c r="R1117" s="24"/>
      <c r="S1117" s="26"/>
      <c r="T1117" s="24"/>
      <c r="U1117" s="26"/>
      <c r="V1117" s="26"/>
      <c r="W1117" s="27">
        <v>806</v>
      </c>
      <c r="X1117" s="28"/>
    </row>
    <row r="1118" spans="1:32">
      <c r="A1118" s="16" t="s">
        <v>4174</v>
      </c>
      <c r="B1118" s="17" t="s">
        <v>4175</v>
      </c>
      <c r="C1118" s="30" t="s">
        <v>662</v>
      </c>
      <c r="D1118" s="19" t="e">
        <f>VLOOKUP(C1118,#REF!,2,0)</f>
        <v>#REF!</v>
      </c>
      <c r="E1118" s="20" t="e">
        <f>VLOOKUP(D1118,数据集标准分类!E:F,2,0)</f>
        <v>#REF!</v>
      </c>
      <c r="F1118" s="21">
        <v>33</v>
      </c>
      <c r="G1118" s="22" t="s">
        <v>863</v>
      </c>
      <c r="H1118" s="22" t="s">
        <v>6073</v>
      </c>
      <c r="I1118" s="22" t="s">
        <v>866</v>
      </c>
      <c r="J1118" s="22" t="s">
        <v>864</v>
      </c>
      <c r="K1118" s="22" t="s">
        <v>866</v>
      </c>
      <c r="L1118" s="22" t="s">
        <v>867</v>
      </c>
      <c r="M1118" s="16" t="s">
        <v>5593</v>
      </c>
      <c r="N1118" s="16" t="s">
        <v>5595</v>
      </c>
      <c r="O1118" s="23">
        <v>53</v>
      </c>
      <c r="P1118" s="24" t="e">
        <f>VLOOKUP(I1118,#REF!,2,0)</f>
        <v>#REF!</v>
      </c>
      <c r="Q1118" s="25"/>
      <c r="R1118" s="24"/>
      <c r="S1118" s="26"/>
      <c r="T1118" s="24"/>
      <c r="U1118" s="26"/>
      <c r="V1118" s="26"/>
      <c r="W1118" s="27">
        <v>807</v>
      </c>
      <c r="X1118" s="28"/>
    </row>
    <row r="1119" ht="31" spans="1:32">
      <c r="A1119" s="83" t="s">
        <v>4174</v>
      </c>
      <c r="B1119" s="84" t="s">
        <v>4175</v>
      </c>
      <c r="C1119" s="85" t="s">
        <v>662</v>
      </c>
      <c r="D1119" s="86" t="e">
        <f>VLOOKUP(C1119,#REF!,2,0)</f>
        <v>#REF!</v>
      </c>
      <c r="E1119" s="20" t="e">
        <f>VLOOKUP(D1119,数据集标准分类!E:F,2,0)</f>
        <v>#REF!</v>
      </c>
      <c r="F1119" s="87">
        <v>33</v>
      </c>
      <c r="G1119" s="88" t="s">
        <v>868</v>
      </c>
      <c r="H1119" s="88" t="s">
        <v>6074</v>
      </c>
      <c r="I1119" s="88" t="s">
        <v>871</v>
      </c>
      <c r="J1119" s="88" t="s">
        <v>869</v>
      </c>
      <c r="K1119" s="88" t="s">
        <v>871</v>
      </c>
      <c r="L1119" s="88" t="s">
        <v>872</v>
      </c>
      <c r="M1119" s="83" t="s">
        <v>5593</v>
      </c>
      <c r="N1119" s="83" t="s">
        <v>5595</v>
      </c>
      <c r="O1119" s="89">
        <v>54</v>
      </c>
      <c r="P1119" s="90" t="e">
        <f>VLOOKUP(I1119,#REF!,2,0)</f>
        <v>#REF!</v>
      </c>
      <c r="Q1119" s="91"/>
      <c r="R1119" s="90"/>
      <c r="S1119" s="92"/>
      <c r="T1119" s="90"/>
      <c r="U1119" s="92" t="s">
        <v>5593</v>
      </c>
      <c r="V1119" s="92" t="s">
        <v>5593</v>
      </c>
      <c r="W1119" s="93">
        <v>808</v>
      </c>
      <c r="X1119" s="94"/>
      <c r="Y1119" s="95"/>
      <c r="Z1119" s="95"/>
      <c r="AA1119" s="95"/>
      <c r="AB1119" s="95"/>
      <c r="AC1119" s="95"/>
      <c r="AD1119" s="95"/>
      <c r="AE1119" s="95"/>
      <c r="AF1119" s="95"/>
    </row>
    <row r="1120" spans="1:32">
      <c r="A1120" s="210" t="s">
        <v>4174</v>
      </c>
      <c r="B1120" s="211" t="s">
        <v>4175</v>
      </c>
      <c r="C1120" s="212" t="s">
        <v>662</v>
      </c>
      <c r="D1120" s="213" t="e">
        <f>VLOOKUP(C1120,#REF!,2,0)</f>
        <v>#REF!</v>
      </c>
      <c r="E1120" s="20" t="e">
        <f>VLOOKUP(D1120,数据集标准分类!E:F,2,0)</f>
        <v>#REF!</v>
      </c>
      <c r="F1120" s="214">
        <v>33</v>
      </c>
      <c r="G1120" s="215" t="s">
        <v>873</v>
      </c>
      <c r="H1120" s="215" t="s">
        <v>6075</v>
      </c>
      <c r="I1120" s="215" t="s">
        <v>876</v>
      </c>
      <c r="J1120" s="215" t="s">
        <v>874</v>
      </c>
      <c r="K1120" s="215" t="s">
        <v>876</v>
      </c>
      <c r="L1120" s="215" t="s">
        <v>877</v>
      </c>
      <c r="M1120" s="210" t="s">
        <v>5593</v>
      </c>
      <c r="N1120" s="210" t="s">
        <v>5595</v>
      </c>
      <c r="O1120" s="216">
        <v>55</v>
      </c>
      <c r="P1120" s="217" t="e">
        <f>VLOOKUP(I1120,#REF!,2,0)</f>
        <v>#REF!</v>
      </c>
      <c r="Q1120" s="218"/>
      <c r="R1120" s="217"/>
      <c r="S1120" s="219"/>
      <c r="T1120" s="217"/>
      <c r="U1120" s="219" t="s">
        <v>5593</v>
      </c>
      <c r="V1120" s="219"/>
      <c r="W1120" s="220">
        <v>809</v>
      </c>
      <c r="X1120" s="221"/>
      <c r="Y1120" s="222"/>
      <c r="Z1120" s="222"/>
      <c r="AA1120" s="222"/>
      <c r="AB1120" s="222"/>
      <c r="AC1120" s="222"/>
      <c r="AD1120" s="222"/>
      <c r="AE1120" s="222"/>
      <c r="AF1120" s="222"/>
    </row>
    <row r="1121" ht="31" spans="1:32">
      <c r="A1121" s="83" t="s">
        <v>4174</v>
      </c>
      <c r="B1121" s="84" t="s">
        <v>4175</v>
      </c>
      <c r="C1121" s="85" t="s">
        <v>662</v>
      </c>
      <c r="D1121" s="86" t="e">
        <f>VLOOKUP(C1121,#REF!,2,0)</f>
        <v>#REF!</v>
      </c>
      <c r="E1121" s="20" t="e">
        <f>VLOOKUP(D1121,数据集标准分类!E:F,2,0)</f>
        <v>#REF!</v>
      </c>
      <c r="F1121" s="87">
        <v>33</v>
      </c>
      <c r="G1121" s="88" t="s">
        <v>878</v>
      </c>
      <c r="H1121" s="88" t="s">
        <v>6076</v>
      </c>
      <c r="I1121" s="88" t="s">
        <v>881</v>
      </c>
      <c r="J1121" s="88" t="s">
        <v>879</v>
      </c>
      <c r="K1121" s="88" t="s">
        <v>881</v>
      </c>
      <c r="L1121" s="88" t="s">
        <v>882</v>
      </c>
      <c r="M1121" s="83" t="s">
        <v>5593</v>
      </c>
      <c r="N1121" s="83" t="s">
        <v>5595</v>
      </c>
      <c r="O1121" s="89">
        <v>56</v>
      </c>
      <c r="P1121" s="90" t="e">
        <f>VLOOKUP(I1121,#REF!,2,0)</f>
        <v>#REF!</v>
      </c>
      <c r="Q1121" s="91"/>
      <c r="R1121" s="90"/>
      <c r="S1121" s="92"/>
      <c r="T1121" s="90"/>
      <c r="U1121" s="92" t="s">
        <v>5593</v>
      </c>
      <c r="V1121" s="92" t="s">
        <v>5593</v>
      </c>
      <c r="W1121" s="93">
        <v>810</v>
      </c>
      <c r="X1121" s="94"/>
      <c r="Y1121" s="95"/>
      <c r="Z1121" s="95"/>
      <c r="AA1121" s="95"/>
      <c r="AB1121" s="95"/>
      <c r="AC1121" s="95"/>
      <c r="AD1121" s="95"/>
      <c r="AE1121" s="95"/>
      <c r="AF1121" s="95"/>
    </row>
    <row r="1122" ht="31" spans="1:32">
      <c r="A1122" s="16" t="s">
        <v>4174</v>
      </c>
      <c r="B1122" s="17" t="s">
        <v>4175</v>
      </c>
      <c r="C1122" s="30" t="s">
        <v>662</v>
      </c>
      <c r="D1122" s="19" t="e">
        <f>VLOOKUP(C1122,#REF!,2,0)</f>
        <v>#REF!</v>
      </c>
      <c r="E1122" s="20" t="e">
        <f>VLOOKUP(D1122,数据集标准分类!E:F,2,0)</f>
        <v>#REF!</v>
      </c>
      <c r="F1122" s="21">
        <v>33</v>
      </c>
      <c r="G1122" s="22" t="s">
        <v>883</v>
      </c>
      <c r="H1122" s="22" t="s">
        <v>6077</v>
      </c>
      <c r="I1122" s="22" t="s">
        <v>886</v>
      </c>
      <c r="J1122" s="22" t="s">
        <v>884</v>
      </c>
      <c r="K1122" s="22" t="s">
        <v>886</v>
      </c>
      <c r="L1122" s="22" t="s">
        <v>887</v>
      </c>
      <c r="M1122" s="16" t="s">
        <v>5593</v>
      </c>
      <c r="N1122" s="16" t="s">
        <v>5595</v>
      </c>
      <c r="O1122" s="23">
        <v>57</v>
      </c>
      <c r="P1122" s="24" t="e">
        <f>VLOOKUP(I1122,#REF!,2,0)</f>
        <v>#REF!</v>
      </c>
      <c r="Q1122" s="25"/>
      <c r="R1122" s="24"/>
      <c r="S1122" s="26"/>
      <c r="T1122" s="24"/>
      <c r="U1122" s="26" t="s">
        <v>5593</v>
      </c>
      <c r="V1122" s="26"/>
      <c r="W1122" s="27">
        <v>811</v>
      </c>
      <c r="X1122" s="28"/>
    </row>
    <row r="1123" ht="31" spans="1:32">
      <c r="A1123" s="83" t="s">
        <v>4174</v>
      </c>
      <c r="B1123" s="84" t="s">
        <v>4175</v>
      </c>
      <c r="C1123" s="85" t="s">
        <v>662</v>
      </c>
      <c r="D1123" s="86" t="e">
        <f>VLOOKUP(C1123,#REF!,2,0)</f>
        <v>#REF!</v>
      </c>
      <c r="E1123" s="20" t="e">
        <f>VLOOKUP(D1123,数据集标准分类!E:F,2,0)</f>
        <v>#REF!</v>
      </c>
      <c r="F1123" s="87">
        <v>33</v>
      </c>
      <c r="G1123" s="88" t="s">
        <v>888</v>
      </c>
      <c r="H1123" s="88" t="s">
        <v>6078</v>
      </c>
      <c r="I1123" s="88" t="s">
        <v>891</v>
      </c>
      <c r="J1123" s="88" t="s">
        <v>889</v>
      </c>
      <c r="K1123" s="88" t="s">
        <v>891</v>
      </c>
      <c r="L1123" s="88" t="s">
        <v>892</v>
      </c>
      <c r="M1123" s="83" t="s">
        <v>5593</v>
      </c>
      <c r="N1123" s="83" t="s">
        <v>5595</v>
      </c>
      <c r="O1123" s="89">
        <v>58</v>
      </c>
      <c r="P1123" s="90" t="e">
        <f>VLOOKUP(I1123,#REF!,2,0)</f>
        <v>#REF!</v>
      </c>
      <c r="Q1123" s="91"/>
      <c r="R1123" s="90"/>
      <c r="S1123" s="92"/>
      <c r="T1123" s="90"/>
      <c r="U1123" s="92" t="s">
        <v>5593</v>
      </c>
      <c r="V1123" s="92" t="s">
        <v>5593</v>
      </c>
      <c r="W1123" s="93">
        <v>812</v>
      </c>
      <c r="X1123" s="94"/>
      <c r="Y1123" s="95"/>
      <c r="Z1123" s="95"/>
      <c r="AA1123" s="95"/>
      <c r="AB1123" s="95"/>
      <c r="AC1123" s="95"/>
      <c r="AD1123" s="95"/>
      <c r="AE1123" s="95"/>
      <c r="AF1123" s="95"/>
    </row>
    <row r="1124" ht="31" spans="1:32">
      <c r="A1124" s="16" t="s">
        <v>4174</v>
      </c>
      <c r="B1124" s="17" t="s">
        <v>4175</v>
      </c>
      <c r="C1124" s="30" t="s">
        <v>662</v>
      </c>
      <c r="D1124" s="19" t="e">
        <f>VLOOKUP(C1124,#REF!,2,0)</f>
        <v>#REF!</v>
      </c>
      <c r="E1124" s="20" t="e">
        <f>VLOOKUP(D1124,数据集标准分类!E:F,2,0)</f>
        <v>#REF!</v>
      </c>
      <c r="F1124" s="21">
        <v>33</v>
      </c>
      <c r="G1124" s="64" t="s">
        <v>893</v>
      </c>
      <c r="H1124" s="64" t="s">
        <v>6079</v>
      </c>
      <c r="I1124" s="29" t="s">
        <v>896</v>
      </c>
      <c r="J1124" s="22" t="s">
        <v>894</v>
      </c>
      <c r="K1124" s="22" t="s">
        <v>896</v>
      </c>
      <c r="L1124" s="22" t="s">
        <v>897</v>
      </c>
      <c r="M1124" s="16" t="s">
        <v>5593</v>
      </c>
      <c r="N1124" s="16" t="s">
        <v>5595</v>
      </c>
      <c r="O1124" s="23">
        <v>59</v>
      </c>
      <c r="P1124" s="24" t="e">
        <f>VLOOKUP(I1124,#REF!,2,0)</f>
        <v>#REF!</v>
      </c>
      <c r="Q1124" s="25"/>
      <c r="R1124" s="24"/>
      <c r="S1124" s="26"/>
      <c r="T1124" s="24"/>
      <c r="U1124" s="26"/>
      <c r="V1124" s="26"/>
      <c r="W1124" s="27">
        <v>813</v>
      </c>
      <c r="X1124" s="28"/>
    </row>
    <row r="1125" spans="1:32">
      <c r="A1125" s="16" t="s">
        <v>4174</v>
      </c>
      <c r="B1125" s="17" t="s">
        <v>4175</v>
      </c>
      <c r="C1125" s="30" t="s">
        <v>662</v>
      </c>
      <c r="D1125" s="19" t="e">
        <f>VLOOKUP(C1125,#REF!,2,0)</f>
        <v>#REF!</v>
      </c>
      <c r="E1125" s="20" t="e">
        <f>VLOOKUP(D1125,数据集标准分类!E:F,2,0)</f>
        <v>#REF!</v>
      </c>
      <c r="F1125" s="21">
        <v>33</v>
      </c>
      <c r="G1125" s="22" t="s">
        <v>898</v>
      </c>
      <c r="H1125" s="22" t="s">
        <v>6080</v>
      </c>
      <c r="I1125" s="22" t="s">
        <v>901</v>
      </c>
      <c r="J1125" s="22" t="s">
        <v>899</v>
      </c>
      <c r="K1125" s="22" t="s">
        <v>901</v>
      </c>
      <c r="L1125" s="22" t="s">
        <v>902</v>
      </c>
      <c r="M1125" s="16" t="s">
        <v>5593</v>
      </c>
      <c r="N1125" s="16" t="s">
        <v>5595</v>
      </c>
      <c r="O1125" s="23">
        <v>60</v>
      </c>
      <c r="P1125" s="24" t="e">
        <f>VLOOKUP(I1125,#REF!,2,0)</f>
        <v>#REF!</v>
      </c>
      <c r="Q1125" s="25"/>
      <c r="R1125" s="24"/>
      <c r="S1125" s="26"/>
      <c r="T1125" s="24"/>
      <c r="U1125" s="26"/>
      <c r="V1125" s="26"/>
      <c r="W1125" s="27">
        <v>814</v>
      </c>
      <c r="X1125" s="28"/>
    </row>
    <row r="1126" ht="31" spans="1:32">
      <c r="A1126" s="83" t="s">
        <v>4174</v>
      </c>
      <c r="B1126" s="84" t="s">
        <v>4175</v>
      </c>
      <c r="C1126" s="85" t="s">
        <v>662</v>
      </c>
      <c r="D1126" s="86" t="e">
        <f>VLOOKUP(C1126,#REF!,2,0)</f>
        <v>#REF!</v>
      </c>
      <c r="E1126" s="20" t="e">
        <f>VLOOKUP(D1126,数据集标准分类!E:F,2,0)</f>
        <v>#REF!</v>
      </c>
      <c r="F1126" s="87">
        <v>33</v>
      </c>
      <c r="G1126" s="88" t="s">
        <v>903</v>
      </c>
      <c r="H1126" s="88" t="s">
        <v>6081</v>
      </c>
      <c r="I1126" s="88" t="s">
        <v>906</v>
      </c>
      <c r="J1126" s="88" t="s">
        <v>904</v>
      </c>
      <c r="K1126" s="88" t="s">
        <v>906</v>
      </c>
      <c r="L1126" s="88" t="s">
        <v>907</v>
      </c>
      <c r="M1126" s="83" t="s">
        <v>5593</v>
      </c>
      <c r="N1126" s="83" t="s">
        <v>5595</v>
      </c>
      <c r="O1126" s="89">
        <v>61</v>
      </c>
      <c r="P1126" s="90" t="e">
        <f>VLOOKUP(I1126,#REF!,2,0)</f>
        <v>#REF!</v>
      </c>
      <c r="Q1126" s="91"/>
      <c r="R1126" s="90"/>
      <c r="S1126" s="92"/>
      <c r="T1126" s="90"/>
      <c r="U1126" s="92" t="s">
        <v>5593</v>
      </c>
      <c r="V1126" s="92"/>
      <c r="W1126" s="93">
        <v>815</v>
      </c>
      <c r="X1126" s="94"/>
      <c r="Y1126" s="95"/>
      <c r="Z1126" s="95"/>
      <c r="AA1126" s="95"/>
      <c r="AB1126" s="95"/>
      <c r="AC1126" s="95"/>
      <c r="AD1126" s="95"/>
      <c r="AE1126" s="95"/>
      <c r="AF1126" s="95"/>
    </row>
    <row r="1127" ht="24" customHeight="1" spans="1:32">
      <c r="A1127" s="16" t="s">
        <v>4174</v>
      </c>
      <c r="B1127" s="17" t="s">
        <v>4175</v>
      </c>
      <c r="C1127" s="30" t="s">
        <v>662</v>
      </c>
      <c r="D1127" s="19" t="e">
        <f>VLOOKUP(C1127,#REF!,2,0)</f>
        <v>#REF!</v>
      </c>
      <c r="E1127" s="20" t="e">
        <f>VLOOKUP(D1127,数据集标准分类!E:F,2,0)</f>
        <v>#REF!</v>
      </c>
      <c r="F1127" s="21">
        <v>33</v>
      </c>
      <c r="G1127" s="29" t="s">
        <v>908</v>
      </c>
      <c r="H1127" s="29" t="s">
        <v>6082</v>
      </c>
      <c r="I1127" s="29" t="s">
        <v>911</v>
      </c>
      <c r="J1127" s="22" t="s">
        <v>909</v>
      </c>
      <c r="K1127" s="22" t="s">
        <v>911</v>
      </c>
      <c r="L1127" s="22" t="s">
        <v>912</v>
      </c>
      <c r="M1127" s="16" t="s">
        <v>5593</v>
      </c>
      <c r="N1127" s="16" t="s">
        <v>5595</v>
      </c>
      <c r="O1127" s="23">
        <v>62</v>
      </c>
      <c r="P1127" s="24" t="e">
        <f>VLOOKUP(I1127,#REF!,2,0)</f>
        <v>#REF!</v>
      </c>
      <c r="Q1127" s="25"/>
      <c r="R1127" s="24"/>
      <c r="S1127" s="26"/>
      <c r="T1127" s="24"/>
      <c r="U1127" s="26"/>
      <c r="V1127" s="26"/>
      <c r="W1127" s="27">
        <v>816</v>
      </c>
      <c r="X1127" s="28"/>
    </row>
    <row r="1128" ht="31" spans="1:32">
      <c r="A1128" s="16" t="s">
        <v>4174</v>
      </c>
      <c r="B1128" s="17" t="s">
        <v>4175</v>
      </c>
      <c r="C1128" s="30" t="s">
        <v>662</v>
      </c>
      <c r="D1128" s="19" t="e">
        <f>VLOOKUP(C1128,#REF!,2,0)</f>
        <v>#REF!</v>
      </c>
      <c r="E1128" s="20" t="e">
        <f>VLOOKUP(D1128,数据集标准分类!E:F,2,0)</f>
        <v>#REF!</v>
      </c>
      <c r="F1128" s="21">
        <v>33</v>
      </c>
      <c r="G1128" s="22" t="s">
        <v>913</v>
      </c>
      <c r="H1128" s="22" t="s">
        <v>6083</v>
      </c>
      <c r="I1128" s="22" t="s">
        <v>916</v>
      </c>
      <c r="J1128" s="22" t="s">
        <v>914</v>
      </c>
      <c r="K1128" s="22" t="s">
        <v>916</v>
      </c>
      <c r="L1128" s="22" t="s">
        <v>917</v>
      </c>
      <c r="M1128" s="16" t="s">
        <v>5593</v>
      </c>
      <c r="N1128" s="16" t="s">
        <v>5595</v>
      </c>
      <c r="O1128" s="23">
        <v>63</v>
      </c>
      <c r="P1128" s="24" t="e">
        <f>VLOOKUP(I1128,#REF!,2,0)</f>
        <v>#REF!</v>
      </c>
      <c r="Q1128" s="25"/>
      <c r="R1128" s="24"/>
      <c r="S1128" s="26"/>
      <c r="T1128" s="24"/>
      <c r="U1128" s="26"/>
      <c r="V1128" s="26"/>
      <c r="W1128" s="27">
        <v>817</v>
      </c>
      <c r="X1128" s="28"/>
    </row>
    <row r="1129" ht="46" spans="1:32">
      <c r="A1129" s="16" t="s">
        <v>4174</v>
      </c>
      <c r="B1129" s="17" t="s">
        <v>4175</v>
      </c>
      <c r="C1129" s="30" t="s">
        <v>923</v>
      </c>
      <c r="D1129" s="19" t="e">
        <f>VLOOKUP(C1129,#REF!,2,0)</f>
        <v>#REF!</v>
      </c>
      <c r="E1129" s="20" t="e">
        <f>VLOOKUP(D1129,数据集标准分类!E:F,2,0)</f>
        <v>#REF!</v>
      </c>
      <c r="F1129" s="21">
        <v>34</v>
      </c>
      <c r="G1129" s="22" t="s">
        <v>152</v>
      </c>
      <c r="H1129" s="22" t="s">
        <v>5905</v>
      </c>
      <c r="I1129" s="22" t="s">
        <v>5906</v>
      </c>
      <c r="J1129" s="22" t="s">
        <v>153</v>
      </c>
      <c r="K1129" s="22" t="s">
        <v>155</v>
      </c>
      <c r="L1129" s="22" t="s">
        <v>156</v>
      </c>
      <c r="M1129" s="16" t="s">
        <v>5593</v>
      </c>
      <c r="N1129" s="16" t="s">
        <v>5593</v>
      </c>
      <c r="O1129" s="23">
        <v>1</v>
      </c>
      <c r="P1129" s="24" t="e">
        <f>VLOOKUP(I1129,#REF!,2,0)</f>
        <v>#REF!</v>
      </c>
      <c r="Q1129" s="25"/>
      <c r="R1129" s="24"/>
      <c r="S1129" s="26"/>
      <c r="T1129" s="24"/>
      <c r="U1129" s="26"/>
      <c r="V1129" s="26"/>
      <c r="W1129" s="27">
        <v>818</v>
      </c>
      <c r="X1129" s="28"/>
    </row>
    <row r="1130" ht="46" spans="1:32">
      <c r="A1130" s="16" t="s">
        <v>4174</v>
      </c>
      <c r="B1130" s="17" t="s">
        <v>4175</v>
      </c>
      <c r="C1130" s="30" t="s">
        <v>923</v>
      </c>
      <c r="D1130" s="19" t="e">
        <f>VLOOKUP(C1130,#REF!,2,0)</f>
        <v>#REF!</v>
      </c>
      <c r="E1130" s="20" t="e">
        <f>VLOOKUP(D1130,数据集标准分类!E:F,2,0)</f>
        <v>#REF!</v>
      </c>
      <c r="F1130" s="21">
        <v>34</v>
      </c>
      <c r="G1130" s="22" t="s">
        <v>157</v>
      </c>
      <c r="H1130" s="22" t="s">
        <v>158</v>
      </c>
      <c r="I1130" s="22" t="s">
        <v>5955</v>
      </c>
      <c r="J1130" s="22" t="s">
        <v>158</v>
      </c>
      <c r="K1130" s="22" t="s">
        <v>160</v>
      </c>
      <c r="L1130" s="22" t="s">
        <v>161</v>
      </c>
      <c r="M1130" s="16" t="s">
        <v>5595</v>
      </c>
      <c r="N1130" s="16" t="s">
        <v>5593</v>
      </c>
      <c r="O1130" s="23">
        <v>2</v>
      </c>
      <c r="P1130" s="24" t="e">
        <f>VLOOKUP(I1130,#REF!,2,0)</f>
        <v>#REF!</v>
      </c>
      <c r="Q1130" s="25"/>
      <c r="R1130" s="24"/>
      <c r="S1130" s="26"/>
      <c r="T1130" s="24"/>
      <c r="U1130" s="26"/>
      <c r="V1130" s="26"/>
      <c r="W1130" s="27">
        <v>819</v>
      </c>
      <c r="X1130" s="28"/>
    </row>
    <row r="1131" ht="61" spans="1:32">
      <c r="A1131" s="16" t="s">
        <v>4174</v>
      </c>
      <c r="B1131" s="17" t="s">
        <v>4175</v>
      </c>
      <c r="C1131" s="30" t="s">
        <v>923</v>
      </c>
      <c r="D1131" s="19" t="e">
        <f>VLOOKUP(C1131,#REF!,2,0)</f>
        <v>#REF!</v>
      </c>
      <c r="E1131" s="20" t="e">
        <f>VLOOKUP(D1131,数据集标准分类!E:F,2,0)</f>
        <v>#REF!</v>
      </c>
      <c r="F1131" s="21">
        <v>34</v>
      </c>
      <c r="G1131" s="22" t="s">
        <v>663</v>
      </c>
      <c r="H1131" s="22" t="s">
        <v>664</v>
      </c>
      <c r="I1131" s="22" t="s">
        <v>666</v>
      </c>
      <c r="J1131" s="22" t="s">
        <v>664</v>
      </c>
      <c r="K1131" s="22" t="s">
        <v>666</v>
      </c>
      <c r="L1131" s="22" t="s">
        <v>667</v>
      </c>
      <c r="M1131" s="16" t="s">
        <v>5595</v>
      </c>
      <c r="N1131" s="16" t="s">
        <v>5595</v>
      </c>
      <c r="O1131" s="23">
        <v>3</v>
      </c>
      <c r="P1131" s="24" t="e">
        <f>VLOOKUP(I1131,#REF!,2,0)</f>
        <v>#REF!</v>
      </c>
      <c r="Q1131" s="25"/>
      <c r="R1131" s="24"/>
      <c r="S1131" s="26"/>
      <c r="T1131" s="24"/>
      <c r="U1131" s="26"/>
      <c r="V1131" s="26"/>
      <c r="W1131" s="27">
        <v>820</v>
      </c>
      <c r="X1131" s="28"/>
    </row>
    <row r="1132" ht="31" spans="1:32">
      <c r="A1132" s="16" t="s">
        <v>4174</v>
      </c>
      <c r="B1132" s="17" t="s">
        <v>4175</v>
      </c>
      <c r="C1132" s="30" t="s">
        <v>923</v>
      </c>
      <c r="D1132" s="19" t="e">
        <f>VLOOKUP(C1132,#REF!,2,0)</f>
        <v>#REF!</v>
      </c>
      <c r="E1132" s="20" t="e">
        <f>VLOOKUP(D1132,数据集标准分类!E:F,2,0)</f>
        <v>#REF!</v>
      </c>
      <c r="F1132" s="21">
        <v>34</v>
      </c>
      <c r="G1132" s="22" t="s">
        <v>668</v>
      </c>
      <c r="H1132" s="22" t="s">
        <v>5598</v>
      </c>
      <c r="I1132" s="22" t="s">
        <v>671</v>
      </c>
      <c r="J1132" s="22" t="s">
        <v>669</v>
      </c>
      <c r="K1132" s="22" t="s">
        <v>671</v>
      </c>
      <c r="L1132" s="22" t="s">
        <v>672</v>
      </c>
      <c r="M1132" s="16" t="s">
        <v>5593</v>
      </c>
      <c r="N1132" s="16" t="s">
        <v>5595</v>
      </c>
      <c r="O1132" s="23">
        <v>4</v>
      </c>
      <c r="P1132" s="24" t="e">
        <f>VLOOKUP(I1132,#REF!,2,0)</f>
        <v>#REF!</v>
      </c>
      <c r="Q1132" s="25"/>
      <c r="R1132" s="24"/>
      <c r="S1132" s="26"/>
      <c r="T1132" s="24"/>
      <c r="U1132" s="26"/>
      <c r="V1132" s="26"/>
      <c r="W1132" s="27">
        <v>821</v>
      </c>
      <c r="X1132" s="28"/>
    </row>
    <row r="1133" spans="1:32">
      <c r="A1133" s="16" t="s">
        <v>4174</v>
      </c>
      <c r="B1133" s="17" t="s">
        <v>4175</v>
      </c>
      <c r="C1133" s="30" t="s">
        <v>923</v>
      </c>
      <c r="D1133" s="19" t="e">
        <f>VLOOKUP(C1133,#REF!,2,0)</f>
        <v>#REF!</v>
      </c>
      <c r="E1133" s="20" t="e">
        <f>VLOOKUP(D1133,数据集标准分类!E:F,2,0)</f>
        <v>#REF!</v>
      </c>
      <c r="F1133" s="21">
        <v>34</v>
      </c>
      <c r="G1133" s="22" t="s">
        <v>924</v>
      </c>
      <c r="H1133" s="22" t="s">
        <v>6084</v>
      </c>
      <c r="I1133" s="22" t="s">
        <v>927</v>
      </c>
      <c r="J1133" s="22" t="s">
        <v>925</v>
      </c>
      <c r="K1133" s="22" t="s">
        <v>927</v>
      </c>
      <c r="L1133" s="22" t="s">
        <v>928</v>
      </c>
      <c r="M1133" s="16" t="s">
        <v>5593</v>
      </c>
      <c r="N1133" s="16" t="s">
        <v>5595</v>
      </c>
      <c r="O1133" s="23">
        <v>5</v>
      </c>
      <c r="P1133" s="24" t="e">
        <f>VLOOKUP(I1133,#REF!,2,0)</f>
        <v>#REF!</v>
      </c>
      <c r="Q1133" s="25"/>
      <c r="R1133" s="24"/>
      <c r="S1133" s="26"/>
      <c r="T1133" s="24"/>
      <c r="U1133" s="26"/>
      <c r="V1133" s="26"/>
      <c r="W1133" s="27">
        <v>822</v>
      </c>
      <c r="X1133" s="28"/>
    </row>
    <row r="1134" ht="31" spans="1:32">
      <c r="A1134" s="16" t="s">
        <v>4174</v>
      </c>
      <c r="B1134" s="17" t="s">
        <v>4175</v>
      </c>
      <c r="C1134" s="30" t="s">
        <v>923</v>
      </c>
      <c r="D1134" s="19" t="e">
        <f>VLOOKUP(C1134,#REF!,2,0)</f>
        <v>#REF!</v>
      </c>
      <c r="E1134" s="20" t="e">
        <f>VLOOKUP(D1134,数据集标准分类!E:F,2,0)</f>
        <v>#REF!</v>
      </c>
      <c r="F1134" s="21">
        <v>34</v>
      </c>
      <c r="G1134" s="22" t="s">
        <v>929</v>
      </c>
      <c r="H1134" s="22" t="s">
        <v>930</v>
      </c>
      <c r="I1134" s="22" t="s">
        <v>932</v>
      </c>
      <c r="J1134" s="22" t="s">
        <v>930</v>
      </c>
      <c r="K1134" s="22" t="s">
        <v>932</v>
      </c>
      <c r="L1134" s="22" t="s">
        <v>933</v>
      </c>
      <c r="M1134" s="16" t="s">
        <v>5595</v>
      </c>
      <c r="N1134" s="16" t="s">
        <v>5595</v>
      </c>
      <c r="O1134" s="23">
        <v>6</v>
      </c>
      <c r="P1134" s="24" t="e">
        <f>VLOOKUP(I1134,#REF!,2,0)</f>
        <v>#REF!</v>
      </c>
      <c r="Q1134" s="25"/>
      <c r="R1134" s="24"/>
      <c r="S1134" s="26"/>
      <c r="T1134" s="24"/>
      <c r="U1134" s="26"/>
      <c r="V1134" s="26"/>
      <c r="W1134" s="27">
        <v>823</v>
      </c>
      <c r="X1134" s="28"/>
    </row>
    <row r="1135" spans="1:32">
      <c r="A1135" s="16" t="s">
        <v>4174</v>
      </c>
      <c r="B1135" s="17" t="s">
        <v>4175</v>
      </c>
      <c r="C1135" s="30" t="s">
        <v>923</v>
      </c>
      <c r="D1135" s="19" t="e">
        <f>VLOOKUP(C1135,#REF!,2,0)</f>
        <v>#REF!</v>
      </c>
      <c r="E1135" s="20" t="e">
        <f>VLOOKUP(D1135,数据集标准分类!E:F,2,0)</f>
        <v>#REF!</v>
      </c>
      <c r="F1135" s="21">
        <v>34</v>
      </c>
      <c r="G1135" s="22" t="s">
        <v>934</v>
      </c>
      <c r="H1135" s="22" t="s">
        <v>935</v>
      </c>
      <c r="I1135" s="22" t="s">
        <v>937</v>
      </c>
      <c r="J1135" s="22" t="s">
        <v>935</v>
      </c>
      <c r="K1135" s="22" t="s">
        <v>937</v>
      </c>
      <c r="L1135" s="22" t="s">
        <v>938</v>
      </c>
      <c r="M1135" s="16" t="s">
        <v>5595</v>
      </c>
      <c r="N1135" s="16" t="s">
        <v>5595</v>
      </c>
      <c r="O1135" s="23">
        <v>7</v>
      </c>
      <c r="P1135" s="24" t="e">
        <f>VLOOKUP(I1135,#REF!,2,0)</f>
        <v>#REF!</v>
      </c>
      <c r="Q1135" s="25"/>
      <c r="R1135" s="24"/>
      <c r="S1135" s="26"/>
      <c r="T1135" s="24"/>
      <c r="U1135" s="26"/>
      <c r="V1135" s="26"/>
      <c r="W1135" s="27">
        <v>824</v>
      </c>
      <c r="X1135" s="28"/>
    </row>
    <row r="1136" ht="46" spans="1:32">
      <c r="A1136" s="16" t="s">
        <v>4174</v>
      </c>
      <c r="B1136" s="17" t="s">
        <v>4175</v>
      </c>
      <c r="C1136" s="30" t="s">
        <v>923</v>
      </c>
      <c r="D1136" s="19" t="e">
        <f>VLOOKUP(C1136,#REF!,2,0)</f>
        <v>#REF!</v>
      </c>
      <c r="E1136" s="20" t="e">
        <f>VLOOKUP(D1136,数据集标准分类!E:F,2,0)</f>
        <v>#REF!</v>
      </c>
      <c r="F1136" s="21">
        <v>34</v>
      </c>
      <c r="G1136" s="22" t="s">
        <v>784</v>
      </c>
      <c r="H1136" s="22" t="s">
        <v>785</v>
      </c>
      <c r="I1136" s="22" t="s">
        <v>787</v>
      </c>
      <c r="J1136" s="22" t="s">
        <v>785</v>
      </c>
      <c r="K1136" s="22" t="s">
        <v>787</v>
      </c>
      <c r="L1136" s="22" t="s">
        <v>788</v>
      </c>
      <c r="M1136" s="16" t="s">
        <v>5595</v>
      </c>
      <c r="N1136" s="16" t="s">
        <v>5595</v>
      </c>
      <c r="O1136" s="23">
        <v>8</v>
      </c>
      <c r="P1136" s="24" t="e">
        <f>VLOOKUP(I1136,#REF!,2,0)</f>
        <v>#REF!</v>
      </c>
      <c r="Q1136" s="25"/>
      <c r="R1136" s="24"/>
      <c r="S1136" s="26"/>
      <c r="T1136" s="24"/>
      <c r="U1136" s="26"/>
      <c r="V1136" s="26"/>
      <c r="W1136" s="27">
        <v>825</v>
      </c>
      <c r="X1136" s="28"/>
    </row>
    <row r="1137" ht="31" spans="1:32">
      <c r="A1137" s="16" t="s">
        <v>4174</v>
      </c>
      <c r="B1137" s="17" t="s">
        <v>4175</v>
      </c>
      <c r="C1137" s="30" t="s">
        <v>923</v>
      </c>
      <c r="D1137" s="19" t="e">
        <f>VLOOKUP(C1137,#REF!,2,0)</f>
        <v>#REF!</v>
      </c>
      <c r="E1137" s="20" t="e">
        <f>VLOOKUP(D1137,数据集标准分类!E:F,2,0)</f>
        <v>#REF!</v>
      </c>
      <c r="F1137" s="21">
        <v>34</v>
      </c>
      <c r="G1137" s="22" t="s">
        <v>789</v>
      </c>
      <c r="H1137" s="22" t="s">
        <v>790</v>
      </c>
      <c r="I1137" s="22" t="s">
        <v>791</v>
      </c>
      <c r="J1137" s="22" t="s">
        <v>790</v>
      </c>
      <c r="K1137" s="22" t="s">
        <v>791</v>
      </c>
      <c r="L1137" s="22" t="s">
        <v>792</v>
      </c>
      <c r="M1137" s="16" t="s">
        <v>5595</v>
      </c>
      <c r="N1137" s="16" t="s">
        <v>5595</v>
      </c>
      <c r="O1137" s="23">
        <v>9</v>
      </c>
      <c r="P1137" s="24" t="e">
        <f>VLOOKUP(I1137,#REF!,2,0)</f>
        <v>#REF!</v>
      </c>
      <c r="Q1137" s="25"/>
      <c r="R1137" s="24"/>
      <c r="S1137" s="26"/>
      <c r="T1137" s="24"/>
      <c r="U1137" s="26"/>
      <c r="V1137" s="26"/>
      <c r="W1137" s="27">
        <v>826</v>
      </c>
      <c r="X1137" s="28"/>
    </row>
    <row r="1138" ht="46" spans="1:32">
      <c r="A1138" s="31" t="s">
        <v>4174</v>
      </c>
      <c r="B1138" s="32" t="s">
        <v>4175</v>
      </c>
      <c r="C1138" s="33" t="s">
        <v>923</v>
      </c>
      <c r="D1138" s="34" t="e">
        <f>VLOOKUP(C1138,#REF!,2,0)</f>
        <v>#REF!</v>
      </c>
      <c r="E1138" s="35" t="e">
        <f>VLOOKUP(D1138,数据集标准分类!E:F,2,0)</f>
        <v>#REF!</v>
      </c>
      <c r="F1138" s="36">
        <v>34</v>
      </c>
      <c r="G1138" s="37" t="s">
        <v>939</v>
      </c>
      <c r="H1138" s="37" t="s">
        <v>6085</v>
      </c>
      <c r="I1138" s="37" t="s">
        <v>942</v>
      </c>
      <c r="J1138" s="37" t="s">
        <v>940</v>
      </c>
      <c r="K1138" s="37" t="s">
        <v>942</v>
      </c>
      <c r="L1138" s="37" t="s">
        <v>797</v>
      </c>
      <c r="M1138" s="31" t="s">
        <v>5593</v>
      </c>
      <c r="N1138" s="31" t="s">
        <v>5595</v>
      </c>
      <c r="O1138" s="38">
        <v>10</v>
      </c>
      <c r="P1138" s="39" t="e">
        <f>VLOOKUP(I1138,#REF!,2,0)</f>
        <v>#REF!</v>
      </c>
      <c r="Q1138" s="207"/>
      <c r="R1138" s="39"/>
      <c r="S1138" s="208"/>
      <c r="T1138" s="39"/>
      <c r="U1138" s="208" t="s">
        <v>5593</v>
      </c>
      <c r="V1138" s="41"/>
      <c r="W1138" s="42">
        <v>827</v>
      </c>
      <c r="X1138" s="43"/>
      <c r="Y1138" s="44"/>
      <c r="Z1138" s="44"/>
      <c r="AA1138" s="44"/>
      <c r="AB1138" s="44"/>
      <c r="AC1138" s="44"/>
      <c r="AD1138" s="44"/>
      <c r="AE1138" s="44"/>
      <c r="AF1138" s="44"/>
    </row>
    <row r="1139" ht="46" spans="1:32">
      <c r="A1139" s="31" t="s">
        <v>4174</v>
      </c>
      <c r="B1139" s="32" t="s">
        <v>4175</v>
      </c>
      <c r="C1139" s="33" t="s">
        <v>923</v>
      </c>
      <c r="D1139" s="34" t="e">
        <f>VLOOKUP(C1139,#REF!,2,0)</f>
        <v>#REF!</v>
      </c>
      <c r="E1139" s="35" t="e">
        <f>VLOOKUP(D1139,数据集标准分类!E:F,2,0)</f>
        <v>#REF!</v>
      </c>
      <c r="F1139" s="36">
        <v>34</v>
      </c>
      <c r="G1139" s="37" t="s">
        <v>943</v>
      </c>
      <c r="H1139" s="37" t="s">
        <v>5932</v>
      </c>
      <c r="I1139" s="37" t="s">
        <v>946</v>
      </c>
      <c r="J1139" s="37" t="s">
        <v>944</v>
      </c>
      <c r="K1139" s="37" t="s">
        <v>946</v>
      </c>
      <c r="L1139" s="37" t="s">
        <v>947</v>
      </c>
      <c r="M1139" s="31" t="s">
        <v>5593</v>
      </c>
      <c r="N1139" s="31" t="s">
        <v>5595</v>
      </c>
      <c r="O1139" s="38">
        <v>11</v>
      </c>
      <c r="P1139" s="39" t="e">
        <f>VLOOKUP(I1139,#REF!,2,0)</f>
        <v>#REF!</v>
      </c>
      <c r="Q1139" s="40"/>
      <c r="R1139" s="39"/>
      <c r="S1139" s="41"/>
      <c r="T1139" s="39"/>
      <c r="U1139" s="41" t="s">
        <v>5593</v>
      </c>
      <c r="V1139" s="41"/>
      <c r="W1139" s="42">
        <v>828</v>
      </c>
      <c r="X1139" s="43"/>
      <c r="Y1139" s="44"/>
      <c r="Z1139" s="44"/>
      <c r="AA1139" s="44"/>
      <c r="AB1139" s="44"/>
      <c r="AC1139" s="44"/>
      <c r="AD1139" s="44"/>
      <c r="AE1139" s="44"/>
      <c r="AF1139" s="44"/>
    </row>
    <row r="1140" ht="46" spans="1:32">
      <c r="A1140" s="31" t="s">
        <v>4174</v>
      </c>
      <c r="B1140" s="32" t="s">
        <v>4175</v>
      </c>
      <c r="C1140" s="33" t="s">
        <v>923</v>
      </c>
      <c r="D1140" s="34" t="e">
        <f>VLOOKUP(C1140,#REF!,2,0)</f>
        <v>#REF!</v>
      </c>
      <c r="E1140" s="35" t="e">
        <f>VLOOKUP(D1140,数据集标准分类!E:F,2,0)</f>
        <v>#REF!</v>
      </c>
      <c r="F1140" s="36">
        <v>34</v>
      </c>
      <c r="G1140" s="37" t="s">
        <v>948</v>
      </c>
      <c r="H1140" s="37" t="s">
        <v>6086</v>
      </c>
      <c r="I1140" s="37" t="s">
        <v>951</v>
      </c>
      <c r="J1140" s="37" t="s">
        <v>949</v>
      </c>
      <c r="K1140" s="37" t="s">
        <v>951</v>
      </c>
      <c r="L1140" s="37" t="s">
        <v>807</v>
      </c>
      <c r="M1140" s="31" t="s">
        <v>5593</v>
      </c>
      <c r="N1140" s="31" t="s">
        <v>5595</v>
      </c>
      <c r="O1140" s="38">
        <v>12</v>
      </c>
      <c r="P1140" s="39" t="e">
        <f>VLOOKUP(I1140,#REF!,2,0)</f>
        <v>#REF!</v>
      </c>
      <c r="Q1140" s="40"/>
      <c r="R1140" s="39"/>
      <c r="S1140" s="41"/>
      <c r="T1140" s="39"/>
      <c r="U1140" s="41" t="s">
        <v>5593</v>
      </c>
      <c r="V1140" s="41"/>
      <c r="W1140" s="42">
        <v>829</v>
      </c>
      <c r="X1140" s="43"/>
      <c r="Y1140" s="44"/>
      <c r="Z1140" s="44"/>
      <c r="AA1140" s="44"/>
      <c r="AB1140" s="44"/>
      <c r="AC1140" s="44"/>
      <c r="AD1140" s="44"/>
      <c r="AE1140" s="44"/>
      <c r="AF1140" s="44"/>
    </row>
    <row r="1141" ht="46" spans="1:32">
      <c r="A1141" s="31" t="s">
        <v>4174</v>
      </c>
      <c r="B1141" s="32" t="s">
        <v>4175</v>
      </c>
      <c r="C1141" s="33" t="s">
        <v>923</v>
      </c>
      <c r="D1141" s="34" t="e">
        <f>VLOOKUP(C1141,#REF!,2,0)</f>
        <v>#REF!</v>
      </c>
      <c r="E1141" s="35" t="e">
        <f>VLOOKUP(D1141,数据集标准分类!E:F,2,0)</f>
        <v>#REF!</v>
      </c>
      <c r="F1141" s="36">
        <v>34</v>
      </c>
      <c r="G1141" s="37" t="s">
        <v>952</v>
      </c>
      <c r="H1141" s="37" t="s">
        <v>6087</v>
      </c>
      <c r="I1141" s="37" t="s">
        <v>955</v>
      </c>
      <c r="J1141" s="37" t="s">
        <v>953</v>
      </c>
      <c r="K1141" s="37" t="s">
        <v>955</v>
      </c>
      <c r="L1141" s="37" t="s">
        <v>956</v>
      </c>
      <c r="M1141" s="31" t="s">
        <v>5593</v>
      </c>
      <c r="N1141" s="31" t="s">
        <v>5595</v>
      </c>
      <c r="O1141" s="38">
        <v>13</v>
      </c>
      <c r="P1141" s="39" t="e">
        <f>VLOOKUP(I1141,#REF!,2,0)</f>
        <v>#REF!</v>
      </c>
      <c r="Q1141" s="40"/>
      <c r="R1141" s="39"/>
      <c r="S1141" s="41"/>
      <c r="T1141" s="39"/>
      <c r="U1141" s="41" t="s">
        <v>5593</v>
      </c>
      <c r="V1141" s="41"/>
      <c r="W1141" s="42">
        <v>830</v>
      </c>
      <c r="X1141" s="43"/>
      <c r="Y1141" s="44"/>
      <c r="Z1141" s="44"/>
      <c r="AA1141" s="44"/>
      <c r="AB1141" s="44"/>
      <c r="AC1141" s="44"/>
      <c r="AD1141" s="44"/>
      <c r="AE1141" s="44"/>
      <c r="AF1141" s="44"/>
    </row>
    <row r="1142" ht="46" spans="1:32">
      <c r="A1142" s="50" t="s">
        <v>4174</v>
      </c>
      <c r="B1142" s="51" t="s">
        <v>4175</v>
      </c>
      <c r="C1142" s="52" t="s">
        <v>923</v>
      </c>
      <c r="D1142" s="53" t="e">
        <f>VLOOKUP(C1142,#REF!,2,0)</f>
        <v>#REF!</v>
      </c>
      <c r="E1142" s="20" t="e">
        <f>VLOOKUP(D1142,数据集标准分类!E:F,2,0)</f>
        <v>#REF!</v>
      </c>
      <c r="F1142" s="54">
        <v>34</v>
      </c>
      <c r="G1142" s="55" t="s">
        <v>957</v>
      </c>
      <c r="H1142" s="55" t="s">
        <v>6088</v>
      </c>
      <c r="I1142" s="55" t="s">
        <v>960</v>
      </c>
      <c r="J1142" s="55" t="s">
        <v>958</v>
      </c>
      <c r="K1142" s="55" t="s">
        <v>960</v>
      </c>
      <c r="L1142" s="55" t="s">
        <v>817</v>
      </c>
      <c r="M1142" s="50" t="s">
        <v>5593</v>
      </c>
      <c r="N1142" s="50" t="s">
        <v>5595</v>
      </c>
      <c r="O1142" s="56">
        <v>14</v>
      </c>
      <c r="P1142" s="57" t="e">
        <f>VLOOKUP(I1142,#REF!,2,0)</f>
        <v>#REF!</v>
      </c>
      <c r="Q1142" s="58"/>
      <c r="R1142" s="57"/>
      <c r="S1142" s="59"/>
      <c r="T1142" s="57"/>
      <c r="U1142" s="59" t="s">
        <v>5593</v>
      </c>
      <c r="V1142" s="59" t="s">
        <v>5593</v>
      </c>
      <c r="W1142" s="60">
        <v>831</v>
      </c>
      <c r="X1142" s="61"/>
      <c r="Y1142" s="62"/>
      <c r="Z1142" s="62"/>
      <c r="AA1142" s="62"/>
      <c r="AB1142" s="62"/>
      <c r="AC1142" s="62"/>
      <c r="AD1142" s="62"/>
      <c r="AE1142" s="62"/>
      <c r="AF1142" s="62"/>
    </row>
    <row r="1143" ht="46" spans="1:32">
      <c r="A1143" s="50" t="s">
        <v>4174</v>
      </c>
      <c r="B1143" s="51" t="s">
        <v>4175</v>
      </c>
      <c r="C1143" s="52" t="s">
        <v>923</v>
      </c>
      <c r="D1143" s="53" t="e">
        <f>VLOOKUP(C1143,#REF!,2,0)</f>
        <v>#REF!</v>
      </c>
      <c r="E1143" s="20" t="e">
        <f>VLOOKUP(D1143,数据集标准分类!E:F,2,0)</f>
        <v>#REF!</v>
      </c>
      <c r="F1143" s="54">
        <v>34</v>
      </c>
      <c r="G1143" s="55" t="s">
        <v>961</v>
      </c>
      <c r="H1143" s="55" t="s">
        <v>6089</v>
      </c>
      <c r="I1143" s="55" t="s">
        <v>964</v>
      </c>
      <c r="J1143" s="55" t="s">
        <v>962</v>
      </c>
      <c r="K1143" s="55" t="s">
        <v>964</v>
      </c>
      <c r="L1143" s="55" t="s">
        <v>965</v>
      </c>
      <c r="M1143" s="50" t="s">
        <v>5593</v>
      </c>
      <c r="N1143" s="50" t="s">
        <v>5595</v>
      </c>
      <c r="O1143" s="56">
        <v>15</v>
      </c>
      <c r="P1143" s="57" t="e">
        <f>VLOOKUP(I1143,#REF!,2,0)</f>
        <v>#REF!</v>
      </c>
      <c r="Q1143" s="58"/>
      <c r="R1143" s="57"/>
      <c r="S1143" s="59"/>
      <c r="T1143" s="57"/>
      <c r="U1143" s="59" t="s">
        <v>5593</v>
      </c>
      <c r="V1143" s="59" t="s">
        <v>5593</v>
      </c>
      <c r="W1143" s="60">
        <v>832</v>
      </c>
      <c r="X1143" s="61"/>
      <c r="Y1143" s="62"/>
      <c r="Z1143" s="62"/>
      <c r="AA1143" s="62"/>
      <c r="AB1143" s="62"/>
      <c r="AC1143" s="62"/>
      <c r="AD1143" s="62"/>
      <c r="AE1143" s="62"/>
      <c r="AF1143" s="62"/>
    </row>
    <row r="1144" spans="1:32">
      <c r="A1144" s="16" t="s">
        <v>4174</v>
      </c>
      <c r="B1144" s="17" t="s">
        <v>4175</v>
      </c>
      <c r="C1144" s="30" t="s">
        <v>923</v>
      </c>
      <c r="D1144" s="19" t="e">
        <f>VLOOKUP(C1144,#REF!,2,0)</f>
        <v>#REF!</v>
      </c>
      <c r="E1144" s="20" t="e">
        <f>VLOOKUP(D1144,数据集标准分类!E:F,2,0)</f>
        <v>#REF!</v>
      </c>
      <c r="F1144" s="21">
        <v>34</v>
      </c>
      <c r="G1144" s="22" t="s">
        <v>966</v>
      </c>
      <c r="H1144" s="22" t="s">
        <v>5715</v>
      </c>
      <c r="I1144" s="22" t="s">
        <v>969</v>
      </c>
      <c r="J1144" s="22" t="s">
        <v>967</v>
      </c>
      <c r="K1144" s="22" t="s">
        <v>969</v>
      </c>
      <c r="L1144" s="22" t="s">
        <v>970</v>
      </c>
      <c r="M1144" s="16" t="s">
        <v>5593</v>
      </c>
      <c r="N1144" s="16" t="s">
        <v>5595</v>
      </c>
      <c r="O1144" s="23">
        <v>16</v>
      </c>
      <c r="P1144" s="24" t="e">
        <f>VLOOKUP(I1144,#REF!,2,0)</f>
        <v>#REF!</v>
      </c>
      <c r="Q1144" s="25"/>
      <c r="R1144" s="24"/>
      <c r="S1144" s="26"/>
      <c r="T1144" s="24"/>
      <c r="U1144" s="26"/>
      <c r="V1144" s="26"/>
      <c r="W1144" s="27">
        <v>833</v>
      </c>
      <c r="X1144" s="28"/>
    </row>
    <row r="1145" spans="1:32">
      <c r="A1145" s="16" t="s">
        <v>4174</v>
      </c>
      <c r="B1145" s="17" t="s">
        <v>4175</v>
      </c>
      <c r="C1145" s="30" t="s">
        <v>923</v>
      </c>
      <c r="D1145" s="19" t="e">
        <f>VLOOKUP(C1145,#REF!,2,0)</f>
        <v>#REF!</v>
      </c>
      <c r="E1145" s="20" t="e">
        <f>VLOOKUP(D1145,数据集标准分类!E:F,2,0)</f>
        <v>#REF!</v>
      </c>
      <c r="F1145" s="21">
        <v>34</v>
      </c>
      <c r="G1145" s="22" t="s">
        <v>971</v>
      </c>
      <c r="H1145" s="22" t="s">
        <v>5956</v>
      </c>
      <c r="I1145" s="22" t="s">
        <v>974</v>
      </c>
      <c r="J1145" s="22" t="s">
        <v>972</v>
      </c>
      <c r="K1145" s="22" t="s">
        <v>974</v>
      </c>
      <c r="L1145" s="22" t="s">
        <v>975</v>
      </c>
      <c r="M1145" s="16" t="s">
        <v>5593</v>
      </c>
      <c r="N1145" s="16" t="s">
        <v>5595</v>
      </c>
      <c r="O1145" s="23">
        <v>17</v>
      </c>
      <c r="P1145" s="24" t="e">
        <f>VLOOKUP(I1145,#REF!,2,0)</f>
        <v>#REF!</v>
      </c>
      <c r="Q1145" s="25"/>
      <c r="R1145" s="24"/>
      <c r="S1145" s="26"/>
      <c r="T1145" s="24"/>
      <c r="U1145" s="26"/>
      <c r="V1145" s="26"/>
      <c r="W1145" s="27">
        <v>834</v>
      </c>
      <c r="X1145" s="28"/>
    </row>
    <row r="1146" ht="31" spans="1:32">
      <c r="A1146" s="31" t="s">
        <v>4174</v>
      </c>
      <c r="B1146" s="32" t="s">
        <v>4175</v>
      </c>
      <c r="C1146" s="33" t="s">
        <v>923</v>
      </c>
      <c r="D1146" s="34" t="e">
        <f>VLOOKUP(C1146,#REF!,2,0)</f>
        <v>#REF!</v>
      </c>
      <c r="E1146" s="35" t="e">
        <f>VLOOKUP(D1146,数据集标准分类!E:F,2,0)</f>
        <v>#REF!</v>
      </c>
      <c r="F1146" s="36">
        <v>34</v>
      </c>
      <c r="G1146" s="37" t="s">
        <v>976</v>
      </c>
      <c r="H1146" s="37" t="s">
        <v>6090</v>
      </c>
      <c r="I1146" s="37" t="s">
        <v>979</v>
      </c>
      <c r="J1146" s="37" t="s">
        <v>977</v>
      </c>
      <c r="K1146" s="37" t="s">
        <v>979</v>
      </c>
      <c r="L1146" s="37" t="s">
        <v>980</v>
      </c>
      <c r="M1146" s="31" t="s">
        <v>5593</v>
      </c>
      <c r="N1146" s="31" t="s">
        <v>5595</v>
      </c>
      <c r="O1146" s="38">
        <v>18</v>
      </c>
      <c r="P1146" s="39" t="e">
        <f>VLOOKUP(I1146,#REF!,2,0)</f>
        <v>#REF!</v>
      </c>
      <c r="Q1146" s="40"/>
      <c r="R1146" s="39"/>
      <c r="S1146" s="41"/>
      <c r="T1146" s="39"/>
      <c r="U1146" s="41" t="s">
        <v>5593</v>
      </c>
      <c r="V1146" s="41"/>
      <c r="W1146" s="42">
        <v>835</v>
      </c>
      <c r="X1146" s="43"/>
      <c r="Y1146" s="44"/>
      <c r="Z1146" s="44"/>
      <c r="AA1146" s="44"/>
      <c r="AB1146" s="44"/>
      <c r="AC1146" s="44"/>
      <c r="AD1146" s="44"/>
      <c r="AE1146" s="44"/>
      <c r="AF1146" s="44"/>
    </row>
    <row r="1147" ht="31" spans="1:32">
      <c r="A1147" s="31" t="s">
        <v>4174</v>
      </c>
      <c r="B1147" s="32" t="s">
        <v>4175</v>
      </c>
      <c r="C1147" s="33" t="s">
        <v>923</v>
      </c>
      <c r="D1147" s="34" t="e">
        <f>VLOOKUP(C1147,#REF!,2,0)</f>
        <v>#REF!</v>
      </c>
      <c r="E1147" s="35" t="e">
        <f>VLOOKUP(D1147,数据集标准分类!E:F,2,0)</f>
        <v>#REF!</v>
      </c>
      <c r="F1147" s="36">
        <v>34</v>
      </c>
      <c r="G1147" s="37" t="s">
        <v>981</v>
      </c>
      <c r="H1147" s="37" t="s">
        <v>6091</v>
      </c>
      <c r="I1147" s="37" t="s">
        <v>984</v>
      </c>
      <c r="J1147" s="37" t="s">
        <v>982</v>
      </c>
      <c r="K1147" s="37" t="s">
        <v>984</v>
      </c>
      <c r="L1147" s="37" t="s">
        <v>985</v>
      </c>
      <c r="M1147" s="31" t="s">
        <v>5593</v>
      </c>
      <c r="N1147" s="31" t="s">
        <v>5595</v>
      </c>
      <c r="O1147" s="38">
        <v>19</v>
      </c>
      <c r="P1147" s="39" t="e">
        <f>VLOOKUP(I1147,#REF!,2,0)</f>
        <v>#REF!</v>
      </c>
      <c r="Q1147" s="40"/>
      <c r="R1147" s="39"/>
      <c r="S1147" s="41"/>
      <c r="T1147" s="39"/>
      <c r="U1147" s="41" t="s">
        <v>5593</v>
      </c>
      <c r="V1147" s="41"/>
      <c r="W1147" s="42">
        <v>836</v>
      </c>
      <c r="X1147" s="43"/>
      <c r="Y1147" s="44"/>
      <c r="Z1147" s="44"/>
      <c r="AA1147" s="44"/>
      <c r="AB1147" s="44"/>
      <c r="AC1147" s="44"/>
      <c r="AD1147" s="44"/>
      <c r="AE1147" s="44"/>
      <c r="AF1147" s="44"/>
    </row>
    <row r="1148" ht="31" spans="1:32">
      <c r="A1148" s="31" t="s">
        <v>4174</v>
      </c>
      <c r="B1148" s="32" t="s">
        <v>4175</v>
      </c>
      <c r="C1148" s="33" t="s">
        <v>923</v>
      </c>
      <c r="D1148" s="34" t="e">
        <f>VLOOKUP(C1148,#REF!,2,0)</f>
        <v>#REF!</v>
      </c>
      <c r="E1148" s="35" t="e">
        <f>VLOOKUP(D1148,数据集标准分类!E:F,2,0)</f>
        <v>#REF!</v>
      </c>
      <c r="F1148" s="36">
        <v>34</v>
      </c>
      <c r="G1148" s="37" t="s">
        <v>986</v>
      </c>
      <c r="H1148" s="37" t="s">
        <v>6092</v>
      </c>
      <c r="I1148" s="37" t="s">
        <v>989</v>
      </c>
      <c r="J1148" s="37" t="s">
        <v>987</v>
      </c>
      <c r="K1148" s="37" t="s">
        <v>989</v>
      </c>
      <c r="L1148" s="37" t="s">
        <v>990</v>
      </c>
      <c r="M1148" s="31" t="s">
        <v>5593</v>
      </c>
      <c r="N1148" s="31" t="s">
        <v>5595</v>
      </c>
      <c r="O1148" s="38">
        <v>20</v>
      </c>
      <c r="P1148" s="39" t="e">
        <f>VLOOKUP(I1148,#REF!,2,0)</f>
        <v>#REF!</v>
      </c>
      <c r="Q1148" s="40"/>
      <c r="R1148" s="39"/>
      <c r="S1148" s="41"/>
      <c r="T1148" s="39"/>
      <c r="U1148" s="41" t="s">
        <v>5593</v>
      </c>
      <c r="V1148" s="41"/>
      <c r="W1148" s="42">
        <v>837</v>
      </c>
      <c r="X1148" s="43"/>
      <c r="Y1148" s="44"/>
      <c r="Z1148" s="44"/>
      <c r="AA1148" s="44"/>
      <c r="AB1148" s="44"/>
      <c r="AC1148" s="44"/>
      <c r="AD1148" s="44"/>
      <c r="AE1148" s="44"/>
      <c r="AF1148" s="44"/>
    </row>
    <row r="1149" ht="31" spans="1:32">
      <c r="A1149" s="31" t="s">
        <v>4174</v>
      </c>
      <c r="B1149" s="32" t="s">
        <v>4175</v>
      </c>
      <c r="C1149" s="33" t="s">
        <v>923</v>
      </c>
      <c r="D1149" s="34" t="e">
        <f>VLOOKUP(C1149,#REF!,2,0)</f>
        <v>#REF!</v>
      </c>
      <c r="E1149" s="35" t="e">
        <f>VLOOKUP(D1149,数据集标准分类!E:F,2,0)</f>
        <v>#REF!</v>
      </c>
      <c r="F1149" s="36">
        <v>34</v>
      </c>
      <c r="G1149" s="37" t="s">
        <v>991</v>
      </c>
      <c r="H1149" s="37" t="s">
        <v>6093</v>
      </c>
      <c r="I1149" s="37" t="s">
        <v>994</v>
      </c>
      <c r="J1149" s="37" t="s">
        <v>992</v>
      </c>
      <c r="K1149" s="37" t="s">
        <v>994</v>
      </c>
      <c r="L1149" s="37" t="s">
        <v>995</v>
      </c>
      <c r="M1149" s="31" t="s">
        <v>5593</v>
      </c>
      <c r="N1149" s="31" t="s">
        <v>5595</v>
      </c>
      <c r="O1149" s="38">
        <v>21</v>
      </c>
      <c r="P1149" s="39" t="e">
        <f>VLOOKUP(I1149,#REF!,2,0)</f>
        <v>#REF!</v>
      </c>
      <c r="Q1149" s="40"/>
      <c r="R1149" s="39"/>
      <c r="S1149" s="41"/>
      <c r="T1149" s="39"/>
      <c r="U1149" s="41" t="s">
        <v>5593</v>
      </c>
      <c r="V1149" s="41"/>
      <c r="W1149" s="42">
        <v>838</v>
      </c>
      <c r="X1149" s="43"/>
      <c r="Y1149" s="44"/>
      <c r="Z1149" s="44"/>
      <c r="AA1149" s="44"/>
      <c r="AB1149" s="44"/>
      <c r="AC1149" s="44"/>
      <c r="AD1149" s="44"/>
      <c r="AE1149" s="44"/>
      <c r="AF1149" s="44"/>
    </row>
    <row r="1150" ht="31" spans="1:32">
      <c r="A1150" s="50" t="s">
        <v>4174</v>
      </c>
      <c r="B1150" s="51" t="s">
        <v>4175</v>
      </c>
      <c r="C1150" s="52" t="s">
        <v>923</v>
      </c>
      <c r="D1150" s="53" t="e">
        <f>VLOOKUP(C1150,#REF!,2,0)</f>
        <v>#REF!</v>
      </c>
      <c r="E1150" s="20" t="e">
        <f>VLOOKUP(D1150,数据集标准分类!E:F,2,0)</f>
        <v>#REF!</v>
      </c>
      <c r="F1150" s="54">
        <v>34</v>
      </c>
      <c r="G1150" s="55" t="s">
        <v>996</v>
      </c>
      <c r="H1150" s="55" t="s">
        <v>6094</v>
      </c>
      <c r="I1150" s="55" t="s">
        <v>999</v>
      </c>
      <c r="J1150" s="55" t="s">
        <v>997</v>
      </c>
      <c r="K1150" s="55" t="s">
        <v>999</v>
      </c>
      <c r="L1150" s="55" t="s">
        <v>1000</v>
      </c>
      <c r="M1150" s="50" t="s">
        <v>5593</v>
      </c>
      <c r="N1150" s="50" t="s">
        <v>5595</v>
      </c>
      <c r="O1150" s="56">
        <v>22</v>
      </c>
      <c r="P1150" s="57" t="e">
        <f>VLOOKUP(I1150,#REF!,2,0)</f>
        <v>#REF!</v>
      </c>
      <c r="Q1150" s="58"/>
      <c r="R1150" s="57"/>
      <c r="S1150" s="59"/>
      <c r="T1150" s="57"/>
      <c r="U1150" s="59" t="s">
        <v>5593</v>
      </c>
      <c r="V1150" s="59" t="s">
        <v>5593</v>
      </c>
      <c r="W1150" s="60">
        <v>839</v>
      </c>
      <c r="X1150" s="61"/>
      <c r="Y1150" s="62"/>
      <c r="Z1150" s="62"/>
      <c r="AA1150" s="62"/>
      <c r="AB1150" s="62"/>
      <c r="AC1150" s="62"/>
      <c r="AD1150" s="62"/>
      <c r="AE1150" s="62"/>
      <c r="AF1150" s="62"/>
    </row>
    <row r="1151" ht="31" spans="1:32">
      <c r="A1151" s="50" t="s">
        <v>4174</v>
      </c>
      <c r="B1151" s="51" t="s">
        <v>4175</v>
      </c>
      <c r="C1151" s="52" t="s">
        <v>923</v>
      </c>
      <c r="D1151" s="53" t="e">
        <f>VLOOKUP(C1151,#REF!,2,0)</f>
        <v>#REF!</v>
      </c>
      <c r="E1151" s="20" t="e">
        <f>VLOOKUP(D1151,数据集标准分类!E:F,2,0)</f>
        <v>#REF!</v>
      </c>
      <c r="F1151" s="54">
        <v>34</v>
      </c>
      <c r="G1151" s="55" t="s">
        <v>1001</v>
      </c>
      <c r="H1151" s="55" t="s">
        <v>6095</v>
      </c>
      <c r="I1151" s="55" t="s">
        <v>1004</v>
      </c>
      <c r="J1151" s="55" t="s">
        <v>1002</v>
      </c>
      <c r="K1151" s="55" t="s">
        <v>1004</v>
      </c>
      <c r="L1151" s="55" t="s">
        <v>1005</v>
      </c>
      <c r="M1151" s="50" t="s">
        <v>5593</v>
      </c>
      <c r="N1151" s="50" t="s">
        <v>5595</v>
      </c>
      <c r="O1151" s="56">
        <v>23</v>
      </c>
      <c r="P1151" s="57" t="e">
        <f>VLOOKUP(I1151,#REF!,2,0)</f>
        <v>#REF!</v>
      </c>
      <c r="Q1151" s="58"/>
      <c r="R1151" s="57"/>
      <c r="S1151" s="59"/>
      <c r="T1151" s="57"/>
      <c r="U1151" s="59" t="s">
        <v>5593</v>
      </c>
      <c r="V1151" s="59" t="s">
        <v>5593</v>
      </c>
      <c r="W1151" s="60">
        <v>840</v>
      </c>
      <c r="X1151" s="61"/>
      <c r="Y1151" s="62"/>
      <c r="Z1151" s="62"/>
      <c r="AA1151" s="62"/>
      <c r="AB1151" s="62"/>
      <c r="AC1151" s="62"/>
      <c r="AD1151" s="62"/>
      <c r="AE1151" s="62"/>
      <c r="AF1151" s="62"/>
    </row>
    <row r="1152" ht="14.4" customHeight="1" spans="1:32">
      <c r="A1152" s="16" t="s">
        <v>4174</v>
      </c>
      <c r="B1152" s="17" t="s">
        <v>4175</v>
      </c>
      <c r="C1152" s="30" t="s">
        <v>923</v>
      </c>
      <c r="D1152" s="19" t="e">
        <f>VLOOKUP(C1152,#REF!,2,0)</f>
        <v>#REF!</v>
      </c>
      <c r="E1152" s="20" t="e">
        <f>VLOOKUP(D1152,数据集标准分类!E:F,2,0)</f>
        <v>#REF!</v>
      </c>
      <c r="F1152" s="21">
        <v>34</v>
      </c>
      <c r="G1152" s="22" t="s">
        <v>1006</v>
      </c>
      <c r="H1152" s="22" t="s">
        <v>5702</v>
      </c>
      <c r="I1152" s="22" t="s">
        <v>1009</v>
      </c>
      <c r="J1152" s="22" t="s">
        <v>1007</v>
      </c>
      <c r="K1152" s="22" t="s">
        <v>1009</v>
      </c>
      <c r="L1152" s="22" t="s">
        <v>1010</v>
      </c>
      <c r="M1152" s="16" t="s">
        <v>5593</v>
      </c>
      <c r="N1152" s="16" t="s">
        <v>5595</v>
      </c>
      <c r="O1152" s="23">
        <v>24</v>
      </c>
      <c r="P1152" s="24" t="e">
        <f>VLOOKUP(I1152,#REF!,2,0)</f>
        <v>#REF!</v>
      </c>
      <c r="Q1152" s="25"/>
      <c r="R1152" s="24"/>
      <c r="S1152" s="26"/>
      <c r="T1152" s="24"/>
      <c r="U1152" s="26"/>
      <c r="V1152" s="26"/>
      <c r="W1152" s="27">
        <v>841</v>
      </c>
      <c r="X1152" s="28"/>
    </row>
    <row r="1153" ht="31" spans="1:32">
      <c r="A1153" s="16" t="s">
        <v>4174</v>
      </c>
      <c r="B1153" s="17" t="s">
        <v>4175</v>
      </c>
      <c r="C1153" s="30" t="s">
        <v>923</v>
      </c>
      <c r="D1153" s="19" t="e">
        <f>VLOOKUP(C1153,#REF!,2,0)</f>
        <v>#REF!</v>
      </c>
      <c r="E1153" s="20" t="e">
        <f>VLOOKUP(D1153,数据集标准分类!E:F,2,0)</f>
        <v>#REF!</v>
      </c>
      <c r="F1153" s="21">
        <v>34</v>
      </c>
      <c r="G1153" s="22" t="s">
        <v>1011</v>
      </c>
      <c r="H1153" s="22" t="s">
        <v>6096</v>
      </c>
      <c r="I1153" s="22" t="s">
        <v>1014</v>
      </c>
      <c r="J1153" s="22" t="s">
        <v>1012</v>
      </c>
      <c r="K1153" s="22" t="s">
        <v>1014</v>
      </c>
      <c r="L1153" s="22" t="s">
        <v>1015</v>
      </c>
      <c r="M1153" s="16" t="s">
        <v>5593</v>
      </c>
      <c r="N1153" s="16" t="s">
        <v>5595</v>
      </c>
      <c r="O1153" s="23">
        <v>25</v>
      </c>
      <c r="P1153" s="24" t="e">
        <f>VLOOKUP(I1153,#REF!,2,0)</f>
        <v>#REF!</v>
      </c>
      <c r="Q1153" s="25"/>
      <c r="R1153" s="24"/>
      <c r="S1153" s="26"/>
      <c r="T1153" s="24"/>
      <c r="U1153" s="26" t="s">
        <v>5593</v>
      </c>
      <c r="V1153" s="26"/>
      <c r="W1153" s="27">
        <v>842</v>
      </c>
      <c r="X1153" s="28"/>
    </row>
    <row r="1154" ht="46" spans="1:32">
      <c r="A1154" s="16" t="s">
        <v>4174</v>
      </c>
      <c r="B1154" s="17" t="s">
        <v>4175</v>
      </c>
      <c r="C1154" s="30" t="s">
        <v>1016</v>
      </c>
      <c r="D1154" s="19" t="e">
        <f>VLOOKUP(C1154,#REF!,2,0)</f>
        <v>#REF!</v>
      </c>
      <c r="E1154" s="20" t="e">
        <f>VLOOKUP(D1154,数据集标准分类!E:F,2,0)</f>
        <v>#REF!</v>
      </c>
      <c r="F1154" s="21">
        <v>35</v>
      </c>
      <c r="G1154" s="22" t="s">
        <v>152</v>
      </c>
      <c r="H1154" s="22" t="s">
        <v>5905</v>
      </c>
      <c r="I1154" s="22" t="s">
        <v>5906</v>
      </c>
      <c r="J1154" s="22" t="s">
        <v>153</v>
      </c>
      <c r="K1154" s="22" t="s">
        <v>155</v>
      </c>
      <c r="L1154" s="22" t="s">
        <v>156</v>
      </c>
      <c r="M1154" s="16" t="s">
        <v>5593</v>
      </c>
      <c r="N1154" s="16" t="s">
        <v>5593</v>
      </c>
      <c r="O1154" s="23">
        <v>1</v>
      </c>
      <c r="P1154" s="24" t="e">
        <f>VLOOKUP(I1154,#REF!,2,0)</f>
        <v>#REF!</v>
      </c>
      <c r="Q1154" s="25"/>
      <c r="R1154" s="24"/>
      <c r="S1154" s="26"/>
      <c r="T1154" s="24"/>
      <c r="U1154" s="26" t="s">
        <v>5593</v>
      </c>
      <c r="V1154" s="26"/>
      <c r="W1154" s="27">
        <v>843</v>
      </c>
      <c r="X1154" s="28"/>
    </row>
    <row r="1155" ht="31" spans="1:32">
      <c r="A1155" s="16" t="s">
        <v>4174</v>
      </c>
      <c r="B1155" s="17" t="s">
        <v>4175</v>
      </c>
      <c r="C1155" s="30" t="s">
        <v>1016</v>
      </c>
      <c r="D1155" s="19" t="e">
        <f>VLOOKUP(C1155,#REF!,2,0)</f>
        <v>#REF!</v>
      </c>
      <c r="E1155" s="20" t="e">
        <f>VLOOKUP(D1155,数据集标准分类!E:F,2,0)</f>
        <v>#REF!</v>
      </c>
      <c r="F1155" s="21">
        <v>35</v>
      </c>
      <c r="G1155" s="22" t="s">
        <v>1017</v>
      </c>
      <c r="H1155" s="22" t="s">
        <v>1018</v>
      </c>
      <c r="I1155" s="22" t="s">
        <v>6097</v>
      </c>
      <c r="J1155" s="22" t="s">
        <v>1018</v>
      </c>
      <c r="K1155" s="22" t="s">
        <v>1020</v>
      </c>
      <c r="L1155" s="22" t="s">
        <v>1021</v>
      </c>
      <c r="M1155" s="16" t="s">
        <v>5595</v>
      </c>
      <c r="N1155" s="16" t="s">
        <v>5593</v>
      </c>
      <c r="O1155" s="23">
        <v>2</v>
      </c>
      <c r="P1155" s="24" t="e">
        <f>VLOOKUP(I1155,#REF!,2,0)</f>
        <v>#REF!</v>
      </c>
      <c r="Q1155" s="25"/>
      <c r="R1155" s="24"/>
      <c r="S1155" s="26"/>
      <c r="T1155" s="24"/>
      <c r="U1155" s="26"/>
      <c r="V1155" s="26"/>
      <c r="W1155" s="27">
        <v>844</v>
      </c>
      <c r="X1155" s="28"/>
    </row>
    <row r="1156" spans="1:32">
      <c r="A1156" s="16" t="s">
        <v>4174</v>
      </c>
      <c r="B1156" s="17" t="s">
        <v>4175</v>
      </c>
      <c r="C1156" s="30" t="s">
        <v>1016</v>
      </c>
      <c r="D1156" s="19" t="e">
        <f>VLOOKUP(C1156,#REF!,2,0)</f>
        <v>#REF!</v>
      </c>
      <c r="E1156" s="20" t="e">
        <f>VLOOKUP(D1156,数据集标准分类!E:F,2,0)</f>
        <v>#REF!</v>
      </c>
      <c r="F1156" s="21">
        <v>35</v>
      </c>
      <c r="G1156" s="22" t="s">
        <v>924</v>
      </c>
      <c r="H1156" s="22" t="s">
        <v>6084</v>
      </c>
      <c r="I1156" s="22" t="s">
        <v>927</v>
      </c>
      <c r="J1156" s="22" t="s">
        <v>925</v>
      </c>
      <c r="K1156" s="22" t="s">
        <v>927</v>
      </c>
      <c r="L1156" s="22" t="s">
        <v>928</v>
      </c>
      <c r="M1156" s="16" t="s">
        <v>5593</v>
      </c>
      <c r="N1156" s="16" t="s">
        <v>5595</v>
      </c>
      <c r="O1156" s="23">
        <v>3</v>
      </c>
      <c r="P1156" s="24" t="e">
        <f>VLOOKUP(I1156,#REF!,2,0)</f>
        <v>#REF!</v>
      </c>
      <c r="Q1156" s="25"/>
      <c r="R1156" s="24"/>
      <c r="S1156" s="26"/>
      <c r="T1156" s="24"/>
      <c r="U1156" s="26"/>
      <c r="V1156" s="26"/>
      <c r="W1156" s="27">
        <v>845</v>
      </c>
      <c r="X1156" s="28"/>
    </row>
    <row r="1157" ht="46" spans="1:32">
      <c r="A1157" s="16" t="s">
        <v>4174</v>
      </c>
      <c r="B1157" s="17" t="s">
        <v>4175</v>
      </c>
      <c r="C1157" s="30" t="s">
        <v>1016</v>
      </c>
      <c r="D1157" s="19" t="e">
        <f>VLOOKUP(C1157,#REF!,2,0)</f>
        <v>#REF!</v>
      </c>
      <c r="E1157" s="20" t="e">
        <f>VLOOKUP(D1157,数据集标准分类!E:F,2,0)</f>
        <v>#REF!</v>
      </c>
      <c r="F1157" s="21">
        <v>35</v>
      </c>
      <c r="G1157" s="22" t="s">
        <v>784</v>
      </c>
      <c r="H1157" s="22" t="s">
        <v>785</v>
      </c>
      <c r="I1157" s="22" t="s">
        <v>787</v>
      </c>
      <c r="J1157" s="22" t="s">
        <v>785</v>
      </c>
      <c r="K1157" s="22" t="s">
        <v>787</v>
      </c>
      <c r="L1157" s="22" t="s">
        <v>788</v>
      </c>
      <c r="M1157" s="16" t="s">
        <v>5595</v>
      </c>
      <c r="N1157" s="16" t="s">
        <v>5595</v>
      </c>
      <c r="O1157" s="23">
        <v>4</v>
      </c>
      <c r="P1157" s="24" t="e">
        <f>VLOOKUP(I1157,#REF!,2,0)</f>
        <v>#REF!</v>
      </c>
      <c r="Q1157" s="25"/>
      <c r="R1157" s="24"/>
      <c r="S1157" s="26"/>
      <c r="T1157" s="24"/>
      <c r="U1157" s="26"/>
      <c r="V1157" s="26"/>
      <c r="W1157" s="27">
        <v>846</v>
      </c>
      <c r="X1157" s="28"/>
    </row>
    <row r="1158" ht="31" spans="1:32">
      <c r="A1158" s="16" t="s">
        <v>4174</v>
      </c>
      <c r="B1158" s="17" t="s">
        <v>4175</v>
      </c>
      <c r="C1158" s="30" t="s">
        <v>1016</v>
      </c>
      <c r="D1158" s="19" t="e">
        <f>VLOOKUP(C1158,#REF!,2,0)</f>
        <v>#REF!</v>
      </c>
      <c r="E1158" s="20" t="e">
        <f>VLOOKUP(D1158,数据集标准分类!E:F,2,0)</f>
        <v>#REF!</v>
      </c>
      <c r="F1158" s="21">
        <v>35</v>
      </c>
      <c r="G1158" s="22" t="s">
        <v>789</v>
      </c>
      <c r="H1158" s="22" t="s">
        <v>790</v>
      </c>
      <c r="I1158" s="22" t="s">
        <v>791</v>
      </c>
      <c r="J1158" s="22" t="s">
        <v>790</v>
      </c>
      <c r="K1158" s="22" t="s">
        <v>791</v>
      </c>
      <c r="L1158" s="22" t="s">
        <v>792</v>
      </c>
      <c r="M1158" s="16" t="s">
        <v>5595</v>
      </c>
      <c r="N1158" s="16" t="s">
        <v>5595</v>
      </c>
      <c r="O1158" s="23">
        <v>5</v>
      </c>
      <c r="P1158" s="24" t="e">
        <f>VLOOKUP(I1158,#REF!,2,0)</f>
        <v>#REF!</v>
      </c>
      <c r="Q1158" s="25"/>
      <c r="R1158" s="24"/>
      <c r="S1158" s="26"/>
      <c r="T1158" s="24"/>
      <c r="U1158" s="26"/>
      <c r="V1158" s="26"/>
      <c r="W1158" s="27">
        <v>847</v>
      </c>
      <c r="X1158" s="28"/>
    </row>
    <row r="1159" ht="46" spans="1:32">
      <c r="A1159" s="31" t="s">
        <v>4174</v>
      </c>
      <c r="B1159" s="32" t="s">
        <v>4175</v>
      </c>
      <c r="C1159" s="33" t="s">
        <v>1016</v>
      </c>
      <c r="D1159" s="34" t="e">
        <f>VLOOKUP(C1159,#REF!,2,0)</f>
        <v>#REF!</v>
      </c>
      <c r="E1159" s="35" t="e">
        <f>VLOOKUP(D1159,数据集标准分类!E:F,2,0)</f>
        <v>#REF!</v>
      </c>
      <c r="F1159" s="36">
        <v>35</v>
      </c>
      <c r="G1159" s="37" t="s">
        <v>939</v>
      </c>
      <c r="H1159" s="37" t="s">
        <v>6085</v>
      </c>
      <c r="I1159" s="37" t="s">
        <v>942</v>
      </c>
      <c r="J1159" s="37" t="s">
        <v>940</v>
      </c>
      <c r="K1159" s="37" t="s">
        <v>942</v>
      </c>
      <c r="L1159" s="37" t="s">
        <v>797</v>
      </c>
      <c r="M1159" s="31" t="s">
        <v>5593</v>
      </c>
      <c r="N1159" s="31" t="s">
        <v>5595</v>
      </c>
      <c r="O1159" s="38">
        <v>6</v>
      </c>
      <c r="P1159" s="39" t="e">
        <f>VLOOKUP(I1159,#REF!,2,0)</f>
        <v>#REF!</v>
      </c>
      <c r="Q1159" s="40"/>
      <c r="R1159" s="39"/>
      <c r="S1159" s="41"/>
      <c r="T1159" s="39"/>
      <c r="U1159" s="41" t="s">
        <v>5593</v>
      </c>
      <c r="V1159" s="41"/>
      <c r="W1159" s="42">
        <v>848</v>
      </c>
      <c r="X1159" s="43"/>
      <c r="Y1159" s="44"/>
      <c r="Z1159" s="44"/>
      <c r="AA1159" s="44"/>
      <c r="AB1159" s="44"/>
      <c r="AC1159" s="44"/>
      <c r="AD1159" s="44"/>
      <c r="AE1159" s="44"/>
      <c r="AF1159" s="44"/>
    </row>
    <row r="1160" ht="46" spans="1:32">
      <c r="A1160" s="31" t="s">
        <v>4174</v>
      </c>
      <c r="B1160" s="32" t="s">
        <v>4175</v>
      </c>
      <c r="C1160" s="33" t="s">
        <v>1016</v>
      </c>
      <c r="D1160" s="34" t="e">
        <f>VLOOKUP(C1160,#REF!,2,0)</f>
        <v>#REF!</v>
      </c>
      <c r="E1160" s="35" t="e">
        <f>VLOOKUP(D1160,数据集标准分类!E:F,2,0)</f>
        <v>#REF!</v>
      </c>
      <c r="F1160" s="36">
        <v>35</v>
      </c>
      <c r="G1160" s="37" t="s">
        <v>943</v>
      </c>
      <c r="H1160" s="37" t="s">
        <v>5932</v>
      </c>
      <c r="I1160" s="37" t="s">
        <v>946</v>
      </c>
      <c r="J1160" s="37" t="s">
        <v>944</v>
      </c>
      <c r="K1160" s="37" t="s">
        <v>946</v>
      </c>
      <c r="L1160" s="37" t="s">
        <v>947</v>
      </c>
      <c r="M1160" s="31" t="s">
        <v>5593</v>
      </c>
      <c r="N1160" s="31" t="s">
        <v>5595</v>
      </c>
      <c r="O1160" s="38">
        <v>7</v>
      </c>
      <c r="P1160" s="39" t="e">
        <f>VLOOKUP(I1160,#REF!,2,0)</f>
        <v>#REF!</v>
      </c>
      <c r="Q1160" s="40"/>
      <c r="R1160" s="39"/>
      <c r="S1160" s="41"/>
      <c r="T1160" s="39"/>
      <c r="U1160" s="41" t="s">
        <v>5593</v>
      </c>
      <c r="V1160" s="41"/>
      <c r="W1160" s="42">
        <v>849</v>
      </c>
      <c r="X1160" s="43"/>
      <c r="Y1160" s="44"/>
      <c r="Z1160" s="44"/>
      <c r="AA1160" s="44"/>
      <c r="AB1160" s="44"/>
      <c r="AC1160" s="44"/>
      <c r="AD1160" s="44"/>
      <c r="AE1160" s="44"/>
      <c r="AF1160" s="44"/>
    </row>
    <row r="1161" ht="46" spans="1:32">
      <c r="A1161" s="31" t="s">
        <v>4174</v>
      </c>
      <c r="B1161" s="32" t="s">
        <v>4175</v>
      </c>
      <c r="C1161" s="33" t="s">
        <v>1016</v>
      </c>
      <c r="D1161" s="34" t="e">
        <f>VLOOKUP(C1161,#REF!,2,0)</f>
        <v>#REF!</v>
      </c>
      <c r="E1161" s="35" t="e">
        <f>VLOOKUP(D1161,数据集标准分类!E:F,2,0)</f>
        <v>#REF!</v>
      </c>
      <c r="F1161" s="36">
        <v>35</v>
      </c>
      <c r="G1161" s="37" t="s">
        <v>948</v>
      </c>
      <c r="H1161" s="37" t="s">
        <v>6086</v>
      </c>
      <c r="I1161" s="37" t="s">
        <v>951</v>
      </c>
      <c r="J1161" s="37" t="s">
        <v>949</v>
      </c>
      <c r="K1161" s="37" t="s">
        <v>951</v>
      </c>
      <c r="L1161" s="37" t="s">
        <v>807</v>
      </c>
      <c r="M1161" s="31" t="s">
        <v>5593</v>
      </c>
      <c r="N1161" s="31" t="s">
        <v>5595</v>
      </c>
      <c r="O1161" s="38">
        <v>8</v>
      </c>
      <c r="P1161" s="39" t="e">
        <f>VLOOKUP(I1161,#REF!,2,0)</f>
        <v>#REF!</v>
      </c>
      <c r="Q1161" s="40"/>
      <c r="R1161" s="39"/>
      <c r="S1161" s="41"/>
      <c r="T1161" s="39"/>
      <c r="U1161" s="41" t="s">
        <v>5593</v>
      </c>
      <c r="V1161" s="41"/>
      <c r="W1161" s="42">
        <v>850</v>
      </c>
      <c r="X1161" s="43"/>
      <c r="Y1161" s="44"/>
      <c r="Z1161" s="44"/>
      <c r="AA1161" s="44"/>
      <c r="AB1161" s="44"/>
      <c r="AC1161" s="44"/>
      <c r="AD1161" s="44"/>
      <c r="AE1161" s="44"/>
      <c r="AF1161" s="44"/>
    </row>
    <row r="1162" ht="46" spans="1:32">
      <c r="A1162" s="31" t="s">
        <v>4174</v>
      </c>
      <c r="B1162" s="32" t="s">
        <v>4175</v>
      </c>
      <c r="C1162" s="33" t="s">
        <v>1016</v>
      </c>
      <c r="D1162" s="34" t="e">
        <f>VLOOKUP(C1162,#REF!,2,0)</f>
        <v>#REF!</v>
      </c>
      <c r="E1162" s="35" t="e">
        <f>VLOOKUP(D1162,数据集标准分类!E:F,2,0)</f>
        <v>#REF!</v>
      </c>
      <c r="F1162" s="36">
        <v>35</v>
      </c>
      <c r="G1162" s="37" t="s">
        <v>952</v>
      </c>
      <c r="H1162" s="37" t="s">
        <v>6087</v>
      </c>
      <c r="I1162" s="37" t="s">
        <v>955</v>
      </c>
      <c r="J1162" s="37" t="s">
        <v>953</v>
      </c>
      <c r="K1162" s="37" t="s">
        <v>955</v>
      </c>
      <c r="L1162" s="37" t="s">
        <v>956</v>
      </c>
      <c r="M1162" s="31" t="s">
        <v>5593</v>
      </c>
      <c r="N1162" s="31" t="s">
        <v>5595</v>
      </c>
      <c r="O1162" s="38">
        <v>9</v>
      </c>
      <c r="P1162" s="39" t="e">
        <f>VLOOKUP(I1162,#REF!,2,0)</f>
        <v>#REF!</v>
      </c>
      <c r="Q1162" s="40"/>
      <c r="R1162" s="39"/>
      <c r="S1162" s="41"/>
      <c r="T1162" s="39"/>
      <c r="U1162" s="41" t="s">
        <v>5593</v>
      </c>
      <c r="V1162" s="41"/>
      <c r="W1162" s="42">
        <v>851</v>
      </c>
      <c r="X1162" s="43"/>
      <c r="Y1162" s="44"/>
      <c r="Z1162" s="44"/>
      <c r="AA1162" s="44"/>
      <c r="AB1162" s="44"/>
      <c r="AC1162" s="44"/>
      <c r="AD1162" s="44"/>
      <c r="AE1162" s="44"/>
      <c r="AF1162" s="44"/>
    </row>
    <row r="1163" ht="46" spans="1:32">
      <c r="A1163" s="50" t="s">
        <v>4174</v>
      </c>
      <c r="B1163" s="51" t="s">
        <v>4175</v>
      </c>
      <c r="C1163" s="52" t="s">
        <v>1016</v>
      </c>
      <c r="D1163" s="53" t="e">
        <f>VLOOKUP(C1163,#REF!,2,0)</f>
        <v>#REF!</v>
      </c>
      <c r="E1163" s="20" t="e">
        <f>VLOOKUP(D1163,数据集标准分类!E:F,2,0)</f>
        <v>#REF!</v>
      </c>
      <c r="F1163" s="54">
        <v>35</v>
      </c>
      <c r="G1163" s="55" t="s">
        <v>957</v>
      </c>
      <c r="H1163" s="55" t="s">
        <v>6088</v>
      </c>
      <c r="I1163" s="55" t="s">
        <v>960</v>
      </c>
      <c r="J1163" s="55" t="s">
        <v>958</v>
      </c>
      <c r="K1163" s="55" t="s">
        <v>960</v>
      </c>
      <c r="L1163" s="55" t="s">
        <v>817</v>
      </c>
      <c r="M1163" s="50" t="s">
        <v>5593</v>
      </c>
      <c r="N1163" s="50" t="s">
        <v>5595</v>
      </c>
      <c r="O1163" s="56">
        <v>10</v>
      </c>
      <c r="P1163" s="57" t="e">
        <f>VLOOKUP(I1163,#REF!,2,0)</f>
        <v>#REF!</v>
      </c>
      <c r="Q1163" s="58"/>
      <c r="R1163" s="57"/>
      <c r="S1163" s="59"/>
      <c r="T1163" s="57"/>
      <c r="U1163" s="59" t="s">
        <v>5593</v>
      </c>
      <c r="V1163" s="59" t="s">
        <v>5593</v>
      </c>
      <c r="W1163" s="60">
        <v>852</v>
      </c>
      <c r="X1163" s="61"/>
      <c r="Y1163" s="62"/>
      <c r="Z1163" s="62"/>
      <c r="AA1163" s="62"/>
      <c r="AB1163" s="62"/>
      <c r="AC1163" s="62"/>
      <c r="AD1163" s="62"/>
      <c r="AE1163" s="62"/>
      <c r="AF1163" s="62"/>
    </row>
    <row r="1164" ht="46" spans="1:32">
      <c r="A1164" s="50" t="s">
        <v>4174</v>
      </c>
      <c r="B1164" s="51" t="s">
        <v>4175</v>
      </c>
      <c r="C1164" s="52" t="s">
        <v>1016</v>
      </c>
      <c r="D1164" s="53" t="e">
        <f>VLOOKUP(C1164,#REF!,2,0)</f>
        <v>#REF!</v>
      </c>
      <c r="E1164" s="20" t="e">
        <f>VLOOKUP(D1164,数据集标准分类!E:F,2,0)</f>
        <v>#REF!</v>
      </c>
      <c r="F1164" s="54">
        <v>35</v>
      </c>
      <c r="G1164" s="55" t="s">
        <v>961</v>
      </c>
      <c r="H1164" s="55" t="s">
        <v>6089</v>
      </c>
      <c r="I1164" s="55" t="s">
        <v>964</v>
      </c>
      <c r="J1164" s="55" t="s">
        <v>962</v>
      </c>
      <c r="K1164" s="55" t="s">
        <v>964</v>
      </c>
      <c r="L1164" s="55" t="s">
        <v>965</v>
      </c>
      <c r="M1164" s="50" t="s">
        <v>5593</v>
      </c>
      <c r="N1164" s="50" t="s">
        <v>5595</v>
      </c>
      <c r="O1164" s="56">
        <v>11</v>
      </c>
      <c r="P1164" s="57" t="e">
        <f>VLOOKUP(I1164,#REF!,2,0)</f>
        <v>#REF!</v>
      </c>
      <c r="Q1164" s="58"/>
      <c r="R1164" s="57"/>
      <c r="S1164" s="59"/>
      <c r="T1164" s="57"/>
      <c r="U1164" s="59" t="s">
        <v>5593</v>
      </c>
      <c r="V1164" s="59" t="s">
        <v>5593</v>
      </c>
      <c r="W1164" s="60">
        <v>853</v>
      </c>
      <c r="X1164" s="61"/>
      <c r="Y1164" s="62"/>
      <c r="Z1164" s="62"/>
      <c r="AA1164" s="62"/>
      <c r="AB1164" s="62"/>
      <c r="AC1164" s="62"/>
      <c r="AD1164" s="62"/>
      <c r="AE1164" s="62"/>
      <c r="AF1164" s="62"/>
    </row>
    <row r="1165" spans="1:32">
      <c r="A1165" s="16" t="s">
        <v>4174</v>
      </c>
      <c r="B1165" s="17" t="s">
        <v>4175</v>
      </c>
      <c r="C1165" s="30" t="s">
        <v>1016</v>
      </c>
      <c r="D1165" s="19" t="e">
        <f>VLOOKUP(C1165,#REF!,2,0)</f>
        <v>#REF!</v>
      </c>
      <c r="E1165" s="20" t="e">
        <f>VLOOKUP(D1165,数据集标准分类!E:F,2,0)</f>
        <v>#REF!</v>
      </c>
      <c r="F1165" s="21">
        <v>35</v>
      </c>
      <c r="G1165" s="22" t="s">
        <v>966</v>
      </c>
      <c r="H1165" s="22" t="s">
        <v>5715</v>
      </c>
      <c r="I1165" s="22" t="s">
        <v>969</v>
      </c>
      <c r="J1165" s="22" t="s">
        <v>967</v>
      </c>
      <c r="K1165" s="22" t="s">
        <v>969</v>
      </c>
      <c r="L1165" s="22" t="s">
        <v>970</v>
      </c>
      <c r="M1165" s="16" t="s">
        <v>5593</v>
      </c>
      <c r="N1165" s="16" t="s">
        <v>5595</v>
      </c>
      <c r="O1165" s="23">
        <v>12</v>
      </c>
      <c r="P1165" s="24" t="e">
        <f>VLOOKUP(I1165,#REF!,2,0)</f>
        <v>#REF!</v>
      </c>
      <c r="Q1165" s="25"/>
      <c r="R1165" s="24"/>
      <c r="S1165" s="26"/>
      <c r="T1165" s="24"/>
      <c r="U1165" s="26"/>
      <c r="V1165" s="26"/>
      <c r="W1165" s="27">
        <v>854</v>
      </c>
      <c r="X1165" s="28"/>
    </row>
    <row r="1166" ht="31" spans="1:32">
      <c r="A1166" s="16" t="s">
        <v>4174</v>
      </c>
      <c r="B1166" s="17" t="s">
        <v>4175</v>
      </c>
      <c r="C1166" s="30" t="s">
        <v>1016</v>
      </c>
      <c r="D1166" s="19" t="e">
        <f>VLOOKUP(C1166,#REF!,2,0)</f>
        <v>#REF!</v>
      </c>
      <c r="E1166" s="20" t="e">
        <f>VLOOKUP(D1166,数据集标准分类!E:F,2,0)</f>
        <v>#REF!</v>
      </c>
      <c r="F1166" s="21">
        <v>35</v>
      </c>
      <c r="G1166" s="22" t="s">
        <v>1022</v>
      </c>
      <c r="H1166" s="22" t="s">
        <v>1023</v>
      </c>
      <c r="I1166" s="22" t="s">
        <v>1025</v>
      </c>
      <c r="J1166" s="22" t="s">
        <v>1023</v>
      </c>
      <c r="K1166" s="22" t="s">
        <v>1025</v>
      </c>
      <c r="L1166" s="22" t="s">
        <v>1026</v>
      </c>
      <c r="M1166" s="16" t="s">
        <v>5595</v>
      </c>
      <c r="N1166" s="16" t="s">
        <v>5595</v>
      </c>
      <c r="O1166" s="23">
        <v>13</v>
      </c>
      <c r="P1166" s="24" t="e">
        <f>VLOOKUP(I1166,#REF!,2,0)</f>
        <v>#REF!</v>
      </c>
      <c r="Q1166" s="25"/>
      <c r="R1166" s="24"/>
      <c r="S1166" s="26"/>
      <c r="T1166" s="24"/>
      <c r="U1166" s="26"/>
      <c r="V1166" s="26"/>
      <c r="W1166" s="27">
        <v>855</v>
      </c>
      <c r="X1166" s="28"/>
    </row>
    <row r="1167" ht="31" spans="1:32">
      <c r="A1167" s="31" t="s">
        <v>4174</v>
      </c>
      <c r="B1167" s="32" t="s">
        <v>4175</v>
      </c>
      <c r="C1167" s="33" t="s">
        <v>1016</v>
      </c>
      <c r="D1167" s="34" t="e">
        <f>VLOOKUP(C1167,#REF!,2,0)</f>
        <v>#REF!</v>
      </c>
      <c r="E1167" s="35" t="e">
        <f>VLOOKUP(D1167,数据集标准分类!E:F,2,0)</f>
        <v>#REF!</v>
      </c>
      <c r="F1167" s="36">
        <v>35</v>
      </c>
      <c r="G1167" s="37" t="s">
        <v>1027</v>
      </c>
      <c r="H1167" s="37" t="s">
        <v>6098</v>
      </c>
      <c r="I1167" s="37" t="s">
        <v>1030</v>
      </c>
      <c r="J1167" s="37" t="s">
        <v>1028</v>
      </c>
      <c r="K1167" s="37" t="s">
        <v>1030</v>
      </c>
      <c r="L1167" s="37" t="s">
        <v>1031</v>
      </c>
      <c r="M1167" s="31" t="s">
        <v>5593</v>
      </c>
      <c r="N1167" s="31" t="s">
        <v>5595</v>
      </c>
      <c r="O1167" s="38">
        <v>14</v>
      </c>
      <c r="P1167" s="39" t="e">
        <f>VLOOKUP(I1167,#REF!,2,0)</f>
        <v>#REF!</v>
      </c>
      <c r="Q1167" s="40"/>
      <c r="R1167" s="39"/>
      <c r="S1167" s="41"/>
      <c r="T1167" s="39"/>
      <c r="U1167" s="41" t="s">
        <v>5593</v>
      </c>
      <c r="V1167" s="41"/>
      <c r="W1167" s="42">
        <v>856</v>
      </c>
      <c r="X1167" s="43"/>
      <c r="Y1167" s="44"/>
      <c r="Z1167" s="44"/>
      <c r="AA1167" s="44"/>
      <c r="AB1167" s="44"/>
      <c r="AC1167" s="44"/>
      <c r="AD1167" s="44"/>
      <c r="AE1167" s="44"/>
      <c r="AF1167" s="44"/>
    </row>
    <row r="1168" ht="31" spans="1:32">
      <c r="A1168" s="31" t="s">
        <v>4174</v>
      </c>
      <c r="B1168" s="32" t="s">
        <v>4175</v>
      </c>
      <c r="C1168" s="33" t="s">
        <v>1016</v>
      </c>
      <c r="D1168" s="34" t="e">
        <f>VLOOKUP(C1168,#REF!,2,0)</f>
        <v>#REF!</v>
      </c>
      <c r="E1168" s="35" t="e">
        <f>VLOOKUP(D1168,数据集标准分类!E:F,2,0)</f>
        <v>#REF!</v>
      </c>
      <c r="F1168" s="36">
        <v>35</v>
      </c>
      <c r="G1168" s="37" t="s">
        <v>1032</v>
      </c>
      <c r="H1168" s="37" t="s">
        <v>6099</v>
      </c>
      <c r="I1168" s="37" t="s">
        <v>1035</v>
      </c>
      <c r="J1168" s="37" t="s">
        <v>1033</v>
      </c>
      <c r="K1168" s="37" t="s">
        <v>1035</v>
      </c>
      <c r="L1168" s="37" t="s">
        <v>1036</v>
      </c>
      <c r="M1168" s="31" t="s">
        <v>5593</v>
      </c>
      <c r="N1168" s="31" t="s">
        <v>5595</v>
      </c>
      <c r="O1168" s="38">
        <v>15</v>
      </c>
      <c r="P1168" s="39" t="e">
        <f>VLOOKUP(I1168,#REF!,2,0)</f>
        <v>#REF!</v>
      </c>
      <c r="Q1168" s="40"/>
      <c r="R1168" s="39"/>
      <c r="S1168" s="41"/>
      <c r="T1168" s="39"/>
      <c r="U1168" s="41" t="s">
        <v>5593</v>
      </c>
      <c r="V1168" s="41"/>
      <c r="W1168" s="42">
        <v>857</v>
      </c>
      <c r="X1168" s="43"/>
      <c r="Y1168" s="44"/>
      <c r="Z1168" s="44"/>
      <c r="AA1168" s="44"/>
      <c r="AB1168" s="44"/>
      <c r="AC1168" s="44"/>
      <c r="AD1168" s="44"/>
      <c r="AE1168" s="44"/>
      <c r="AF1168" s="44"/>
    </row>
    <row r="1169" ht="31" spans="1:32">
      <c r="A1169" s="31" t="s">
        <v>4174</v>
      </c>
      <c r="B1169" s="32" t="s">
        <v>4175</v>
      </c>
      <c r="C1169" s="33" t="s">
        <v>1016</v>
      </c>
      <c r="D1169" s="34" t="e">
        <f>VLOOKUP(C1169,#REF!,2,0)</f>
        <v>#REF!</v>
      </c>
      <c r="E1169" s="35" t="e">
        <f>VLOOKUP(D1169,数据集标准分类!E:F,2,0)</f>
        <v>#REF!</v>
      </c>
      <c r="F1169" s="36">
        <v>35</v>
      </c>
      <c r="G1169" s="37" t="s">
        <v>1037</v>
      </c>
      <c r="H1169" s="37" t="s">
        <v>6100</v>
      </c>
      <c r="I1169" s="37" t="s">
        <v>1040</v>
      </c>
      <c r="J1169" s="37" t="s">
        <v>1038</v>
      </c>
      <c r="K1169" s="37" t="s">
        <v>1040</v>
      </c>
      <c r="L1169" s="37" t="s">
        <v>1041</v>
      </c>
      <c r="M1169" s="31" t="s">
        <v>5593</v>
      </c>
      <c r="N1169" s="31" t="s">
        <v>5595</v>
      </c>
      <c r="O1169" s="38">
        <v>16</v>
      </c>
      <c r="P1169" s="39" t="e">
        <f>VLOOKUP(I1169,#REF!,2,0)</f>
        <v>#REF!</v>
      </c>
      <c r="Q1169" s="40"/>
      <c r="R1169" s="39"/>
      <c r="S1169" s="41"/>
      <c r="T1169" s="39"/>
      <c r="U1169" s="41" t="s">
        <v>5593</v>
      </c>
      <c r="V1169" s="41"/>
      <c r="W1169" s="42">
        <v>858</v>
      </c>
      <c r="X1169" s="43"/>
      <c r="Y1169" s="44"/>
      <c r="Z1169" s="44"/>
      <c r="AA1169" s="44"/>
      <c r="AB1169" s="44"/>
      <c r="AC1169" s="44"/>
      <c r="AD1169" s="44"/>
      <c r="AE1169" s="44"/>
      <c r="AF1169" s="44"/>
    </row>
    <row r="1170" ht="31" spans="1:32">
      <c r="A1170" s="31" t="s">
        <v>4174</v>
      </c>
      <c r="B1170" s="32" t="s">
        <v>4175</v>
      </c>
      <c r="C1170" s="33" t="s">
        <v>1016</v>
      </c>
      <c r="D1170" s="34" t="e">
        <f>VLOOKUP(C1170,#REF!,2,0)</f>
        <v>#REF!</v>
      </c>
      <c r="E1170" s="35" t="e">
        <f>VLOOKUP(D1170,数据集标准分类!E:F,2,0)</f>
        <v>#REF!</v>
      </c>
      <c r="F1170" s="36">
        <v>35</v>
      </c>
      <c r="G1170" s="37" t="s">
        <v>1042</v>
      </c>
      <c r="H1170" s="37" t="s">
        <v>6101</v>
      </c>
      <c r="I1170" s="37" t="s">
        <v>1045</v>
      </c>
      <c r="J1170" s="37" t="s">
        <v>1043</v>
      </c>
      <c r="K1170" s="37" t="s">
        <v>1045</v>
      </c>
      <c r="L1170" s="37" t="s">
        <v>1046</v>
      </c>
      <c r="M1170" s="31" t="s">
        <v>5593</v>
      </c>
      <c r="N1170" s="31" t="s">
        <v>5595</v>
      </c>
      <c r="O1170" s="38">
        <v>17</v>
      </c>
      <c r="P1170" s="39" t="e">
        <f>VLOOKUP(I1170,#REF!,2,0)</f>
        <v>#REF!</v>
      </c>
      <c r="Q1170" s="40"/>
      <c r="R1170" s="39"/>
      <c r="S1170" s="41"/>
      <c r="T1170" s="39"/>
      <c r="U1170" s="41" t="s">
        <v>5593</v>
      </c>
      <c r="V1170" s="41"/>
      <c r="W1170" s="42">
        <v>859</v>
      </c>
      <c r="X1170" s="43"/>
      <c r="Y1170" s="44"/>
      <c r="Z1170" s="44"/>
      <c r="AA1170" s="44"/>
      <c r="AB1170" s="44"/>
      <c r="AC1170" s="44"/>
      <c r="AD1170" s="44"/>
      <c r="AE1170" s="44"/>
      <c r="AF1170" s="44"/>
    </row>
    <row r="1171" ht="24" customHeight="1" spans="1:32">
      <c r="A1171" s="50" t="s">
        <v>4174</v>
      </c>
      <c r="B1171" s="51" t="s">
        <v>4175</v>
      </c>
      <c r="C1171" s="52" t="s">
        <v>1016</v>
      </c>
      <c r="D1171" s="53" t="e">
        <f>VLOOKUP(C1171,#REF!,2,0)</f>
        <v>#REF!</v>
      </c>
      <c r="E1171" s="20" t="e">
        <f>VLOOKUP(D1171,数据集标准分类!E:F,2,0)</f>
        <v>#REF!</v>
      </c>
      <c r="F1171" s="54">
        <v>35</v>
      </c>
      <c r="G1171" s="55" t="s">
        <v>1047</v>
      </c>
      <c r="H1171" s="55" t="s">
        <v>6102</v>
      </c>
      <c r="I1171" s="55" t="s">
        <v>1050</v>
      </c>
      <c r="J1171" s="55" t="s">
        <v>1048</v>
      </c>
      <c r="K1171" s="55" t="s">
        <v>1050</v>
      </c>
      <c r="L1171" s="55" t="s">
        <v>1051</v>
      </c>
      <c r="M1171" s="50" t="s">
        <v>5593</v>
      </c>
      <c r="N1171" s="50" t="s">
        <v>5595</v>
      </c>
      <c r="O1171" s="56">
        <v>18</v>
      </c>
      <c r="P1171" s="57" t="e">
        <f>VLOOKUP(I1171,#REF!,2,0)</f>
        <v>#REF!</v>
      </c>
      <c r="Q1171" s="58"/>
      <c r="R1171" s="57"/>
      <c r="S1171" s="59"/>
      <c r="T1171" s="57"/>
      <c r="U1171" s="59" t="s">
        <v>5593</v>
      </c>
      <c r="V1171" s="59" t="s">
        <v>5593</v>
      </c>
      <c r="W1171" s="60">
        <v>860</v>
      </c>
      <c r="X1171" s="61"/>
      <c r="Y1171" s="62"/>
      <c r="Z1171" s="62"/>
      <c r="AA1171" s="62"/>
      <c r="AB1171" s="62"/>
      <c r="AC1171" s="62"/>
      <c r="AD1171" s="62"/>
      <c r="AE1171" s="62"/>
      <c r="AF1171" s="62"/>
    </row>
    <row r="1172" ht="31" spans="1:32">
      <c r="A1172" s="50" t="s">
        <v>4174</v>
      </c>
      <c r="B1172" s="51" t="s">
        <v>4175</v>
      </c>
      <c r="C1172" s="52" t="s">
        <v>1016</v>
      </c>
      <c r="D1172" s="53" t="e">
        <f>VLOOKUP(C1172,#REF!,2,0)</f>
        <v>#REF!</v>
      </c>
      <c r="E1172" s="20" t="e">
        <f>VLOOKUP(D1172,数据集标准分类!E:F,2,0)</f>
        <v>#REF!</v>
      </c>
      <c r="F1172" s="54">
        <v>35</v>
      </c>
      <c r="G1172" s="55" t="s">
        <v>1052</v>
      </c>
      <c r="H1172" s="55" t="s">
        <v>6103</v>
      </c>
      <c r="I1172" s="55" t="s">
        <v>1055</v>
      </c>
      <c r="J1172" s="55" t="s">
        <v>1053</v>
      </c>
      <c r="K1172" s="55" t="s">
        <v>1055</v>
      </c>
      <c r="L1172" s="55" t="s">
        <v>1056</v>
      </c>
      <c r="M1172" s="50" t="s">
        <v>5593</v>
      </c>
      <c r="N1172" s="50" t="s">
        <v>5595</v>
      </c>
      <c r="O1172" s="56">
        <v>19</v>
      </c>
      <c r="P1172" s="57" t="e">
        <f>VLOOKUP(I1172,#REF!,2,0)</f>
        <v>#REF!</v>
      </c>
      <c r="Q1172" s="58"/>
      <c r="R1172" s="57"/>
      <c r="S1172" s="59"/>
      <c r="T1172" s="57"/>
      <c r="U1172" s="59" t="s">
        <v>5593</v>
      </c>
      <c r="V1172" s="59" t="s">
        <v>5593</v>
      </c>
      <c r="W1172" s="60">
        <v>861</v>
      </c>
      <c r="X1172" s="61"/>
      <c r="Y1172" s="62"/>
      <c r="Z1172" s="62"/>
      <c r="AA1172" s="62"/>
      <c r="AB1172" s="62"/>
      <c r="AC1172" s="62"/>
      <c r="AD1172" s="62"/>
      <c r="AE1172" s="62"/>
      <c r="AF1172" s="62"/>
    </row>
    <row r="1173" ht="61" spans="1:32">
      <c r="A1173" s="16" t="s">
        <v>4174</v>
      </c>
      <c r="B1173" s="17" t="s">
        <v>4175</v>
      </c>
      <c r="C1173" s="30" t="s">
        <v>1057</v>
      </c>
      <c r="D1173" s="19" t="e">
        <f>VLOOKUP(C1173,#REF!,2,0)</f>
        <v>#REF!</v>
      </c>
      <c r="E1173" s="20" t="e">
        <f>VLOOKUP(D1173,数据集标准分类!E:F,2,0)</f>
        <v>#REF!</v>
      </c>
      <c r="F1173" s="21">
        <v>36</v>
      </c>
      <c r="G1173" s="22" t="s">
        <v>663</v>
      </c>
      <c r="H1173" s="22" t="s">
        <v>664</v>
      </c>
      <c r="I1173" s="22" t="s">
        <v>666</v>
      </c>
      <c r="J1173" s="22" t="s">
        <v>664</v>
      </c>
      <c r="K1173" s="22" t="s">
        <v>666</v>
      </c>
      <c r="L1173" s="22" t="s">
        <v>667</v>
      </c>
      <c r="M1173" s="16" t="s">
        <v>5595</v>
      </c>
      <c r="N1173" s="16" t="s">
        <v>5595</v>
      </c>
      <c r="O1173" s="23">
        <v>1</v>
      </c>
      <c r="P1173" s="24" t="e">
        <f>VLOOKUP(I1173,#REF!,2,0)</f>
        <v>#REF!</v>
      </c>
      <c r="Q1173" s="25"/>
      <c r="R1173" s="24"/>
      <c r="S1173" s="26"/>
      <c r="T1173" s="24"/>
      <c r="U1173" s="26"/>
      <c r="V1173" s="26"/>
      <c r="W1173" s="27">
        <v>862</v>
      </c>
      <c r="X1173" s="28"/>
    </row>
    <row r="1174" ht="76" spans="1:32">
      <c r="A1174" s="16" t="s">
        <v>4174</v>
      </c>
      <c r="B1174" s="17" t="s">
        <v>4175</v>
      </c>
      <c r="C1174" s="30" t="s">
        <v>1057</v>
      </c>
      <c r="D1174" s="19" t="e">
        <f>VLOOKUP(C1174,#REF!,2,0)</f>
        <v>#REF!</v>
      </c>
      <c r="E1174" s="20" t="e">
        <f>VLOOKUP(D1174,数据集标准分类!E:F,2,0)</f>
        <v>#REF!</v>
      </c>
      <c r="F1174" s="21">
        <v>36</v>
      </c>
      <c r="G1174" s="22" t="s">
        <v>1058</v>
      </c>
      <c r="H1174" s="22" t="s">
        <v>6104</v>
      </c>
      <c r="I1174" s="22" t="s">
        <v>1061</v>
      </c>
      <c r="J1174" s="22" t="s">
        <v>1059</v>
      </c>
      <c r="K1174" s="22" t="s">
        <v>1061</v>
      </c>
      <c r="L1174" s="22" t="s">
        <v>1062</v>
      </c>
      <c r="M1174" s="16" t="s">
        <v>5593</v>
      </c>
      <c r="N1174" s="16" t="s">
        <v>5595</v>
      </c>
      <c r="O1174" s="23">
        <v>2</v>
      </c>
      <c r="P1174" s="24" t="e">
        <f>VLOOKUP(I1174,#REF!,2,0)</f>
        <v>#REF!</v>
      </c>
      <c r="Q1174" s="25"/>
      <c r="R1174" s="24"/>
      <c r="S1174" s="26"/>
      <c r="T1174" s="24"/>
      <c r="U1174" s="26"/>
      <c r="V1174" s="26"/>
      <c r="W1174" s="27">
        <v>863</v>
      </c>
      <c r="X1174" s="28"/>
    </row>
    <row r="1175" ht="46" spans="1:32">
      <c r="A1175" s="16" t="s">
        <v>4174</v>
      </c>
      <c r="B1175" s="17" t="s">
        <v>4175</v>
      </c>
      <c r="C1175" s="30" t="s">
        <v>1057</v>
      </c>
      <c r="D1175" s="19" t="e">
        <f>VLOOKUP(C1175,#REF!,2,0)</f>
        <v>#REF!</v>
      </c>
      <c r="E1175" s="20" t="e">
        <f>VLOOKUP(D1175,数据集标准分类!E:F,2,0)</f>
        <v>#REF!</v>
      </c>
      <c r="F1175" s="21">
        <v>36</v>
      </c>
      <c r="G1175" s="22" t="s">
        <v>784</v>
      </c>
      <c r="H1175" s="22" t="s">
        <v>785</v>
      </c>
      <c r="I1175" s="22" t="s">
        <v>787</v>
      </c>
      <c r="J1175" s="22" t="s">
        <v>785</v>
      </c>
      <c r="K1175" s="22" t="s">
        <v>787</v>
      </c>
      <c r="L1175" s="22" t="s">
        <v>788</v>
      </c>
      <c r="M1175" s="16" t="s">
        <v>5595</v>
      </c>
      <c r="N1175" s="16" t="s">
        <v>5595</v>
      </c>
      <c r="O1175" s="23">
        <v>3</v>
      </c>
      <c r="P1175" s="24" t="e">
        <f>VLOOKUP(I1175,#REF!,2,0)</f>
        <v>#REF!</v>
      </c>
      <c r="Q1175" s="25"/>
      <c r="R1175" s="24"/>
      <c r="S1175" s="26"/>
      <c r="T1175" s="24"/>
      <c r="U1175" s="26"/>
      <c r="V1175" s="26"/>
      <c r="W1175" s="27">
        <v>864</v>
      </c>
      <c r="X1175" s="28"/>
    </row>
    <row r="1176" spans="1:32">
      <c r="A1176" s="16" t="s">
        <v>4174</v>
      </c>
      <c r="B1176" s="17" t="s">
        <v>4175</v>
      </c>
      <c r="C1176" s="30" t="s">
        <v>1057</v>
      </c>
      <c r="D1176" s="19" t="e">
        <f>VLOOKUP(C1176,#REF!,2,0)</f>
        <v>#REF!</v>
      </c>
      <c r="E1176" s="20" t="e">
        <f>VLOOKUP(D1176,数据集标准分类!E:F,2,0)</f>
        <v>#REF!</v>
      </c>
      <c r="F1176" s="21">
        <v>36</v>
      </c>
      <c r="G1176" s="22" t="s">
        <v>1063</v>
      </c>
      <c r="H1176" s="22" t="s">
        <v>1064</v>
      </c>
      <c r="I1176" s="22" t="s">
        <v>1066</v>
      </c>
      <c r="J1176" s="22" t="s">
        <v>1064</v>
      </c>
      <c r="K1176" s="22" t="s">
        <v>1066</v>
      </c>
      <c r="L1176" s="22" t="s">
        <v>1067</v>
      </c>
      <c r="M1176" s="16" t="s">
        <v>5595</v>
      </c>
      <c r="N1176" s="16" t="s">
        <v>5595</v>
      </c>
      <c r="O1176" s="23">
        <v>4</v>
      </c>
      <c r="P1176" s="24" t="e">
        <f>VLOOKUP(I1176,#REF!,2,0)</f>
        <v>#REF!</v>
      </c>
      <c r="Q1176" s="47"/>
      <c r="R1176" s="24"/>
      <c r="S1176" s="48"/>
      <c r="T1176" s="24"/>
      <c r="U1176" s="48"/>
      <c r="V1176" s="48"/>
      <c r="W1176" s="27">
        <v>865</v>
      </c>
      <c r="X1176" s="28"/>
      <c r="Y1176" s="5"/>
      <c r="Z1176" s="5"/>
      <c r="AA1176" s="5"/>
      <c r="AB1176" s="5"/>
      <c r="AC1176" s="5"/>
      <c r="AD1176" s="5"/>
      <c r="AE1176" s="5"/>
      <c r="AF1176" s="5"/>
    </row>
    <row r="1177" ht="46" spans="1:32">
      <c r="A1177" s="16" t="s">
        <v>4174</v>
      </c>
      <c r="B1177" s="17" t="s">
        <v>4175</v>
      </c>
      <c r="C1177" s="30" t="s">
        <v>1057</v>
      </c>
      <c r="D1177" s="19" t="e">
        <f>VLOOKUP(C1177,#REF!,2,0)</f>
        <v>#REF!</v>
      </c>
      <c r="E1177" s="20" t="e">
        <f>VLOOKUP(D1177,数据集标准分类!E:F,2,0)</f>
        <v>#REF!</v>
      </c>
      <c r="F1177" s="21">
        <v>36</v>
      </c>
      <c r="G1177" s="22" t="s">
        <v>798</v>
      </c>
      <c r="H1177" s="22" t="s">
        <v>5603</v>
      </c>
      <c r="I1177" s="22" t="s">
        <v>5604</v>
      </c>
      <c r="J1177" s="22" t="s">
        <v>799</v>
      </c>
      <c r="K1177" s="22" t="s">
        <v>801</v>
      </c>
      <c r="L1177" s="22" t="s">
        <v>802</v>
      </c>
      <c r="M1177" s="16" t="s">
        <v>5593</v>
      </c>
      <c r="N1177" s="16" t="s">
        <v>5593</v>
      </c>
      <c r="O1177" s="23">
        <v>5</v>
      </c>
      <c r="P1177" s="24" t="e">
        <f>VLOOKUP(I1177,#REF!,2,0)</f>
        <v>#REF!</v>
      </c>
      <c r="Q1177" s="47"/>
      <c r="R1177" s="24"/>
      <c r="S1177" s="48"/>
      <c r="T1177" s="24"/>
      <c r="U1177" s="48"/>
      <c r="V1177" s="48"/>
      <c r="W1177" s="27">
        <v>866</v>
      </c>
      <c r="X1177" s="28"/>
      <c r="Y1177" s="5"/>
      <c r="Z1177" s="5"/>
      <c r="AA1177" s="5"/>
      <c r="AB1177" s="5"/>
      <c r="AC1177" s="5"/>
      <c r="AD1177" s="5"/>
      <c r="AE1177" s="5"/>
      <c r="AF1177" s="5"/>
    </row>
    <row r="1178" ht="46" spans="1:32">
      <c r="A1178" s="16" t="s">
        <v>4174</v>
      </c>
      <c r="B1178" s="17" t="s">
        <v>4175</v>
      </c>
      <c r="C1178" s="30" t="s">
        <v>1057</v>
      </c>
      <c r="D1178" s="19" t="e">
        <f>VLOOKUP(C1178,#REF!,2,0)</f>
        <v>#REF!</v>
      </c>
      <c r="E1178" s="20" t="e">
        <f>VLOOKUP(D1178,数据集标准分类!E:F,2,0)</f>
        <v>#REF!</v>
      </c>
      <c r="F1178" s="21">
        <v>36</v>
      </c>
      <c r="G1178" s="22" t="s">
        <v>808</v>
      </c>
      <c r="H1178" s="22" t="s">
        <v>5607</v>
      </c>
      <c r="I1178" s="22" t="s">
        <v>811</v>
      </c>
      <c r="J1178" s="22" t="s">
        <v>809</v>
      </c>
      <c r="K1178" s="22" t="s">
        <v>811</v>
      </c>
      <c r="L1178" s="22" t="s">
        <v>812</v>
      </c>
      <c r="M1178" s="16" t="s">
        <v>5593</v>
      </c>
      <c r="N1178" s="16" t="s">
        <v>5595</v>
      </c>
      <c r="O1178" s="23">
        <v>6</v>
      </c>
      <c r="P1178" s="24" t="e">
        <f>VLOOKUP(I1178,#REF!,2,0)</f>
        <v>#REF!</v>
      </c>
      <c r="Q1178" s="47"/>
      <c r="R1178" s="24"/>
      <c r="S1178" s="48"/>
      <c r="T1178" s="24"/>
      <c r="U1178" s="48"/>
      <c r="V1178" s="48"/>
      <c r="W1178" s="27">
        <v>867</v>
      </c>
      <c r="X1178" s="28"/>
      <c r="Y1178" s="5"/>
      <c r="Z1178" s="5"/>
      <c r="AA1178" s="5"/>
      <c r="AB1178" s="5"/>
      <c r="AC1178" s="5"/>
      <c r="AD1178" s="5"/>
      <c r="AE1178" s="5"/>
      <c r="AF1178" s="5"/>
    </row>
    <row r="1179" ht="46" spans="1:32">
      <c r="A1179" s="16" t="s">
        <v>4174</v>
      </c>
      <c r="B1179" s="17" t="s">
        <v>4175</v>
      </c>
      <c r="C1179" s="30" t="s">
        <v>1057</v>
      </c>
      <c r="D1179" s="19" t="e">
        <f>VLOOKUP(C1179,#REF!,2,0)</f>
        <v>#REF!</v>
      </c>
      <c r="E1179" s="20" t="e">
        <f>VLOOKUP(D1179,数据集标准分类!E:F,2,0)</f>
        <v>#REF!</v>
      </c>
      <c r="F1179" s="21">
        <v>36</v>
      </c>
      <c r="G1179" s="22" t="s">
        <v>818</v>
      </c>
      <c r="H1179" s="22" t="s">
        <v>5609</v>
      </c>
      <c r="I1179" s="22" t="s">
        <v>821</v>
      </c>
      <c r="J1179" s="22" t="s">
        <v>819</v>
      </c>
      <c r="K1179" s="22" t="s">
        <v>821</v>
      </c>
      <c r="L1179" s="22" t="s">
        <v>822</v>
      </c>
      <c r="M1179" s="16" t="s">
        <v>5593</v>
      </c>
      <c r="N1179" s="16" t="s">
        <v>5595</v>
      </c>
      <c r="O1179" s="23">
        <v>7</v>
      </c>
      <c r="P1179" s="24" t="e">
        <f>VLOOKUP(I1179,#REF!,2,0)</f>
        <v>#REF!</v>
      </c>
      <c r="Q1179" s="47"/>
      <c r="R1179" s="24"/>
      <c r="S1179" s="48"/>
      <c r="T1179" s="24"/>
      <c r="U1179" s="48"/>
      <c r="V1179" s="48"/>
      <c r="W1179" s="27">
        <v>868</v>
      </c>
      <c r="X1179" s="28"/>
      <c r="Y1179" s="5"/>
      <c r="Z1179" s="5"/>
      <c r="AA1179" s="5"/>
      <c r="AB1179" s="5"/>
      <c r="AC1179" s="5"/>
      <c r="AD1179" s="5"/>
      <c r="AE1179" s="5"/>
      <c r="AF1179" s="5"/>
    </row>
    <row r="1180" ht="31" spans="1:32">
      <c r="A1180" s="16" t="s">
        <v>4174</v>
      </c>
      <c r="B1180" s="17" t="s">
        <v>4175</v>
      </c>
      <c r="C1180" s="30" t="s">
        <v>1057</v>
      </c>
      <c r="D1180" s="19" t="e">
        <f>VLOOKUP(C1180,#REF!,2,0)</f>
        <v>#REF!</v>
      </c>
      <c r="E1180" s="20" t="e">
        <f>VLOOKUP(D1180,数据集标准分类!E:F,2,0)</f>
        <v>#REF!</v>
      </c>
      <c r="F1180" s="21">
        <v>36</v>
      </c>
      <c r="G1180" s="22" t="s">
        <v>1068</v>
      </c>
      <c r="H1180" s="22" t="s">
        <v>6105</v>
      </c>
      <c r="I1180" s="22" t="s">
        <v>1071</v>
      </c>
      <c r="J1180" s="22" t="s">
        <v>1069</v>
      </c>
      <c r="K1180" s="22" t="s">
        <v>1071</v>
      </c>
      <c r="L1180" s="22" t="s">
        <v>1072</v>
      </c>
      <c r="M1180" s="16" t="s">
        <v>5593</v>
      </c>
      <c r="N1180" s="16" t="s">
        <v>5595</v>
      </c>
      <c r="O1180" s="23">
        <v>8</v>
      </c>
      <c r="P1180" s="24" t="e">
        <f>VLOOKUP(I1180,#REF!,2,0)</f>
        <v>#REF!</v>
      </c>
      <c r="Q1180" s="25"/>
      <c r="R1180" s="24"/>
      <c r="S1180" s="26"/>
      <c r="T1180" s="24"/>
      <c r="U1180" s="26"/>
      <c r="V1180" s="26"/>
      <c r="W1180" s="27">
        <v>869</v>
      </c>
      <c r="X1180" s="28"/>
    </row>
    <row r="1181" ht="31" spans="1:32">
      <c r="A1181" s="16" t="s">
        <v>4174</v>
      </c>
      <c r="B1181" s="17" t="s">
        <v>4175</v>
      </c>
      <c r="C1181" s="30" t="s">
        <v>1057</v>
      </c>
      <c r="D1181" s="19" t="e">
        <f>VLOOKUP(C1181,#REF!,2,0)</f>
        <v>#REF!</v>
      </c>
      <c r="E1181" s="20" t="e">
        <f>VLOOKUP(D1181,数据集标准分类!E:F,2,0)</f>
        <v>#REF!</v>
      </c>
      <c r="F1181" s="21">
        <v>36</v>
      </c>
      <c r="G1181" s="22" t="s">
        <v>1073</v>
      </c>
      <c r="H1181" s="22" t="s">
        <v>6106</v>
      </c>
      <c r="I1181" s="22" t="s">
        <v>1076</v>
      </c>
      <c r="J1181" s="22" t="s">
        <v>1074</v>
      </c>
      <c r="K1181" s="22" t="s">
        <v>1076</v>
      </c>
      <c r="L1181" s="22" t="s">
        <v>1077</v>
      </c>
      <c r="M1181" s="16" t="s">
        <v>5593</v>
      </c>
      <c r="N1181" s="16" t="s">
        <v>5595</v>
      </c>
      <c r="O1181" s="23">
        <v>9</v>
      </c>
      <c r="P1181" s="24" t="e">
        <f>VLOOKUP(I1181,#REF!,2,0)</f>
        <v>#REF!</v>
      </c>
      <c r="Q1181" s="25"/>
      <c r="R1181" s="24"/>
      <c r="S1181" s="26"/>
      <c r="T1181" s="24"/>
      <c r="U1181" s="26"/>
      <c r="V1181" s="26"/>
      <c r="W1181" s="27">
        <v>870</v>
      </c>
      <c r="X1181" s="28"/>
    </row>
    <row r="1182" ht="31" spans="1:32">
      <c r="A1182" s="16" t="s">
        <v>4174</v>
      </c>
      <c r="B1182" s="17" t="s">
        <v>4175</v>
      </c>
      <c r="C1182" s="30" t="s">
        <v>1057</v>
      </c>
      <c r="D1182" s="19" t="e">
        <f>VLOOKUP(C1182,#REF!,2,0)</f>
        <v>#REF!</v>
      </c>
      <c r="E1182" s="20" t="e">
        <f>VLOOKUP(D1182,数据集标准分类!E:F,2,0)</f>
        <v>#REF!</v>
      </c>
      <c r="F1182" s="21">
        <v>36</v>
      </c>
      <c r="G1182" s="22" t="s">
        <v>1078</v>
      </c>
      <c r="H1182" s="22" t="s">
        <v>6107</v>
      </c>
      <c r="I1182" s="22" t="s">
        <v>1081</v>
      </c>
      <c r="J1182" s="22" t="s">
        <v>1079</v>
      </c>
      <c r="K1182" s="22" t="s">
        <v>1081</v>
      </c>
      <c r="L1182" s="22" t="s">
        <v>1082</v>
      </c>
      <c r="M1182" s="16" t="s">
        <v>5593</v>
      </c>
      <c r="N1182" s="16" t="s">
        <v>5595</v>
      </c>
      <c r="O1182" s="23">
        <v>10</v>
      </c>
      <c r="P1182" s="24" t="e">
        <f>VLOOKUP(I1182,#REF!,2,0)</f>
        <v>#REF!</v>
      </c>
      <c r="Q1182" s="25"/>
      <c r="R1182" s="24"/>
      <c r="S1182" s="26"/>
      <c r="T1182" s="24"/>
      <c r="U1182" s="26"/>
      <c r="V1182" s="26"/>
      <c r="W1182" s="27">
        <v>871</v>
      </c>
      <c r="X1182" s="28"/>
    </row>
    <row r="1183" ht="24" customHeight="1" spans="1:32">
      <c r="A1183" s="16" t="s">
        <v>4174</v>
      </c>
      <c r="B1183" s="17" t="s">
        <v>4175</v>
      </c>
      <c r="C1183" s="30" t="s">
        <v>1057</v>
      </c>
      <c r="D1183" s="19" t="e">
        <f>VLOOKUP(C1183,#REF!,2,0)</f>
        <v>#REF!</v>
      </c>
      <c r="E1183" s="20" t="e">
        <f>VLOOKUP(D1183,数据集标准分类!E:F,2,0)</f>
        <v>#REF!</v>
      </c>
      <c r="F1183" s="21">
        <v>36</v>
      </c>
      <c r="G1183" s="22" t="s">
        <v>1083</v>
      </c>
      <c r="H1183" s="22" t="s">
        <v>6108</v>
      </c>
      <c r="I1183" s="22" t="s">
        <v>1086</v>
      </c>
      <c r="J1183" s="22" t="s">
        <v>1084</v>
      </c>
      <c r="K1183" s="22" t="s">
        <v>1086</v>
      </c>
      <c r="L1183" s="22" t="s">
        <v>1087</v>
      </c>
      <c r="M1183" s="16" t="s">
        <v>5593</v>
      </c>
      <c r="N1183" s="16" t="s">
        <v>5595</v>
      </c>
      <c r="O1183" s="23">
        <v>11</v>
      </c>
      <c r="P1183" s="24" t="e">
        <f>VLOOKUP(I1183,#REF!,2,0)</f>
        <v>#REF!</v>
      </c>
      <c r="Q1183" s="25"/>
      <c r="R1183" s="24"/>
      <c r="S1183" s="26"/>
      <c r="T1183" s="24"/>
      <c r="U1183" s="26"/>
      <c r="V1183" s="26"/>
      <c r="W1183" s="27">
        <v>872</v>
      </c>
      <c r="X1183" s="28"/>
    </row>
    <row r="1184" ht="31" spans="1:32">
      <c r="A1184" s="16" t="s">
        <v>4174</v>
      </c>
      <c r="B1184" s="17" t="s">
        <v>4175</v>
      </c>
      <c r="C1184" s="30" t="s">
        <v>1057</v>
      </c>
      <c r="D1184" s="19" t="e">
        <f>VLOOKUP(C1184,#REF!,2,0)</f>
        <v>#REF!</v>
      </c>
      <c r="E1184" s="20" t="e">
        <f>VLOOKUP(D1184,数据集标准分类!E:F,2,0)</f>
        <v>#REF!</v>
      </c>
      <c r="F1184" s="21">
        <v>36</v>
      </c>
      <c r="G1184" s="22" t="s">
        <v>789</v>
      </c>
      <c r="H1184" s="22" t="s">
        <v>790</v>
      </c>
      <c r="I1184" s="22" t="s">
        <v>791</v>
      </c>
      <c r="J1184" s="22" t="s">
        <v>790</v>
      </c>
      <c r="K1184" s="22" t="s">
        <v>791</v>
      </c>
      <c r="L1184" s="22" t="s">
        <v>792</v>
      </c>
      <c r="M1184" s="16" t="s">
        <v>5595</v>
      </c>
      <c r="N1184" s="16" t="s">
        <v>5595</v>
      </c>
      <c r="O1184" s="23">
        <v>12</v>
      </c>
      <c r="P1184" s="24" t="e">
        <f>VLOOKUP(I1184,#REF!,2,0)</f>
        <v>#REF!</v>
      </c>
      <c r="Q1184" s="25"/>
      <c r="R1184" s="24"/>
      <c r="S1184" s="26"/>
      <c r="T1184" s="24"/>
      <c r="U1184" s="26"/>
      <c r="V1184" s="26"/>
      <c r="W1184" s="27">
        <v>873</v>
      </c>
      <c r="X1184" s="28"/>
    </row>
    <row r="1185" ht="31" spans="1:32">
      <c r="A1185" s="16" t="s">
        <v>4174</v>
      </c>
      <c r="B1185" s="17" t="s">
        <v>4175</v>
      </c>
      <c r="C1185" s="30" t="s">
        <v>1096</v>
      </c>
      <c r="D1185" s="19" t="e">
        <f>VLOOKUP(C1185,#REF!,2,0)</f>
        <v>#REF!</v>
      </c>
      <c r="E1185" s="20" t="e">
        <f>VLOOKUP(D1185,数据集标准分类!E:F,2,0)</f>
        <v>#REF!</v>
      </c>
      <c r="F1185" s="21">
        <v>37</v>
      </c>
      <c r="G1185" s="22" t="s">
        <v>1097</v>
      </c>
      <c r="H1185" s="22" t="s">
        <v>6109</v>
      </c>
      <c r="I1185" s="22" t="s">
        <v>1100</v>
      </c>
      <c r="J1185" s="22" t="s">
        <v>1098</v>
      </c>
      <c r="K1185" s="22" t="s">
        <v>1100</v>
      </c>
      <c r="L1185" s="22" t="s">
        <v>1101</v>
      </c>
      <c r="M1185" s="16" t="s">
        <v>5593</v>
      </c>
      <c r="N1185" s="16" t="s">
        <v>5595</v>
      </c>
      <c r="O1185" s="23">
        <v>1</v>
      </c>
      <c r="P1185" s="24" t="e">
        <f>VLOOKUP(I1185,#REF!,2,0)</f>
        <v>#REF!</v>
      </c>
      <c r="Q1185" s="25"/>
      <c r="R1185" s="24"/>
      <c r="S1185" s="26"/>
      <c r="T1185" s="24"/>
      <c r="U1185" s="26"/>
      <c r="V1185" s="26"/>
      <c r="W1185" s="27">
        <v>874</v>
      </c>
      <c r="X1185" s="28"/>
    </row>
    <row r="1186" ht="31" spans="1:32">
      <c r="A1186" s="24" t="s">
        <v>4174</v>
      </c>
      <c r="B1186" s="27" t="s">
        <v>4175</v>
      </c>
      <c r="C1186" s="30" t="s">
        <v>1096</v>
      </c>
      <c r="D1186" s="19" t="e">
        <f>VLOOKUP(C1186,#REF!,2,0)</f>
        <v>#REF!</v>
      </c>
      <c r="E1186" s="45" t="e">
        <f>VLOOKUP(D1186,数据集标准分类!E:F,2,0)</f>
        <v>#REF!</v>
      </c>
      <c r="F1186" s="21">
        <v>37</v>
      </c>
      <c r="G1186" s="65" t="s">
        <v>1102</v>
      </c>
      <c r="H1186" s="65" t="s">
        <v>6110</v>
      </c>
      <c r="I1186" s="29" t="s">
        <v>1427</v>
      </c>
      <c r="J1186" s="29" t="s">
        <v>1103</v>
      </c>
      <c r="K1186" s="29" t="s">
        <v>1105</v>
      </c>
      <c r="L1186" s="29" t="s">
        <v>1106</v>
      </c>
      <c r="M1186" s="24" t="s">
        <v>5593</v>
      </c>
      <c r="N1186" s="24" t="s">
        <v>5593</v>
      </c>
      <c r="O1186" s="46"/>
      <c r="P1186" s="24" t="e">
        <f>VLOOKUP(I1186,#REF!,2,0)</f>
        <v>#REF!</v>
      </c>
      <c r="Q1186" s="25"/>
      <c r="R1186" s="24"/>
      <c r="S1186" s="26"/>
      <c r="T1186" s="24"/>
      <c r="U1186" s="26"/>
      <c r="V1186" s="26"/>
      <c r="W1186" s="27">
        <v>875</v>
      </c>
      <c r="X1186" s="28"/>
      <c r="Y1186" s="5"/>
      <c r="Z1186" s="5"/>
      <c r="AA1186" s="5"/>
      <c r="AB1186" s="5"/>
      <c r="AC1186" s="5"/>
      <c r="AD1186" s="5"/>
      <c r="AE1186" s="5"/>
      <c r="AF1186" s="5"/>
    </row>
    <row r="1187" ht="46" spans="1:32">
      <c r="A1187" s="16" t="s">
        <v>4174</v>
      </c>
      <c r="B1187" s="17" t="s">
        <v>4175</v>
      </c>
      <c r="C1187" s="30" t="s">
        <v>1096</v>
      </c>
      <c r="D1187" s="19" t="e">
        <f>VLOOKUP(C1187,#REF!,2,0)</f>
        <v>#REF!</v>
      </c>
      <c r="E1187" s="20" t="e">
        <f>VLOOKUP(D1187,数据集标准分类!E:F,2,0)</f>
        <v>#REF!</v>
      </c>
      <c r="F1187" s="21">
        <v>37</v>
      </c>
      <c r="G1187" s="22" t="s">
        <v>1006</v>
      </c>
      <c r="H1187" s="22" t="s">
        <v>5702</v>
      </c>
      <c r="I1187" s="22" t="s">
        <v>1009</v>
      </c>
      <c r="J1187" s="22" t="s">
        <v>1007</v>
      </c>
      <c r="K1187" s="22" t="s">
        <v>1009</v>
      </c>
      <c r="L1187" s="22" t="s">
        <v>1107</v>
      </c>
      <c r="M1187" s="16" t="s">
        <v>5593</v>
      </c>
      <c r="N1187" s="16" t="s">
        <v>5595</v>
      </c>
      <c r="O1187" s="23">
        <v>2</v>
      </c>
      <c r="P1187" s="24" t="e">
        <f>VLOOKUP(I1187,#REF!,2,0)</f>
        <v>#REF!</v>
      </c>
      <c r="Q1187" s="25"/>
      <c r="R1187" s="24"/>
      <c r="S1187" s="26"/>
      <c r="T1187" s="24"/>
      <c r="U1187" s="26"/>
      <c r="V1187" s="26"/>
      <c r="W1187" s="27">
        <v>876</v>
      </c>
      <c r="X1187" s="28"/>
    </row>
    <row r="1188" ht="46" spans="1:32">
      <c r="A1188" s="16" t="s">
        <v>4174</v>
      </c>
      <c r="B1188" s="17" t="s">
        <v>4175</v>
      </c>
      <c r="C1188" s="30" t="s">
        <v>1096</v>
      </c>
      <c r="D1188" s="19" t="e">
        <f>VLOOKUP(C1188,#REF!,2,0)</f>
        <v>#REF!</v>
      </c>
      <c r="E1188" s="20" t="e">
        <f>VLOOKUP(D1188,数据集标准分类!E:F,2,0)</f>
        <v>#REF!</v>
      </c>
      <c r="F1188" s="21">
        <v>37</v>
      </c>
      <c r="G1188" s="22" t="s">
        <v>784</v>
      </c>
      <c r="H1188" s="22" t="s">
        <v>785</v>
      </c>
      <c r="I1188" s="22" t="s">
        <v>787</v>
      </c>
      <c r="J1188" s="22" t="s">
        <v>785</v>
      </c>
      <c r="K1188" s="22" t="s">
        <v>787</v>
      </c>
      <c r="L1188" s="22" t="s">
        <v>788</v>
      </c>
      <c r="M1188" s="16" t="s">
        <v>5595</v>
      </c>
      <c r="N1188" s="16" t="s">
        <v>5595</v>
      </c>
      <c r="O1188" s="23">
        <v>3</v>
      </c>
      <c r="P1188" s="24" t="e">
        <f>VLOOKUP(I1188,#REF!,2,0)</f>
        <v>#REF!</v>
      </c>
      <c r="Q1188" s="25"/>
      <c r="R1188" s="24"/>
      <c r="S1188" s="26"/>
      <c r="T1188" s="24"/>
      <c r="U1188" s="26"/>
      <c r="V1188" s="26"/>
      <c r="W1188" s="27">
        <v>877</v>
      </c>
      <c r="X1188" s="28"/>
    </row>
    <row r="1189" ht="46" spans="1:32">
      <c r="A1189" s="16" t="s">
        <v>4174</v>
      </c>
      <c r="B1189" s="17" t="s">
        <v>4175</v>
      </c>
      <c r="C1189" s="30" t="s">
        <v>1096</v>
      </c>
      <c r="D1189" s="19" t="e">
        <f>VLOOKUP(C1189,#REF!,2,0)</f>
        <v>#REF!</v>
      </c>
      <c r="E1189" s="20" t="e">
        <f>VLOOKUP(D1189,数据集标准分类!E:F,2,0)</f>
        <v>#REF!</v>
      </c>
      <c r="F1189" s="21">
        <v>37</v>
      </c>
      <c r="G1189" s="22" t="s">
        <v>1092</v>
      </c>
      <c r="H1189" s="22" t="s">
        <v>6111</v>
      </c>
      <c r="I1189" s="22" t="s">
        <v>1095</v>
      </c>
      <c r="J1189" s="22" t="s">
        <v>1093</v>
      </c>
      <c r="K1189" s="22" t="s">
        <v>1095</v>
      </c>
      <c r="L1189" s="22" t="s">
        <v>1108</v>
      </c>
      <c r="M1189" s="16" t="s">
        <v>5593</v>
      </c>
      <c r="N1189" s="16" t="s">
        <v>5595</v>
      </c>
      <c r="O1189" s="23">
        <v>4</v>
      </c>
      <c r="P1189" s="24" t="e">
        <f>VLOOKUP(I1189,#REF!,2,0)</f>
        <v>#REF!</v>
      </c>
      <c r="Q1189" s="25"/>
      <c r="R1189" s="24"/>
      <c r="S1189" s="26"/>
      <c r="T1189" s="24"/>
      <c r="U1189" s="26"/>
      <c r="V1189" s="26"/>
      <c r="W1189" s="27">
        <v>878</v>
      </c>
      <c r="X1189" s="28"/>
    </row>
    <row r="1190" ht="14.4" customHeight="1" spans="1:32">
      <c r="A1190" s="16" t="s">
        <v>4174</v>
      </c>
      <c r="B1190" s="17" t="s">
        <v>4175</v>
      </c>
      <c r="C1190" s="30" t="s">
        <v>1096</v>
      </c>
      <c r="D1190" s="19" t="e">
        <f>VLOOKUP(C1190,#REF!,2,0)</f>
        <v>#REF!</v>
      </c>
      <c r="E1190" s="20" t="e">
        <f>VLOOKUP(D1190,数据集标准分类!E:F,2,0)</f>
        <v>#REF!</v>
      </c>
      <c r="F1190" s="21">
        <v>37</v>
      </c>
      <c r="G1190" s="22" t="s">
        <v>1109</v>
      </c>
      <c r="H1190" s="22" t="s">
        <v>6112</v>
      </c>
      <c r="I1190" s="22" t="s">
        <v>6113</v>
      </c>
      <c r="J1190" s="22" t="s">
        <v>1110</v>
      </c>
      <c r="K1190" s="22" t="s">
        <v>1112</v>
      </c>
      <c r="L1190" s="22" t="s">
        <v>1113</v>
      </c>
      <c r="M1190" s="16" t="s">
        <v>5593</v>
      </c>
      <c r="N1190" s="16" t="s">
        <v>5593</v>
      </c>
      <c r="O1190" s="23">
        <v>5</v>
      </c>
      <c r="P1190" s="24" t="e">
        <f>VLOOKUP(I1190,#REF!,2,0)</f>
        <v>#REF!</v>
      </c>
      <c r="Q1190" s="25"/>
      <c r="R1190" s="24"/>
      <c r="S1190" s="26"/>
      <c r="T1190" s="24"/>
      <c r="U1190" s="26"/>
      <c r="V1190" s="26"/>
      <c r="W1190" s="27">
        <v>879</v>
      </c>
      <c r="X1190" s="28"/>
    </row>
    <row r="1191" spans="1:32">
      <c r="A1191" s="16" t="s">
        <v>4174</v>
      </c>
      <c r="B1191" s="17" t="s">
        <v>4175</v>
      </c>
      <c r="C1191" s="30" t="s">
        <v>1096</v>
      </c>
      <c r="D1191" s="19" t="e">
        <f>VLOOKUP(C1191,#REF!,2,0)</f>
        <v>#REF!</v>
      </c>
      <c r="E1191" s="20" t="e">
        <f>VLOOKUP(D1191,数据集标准分类!E:F,2,0)</f>
        <v>#REF!</v>
      </c>
      <c r="F1191" s="21">
        <v>37</v>
      </c>
      <c r="G1191" s="22" t="s">
        <v>201</v>
      </c>
      <c r="H1191" s="22" t="s">
        <v>5646</v>
      </c>
      <c r="I1191" s="22" t="s">
        <v>5647</v>
      </c>
      <c r="J1191" s="22" t="s">
        <v>202</v>
      </c>
      <c r="K1191" s="22" t="s">
        <v>204</v>
      </c>
      <c r="L1191" s="22" t="s">
        <v>1114</v>
      </c>
      <c r="M1191" s="16" t="s">
        <v>5593</v>
      </c>
      <c r="N1191" s="16" t="s">
        <v>5593</v>
      </c>
      <c r="O1191" s="23">
        <v>6</v>
      </c>
      <c r="P1191" s="24" t="e">
        <f>VLOOKUP(I1191,#REF!,2,0)</f>
        <v>#REF!</v>
      </c>
      <c r="Q1191" s="25"/>
      <c r="R1191" s="24"/>
      <c r="S1191" s="26"/>
      <c r="T1191" s="24"/>
      <c r="U1191" s="26"/>
      <c r="V1191" s="26"/>
      <c r="W1191" s="27">
        <v>880</v>
      </c>
      <c r="X1191" s="28"/>
    </row>
    <row r="1192" ht="31" spans="1:32">
      <c r="A1192" s="16" t="s">
        <v>4174</v>
      </c>
      <c r="B1192" s="17" t="s">
        <v>4175</v>
      </c>
      <c r="C1192" s="30" t="s">
        <v>1125</v>
      </c>
      <c r="D1192" s="19" t="e">
        <f>VLOOKUP(C1192,#REF!,2,0)</f>
        <v>#REF!</v>
      </c>
      <c r="E1192" s="20" t="e">
        <f>VLOOKUP(D1192,数据集标准分类!E:F,2,0)</f>
        <v>#REF!</v>
      </c>
      <c r="F1192" s="21">
        <v>38</v>
      </c>
      <c r="G1192" s="22" t="s">
        <v>1126</v>
      </c>
      <c r="H1192" s="22" t="s">
        <v>6114</v>
      </c>
      <c r="I1192" s="22" t="s">
        <v>6115</v>
      </c>
      <c r="J1192" s="22" t="s">
        <v>1127</v>
      </c>
      <c r="K1192" s="22" t="s">
        <v>1129</v>
      </c>
      <c r="L1192" s="22" t="s">
        <v>1130</v>
      </c>
      <c r="M1192" s="16" t="s">
        <v>5593</v>
      </c>
      <c r="N1192" s="16" t="s">
        <v>5593</v>
      </c>
      <c r="O1192" s="23">
        <v>1</v>
      </c>
      <c r="P1192" s="24" t="e">
        <f>VLOOKUP(I1192,#REF!,2,0)</f>
        <v>#REF!</v>
      </c>
      <c r="Q1192" s="25"/>
      <c r="R1192" s="24"/>
      <c r="S1192" s="26"/>
      <c r="T1192" s="24"/>
      <c r="U1192" s="26"/>
      <c r="V1192" s="26"/>
      <c r="W1192" s="27">
        <v>881</v>
      </c>
      <c r="X1192" s="28"/>
    </row>
    <row r="1193" ht="31" spans="1:32">
      <c r="A1193" s="90" t="s">
        <v>4174</v>
      </c>
      <c r="B1193" s="93" t="s">
        <v>4175</v>
      </c>
      <c r="C1193" s="85" t="s">
        <v>1125</v>
      </c>
      <c r="D1193" s="86" t="e">
        <f>VLOOKUP(C1193,#REF!,2,0)</f>
        <v>#REF!</v>
      </c>
      <c r="E1193" s="45" t="e">
        <f>VLOOKUP(D1193,数据集标准分类!E:F,2,0)</f>
        <v>#REF!</v>
      </c>
      <c r="F1193" s="87">
        <v>38</v>
      </c>
      <c r="G1193" s="88" t="s">
        <v>1133</v>
      </c>
      <c r="H1193" s="88" t="s">
        <v>5738</v>
      </c>
      <c r="I1193" s="88" t="s">
        <v>1136</v>
      </c>
      <c r="J1193" s="88" t="s">
        <v>1134</v>
      </c>
      <c r="K1193" s="88" t="s">
        <v>1136</v>
      </c>
      <c r="L1193" s="88" t="s">
        <v>1137</v>
      </c>
      <c r="M1193" s="90" t="s">
        <v>5593</v>
      </c>
      <c r="N1193" s="90" t="s">
        <v>5595</v>
      </c>
      <c r="O1193" s="223">
        <v>2</v>
      </c>
      <c r="P1193" s="90" t="e">
        <f>VLOOKUP(I1193,#REF!,2,0)</f>
        <v>#REF!</v>
      </c>
      <c r="Q1193" s="91"/>
      <c r="R1193" s="90"/>
      <c r="S1193" s="92"/>
      <c r="T1193" s="90"/>
      <c r="U1193" s="92" t="s">
        <v>5593</v>
      </c>
      <c r="V1193" s="92" t="s">
        <v>5593</v>
      </c>
      <c r="W1193" s="93">
        <v>882</v>
      </c>
      <c r="X1193" s="94"/>
      <c r="Y1193" s="95"/>
      <c r="Z1193" s="95"/>
      <c r="AA1193" s="95"/>
      <c r="AB1193" s="95"/>
      <c r="AC1193" s="95"/>
      <c r="AD1193" s="95"/>
      <c r="AE1193" s="95"/>
      <c r="AF1193" s="95"/>
    </row>
    <row r="1194" ht="46" spans="1:32">
      <c r="A1194" s="16" t="s">
        <v>4174</v>
      </c>
      <c r="B1194" s="17" t="s">
        <v>4175</v>
      </c>
      <c r="C1194" s="30" t="s">
        <v>1125</v>
      </c>
      <c r="D1194" s="19" t="e">
        <f>VLOOKUP(C1194,#REF!,2,0)</f>
        <v>#REF!</v>
      </c>
      <c r="E1194" s="20" t="e">
        <f>VLOOKUP(D1194,数据集标准分类!E:F,2,0)</f>
        <v>#REF!</v>
      </c>
      <c r="F1194" s="21">
        <v>38</v>
      </c>
      <c r="G1194" s="22" t="s">
        <v>1006</v>
      </c>
      <c r="H1194" s="22" t="s">
        <v>5702</v>
      </c>
      <c r="I1194" s="22" t="s">
        <v>1009</v>
      </c>
      <c r="J1194" s="22" t="s">
        <v>1007</v>
      </c>
      <c r="K1194" s="22" t="s">
        <v>1009</v>
      </c>
      <c r="L1194" s="22" t="s">
        <v>1107</v>
      </c>
      <c r="M1194" s="16" t="s">
        <v>5593</v>
      </c>
      <c r="N1194" s="16" t="s">
        <v>5595</v>
      </c>
      <c r="O1194" s="23">
        <v>3</v>
      </c>
      <c r="P1194" s="24" t="e">
        <f>VLOOKUP(I1194,#REF!,2,0)</f>
        <v>#REF!</v>
      </c>
      <c r="Q1194" s="25"/>
      <c r="R1194" s="24"/>
      <c r="S1194" s="26"/>
      <c r="T1194" s="24"/>
      <c r="U1194" s="26"/>
      <c r="V1194" s="26"/>
      <c r="W1194" s="27">
        <v>883</v>
      </c>
      <c r="X1194" s="28"/>
    </row>
    <row r="1195" ht="46" spans="1:32">
      <c r="A1195" s="16" t="s">
        <v>4174</v>
      </c>
      <c r="B1195" s="17" t="s">
        <v>4175</v>
      </c>
      <c r="C1195" s="30" t="s">
        <v>1125</v>
      </c>
      <c r="D1195" s="19" t="e">
        <f>VLOOKUP(C1195,#REF!,2,0)</f>
        <v>#REF!</v>
      </c>
      <c r="E1195" s="20" t="e">
        <f>VLOOKUP(D1195,数据集标准分类!E:F,2,0)</f>
        <v>#REF!</v>
      </c>
      <c r="F1195" s="21">
        <v>38</v>
      </c>
      <c r="G1195" s="22" t="s">
        <v>784</v>
      </c>
      <c r="H1195" s="22" t="s">
        <v>785</v>
      </c>
      <c r="I1195" s="22" t="s">
        <v>787</v>
      </c>
      <c r="J1195" s="22" t="s">
        <v>785</v>
      </c>
      <c r="K1195" s="22" t="s">
        <v>787</v>
      </c>
      <c r="L1195" s="22" t="s">
        <v>788</v>
      </c>
      <c r="M1195" s="16" t="s">
        <v>5595</v>
      </c>
      <c r="N1195" s="16" t="s">
        <v>5595</v>
      </c>
      <c r="O1195" s="23">
        <v>4</v>
      </c>
      <c r="P1195" s="24" t="e">
        <f>VLOOKUP(I1195,#REF!,2,0)</f>
        <v>#REF!</v>
      </c>
      <c r="Q1195" s="25"/>
      <c r="R1195" s="24"/>
      <c r="S1195" s="26"/>
      <c r="T1195" s="24"/>
      <c r="U1195" s="26"/>
      <c r="V1195" s="26"/>
      <c r="W1195" s="27">
        <v>884</v>
      </c>
      <c r="X1195" s="28"/>
    </row>
    <row r="1196" ht="46" spans="1:32">
      <c r="A1196" s="16" t="s">
        <v>4174</v>
      </c>
      <c r="B1196" s="17" t="s">
        <v>4175</v>
      </c>
      <c r="C1196" s="30" t="s">
        <v>1125</v>
      </c>
      <c r="D1196" s="19" t="e">
        <f>VLOOKUP(C1196,#REF!,2,0)</f>
        <v>#REF!</v>
      </c>
      <c r="E1196" s="20" t="e">
        <f>VLOOKUP(D1196,数据集标准分类!E:F,2,0)</f>
        <v>#REF!</v>
      </c>
      <c r="F1196" s="21">
        <v>38</v>
      </c>
      <c r="G1196" s="22" t="s">
        <v>1092</v>
      </c>
      <c r="H1196" s="22" t="s">
        <v>6111</v>
      </c>
      <c r="I1196" s="22" t="s">
        <v>1095</v>
      </c>
      <c r="J1196" s="22" t="s">
        <v>1093</v>
      </c>
      <c r="K1196" s="22" t="s">
        <v>1095</v>
      </c>
      <c r="L1196" s="22" t="s">
        <v>1108</v>
      </c>
      <c r="M1196" s="16" t="s">
        <v>5593</v>
      </c>
      <c r="N1196" s="16" t="s">
        <v>5595</v>
      </c>
      <c r="O1196" s="23">
        <v>5</v>
      </c>
      <c r="P1196" s="24" t="e">
        <f>VLOOKUP(I1196,#REF!,2,0)</f>
        <v>#REF!</v>
      </c>
      <c r="Q1196" s="25"/>
      <c r="R1196" s="24"/>
      <c r="S1196" s="26"/>
      <c r="T1196" s="24"/>
      <c r="U1196" s="26"/>
      <c r="V1196" s="26"/>
      <c r="W1196" s="27">
        <v>885</v>
      </c>
      <c r="X1196" s="28"/>
    </row>
    <row r="1197" spans="1:32">
      <c r="A1197" s="16" t="s">
        <v>4174</v>
      </c>
      <c r="B1197" s="17" t="s">
        <v>4175</v>
      </c>
      <c r="C1197" s="30" t="s">
        <v>1125</v>
      </c>
      <c r="D1197" s="19" t="e">
        <f>VLOOKUP(C1197,#REF!,2,0)</f>
        <v>#REF!</v>
      </c>
      <c r="E1197" s="20" t="e">
        <f>VLOOKUP(D1197,数据集标准分类!E:F,2,0)</f>
        <v>#REF!</v>
      </c>
      <c r="F1197" s="21">
        <v>38</v>
      </c>
      <c r="G1197" s="22" t="s">
        <v>1109</v>
      </c>
      <c r="H1197" s="22" t="s">
        <v>6112</v>
      </c>
      <c r="I1197" s="22" t="s">
        <v>6113</v>
      </c>
      <c r="J1197" s="22" t="s">
        <v>1110</v>
      </c>
      <c r="K1197" s="22" t="s">
        <v>1112</v>
      </c>
      <c r="L1197" s="22" t="s">
        <v>1113</v>
      </c>
      <c r="M1197" s="16" t="s">
        <v>5593</v>
      </c>
      <c r="N1197" s="16" t="s">
        <v>5593</v>
      </c>
      <c r="O1197" s="23">
        <v>6</v>
      </c>
      <c r="P1197" s="24" t="e">
        <f>VLOOKUP(I1197,#REF!,2,0)</f>
        <v>#REF!</v>
      </c>
      <c r="Q1197" s="25"/>
      <c r="R1197" s="24"/>
      <c r="S1197" s="26"/>
      <c r="T1197" s="24"/>
      <c r="U1197" s="26"/>
      <c r="V1197" s="26"/>
      <c r="W1197" s="27">
        <v>886</v>
      </c>
      <c r="X1197" s="28"/>
    </row>
    <row r="1198" ht="14.4" customHeight="1" spans="1:32">
      <c r="A1198" s="16" t="s">
        <v>4174</v>
      </c>
      <c r="B1198" s="17" t="s">
        <v>4175</v>
      </c>
      <c r="C1198" s="30" t="s">
        <v>1125</v>
      </c>
      <c r="D1198" s="19" t="e">
        <f>VLOOKUP(C1198,#REF!,2,0)</f>
        <v>#REF!</v>
      </c>
      <c r="E1198" s="20" t="e">
        <f>VLOOKUP(D1198,数据集标准分类!E:F,2,0)</f>
        <v>#REF!</v>
      </c>
      <c r="F1198" s="21">
        <v>38</v>
      </c>
      <c r="G1198" s="22" t="s">
        <v>201</v>
      </c>
      <c r="H1198" s="22" t="s">
        <v>5646</v>
      </c>
      <c r="I1198" s="22" t="s">
        <v>5647</v>
      </c>
      <c r="J1198" s="22" t="s">
        <v>202</v>
      </c>
      <c r="K1198" s="22" t="s">
        <v>204</v>
      </c>
      <c r="L1198" s="22" t="s">
        <v>1114</v>
      </c>
      <c r="M1198" s="16" t="s">
        <v>5593</v>
      </c>
      <c r="N1198" s="16" t="s">
        <v>5593</v>
      </c>
      <c r="O1198" s="23">
        <v>7</v>
      </c>
      <c r="P1198" s="24" t="e">
        <f>VLOOKUP(I1198,#REF!,2,0)</f>
        <v>#REF!</v>
      </c>
      <c r="Q1198" s="25"/>
      <c r="R1198" s="24"/>
      <c r="S1198" s="26"/>
      <c r="T1198" s="24"/>
      <c r="U1198" s="26"/>
      <c r="V1198" s="26"/>
      <c r="W1198" s="27">
        <v>887</v>
      </c>
      <c r="X1198" s="28"/>
    </row>
    <row r="1199" ht="31" spans="1:32">
      <c r="A1199" s="16" t="s">
        <v>4174</v>
      </c>
      <c r="B1199" s="17" t="s">
        <v>4175</v>
      </c>
      <c r="C1199" s="30" t="s">
        <v>1125</v>
      </c>
      <c r="D1199" s="19" t="e">
        <f>VLOOKUP(C1199,#REF!,2,0)</f>
        <v>#REF!</v>
      </c>
      <c r="E1199" s="20" t="e">
        <f>VLOOKUP(D1199,数据集标准分类!E:F,2,0)</f>
        <v>#REF!</v>
      </c>
      <c r="F1199" s="21">
        <v>38</v>
      </c>
      <c r="G1199" s="22" t="s">
        <v>1083</v>
      </c>
      <c r="H1199" s="22" t="s">
        <v>6108</v>
      </c>
      <c r="I1199" s="22" t="s">
        <v>1086</v>
      </c>
      <c r="J1199" s="22" t="s">
        <v>1084</v>
      </c>
      <c r="K1199" s="22" t="s">
        <v>1086</v>
      </c>
      <c r="L1199" s="22" t="s">
        <v>1087</v>
      </c>
      <c r="M1199" s="16" t="s">
        <v>5593</v>
      </c>
      <c r="N1199" s="16" t="s">
        <v>5595</v>
      </c>
      <c r="O1199" s="23">
        <v>8</v>
      </c>
      <c r="P1199" s="24" t="e">
        <f>VLOOKUP(I1199,#REF!,2,0)</f>
        <v>#REF!</v>
      </c>
      <c r="Q1199" s="25"/>
      <c r="R1199" s="24"/>
      <c r="S1199" s="26"/>
      <c r="T1199" s="24"/>
      <c r="U1199" s="26"/>
      <c r="V1199" s="26"/>
      <c r="W1199" s="27">
        <v>888</v>
      </c>
      <c r="X1199" s="28"/>
    </row>
    <row r="1200" ht="46" spans="1:32">
      <c r="A1200" s="16" t="s">
        <v>4174</v>
      </c>
      <c r="B1200" s="17" t="s">
        <v>4175</v>
      </c>
      <c r="C1200" s="30" t="s">
        <v>1138</v>
      </c>
      <c r="D1200" s="19" t="e">
        <f>VLOOKUP(C1200,#REF!,2,0)</f>
        <v>#REF!</v>
      </c>
      <c r="E1200" s="20" t="e">
        <f>VLOOKUP(D1200,数据集标准分类!E:F,2,0)</f>
        <v>#REF!</v>
      </c>
      <c r="F1200" s="21">
        <v>39</v>
      </c>
      <c r="G1200" s="22" t="s">
        <v>1139</v>
      </c>
      <c r="H1200" s="22" t="s">
        <v>1140</v>
      </c>
      <c r="I1200" s="22" t="s">
        <v>1142</v>
      </c>
      <c r="J1200" s="22" t="s">
        <v>1140</v>
      </c>
      <c r="K1200" s="22" t="s">
        <v>1142</v>
      </c>
      <c r="L1200" s="22" t="s">
        <v>1143</v>
      </c>
      <c r="M1200" s="16" t="s">
        <v>5595</v>
      </c>
      <c r="N1200" s="16" t="s">
        <v>5595</v>
      </c>
      <c r="O1200" s="23">
        <v>1</v>
      </c>
      <c r="P1200" s="24" t="e">
        <f>VLOOKUP(I1200,#REF!,2,0)</f>
        <v>#REF!</v>
      </c>
      <c r="Q1200" s="25"/>
      <c r="R1200" s="24"/>
      <c r="S1200" s="26" t="s">
        <v>5595</v>
      </c>
      <c r="T1200" s="24"/>
      <c r="U1200" s="26"/>
      <c r="V1200" s="26"/>
      <c r="W1200" s="27">
        <v>889</v>
      </c>
      <c r="X1200" s="28"/>
    </row>
    <row r="1201" ht="31" spans="1:32">
      <c r="A1201" s="16" t="s">
        <v>4174</v>
      </c>
      <c r="B1201" s="17" t="s">
        <v>4175</v>
      </c>
      <c r="C1201" s="30" t="s">
        <v>1138</v>
      </c>
      <c r="D1201" s="19" t="e">
        <f>VLOOKUP(C1201,#REF!,2,0)</f>
        <v>#REF!</v>
      </c>
      <c r="E1201" s="20" t="e">
        <f>VLOOKUP(D1201,数据集标准分类!E:F,2,0)</f>
        <v>#REF!</v>
      </c>
      <c r="F1201" s="21">
        <v>39</v>
      </c>
      <c r="G1201" s="22" t="s">
        <v>1144</v>
      </c>
      <c r="H1201" s="64" t="s">
        <v>6116</v>
      </c>
      <c r="I1201" s="64" t="s">
        <v>1147</v>
      </c>
      <c r="J1201" s="22" t="s">
        <v>1145</v>
      </c>
      <c r="K1201" s="22" t="s">
        <v>1147</v>
      </c>
      <c r="L1201" s="22" t="s">
        <v>1148</v>
      </c>
      <c r="M1201" s="16" t="s">
        <v>5593</v>
      </c>
      <c r="N1201" s="16" t="s">
        <v>5595</v>
      </c>
      <c r="O1201" s="23">
        <v>2</v>
      </c>
      <c r="P1201" s="24" t="e">
        <f>VLOOKUP(I1201,#REF!,2,0)</f>
        <v>#REF!</v>
      </c>
      <c r="Q1201" s="25"/>
      <c r="R1201" s="24"/>
      <c r="S1201" s="26"/>
      <c r="T1201" s="24"/>
      <c r="U1201" s="26"/>
      <c r="V1201" s="26"/>
      <c r="W1201" s="27">
        <v>890</v>
      </c>
      <c r="X1201" s="28"/>
    </row>
    <row r="1202" ht="46" spans="1:32">
      <c r="A1202" s="16" t="s">
        <v>4174</v>
      </c>
      <c r="B1202" s="17" t="s">
        <v>4175</v>
      </c>
      <c r="C1202" s="30" t="s">
        <v>1138</v>
      </c>
      <c r="D1202" s="19" t="e">
        <f>VLOOKUP(C1202,#REF!,2,0)</f>
        <v>#REF!</v>
      </c>
      <c r="E1202" s="20" t="e">
        <f>VLOOKUP(D1202,数据集标准分类!E:F,2,0)</f>
        <v>#REF!</v>
      </c>
      <c r="F1202" s="21">
        <v>39</v>
      </c>
      <c r="G1202" s="22" t="s">
        <v>784</v>
      </c>
      <c r="H1202" s="22" t="s">
        <v>785</v>
      </c>
      <c r="I1202" s="22" t="s">
        <v>787</v>
      </c>
      <c r="J1202" s="22" t="s">
        <v>785</v>
      </c>
      <c r="K1202" s="22" t="s">
        <v>787</v>
      </c>
      <c r="L1202" s="22" t="s">
        <v>788</v>
      </c>
      <c r="M1202" s="16" t="s">
        <v>5595</v>
      </c>
      <c r="N1202" s="16" t="s">
        <v>5595</v>
      </c>
      <c r="O1202" s="23">
        <v>3</v>
      </c>
      <c r="P1202" s="24" t="e">
        <f>VLOOKUP(I1202,#REF!,2,0)</f>
        <v>#REF!</v>
      </c>
      <c r="Q1202" s="25"/>
      <c r="R1202" s="24"/>
      <c r="S1202" s="26"/>
      <c r="T1202" s="24"/>
      <c r="U1202" s="26"/>
      <c r="V1202" s="26"/>
      <c r="W1202" s="27">
        <v>891</v>
      </c>
      <c r="X1202" s="28"/>
    </row>
    <row r="1203" ht="46" spans="1:32">
      <c r="A1203" s="16" t="s">
        <v>4174</v>
      </c>
      <c r="B1203" s="17" t="s">
        <v>4175</v>
      </c>
      <c r="C1203" s="30" t="s">
        <v>1138</v>
      </c>
      <c r="D1203" s="19" t="e">
        <f>VLOOKUP(C1203,#REF!,2,0)</f>
        <v>#REF!</v>
      </c>
      <c r="E1203" s="20" t="e">
        <f>VLOOKUP(D1203,数据集标准分类!E:F,2,0)</f>
        <v>#REF!</v>
      </c>
      <c r="F1203" s="21">
        <v>39</v>
      </c>
      <c r="G1203" s="22" t="s">
        <v>1092</v>
      </c>
      <c r="H1203" s="22" t="s">
        <v>6111</v>
      </c>
      <c r="I1203" s="22" t="s">
        <v>1095</v>
      </c>
      <c r="J1203" s="22" t="s">
        <v>1093</v>
      </c>
      <c r="K1203" s="22" t="s">
        <v>1095</v>
      </c>
      <c r="L1203" s="22" t="s">
        <v>1108</v>
      </c>
      <c r="M1203" s="16" t="s">
        <v>5593</v>
      </c>
      <c r="N1203" s="16" t="s">
        <v>5595</v>
      </c>
      <c r="O1203" s="23">
        <v>4</v>
      </c>
      <c r="P1203" s="24" t="e">
        <f>VLOOKUP(I1203,#REF!,2,0)</f>
        <v>#REF!</v>
      </c>
      <c r="Q1203" s="25"/>
      <c r="R1203" s="24"/>
      <c r="S1203" s="26"/>
      <c r="T1203" s="24"/>
      <c r="U1203" s="26"/>
      <c r="V1203" s="26"/>
      <c r="W1203" s="27">
        <v>892</v>
      </c>
      <c r="X1203" s="28"/>
    </row>
    <row r="1204" ht="31" spans="1:32">
      <c r="A1204" s="31" t="s">
        <v>4174</v>
      </c>
      <c r="B1204" s="32" t="s">
        <v>4175</v>
      </c>
      <c r="C1204" s="33" t="s">
        <v>1138</v>
      </c>
      <c r="D1204" s="34" t="e">
        <f>VLOOKUP(C1204,#REF!,2,0)</f>
        <v>#REF!</v>
      </c>
      <c r="E1204" s="35" t="e">
        <f>VLOOKUP(D1204,数据集标准分类!E:F,2,0)</f>
        <v>#REF!</v>
      </c>
      <c r="F1204" s="36">
        <v>39</v>
      </c>
      <c r="G1204" s="22" t="s">
        <v>1006</v>
      </c>
      <c r="H1204" s="37" t="s">
        <v>5702</v>
      </c>
      <c r="I1204" s="37" t="s">
        <v>1009</v>
      </c>
      <c r="J1204" s="37" t="s">
        <v>1007</v>
      </c>
      <c r="K1204" s="37" t="s">
        <v>1009</v>
      </c>
      <c r="L1204" s="37" t="s">
        <v>1149</v>
      </c>
      <c r="M1204" s="31" t="s">
        <v>5593</v>
      </c>
      <c r="N1204" s="31" t="s">
        <v>5595</v>
      </c>
      <c r="O1204" s="38">
        <v>5</v>
      </c>
      <c r="P1204" s="39" t="e">
        <f>VLOOKUP(I1204,#REF!,2,0)</f>
        <v>#REF!</v>
      </c>
      <c r="Q1204" s="40"/>
      <c r="R1204" s="39"/>
      <c r="S1204" s="41"/>
      <c r="T1204" s="39"/>
      <c r="U1204" s="41" t="s">
        <v>5593</v>
      </c>
      <c r="V1204" s="41"/>
      <c r="W1204" s="42">
        <v>893</v>
      </c>
      <c r="X1204" s="43"/>
      <c r="Y1204" s="44"/>
      <c r="Z1204" s="44"/>
      <c r="AA1204" s="44"/>
      <c r="AB1204" s="44"/>
      <c r="AC1204" s="44"/>
      <c r="AD1204" s="44"/>
      <c r="AE1204" s="44"/>
      <c r="AF1204" s="44"/>
    </row>
    <row r="1205" ht="14.4" customHeight="1" spans="1:32">
      <c r="A1205" s="16" t="s">
        <v>4174</v>
      </c>
      <c r="B1205" s="17" t="s">
        <v>4175</v>
      </c>
      <c r="C1205" s="30" t="s">
        <v>1138</v>
      </c>
      <c r="D1205" s="19" t="e">
        <f>VLOOKUP(C1205,#REF!,2,0)</f>
        <v>#REF!</v>
      </c>
      <c r="E1205" s="20" t="e">
        <f>VLOOKUP(D1205,数据集标准分类!E:F,2,0)</f>
        <v>#REF!</v>
      </c>
      <c r="F1205" s="21">
        <v>39</v>
      </c>
      <c r="G1205" s="22" t="s">
        <v>201</v>
      </c>
      <c r="H1205" s="22" t="s">
        <v>5646</v>
      </c>
      <c r="I1205" s="22" t="s">
        <v>5647</v>
      </c>
      <c r="J1205" s="22" t="s">
        <v>202</v>
      </c>
      <c r="K1205" s="22" t="s">
        <v>204</v>
      </c>
      <c r="L1205" s="22" t="s">
        <v>1114</v>
      </c>
      <c r="M1205" s="16" t="s">
        <v>5593</v>
      </c>
      <c r="N1205" s="16" t="s">
        <v>5593</v>
      </c>
      <c r="O1205" s="23">
        <v>6</v>
      </c>
      <c r="P1205" s="24" t="e">
        <f>VLOOKUP(I1205,#REF!,2,0)</f>
        <v>#REF!</v>
      </c>
      <c r="Q1205" s="25"/>
      <c r="R1205" s="24"/>
      <c r="S1205" s="26"/>
      <c r="T1205" s="24"/>
      <c r="U1205" s="26"/>
      <c r="V1205" s="26"/>
      <c r="W1205" s="27">
        <v>894</v>
      </c>
      <c r="X1205" s="28"/>
    </row>
    <row r="1206" ht="31" spans="1:32">
      <c r="A1206" s="16" t="s">
        <v>4174</v>
      </c>
      <c r="B1206" s="17" t="s">
        <v>4175</v>
      </c>
      <c r="C1206" s="30" t="s">
        <v>1138</v>
      </c>
      <c r="D1206" s="19" t="e">
        <f>VLOOKUP(C1206,#REF!,2,0)</f>
        <v>#REF!</v>
      </c>
      <c r="E1206" s="20" t="e">
        <f>VLOOKUP(D1206,数据集标准分类!E:F,2,0)</f>
        <v>#REF!</v>
      </c>
      <c r="F1206" s="21">
        <v>39</v>
      </c>
      <c r="G1206" s="22" t="s">
        <v>1150</v>
      </c>
      <c r="H1206" s="29" t="s">
        <v>1151</v>
      </c>
      <c r="I1206" s="29" t="s">
        <v>1153</v>
      </c>
      <c r="J1206" s="22" t="s">
        <v>1151</v>
      </c>
      <c r="K1206" s="22" t="s">
        <v>1153</v>
      </c>
      <c r="L1206" s="22" t="s">
        <v>1154</v>
      </c>
      <c r="M1206" s="16" t="s">
        <v>5595</v>
      </c>
      <c r="N1206" s="16" t="s">
        <v>5595</v>
      </c>
      <c r="O1206" s="23">
        <v>7</v>
      </c>
      <c r="P1206" s="24" t="e">
        <f>VLOOKUP(I1206,#REF!,2,0)</f>
        <v>#REF!</v>
      </c>
      <c r="Q1206" s="25"/>
      <c r="R1206" s="24"/>
      <c r="S1206" s="26"/>
      <c r="T1206" s="24"/>
      <c r="U1206" s="26"/>
      <c r="V1206" s="26"/>
      <c r="W1206" s="27">
        <v>895</v>
      </c>
      <c r="X1206" s="28"/>
    </row>
    <row r="1207" ht="46" spans="1:32">
      <c r="A1207" s="16" t="s">
        <v>4174</v>
      </c>
      <c r="B1207" s="17" t="s">
        <v>4175</v>
      </c>
      <c r="C1207" s="30" t="s">
        <v>1171</v>
      </c>
      <c r="D1207" s="19" t="e">
        <f>VLOOKUP(C1207,#REF!,2,0)</f>
        <v>#REF!</v>
      </c>
      <c r="E1207" s="20" t="e">
        <f>VLOOKUP(D1207,数据集标准分类!E:F,2,0)</f>
        <v>#REF!</v>
      </c>
      <c r="F1207" s="21">
        <v>40</v>
      </c>
      <c r="G1207" s="22" t="s">
        <v>152</v>
      </c>
      <c r="H1207" s="22" t="s">
        <v>5905</v>
      </c>
      <c r="I1207" s="22" t="s">
        <v>5906</v>
      </c>
      <c r="J1207" s="22" t="s">
        <v>153</v>
      </c>
      <c r="K1207" s="22" t="s">
        <v>155</v>
      </c>
      <c r="L1207" s="22" t="s">
        <v>156</v>
      </c>
      <c r="M1207" s="16" t="s">
        <v>5593</v>
      </c>
      <c r="N1207" s="16" t="s">
        <v>5593</v>
      </c>
      <c r="O1207" s="23">
        <v>1</v>
      </c>
      <c r="P1207" s="24" t="e">
        <f>VLOOKUP(I1207,#REF!,2,0)</f>
        <v>#REF!</v>
      </c>
      <c r="Q1207" s="25"/>
      <c r="R1207" s="24"/>
      <c r="S1207" s="26"/>
      <c r="T1207" s="24"/>
      <c r="U1207" s="26"/>
      <c r="V1207" s="26"/>
      <c r="W1207" s="27">
        <v>896</v>
      </c>
      <c r="X1207" s="28"/>
    </row>
    <row r="1208" ht="61" spans="1:32">
      <c r="A1208" s="16" t="s">
        <v>4174</v>
      </c>
      <c r="B1208" s="17" t="s">
        <v>4175</v>
      </c>
      <c r="C1208" s="30" t="s">
        <v>1171</v>
      </c>
      <c r="D1208" s="19" t="e">
        <f>VLOOKUP(C1208,#REF!,2,0)</f>
        <v>#REF!</v>
      </c>
      <c r="E1208" s="20" t="e">
        <f>VLOOKUP(D1208,数据集标准分类!E:F,2,0)</f>
        <v>#REF!</v>
      </c>
      <c r="F1208" s="21">
        <v>40</v>
      </c>
      <c r="G1208" s="22" t="s">
        <v>663</v>
      </c>
      <c r="H1208" s="22" t="s">
        <v>664</v>
      </c>
      <c r="I1208" s="22" t="s">
        <v>666</v>
      </c>
      <c r="J1208" s="22" t="s">
        <v>664</v>
      </c>
      <c r="K1208" s="22" t="s">
        <v>666</v>
      </c>
      <c r="L1208" s="22" t="s">
        <v>667</v>
      </c>
      <c r="M1208" s="16" t="s">
        <v>5595</v>
      </c>
      <c r="N1208" s="16" t="s">
        <v>5595</v>
      </c>
      <c r="O1208" s="23">
        <v>2</v>
      </c>
      <c r="P1208" s="24" t="e">
        <f>VLOOKUP(I1208,#REF!,2,0)</f>
        <v>#REF!</v>
      </c>
      <c r="Q1208" s="25"/>
      <c r="R1208" s="24"/>
      <c r="S1208" s="26"/>
      <c r="T1208" s="24"/>
      <c r="U1208" s="26"/>
      <c r="V1208" s="26"/>
      <c r="W1208" s="27">
        <v>897</v>
      </c>
      <c r="X1208" s="28"/>
    </row>
    <row r="1209" spans="1:32">
      <c r="A1209" s="16" t="s">
        <v>4174</v>
      </c>
      <c r="B1209" s="17" t="s">
        <v>4175</v>
      </c>
      <c r="C1209" s="30" t="s">
        <v>1171</v>
      </c>
      <c r="D1209" s="19" t="e">
        <f>VLOOKUP(C1209,#REF!,2,0)</f>
        <v>#REF!</v>
      </c>
      <c r="E1209" s="20" t="e">
        <f>VLOOKUP(D1209,数据集标准分类!E:F,2,0)</f>
        <v>#REF!</v>
      </c>
      <c r="F1209" s="21">
        <v>40</v>
      </c>
      <c r="G1209" s="22" t="s">
        <v>924</v>
      </c>
      <c r="H1209" s="22" t="s">
        <v>6084</v>
      </c>
      <c r="I1209" s="22" t="s">
        <v>927</v>
      </c>
      <c r="J1209" s="22" t="s">
        <v>925</v>
      </c>
      <c r="K1209" s="22" t="s">
        <v>927</v>
      </c>
      <c r="L1209" s="22" t="s">
        <v>928</v>
      </c>
      <c r="M1209" s="16" t="s">
        <v>5593</v>
      </c>
      <c r="N1209" s="16" t="s">
        <v>5595</v>
      </c>
      <c r="O1209" s="23">
        <v>3</v>
      </c>
      <c r="P1209" s="24" t="e">
        <f>VLOOKUP(I1209,#REF!,2,0)</f>
        <v>#REF!</v>
      </c>
      <c r="Q1209" s="25"/>
      <c r="R1209" s="24"/>
      <c r="S1209" s="26"/>
      <c r="T1209" s="24"/>
      <c r="U1209" s="26"/>
      <c r="V1209" s="26"/>
      <c r="W1209" s="27">
        <v>898</v>
      </c>
      <c r="X1209" s="28"/>
    </row>
    <row r="1210" ht="46" spans="1:32">
      <c r="A1210" s="16" t="s">
        <v>4174</v>
      </c>
      <c r="B1210" s="17" t="s">
        <v>4175</v>
      </c>
      <c r="C1210" s="30" t="s">
        <v>1171</v>
      </c>
      <c r="D1210" s="19" t="e">
        <f>VLOOKUP(C1210,#REF!,2,0)</f>
        <v>#REF!</v>
      </c>
      <c r="E1210" s="20" t="e">
        <f>VLOOKUP(D1210,数据集标准分类!E:F,2,0)</f>
        <v>#REF!</v>
      </c>
      <c r="F1210" s="21">
        <v>40</v>
      </c>
      <c r="G1210" s="22" t="s">
        <v>784</v>
      </c>
      <c r="H1210" s="22" t="s">
        <v>785</v>
      </c>
      <c r="I1210" s="22" t="s">
        <v>787</v>
      </c>
      <c r="J1210" s="22" t="s">
        <v>785</v>
      </c>
      <c r="K1210" s="22" t="s">
        <v>787</v>
      </c>
      <c r="L1210" s="22" t="s">
        <v>788</v>
      </c>
      <c r="M1210" s="16" t="s">
        <v>5595</v>
      </c>
      <c r="N1210" s="16" t="s">
        <v>5595</v>
      </c>
      <c r="O1210" s="23">
        <v>4</v>
      </c>
      <c r="P1210" s="24" t="e">
        <f>VLOOKUP(I1210,#REF!,2,0)</f>
        <v>#REF!</v>
      </c>
      <c r="Q1210" s="25"/>
      <c r="R1210" s="24"/>
      <c r="S1210" s="26"/>
      <c r="T1210" s="24"/>
      <c r="U1210" s="26"/>
      <c r="V1210" s="26"/>
      <c r="W1210" s="27">
        <v>899</v>
      </c>
      <c r="X1210" s="28"/>
    </row>
    <row r="1211" ht="46" spans="1:32">
      <c r="A1211" s="16" t="s">
        <v>4174</v>
      </c>
      <c r="B1211" s="17" t="s">
        <v>4175</v>
      </c>
      <c r="C1211" s="30" t="s">
        <v>1171</v>
      </c>
      <c r="D1211" s="19" t="e">
        <f>VLOOKUP(C1211,#REF!,2,0)</f>
        <v>#REF!</v>
      </c>
      <c r="E1211" s="20" t="e">
        <f>VLOOKUP(D1211,数据集标准分类!E:F,2,0)</f>
        <v>#REF!</v>
      </c>
      <c r="F1211" s="21">
        <v>40</v>
      </c>
      <c r="G1211" s="22" t="s">
        <v>943</v>
      </c>
      <c r="H1211" s="22" t="s">
        <v>5932</v>
      </c>
      <c r="I1211" s="22" t="s">
        <v>946</v>
      </c>
      <c r="J1211" s="22" t="s">
        <v>944</v>
      </c>
      <c r="K1211" s="22" t="s">
        <v>946</v>
      </c>
      <c r="L1211" s="22" t="s">
        <v>947</v>
      </c>
      <c r="M1211" s="16" t="s">
        <v>5593</v>
      </c>
      <c r="N1211" s="16" t="s">
        <v>5595</v>
      </c>
      <c r="O1211" s="23">
        <v>5</v>
      </c>
      <c r="P1211" s="24" t="e">
        <f>VLOOKUP(I1211,#REF!,2,0)</f>
        <v>#REF!</v>
      </c>
      <c r="Q1211" s="25"/>
      <c r="R1211" s="24"/>
      <c r="S1211" s="26"/>
      <c r="T1211" s="24"/>
      <c r="U1211" s="26"/>
      <c r="V1211" s="26"/>
      <c r="W1211" s="27">
        <v>900</v>
      </c>
      <c r="X1211" s="28"/>
    </row>
    <row r="1212" ht="46" spans="1:32">
      <c r="A1212" s="16" t="s">
        <v>4174</v>
      </c>
      <c r="B1212" s="17" t="s">
        <v>4175</v>
      </c>
      <c r="C1212" s="30" t="s">
        <v>1171</v>
      </c>
      <c r="D1212" s="19" t="e">
        <f>VLOOKUP(C1212,#REF!,2,0)</f>
        <v>#REF!</v>
      </c>
      <c r="E1212" s="20" t="e">
        <f>VLOOKUP(D1212,数据集标准分类!E:F,2,0)</f>
        <v>#REF!</v>
      </c>
      <c r="F1212" s="21">
        <v>40</v>
      </c>
      <c r="G1212" s="22" t="s">
        <v>952</v>
      </c>
      <c r="H1212" s="22" t="s">
        <v>6087</v>
      </c>
      <c r="I1212" s="22" t="s">
        <v>955</v>
      </c>
      <c r="J1212" s="22" t="s">
        <v>953</v>
      </c>
      <c r="K1212" s="22" t="s">
        <v>955</v>
      </c>
      <c r="L1212" s="22" t="s">
        <v>956</v>
      </c>
      <c r="M1212" s="16" t="s">
        <v>5593</v>
      </c>
      <c r="N1212" s="16" t="s">
        <v>5595</v>
      </c>
      <c r="O1212" s="23">
        <v>6</v>
      </c>
      <c r="P1212" s="24" t="e">
        <f>VLOOKUP(I1212,#REF!,2,0)</f>
        <v>#REF!</v>
      </c>
      <c r="Q1212" s="25"/>
      <c r="R1212" s="24"/>
      <c r="S1212" s="26"/>
      <c r="T1212" s="24"/>
      <c r="U1212" s="26"/>
      <c r="V1212" s="26"/>
      <c r="W1212" s="27">
        <v>901</v>
      </c>
      <c r="X1212" s="28"/>
    </row>
    <row r="1213" ht="46" spans="1:32">
      <c r="A1213" s="16" t="s">
        <v>4174</v>
      </c>
      <c r="B1213" s="17" t="s">
        <v>4175</v>
      </c>
      <c r="C1213" s="30" t="s">
        <v>1171</v>
      </c>
      <c r="D1213" s="19" t="e">
        <f>VLOOKUP(C1213,#REF!,2,0)</f>
        <v>#REF!</v>
      </c>
      <c r="E1213" s="20" t="e">
        <f>VLOOKUP(D1213,数据集标准分类!E:F,2,0)</f>
        <v>#REF!</v>
      </c>
      <c r="F1213" s="21">
        <v>40</v>
      </c>
      <c r="G1213" s="22" t="s">
        <v>961</v>
      </c>
      <c r="H1213" s="22" t="s">
        <v>6089</v>
      </c>
      <c r="I1213" s="22" t="s">
        <v>964</v>
      </c>
      <c r="J1213" s="22" t="s">
        <v>962</v>
      </c>
      <c r="K1213" s="22" t="s">
        <v>964</v>
      </c>
      <c r="L1213" s="22" t="s">
        <v>965</v>
      </c>
      <c r="M1213" s="16" t="s">
        <v>5593</v>
      </c>
      <c r="N1213" s="16" t="s">
        <v>5595</v>
      </c>
      <c r="O1213" s="23">
        <v>7</v>
      </c>
      <c r="P1213" s="24" t="e">
        <f>VLOOKUP(I1213,#REF!,2,0)</f>
        <v>#REF!</v>
      </c>
      <c r="Q1213" s="25"/>
      <c r="R1213" s="24"/>
      <c r="S1213" s="26"/>
      <c r="T1213" s="24"/>
      <c r="U1213" s="26"/>
      <c r="V1213" s="26"/>
      <c r="W1213" s="27">
        <v>902</v>
      </c>
      <c r="X1213" s="28"/>
    </row>
    <row r="1214" ht="31" spans="1:32">
      <c r="A1214" s="16" t="s">
        <v>4174</v>
      </c>
      <c r="B1214" s="17" t="s">
        <v>4175</v>
      </c>
      <c r="C1214" s="30" t="s">
        <v>1171</v>
      </c>
      <c r="D1214" s="19" t="e">
        <f>VLOOKUP(C1214,#REF!,2,0)</f>
        <v>#REF!</v>
      </c>
      <c r="E1214" s="20" t="e">
        <f>VLOOKUP(D1214,数据集标准分类!E:F,2,0)</f>
        <v>#REF!</v>
      </c>
      <c r="F1214" s="21">
        <v>40</v>
      </c>
      <c r="G1214" s="22" t="s">
        <v>789</v>
      </c>
      <c r="H1214" s="22" t="s">
        <v>790</v>
      </c>
      <c r="I1214" s="22" t="s">
        <v>791</v>
      </c>
      <c r="J1214" s="22" t="s">
        <v>790</v>
      </c>
      <c r="K1214" s="22" t="s">
        <v>791</v>
      </c>
      <c r="L1214" s="22" t="s">
        <v>792</v>
      </c>
      <c r="M1214" s="16" t="s">
        <v>5595</v>
      </c>
      <c r="N1214" s="16" t="s">
        <v>5595</v>
      </c>
      <c r="O1214" s="23">
        <v>8</v>
      </c>
      <c r="P1214" s="24" t="e">
        <f>VLOOKUP(I1214,#REF!,2,0)</f>
        <v>#REF!</v>
      </c>
      <c r="Q1214" s="25"/>
      <c r="R1214" s="24"/>
      <c r="S1214" s="26"/>
      <c r="T1214" s="24"/>
      <c r="U1214" s="26"/>
      <c r="V1214" s="26"/>
      <c r="W1214" s="27">
        <v>903</v>
      </c>
      <c r="X1214" s="28"/>
    </row>
    <row r="1215" spans="1:32">
      <c r="A1215" s="16" t="s">
        <v>4174</v>
      </c>
      <c r="B1215" s="17" t="s">
        <v>4175</v>
      </c>
      <c r="C1215" s="30" t="s">
        <v>1171</v>
      </c>
      <c r="D1215" s="19" t="e">
        <f>VLOOKUP(C1215,#REF!,2,0)</f>
        <v>#REF!</v>
      </c>
      <c r="E1215" s="20" t="e">
        <f>VLOOKUP(D1215,数据集标准分类!E:F,2,0)</f>
        <v>#REF!</v>
      </c>
      <c r="F1215" s="21">
        <v>40</v>
      </c>
      <c r="G1215" s="22" t="s">
        <v>966</v>
      </c>
      <c r="H1215" s="22" t="s">
        <v>5715</v>
      </c>
      <c r="I1215" s="22" t="s">
        <v>969</v>
      </c>
      <c r="J1215" s="22" t="s">
        <v>967</v>
      </c>
      <c r="K1215" s="22" t="s">
        <v>969</v>
      </c>
      <c r="L1215" s="22" t="s">
        <v>970</v>
      </c>
      <c r="M1215" s="16" t="s">
        <v>5593</v>
      </c>
      <c r="N1215" s="16" t="s">
        <v>5595</v>
      </c>
      <c r="O1215" s="23">
        <v>9</v>
      </c>
      <c r="P1215" s="24" t="e">
        <f>VLOOKUP(I1215,#REF!,2,0)</f>
        <v>#REF!</v>
      </c>
      <c r="Q1215" s="25"/>
      <c r="R1215" s="24"/>
      <c r="S1215" s="26"/>
      <c r="T1215" s="24"/>
      <c r="U1215" s="26"/>
      <c r="V1215" s="26"/>
      <c r="W1215" s="27">
        <v>904</v>
      </c>
      <c r="X1215" s="28"/>
    </row>
    <row r="1216" spans="1:32">
      <c r="A1216" s="16" t="s">
        <v>4174</v>
      </c>
      <c r="B1216" s="17" t="s">
        <v>4175</v>
      </c>
      <c r="C1216" s="30" t="s">
        <v>1171</v>
      </c>
      <c r="D1216" s="19" t="e">
        <f>VLOOKUP(C1216,#REF!,2,0)</f>
        <v>#REF!</v>
      </c>
      <c r="E1216" s="20" t="e">
        <f>VLOOKUP(D1216,数据集标准分类!E:F,2,0)</f>
        <v>#REF!</v>
      </c>
      <c r="F1216" s="21">
        <v>40</v>
      </c>
      <c r="G1216" s="22" t="s">
        <v>1172</v>
      </c>
      <c r="H1216" s="22" t="s">
        <v>6117</v>
      </c>
      <c r="I1216" s="22" t="s">
        <v>1175</v>
      </c>
      <c r="J1216" s="22" t="s">
        <v>1173</v>
      </c>
      <c r="K1216" s="22" t="s">
        <v>1175</v>
      </c>
      <c r="L1216" s="22" t="s">
        <v>1176</v>
      </c>
      <c r="M1216" s="16" t="s">
        <v>5593</v>
      </c>
      <c r="N1216" s="16" t="s">
        <v>5595</v>
      </c>
      <c r="O1216" s="23">
        <v>10</v>
      </c>
      <c r="P1216" s="24" t="e">
        <f>VLOOKUP(I1216,#REF!,2,0)</f>
        <v>#REF!</v>
      </c>
      <c r="Q1216" s="25"/>
      <c r="R1216" s="24"/>
      <c r="S1216" s="26"/>
      <c r="T1216" s="24"/>
      <c r="U1216" s="26"/>
      <c r="V1216" s="26"/>
      <c r="W1216" s="27">
        <v>905</v>
      </c>
      <c r="X1216" s="28"/>
    </row>
    <row r="1217" ht="46" spans="1:24">
      <c r="A1217" s="16" t="s">
        <v>4174</v>
      </c>
      <c r="B1217" s="17" t="s">
        <v>4175</v>
      </c>
      <c r="C1217" s="30" t="s">
        <v>1171</v>
      </c>
      <c r="D1217" s="19" t="e">
        <f>VLOOKUP(C1217,#REF!,2,0)</f>
        <v>#REF!</v>
      </c>
      <c r="E1217" s="20" t="e">
        <f>VLOOKUP(D1217,数据集标准分类!E:F,2,0)</f>
        <v>#REF!</v>
      </c>
      <c r="F1217" s="21">
        <v>40</v>
      </c>
      <c r="G1217" s="22" t="s">
        <v>1177</v>
      </c>
      <c r="H1217" s="22" t="s">
        <v>6118</v>
      </c>
      <c r="I1217" s="22" t="s">
        <v>1180</v>
      </c>
      <c r="J1217" s="22" t="s">
        <v>1178</v>
      </c>
      <c r="K1217" s="22" t="s">
        <v>1180</v>
      </c>
      <c r="L1217" s="22" t="s">
        <v>1181</v>
      </c>
      <c r="M1217" s="16" t="s">
        <v>5593</v>
      </c>
      <c r="N1217" s="16" t="s">
        <v>5595</v>
      </c>
      <c r="O1217" s="23">
        <v>11</v>
      </c>
      <c r="P1217" s="24" t="e">
        <f>VLOOKUP(I1217,#REF!,2,0)</f>
        <v>#REF!</v>
      </c>
      <c r="Q1217" s="25"/>
      <c r="R1217" s="24"/>
      <c r="S1217" s="26"/>
      <c r="T1217" s="24"/>
      <c r="U1217" s="26"/>
      <c r="V1217" s="26"/>
      <c r="W1217" s="27">
        <v>906</v>
      </c>
      <c r="X1217" s="28"/>
    </row>
    <row r="1218" ht="46" spans="1:24">
      <c r="A1218" s="16" t="s">
        <v>4174</v>
      </c>
      <c r="B1218" s="17" t="s">
        <v>4175</v>
      </c>
      <c r="C1218" s="30" t="s">
        <v>1171</v>
      </c>
      <c r="D1218" s="19" t="e">
        <f>VLOOKUP(C1218,#REF!,2,0)</f>
        <v>#REF!</v>
      </c>
      <c r="E1218" s="20" t="e">
        <f>VLOOKUP(D1218,数据集标准分类!E:F,2,0)</f>
        <v>#REF!</v>
      </c>
      <c r="F1218" s="21">
        <v>40</v>
      </c>
      <c r="G1218" s="22" t="s">
        <v>1182</v>
      </c>
      <c r="H1218" s="22" t="s">
        <v>6119</v>
      </c>
      <c r="I1218" s="22" t="s">
        <v>1185</v>
      </c>
      <c r="J1218" s="22" t="s">
        <v>1183</v>
      </c>
      <c r="K1218" s="22" t="s">
        <v>1185</v>
      </c>
      <c r="L1218" s="22" t="s">
        <v>1186</v>
      </c>
      <c r="M1218" s="16" t="s">
        <v>5593</v>
      </c>
      <c r="N1218" s="16" t="s">
        <v>5595</v>
      </c>
      <c r="O1218" s="23">
        <v>12</v>
      </c>
      <c r="P1218" s="24" t="e">
        <f>VLOOKUP(I1218,#REF!,2,0)</f>
        <v>#REF!</v>
      </c>
      <c r="Q1218" s="25"/>
      <c r="R1218" s="24"/>
      <c r="S1218" s="26"/>
      <c r="T1218" s="24"/>
      <c r="U1218" s="26"/>
      <c r="V1218" s="26"/>
      <c r="W1218" s="27">
        <v>907</v>
      </c>
      <c r="X1218" s="28"/>
    </row>
    <row r="1219" ht="46" spans="1:24">
      <c r="A1219" s="16" t="s">
        <v>4174</v>
      </c>
      <c r="B1219" s="17" t="s">
        <v>4175</v>
      </c>
      <c r="C1219" s="30" t="s">
        <v>1171</v>
      </c>
      <c r="D1219" s="19" t="e">
        <f>VLOOKUP(C1219,#REF!,2,0)</f>
        <v>#REF!</v>
      </c>
      <c r="E1219" s="20" t="e">
        <f>VLOOKUP(D1219,数据集标准分类!E:F,2,0)</f>
        <v>#REF!</v>
      </c>
      <c r="F1219" s="21">
        <v>40</v>
      </c>
      <c r="G1219" s="22" t="s">
        <v>1187</v>
      </c>
      <c r="H1219" s="22" t="s">
        <v>6120</v>
      </c>
      <c r="I1219" s="22" t="s">
        <v>1190</v>
      </c>
      <c r="J1219" s="22" t="s">
        <v>1188</v>
      </c>
      <c r="K1219" s="22" t="s">
        <v>1190</v>
      </c>
      <c r="L1219" s="22" t="s">
        <v>1191</v>
      </c>
      <c r="M1219" s="16" t="s">
        <v>5593</v>
      </c>
      <c r="N1219" s="16" t="s">
        <v>5595</v>
      </c>
      <c r="O1219" s="23">
        <v>13</v>
      </c>
      <c r="P1219" s="24" t="e">
        <f>VLOOKUP(I1219,#REF!,2,0)</f>
        <v>#REF!</v>
      </c>
      <c r="Q1219" s="25"/>
      <c r="R1219" s="24"/>
      <c r="S1219" s="26"/>
      <c r="T1219" s="24"/>
      <c r="U1219" s="26"/>
      <c r="V1219" s="26"/>
      <c r="W1219" s="27">
        <v>908</v>
      </c>
      <c r="X1219" s="28"/>
    </row>
    <row r="1220" ht="24" customHeight="1" spans="1:24">
      <c r="A1220" s="16" t="s">
        <v>4174</v>
      </c>
      <c r="B1220" s="17" t="s">
        <v>4175</v>
      </c>
      <c r="C1220" s="30" t="s">
        <v>1171</v>
      </c>
      <c r="D1220" s="19" t="e">
        <f>VLOOKUP(C1220,#REF!,2,0)</f>
        <v>#REF!</v>
      </c>
      <c r="E1220" s="20" t="e">
        <f>VLOOKUP(D1220,数据集标准分类!E:F,2,0)</f>
        <v>#REF!</v>
      </c>
      <c r="F1220" s="21">
        <v>40</v>
      </c>
      <c r="G1220" s="22" t="s">
        <v>1192</v>
      </c>
      <c r="H1220" s="22" t="s">
        <v>5638</v>
      </c>
      <c r="I1220" s="22" t="s">
        <v>1195</v>
      </c>
      <c r="J1220" s="22" t="s">
        <v>1193</v>
      </c>
      <c r="K1220" s="22" t="s">
        <v>1195</v>
      </c>
      <c r="L1220" s="22" t="s">
        <v>1196</v>
      </c>
      <c r="M1220" s="16" t="s">
        <v>5593</v>
      </c>
      <c r="N1220" s="16" t="s">
        <v>5595</v>
      </c>
      <c r="O1220" s="23">
        <v>14</v>
      </c>
      <c r="P1220" s="24" t="e">
        <f>VLOOKUP(I1220,#REF!,2,0)</f>
        <v>#REF!</v>
      </c>
      <c r="Q1220" s="25"/>
      <c r="R1220" s="24"/>
      <c r="S1220" s="26"/>
      <c r="T1220" s="24"/>
      <c r="U1220" s="26"/>
      <c r="V1220" s="26"/>
      <c r="W1220" s="27">
        <v>909</v>
      </c>
      <c r="X1220" s="28"/>
    </row>
    <row r="1221" ht="46" spans="1:24">
      <c r="A1221" s="16" t="s">
        <v>4174</v>
      </c>
      <c r="B1221" s="17" t="s">
        <v>4175</v>
      </c>
      <c r="C1221" s="30" t="s">
        <v>1171</v>
      </c>
      <c r="D1221" s="19" t="e">
        <f>VLOOKUP(C1221,#REF!,2,0)</f>
        <v>#REF!</v>
      </c>
      <c r="E1221" s="20" t="e">
        <f>VLOOKUP(D1221,数据集标准分类!E:F,2,0)</f>
        <v>#REF!</v>
      </c>
      <c r="F1221" s="21">
        <v>40</v>
      </c>
      <c r="G1221" s="22" t="s">
        <v>1083</v>
      </c>
      <c r="H1221" s="22" t="s">
        <v>6108</v>
      </c>
      <c r="I1221" s="22" t="s">
        <v>1086</v>
      </c>
      <c r="J1221" s="22" t="s">
        <v>1084</v>
      </c>
      <c r="K1221" s="22" t="s">
        <v>1086</v>
      </c>
      <c r="L1221" s="22" t="s">
        <v>1197</v>
      </c>
      <c r="M1221" s="16" t="s">
        <v>5593</v>
      </c>
      <c r="N1221" s="16" t="s">
        <v>5595</v>
      </c>
      <c r="O1221" s="23">
        <v>15</v>
      </c>
      <c r="P1221" s="24" t="e">
        <f>VLOOKUP(I1221,#REF!,2,0)</f>
        <v>#REF!</v>
      </c>
      <c r="Q1221" s="25"/>
      <c r="R1221" s="24"/>
      <c r="S1221" s="26"/>
      <c r="T1221" s="24"/>
      <c r="U1221" s="26"/>
      <c r="V1221" s="26"/>
      <c r="W1221" s="27">
        <v>910</v>
      </c>
      <c r="X1221" s="28"/>
    </row>
    <row r="1222" ht="46" spans="1:24">
      <c r="A1222" s="16" t="s">
        <v>4174</v>
      </c>
      <c r="B1222" s="17" t="s">
        <v>4175</v>
      </c>
      <c r="C1222" s="30" t="s">
        <v>1214</v>
      </c>
      <c r="D1222" s="19" t="e">
        <f>VLOOKUP(C1222,#REF!,2,0)</f>
        <v>#REF!</v>
      </c>
      <c r="E1222" s="20" t="e">
        <f>VLOOKUP(D1222,数据集标准分类!E:F,2,0)</f>
        <v>#REF!</v>
      </c>
      <c r="F1222" s="21">
        <v>41</v>
      </c>
      <c r="G1222" s="22" t="s">
        <v>152</v>
      </c>
      <c r="H1222" s="22" t="s">
        <v>5905</v>
      </c>
      <c r="I1222" s="22" t="s">
        <v>5906</v>
      </c>
      <c r="J1222" s="22" t="s">
        <v>153</v>
      </c>
      <c r="K1222" s="22" t="s">
        <v>155</v>
      </c>
      <c r="L1222" s="22" t="s">
        <v>156</v>
      </c>
      <c r="M1222" s="16" t="s">
        <v>5593</v>
      </c>
      <c r="N1222" s="16" t="s">
        <v>5593</v>
      </c>
      <c r="O1222" s="23">
        <v>1</v>
      </c>
      <c r="P1222" s="24" t="e">
        <f>VLOOKUP(I1222,#REF!,2,0)</f>
        <v>#REF!</v>
      </c>
      <c r="Q1222" s="25"/>
      <c r="R1222" s="24"/>
      <c r="S1222" s="26"/>
      <c r="T1222" s="24"/>
      <c r="U1222" s="26"/>
      <c r="V1222" s="26"/>
      <c r="W1222" s="27">
        <v>911</v>
      </c>
      <c r="X1222" s="28"/>
    </row>
    <row r="1223" ht="61" spans="1:24">
      <c r="A1223" s="16" t="s">
        <v>4174</v>
      </c>
      <c r="B1223" s="17" t="s">
        <v>4175</v>
      </c>
      <c r="C1223" s="30" t="s">
        <v>1214</v>
      </c>
      <c r="D1223" s="19" t="e">
        <f>VLOOKUP(C1223,#REF!,2,0)</f>
        <v>#REF!</v>
      </c>
      <c r="E1223" s="20" t="e">
        <f>VLOOKUP(D1223,数据集标准分类!E:F,2,0)</f>
        <v>#REF!</v>
      </c>
      <c r="F1223" s="21">
        <v>41</v>
      </c>
      <c r="G1223" s="22" t="s">
        <v>663</v>
      </c>
      <c r="H1223" s="22" t="s">
        <v>664</v>
      </c>
      <c r="I1223" s="22" t="s">
        <v>666</v>
      </c>
      <c r="J1223" s="22" t="s">
        <v>664</v>
      </c>
      <c r="K1223" s="22" t="s">
        <v>666</v>
      </c>
      <c r="L1223" s="22" t="s">
        <v>667</v>
      </c>
      <c r="M1223" s="16" t="s">
        <v>5595</v>
      </c>
      <c r="N1223" s="16" t="s">
        <v>5595</v>
      </c>
      <c r="O1223" s="23">
        <v>2</v>
      </c>
      <c r="P1223" s="24" t="e">
        <f>VLOOKUP(I1223,#REF!,2,0)</f>
        <v>#REF!</v>
      </c>
      <c r="Q1223" s="25"/>
      <c r="R1223" s="24"/>
      <c r="S1223" s="26"/>
      <c r="T1223" s="24"/>
      <c r="U1223" s="26"/>
      <c r="V1223" s="26"/>
      <c r="W1223" s="27">
        <v>912</v>
      </c>
      <c r="X1223" s="28"/>
    </row>
    <row r="1224" spans="1:24">
      <c r="A1224" s="16" t="s">
        <v>4174</v>
      </c>
      <c r="B1224" s="17" t="s">
        <v>4175</v>
      </c>
      <c r="C1224" s="30" t="s">
        <v>1214</v>
      </c>
      <c r="D1224" s="19" t="e">
        <f>VLOOKUP(C1224,#REF!,2,0)</f>
        <v>#REF!</v>
      </c>
      <c r="E1224" s="20" t="e">
        <f>VLOOKUP(D1224,数据集标准分类!E:F,2,0)</f>
        <v>#REF!</v>
      </c>
      <c r="F1224" s="21">
        <v>41</v>
      </c>
      <c r="G1224" s="22" t="s">
        <v>924</v>
      </c>
      <c r="H1224" s="22" t="s">
        <v>6084</v>
      </c>
      <c r="I1224" s="22" t="s">
        <v>927</v>
      </c>
      <c r="J1224" s="22" t="s">
        <v>925</v>
      </c>
      <c r="K1224" s="22" t="s">
        <v>927</v>
      </c>
      <c r="L1224" s="22" t="s">
        <v>928</v>
      </c>
      <c r="M1224" s="16" t="s">
        <v>5593</v>
      </c>
      <c r="N1224" s="16" t="s">
        <v>5595</v>
      </c>
      <c r="O1224" s="23">
        <v>3</v>
      </c>
      <c r="P1224" s="24" t="e">
        <f>VLOOKUP(I1224,#REF!,2,0)</f>
        <v>#REF!</v>
      </c>
      <c r="Q1224" s="25"/>
      <c r="R1224" s="24"/>
      <c r="S1224" s="26"/>
      <c r="T1224" s="24"/>
      <c r="U1224" s="26"/>
      <c r="V1224" s="26"/>
      <c r="W1224" s="27">
        <v>913</v>
      </c>
      <c r="X1224" s="28"/>
    </row>
    <row r="1225" ht="46" spans="1:24">
      <c r="A1225" s="16" t="s">
        <v>4174</v>
      </c>
      <c r="B1225" s="17" t="s">
        <v>4175</v>
      </c>
      <c r="C1225" s="30" t="s">
        <v>1214</v>
      </c>
      <c r="D1225" s="19" t="e">
        <f>VLOOKUP(C1225,#REF!,2,0)</f>
        <v>#REF!</v>
      </c>
      <c r="E1225" s="20" t="e">
        <f>VLOOKUP(D1225,数据集标准分类!E:F,2,0)</f>
        <v>#REF!</v>
      </c>
      <c r="F1225" s="21">
        <v>41</v>
      </c>
      <c r="G1225" s="22" t="s">
        <v>784</v>
      </c>
      <c r="H1225" s="22" t="s">
        <v>785</v>
      </c>
      <c r="I1225" s="22" t="s">
        <v>787</v>
      </c>
      <c r="J1225" s="22" t="s">
        <v>785</v>
      </c>
      <c r="K1225" s="22" t="s">
        <v>787</v>
      </c>
      <c r="L1225" s="22" t="s">
        <v>788</v>
      </c>
      <c r="M1225" s="16" t="s">
        <v>5595</v>
      </c>
      <c r="N1225" s="16" t="s">
        <v>5595</v>
      </c>
      <c r="O1225" s="23">
        <v>4</v>
      </c>
      <c r="P1225" s="24" t="e">
        <f>VLOOKUP(I1225,#REF!,2,0)</f>
        <v>#REF!</v>
      </c>
      <c r="Q1225" s="25"/>
      <c r="R1225" s="24"/>
      <c r="S1225" s="26"/>
      <c r="T1225" s="24"/>
      <c r="U1225" s="26"/>
      <c r="V1225" s="26"/>
      <c r="W1225" s="27">
        <v>914</v>
      </c>
      <c r="X1225" s="28"/>
    </row>
    <row r="1226" ht="46" spans="1:24">
      <c r="A1226" s="16" t="s">
        <v>4174</v>
      </c>
      <c r="B1226" s="17" t="s">
        <v>4175</v>
      </c>
      <c r="C1226" s="30" t="s">
        <v>1214</v>
      </c>
      <c r="D1226" s="19" t="e">
        <f>VLOOKUP(C1226,#REF!,2,0)</f>
        <v>#REF!</v>
      </c>
      <c r="E1226" s="20" t="e">
        <f>VLOOKUP(D1226,数据集标准分类!E:F,2,0)</f>
        <v>#REF!</v>
      </c>
      <c r="F1226" s="21">
        <v>41</v>
      </c>
      <c r="G1226" s="22" t="s">
        <v>943</v>
      </c>
      <c r="H1226" s="22" t="s">
        <v>5932</v>
      </c>
      <c r="I1226" s="22" t="s">
        <v>946</v>
      </c>
      <c r="J1226" s="22" t="s">
        <v>944</v>
      </c>
      <c r="K1226" s="22" t="s">
        <v>946</v>
      </c>
      <c r="L1226" s="22" t="s">
        <v>947</v>
      </c>
      <c r="M1226" s="16" t="s">
        <v>5593</v>
      </c>
      <c r="N1226" s="16" t="s">
        <v>5595</v>
      </c>
      <c r="O1226" s="23">
        <v>5</v>
      </c>
      <c r="P1226" s="24" t="e">
        <f>VLOOKUP(I1226,#REF!,2,0)</f>
        <v>#REF!</v>
      </c>
      <c r="Q1226" s="25"/>
      <c r="R1226" s="24"/>
      <c r="S1226" s="26"/>
      <c r="T1226" s="24"/>
      <c r="U1226" s="26"/>
      <c r="V1226" s="26"/>
      <c r="W1226" s="27">
        <v>915</v>
      </c>
      <c r="X1226" s="28"/>
    </row>
    <row r="1227" ht="46" spans="1:24">
      <c r="A1227" s="16" t="s">
        <v>4174</v>
      </c>
      <c r="B1227" s="17" t="s">
        <v>4175</v>
      </c>
      <c r="C1227" s="30" t="s">
        <v>1214</v>
      </c>
      <c r="D1227" s="19" t="e">
        <f>VLOOKUP(C1227,#REF!,2,0)</f>
        <v>#REF!</v>
      </c>
      <c r="E1227" s="20" t="e">
        <f>VLOOKUP(D1227,数据集标准分类!E:F,2,0)</f>
        <v>#REF!</v>
      </c>
      <c r="F1227" s="21">
        <v>41</v>
      </c>
      <c r="G1227" s="22" t="s">
        <v>952</v>
      </c>
      <c r="H1227" s="22" t="s">
        <v>6087</v>
      </c>
      <c r="I1227" s="22" t="s">
        <v>955</v>
      </c>
      <c r="J1227" s="22" t="s">
        <v>953</v>
      </c>
      <c r="K1227" s="22" t="s">
        <v>955</v>
      </c>
      <c r="L1227" s="22" t="s">
        <v>956</v>
      </c>
      <c r="M1227" s="16" t="s">
        <v>5593</v>
      </c>
      <c r="N1227" s="16" t="s">
        <v>5595</v>
      </c>
      <c r="O1227" s="23">
        <v>6</v>
      </c>
      <c r="P1227" s="24" t="e">
        <f>VLOOKUP(I1227,#REF!,2,0)</f>
        <v>#REF!</v>
      </c>
      <c r="Q1227" s="25"/>
      <c r="R1227" s="24"/>
      <c r="S1227" s="26"/>
      <c r="T1227" s="24"/>
      <c r="U1227" s="26"/>
      <c r="V1227" s="26"/>
      <c r="W1227" s="27">
        <v>916</v>
      </c>
      <c r="X1227" s="28"/>
    </row>
    <row r="1228" ht="46" spans="1:24">
      <c r="A1228" s="16" t="s">
        <v>4174</v>
      </c>
      <c r="B1228" s="17" t="s">
        <v>4175</v>
      </c>
      <c r="C1228" s="30" t="s">
        <v>1214</v>
      </c>
      <c r="D1228" s="19" t="e">
        <f>VLOOKUP(C1228,#REF!,2,0)</f>
        <v>#REF!</v>
      </c>
      <c r="E1228" s="20" t="e">
        <f>VLOOKUP(D1228,数据集标准分类!E:F,2,0)</f>
        <v>#REF!</v>
      </c>
      <c r="F1228" s="21">
        <v>41</v>
      </c>
      <c r="G1228" s="22" t="s">
        <v>961</v>
      </c>
      <c r="H1228" s="22" t="s">
        <v>6089</v>
      </c>
      <c r="I1228" s="22" t="s">
        <v>964</v>
      </c>
      <c r="J1228" s="22" t="s">
        <v>962</v>
      </c>
      <c r="K1228" s="22" t="s">
        <v>964</v>
      </c>
      <c r="L1228" s="22" t="s">
        <v>965</v>
      </c>
      <c r="M1228" s="16" t="s">
        <v>5593</v>
      </c>
      <c r="N1228" s="16" t="s">
        <v>5595</v>
      </c>
      <c r="O1228" s="23">
        <v>7</v>
      </c>
      <c r="P1228" s="24" t="e">
        <f>VLOOKUP(I1228,#REF!,2,0)</f>
        <v>#REF!</v>
      </c>
      <c r="Q1228" s="25"/>
      <c r="R1228" s="24"/>
      <c r="S1228" s="26"/>
      <c r="T1228" s="24"/>
      <c r="U1228" s="26"/>
      <c r="V1228" s="26"/>
      <c r="W1228" s="27">
        <v>917</v>
      </c>
      <c r="X1228" s="28"/>
    </row>
    <row r="1229" ht="31" spans="1:24">
      <c r="A1229" s="16" t="s">
        <v>4174</v>
      </c>
      <c r="B1229" s="17" t="s">
        <v>4175</v>
      </c>
      <c r="C1229" s="30" t="s">
        <v>1214</v>
      </c>
      <c r="D1229" s="19" t="e">
        <f>VLOOKUP(C1229,#REF!,2,0)</f>
        <v>#REF!</v>
      </c>
      <c r="E1229" s="20" t="e">
        <f>VLOOKUP(D1229,数据集标准分类!E:F,2,0)</f>
        <v>#REF!</v>
      </c>
      <c r="F1229" s="21">
        <v>41</v>
      </c>
      <c r="G1229" s="22" t="s">
        <v>789</v>
      </c>
      <c r="H1229" s="22" t="s">
        <v>790</v>
      </c>
      <c r="I1229" s="22" t="s">
        <v>791</v>
      </c>
      <c r="J1229" s="22" t="s">
        <v>790</v>
      </c>
      <c r="K1229" s="22" t="s">
        <v>791</v>
      </c>
      <c r="L1229" s="22" t="s">
        <v>792</v>
      </c>
      <c r="M1229" s="16" t="s">
        <v>5595</v>
      </c>
      <c r="N1229" s="16" t="s">
        <v>5595</v>
      </c>
      <c r="O1229" s="23">
        <v>8</v>
      </c>
      <c r="P1229" s="24" t="e">
        <f>VLOOKUP(I1229,#REF!,2,0)</f>
        <v>#REF!</v>
      </c>
      <c r="Q1229" s="25"/>
      <c r="R1229" s="24"/>
      <c r="S1229" s="26"/>
      <c r="T1229" s="24"/>
      <c r="U1229" s="26" t="s">
        <v>5593</v>
      </c>
      <c r="V1229" s="26"/>
      <c r="W1229" s="27">
        <v>918</v>
      </c>
      <c r="X1229" s="28"/>
    </row>
    <row r="1230" spans="1:24">
      <c r="A1230" s="16" t="s">
        <v>4174</v>
      </c>
      <c r="B1230" s="17" t="s">
        <v>4175</v>
      </c>
      <c r="C1230" s="30" t="s">
        <v>1214</v>
      </c>
      <c r="D1230" s="19" t="e">
        <f>VLOOKUP(C1230,#REF!,2,0)</f>
        <v>#REF!</v>
      </c>
      <c r="E1230" s="20" t="e">
        <f>VLOOKUP(D1230,数据集标准分类!E:F,2,0)</f>
        <v>#REF!</v>
      </c>
      <c r="F1230" s="21">
        <v>41</v>
      </c>
      <c r="G1230" s="22" t="s">
        <v>966</v>
      </c>
      <c r="H1230" s="22" t="s">
        <v>5715</v>
      </c>
      <c r="I1230" s="22" t="s">
        <v>969</v>
      </c>
      <c r="J1230" s="22" t="s">
        <v>967</v>
      </c>
      <c r="K1230" s="22" t="s">
        <v>969</v>
      </c>
      <c r="L1230" s="22" t="s">
        <v>970</v>
      </c>
      <c r="M1230" s="16" t="s">
        <v>5593</v>
      </c>
      <c r="N1230" s="16" t="s">
        <v>5595</v>
      </c>
      <c r="O1230" s="23">
        <v>9</v>
      </c>
      <c r="P1230" s="24" t="e">
        <f>VLOOKUP(I1230,#REF!,2,0)</f>
        <v>#REF!</v>
      </c>
      <c r="Q1230" s="25"/>
      <c r="R1230" s="24"/>
      <c r="S1230" s="26"/>
      <c r="T1230" s="24"/>
      <c r="U1230" s="26"/>
      <c r="V1230" s="26"/>
      <c r="W1230" s="27">
        <v>919</v>
      </c>
      <c r="X1230" s="28"/>
    </row>
    <row r="1231" spans="1:24">
      <c r="A1231" s="16" t="s">
        <v>4174</v>
      </c>
      <c r="B1231" s="17" t="s">
        <v>4175</v>
      </c>
      <c r="C1231" s="30" t="s">
        <v>1214</v>
      </c>
      <c r="D1231" s="19" t="e">
        <f>VLOOKUP(C1231,#REF!,2,0)</f>
        <v>#REF!</v>
      </c>
      <c r="E1231" s="20" t="e">
        <f>VLOOKUP(D1231,数据集标准分类!E:F,2,0)</f>
        <v>#REF!</v>
      </c>
      <c r="F1231" s="21">
        <v>41</v>
      </c>
      <c r="G1231" s="22" t="s">
        <v>1172</v>
      </c>
      <c r="H1231" s="22" t="s">
        <v>6117</v>
      </c>
      <c r="I1231" s="22" t="s">
        <v>1175</v>
      </c>
      <c r="J1231" s="22" t="s">
        <v>1173</v>
      </c>
      <c r="K1231" s="22" t="s">
        <v>1175</v>
      </c>
      <c r="L1231" s="22" t="s">
        <v>1176</v>
      </c>
      <c r="M1231" s="16" t="s">
        <v>5593</v>
      </c>
      <c r="N1231" s="16" t="s">
        <v>5595</v>
      </c>
      <c r="O1231" s="23">
        <v>10</v>
      </c>
      <c r="P1231" s="24" t="e">
        <f>VLOOKUP(I1231,#REF!,2,0)</f>
        <v>#REF!</v>
      </c>
      <c r="Q1231" s="25"/>
      <c r="R1231" s="24"/>
      <c r="S1231" s="26"/>
      <c r="T1231" s="24"/>
      <c r="U1231" s="26"/>
      <c r="V1231" s="26"/>
      <c r="W1231" s="27">
        <v>920</v>
      </c>
      <c r="X1231" s="28"/>
    </row>
    <row r="1232" ht="46" spans="1:24">
      <c r="A1232" s="16" t="s">
        <v>4174</v>
      </c>
      <c r="B1232" s="17" t="s">
        <v>4175</v>
      </c>
      <c r="C1232" s="30" t="s">
        <v>1214</v>
      </c>
      <c r="D1232" s="19" t="e">
        <f>VLOOKUP(C1232,#REF!,2,0)</f>
        <v>#REF!</v>
      </c>
      <c r="E1232" s="20" t="e">
        <f>VLOOKUP(D1232,数据集标准分类!E:F,2,0)</f>
        <v>#REF!</v>
      </c>
      <c r="F1232" s="21">
        <v>41</v>
      </c>
      <c r="G1232" s="22" t="s">
        <v>1177</v>
      </c>
      <c r="H1232" s="22" t="s">
        <v>6118</v>
      </c>
      <c r="I1232" s="22" t="s">
        <v>1180</v>
      </c>
      <c r="J1232" s="22" t="s">
        <v>1178</v>
      </c>
      <c r="K1232" s="22" t="s">
        <v>1180</v>
      </c>
      <c r="L1232" s="22" t="s">
        <v>1215</v>
      </c>
      <c r="M1232" s="16" t="s">
        <v>5593</v>
      </c>
      <c r="N1232" s="16" t="s">
        <v>5595</v>
      </c>
      <c r="O1232" s="23">
        <v>11</v>
      </c>
      <c r="P1232" s="24" t="e">
        <f>VLOOKUP(I1232,#REF!,2,0)</f>
        <v>#REF!</v>
      </c>
      <c r="Q1232" s="25"/>
      <c r="R1232" s="24"/>
      <c r="S1232" s="26"/>
      <c r="T1232" s="24"/>
      <c r="U1232" s="26"/>
      <c r="V1232" s="26"/>
      <c r="W1232" s="27">
        <v>921</v>
      </c>
      <c r="X1232" s="28"/>
    </row>
    <row r="1233" ht="46" spans="1:32">
      <c r="A1233" s="16" t="s">
        <v>4174</v>
      </c>
      <c r="B1233" s="17" t="s">
        <v>4175</v>
      </c>
      <c r="C1233" s="30" t="s">
        <v>1214</v>
      </c>
      <c r="D1233" s="19" t="e">
        <f>VLOOKUP(C1233,#REF!,2,0)</f>
        <v>#REF!</v>
      </c>
      <c r="E1233" s="20" t="e">
        <f>VLOOKUP(D1233,数据集标准分类!E:F,2,0)</f>
        <v>#REF!</v>
      </c>
      <c r="F1233" s="21">
        <v>41</v>
      </c>
      <c r="G1233" s="22" t="s">
        <v>1182</v>
      </c>
      <c r="H1233" s="22" t="s">
        <v>6119</v>
      </c>
      <c r="I1233" s="22" t="s">
        <v>1185</v>
      </c>
      <c r="J1233" s="22" t="s">
        <v>1183</v>
      </c>
      <c r="K1233" s="22" t="s">
        <v>1185</v>
      </c>
      <c r="L1233" s="22" t="s">
        <v>1216</v>
      </c>
      <c r="M1233" s="16" t="s">
        <v>5593</v>
      </c>
      <c r="N1233" s="16" t="s">
        <v>5595</v>
      </c>
      <c r="O1233" s="23">
        <v>12</v>
      </c>
      <c r="P1233" s="24" t="e">
        <f>VLOOKUP(I1233,#REF!,2,0)</f>
        <v>#REF!</v>
      </c>
      <c r="Q1233" s="25"/>
      <c r="R1233" s="24"/>
      <c r="S1233" s="26"/>
      <c r="T1233" s="24"/>
      <c r="U1233" s="26"/>
      <c r="V1233" s="26"/>
      <c r="W1233" s="27">
        <v>922</v>
      </c>
      <c r="X1233" s="28"/>
    </row>
    <row r="1234" ht="46" spans="1:32">
      <c r="A1234" s="16" t="s">
        <v>4174</v>
      </c>
      <c r="B1234" s="17" t="s">
        <v>4175</v>
      </c>
      <c r="C1234" s="30" t="s">
        <v>1214</v>
      </c>
      <c r="D1234" s="19" t="e">
        <f>VLOOKUP(C1234,#REF!,2,0)</f>
        <v>#REF!</v>
      </c>
      <c r="E1234" s="20" t="e">
        <f>VLOOKUP(D1234,数据集标准分类!E:F,2,0)</f>
        <v>#REF!</v>
      </c>
      <c r="F1234" s="21">
        <v>41</v>
      </c>
      <c r="G1234" s="22" t="s">
        <v>1187</v>
      </c>
      <c r="H1234" s="22" t="s">
        <v>6120</v>
      </c>
      <c r="I1234" s="22" t="s">
        <v>1190</v>
      </c>
      <c r="J1234" s="22" t="s">
        <v>1188</v>
      </c>
      <c r="K1234" s="22" t="s">
        <v>1190</v>
      </c>
      <c r="L1234" s="22" t="s">
        <v>1217</v>
      </c>
      <c r="M1234" s="16" t="s">
        <v>5593</v>
      </c>
      <c r="N1234" s="16" t="s">
        <v>5595</v>
      </c>
      <c r="O1234" s="23">
        <v>13</v>
      </c>
      <c r="P1234" s="24" t="e">
        <f>VLOOKUP(I1234,#REF!,2,0)</f>
        <v>#REF!</v>
      </c>
      <c r="Q1234" s="25"/>
      <c r="R1234" s="24"/>
      <c r="S1234" s="26"/>
      <c r="T1234" s="24"/>
      <c r="U1234" s="26"/>
      <c r="V1234" s="26"/>
      <c r="W1234" s="27">
        <v>923</v>
      </c>
      <c r="X1234" s="28"/>
    </row>
    <row r="1235" spans="1:32">
      <c r="A1235" s="16" t="s">
        <v>4174</v>
      </c>
      <c r="B1235" s="17" t="s">
        <v>4175</v>
      </c>
      <c r="C1235" s="30" t="s">
        <v>1214</v>
      </c>
      <c r="D1235" s="19" t="e">
        <f>VLOOKUP(C1235,#REF!,2,0)</f>
        <v>#REF!</v>
      </c>
      <c r="E1235" s="20" t="e">
        <f>VLOOKUP(D1235,数据集标准分类!E:F,2,0)</f>
        <v>#REF!</v>
      </c>
      <c r="F1235" s="21">
        <v>41</v>
      </c>
      <c r="G1235" s="22" t="s">
        <v>1218</v>
      </c>
      <c r="H1235" s="22" t="s">
        <v>6121</v>
      </c>
      <c r="I1235" s="22" t="s">
        <v>1221</v>
      </c>
      <c r="J1235" s="22" t="s">
        <v>1219</v>
      </c>
      <c r="K1235" s="22" t="s">
        <v>1221</v>
      </c>
      <c r="L1235" s="22" t="s">
        <v>1222</v>
      </c>
      <c r="M1235" s="16" t="s">
        <v>5593</v>
      </c>
      <c r="N1235" s="16" t="s">
        <v>5595</v>
      </c>
      <c r="O1235" s="23">
        <v>14</v>
      </c>
      <c r="P1235" s="24" t="e">
        <f>VLOOKUP(I1235,#REF!,2,0)</f>
        <v>#REF!</v>
      </c>
      <c r="Q1235" s="25"/>
      <c r="R1235" s="24"/>
      <c r="S1235" s="26"/>
      <c r="T1235" s="24"/>
      <c r="U1235" s="26"/>
      <c r="V1235" s="26"/>
      <c r="W1235" s="27">
        <v>924</v>
      </c>
      <c r="X1235" s="28"/>
    </row>
    <row r="1236" ht="46" spans="1:32">
      <c r="A1236" s="16" t="s">
        <v>4174</v>
      </c>
      <c r="B1236" s="17" t="s">
        <v>4175</v>
      </c>
      <c r="C1236" s="30" t="s">
        <v>1214</v>
      </c>
      <c r="D1236" s="19" t="e">
        <f>VLOOKUP(C1236,#REF!,2,0)</f>
        <v>#REF!</v>
      </c>
      <c r="E1236" s="20" t="e">
        <f>VLOOKUP(D1236,数据集标准分类!E:F,2,0)</f>
        <v>#REF!</v>
      </c>
      <c r="F1236" s="21">
        <v>41</v>
      </c>
      <c r="G1236" s="22" t="s">
        <v>1083</v>
      </c>
      <c r="H1236" s="22" t="s">
        <v>6108</v>
      </c>
      <c r="I1236" s="22" t="s">
        <v>1086</v>
      </c>
      <c r="J1236" s="22" t="s">
        <v>1084</v>
      </c>
      <c r="K1236" s="22" t="s">
        <v>1086</v>
      </c>
      <c r="L1236" s="22" t="s">
        <v>1223</v>
      </c>
      <c r="M1236" s="16" t="s">
        <v>5593</v>
      </c>
      <c r="N1236" s="16" t="s">
        <v>5595</v>
      </c>
      <c r="O1236" s="23">
        <v>15</v>
      </c>
      <c r="P1236" s="24" t="e">
        <f>VLOOKUP(I1236,#REF!,2,0)</f>
        <v>#REF!</v>
      </c>
      <c r="Q1236" s="25"/>
      <c r="R1236" s="24"/>
      <c r="S1236" s="26"/>
      <c r="T1236" s="24"/>
      <c r="U1236" s="26"/>
      <c r="V1236" s="26"/>
      <c r="W1236" s="27">
        <v>925</v>
      </c>
      <c r="X1236" s="28"/>
    </row>
    <row r="1237" ht="31" spans="1:32">
      <c r="A1237" s="16" t="s">
        <v>4174</v>
      </c>
      <c r="B1237" s="17" t="s">
        <v>4175</v>
      </c>
      <c r="C1237" s="30" t="s">
        <v>1214</v>
      </c>
      <c r="D1237" s="19" t="e">
        <f>VLOOKUP(C1237,#REF!,2,0)</f>
        <v>#REF!</v>
      </c>
      <c r="E1237" s="20" t="e">
        <f>VLOOKUP(D1237,数据集标准分类!E:F,2,0)</f>
        <v>#REF!</v>
      </c>
      <c r="F1237" s="21">
        <v>41</v>
      </c>
      <c r="G1237" s="22" t="s">
        <v>1006</v>
      </c>
      <c r="H1237" s="22" t="s">
        <v>5702</v>
      </c>
      <c r="I1237" s="22" t="s">
        <v>1009</v>
      </c>
      <c r="J1237" s="22" t="s">
        <v>1007</v>
      </c>
      <c r="K1237" s="22" t="s">
        <v>1009</v>
      </c>
      <c r="L1237" s="22" t="s">
        <v>1149</v>
      </c>
      <c r="M1237" s="16" t="s">
        <v>5593</v>
      </c>
      <c r="N1237" s="16" t="s">
        <v>5595</v>
      </c>
      <c r="O1237" s="23">
        <v>16</v>
      </c>
      <c r="P1237" s="24" t="e">
        <f>VLOOKUP(I1237,#REF!,2,0)</f>
        <v>#REF!</v>
      </c>
      <c r="Q1237" s="25"/>
      <c r="R1237" s="24"/>
      <c r="S1237" s="26"/>
      <c r="T1237" s="24"/>
      <c r="U1237" s="26" t="s">
        <v>5593</v>
      </c>
      <c r="V1237" s="26"/>
      <c r="W1237" s="27">
        <v>926</v>
      </c>
      <c r="X1237" s="28"/>
    </row>
    <row r="1238" spans="1:32">
      <c r="A1238" s="16" t="s">
        <v>4174</v>
      </c>
      <c r="B1238" s="17" t="s">
        <v>4175</v>
      </c>
      <c r="C1238" s="30" t="s">
        <v>1214</v>
      </c>
      <c r="D1238" s="19" t="e">
        <f>VLOOKUP(C1238,#REF!,2,0)</f>
        <v>#REF!</v>
      </c>
      <c r="E1238" s="20" t="e">
        <f>VLOOKUP(D1238,数据集标准分类!E:F,2,0)</f>
        <v>#REF!</v>
      </c>
      <c r="F1238" s="21">
        <v>41</v>
      </c>
      <c r="G1238" s="22" t="s">
        <v>1109</v>
      </c>
      <c r="H1238" s="22" t="s">
        <v>6112</v>
      </c>
      <c r="I1238" s="22" t="s">
        <v>6113</v>
      </c>
      <c r="J1238" s="22" t="s">
        <v>1110</v>
      </c>
      <c r="K1238" s="22" t="s">
        <v>1112</v>
      </c>
      <c r="L1238" s="22" t="s">
        <v>1113</v>
      </c>
      <c r="M1238" s="16" t="s">
        <v>5593</v>
      </c>
      <c r="N1238" s="16" t="s">
        <v>5593</v>
      </c>
      <c r="O1238" s="23">
        <v>17</v>
      </c>
      <c r="P1238" s="24" t="e">
        <f>VLOOKUP(I1238,#REF!,2,0)</f>
        <v>#REF!</v>
      </c>
      <c r="Q1238" s="25"/>
      <c r="R1238" s="24"/>
      <c r="S1238" s="26"/>
      <c r="T1238" s="24"/>
      <c r="U1238" s="26" t="s">
        <v>5593</v>
      </c>
      <c r="V1238" s="26"/>
      <c r="W1238" s="27">
        <v>927</v>
      </c>
      <c r="X1238" s="28"/>
    </row>
    <row r="1239" ht="14.4" customHeight="1" spans="1:32">
      <c r="A1239" s="16" t="s">
        <v>4174</v>
      </c>
      <c r="B1239" s="17" t="s">
        <v>4175</v>
      </c>
      <c r="C1239" s="30" t="s">
        <v>1214</v>
      </c>
      <c r="D1239" s="19" t="e">
        <f>VLOOKUP(C1239,#REF!,2,0)</f>
        <v>#REF!</v>
      </c>
      <c r="E1239" s="20" t="e">
        <f>VLOOKUP(D1239,数据集标准分类!E:F,2,0)</f>
        <v>#REF!</v>
      </c>
      <c r="F1239" s="21">
        <v>41</v>
      </c>
      <c r="G1239" s="22" t="s">
        <v>201</v>
      </c>
      <c r="H1239" s="22" t="s">
        <v>5646</v>
      </c>
      <c r="I1239" s="22" t="s">
        <v>5647</v>
      </c>
      <c r="J1239" s="22" t="s">
        <v>202</v>
      </c>
      <c r="K1239" s="22" t="s">
        <v>204</v>
      </c>
      <c r="L1239" s="22" t="s">
        <v>1114</v>
      </c>
      <c r="M1239" s="16" t="s">
        <v>5593</v>
      </c>
      <c r="N1239" s="16" t="s">
        <v>5593</v>
      </c>
      <c r="O1239" s="23">
        <v>18</v>
      </c>
      <c r="P1239" s="24" t="e">
        <f>VLOOKUP(I1239,#REF!,2,0)</f>
        <v>#REF!</v>
      </c>
      <c r="Q1239" s="25"/>
      <c r="R1239" s="24"/>
      <c r="S1239" s="26"/>
      <c r="T1239" s="24"/>
      <c r="U1239" s="26"/>
      <c r="V1239" s="26"/>
      <c r="W1239" s="27">
        <v>928</v>
      </c>
      <c r="X1239" s="28"/>
    </row>
    <row r="1240" ht="31" spans="1:32">
      <c r="A1240" s="16" t="s">
        <v>4174</v>
      </c>
      <c r="B1240" s="17" t="s">
        <v>4175</v>
      </c>
      <c r="C1240" s="30" t="s">
        <v>1214</v>
      </c>
      <c r="D1240" s="19" t="e">
        <f>VLOOKUP(C1240,#REF!,2,0)</f>
        <v>#REF!</v>
      </c>
      <c r="E1240" s="20" t="e">
        <f>VLOOKUP(D1240,数据集标准分类!E:F,2,0)</f>
        <v>#REF!</v>
      </c>
      <c r="F1240" s="21">
        <v>41</v>
      </c>
      <c r="G1240" s="22" t="s">
        <v>1192</v>
      </c>
      <c r="H1240" s="22" t="s">
        <v>5638</v>
      </c>
      <c r="I1240" s="22" t="s">
        <v>1195</v>
      </c>
      <c r="J1240" s="22" t="s">
        <v>1193</v>
      </c>
      <c r="K1240" s="22" t="s">
        <v>1195</v>
      </c>
      <c r="L1240" s="22" t="s">
        <v>1196</v>
      </c>
      <c r="M1240" s="16" t="s">
        <v>5593</v>
      </c>
      <c r="N1240" s="16" t="s">
        <v>5595</v>
      </c>
      <c r="O1240" s="23">
        <v>19</v>
      </c>
      <c r="P1240" s="24" t="e">
        <f>VLOOKUP(I1240,#REF!,2,0)</f>
        <v>#REF!</v>
      </c>
      <c r="Q1240" s="25"/>
      <c r="R1240" s="24"/>
      <c r="S1240" s="26"/>
      <c r="T1240" s="24"/>
      <c r="U1240" s="26"/>
      <c r="V1240" s="26"/>
      <c r="W1240" s="27">
        <v>929</v>
      </c>
      <c r="X1240" s="28"/>
    </row>
    <row r="1241" ht="31" spans="1:32">
      <c r="A1241" s="16" t="s">
        <v>4174</v>
      </c>
      <c r="B1241" s="17" t="s">
        <v>4175</v>
      </c>
      <c r="C1241" s="30" t="s">
        <v>1224</v>
      </c>
      <c r="D1241" s="19" t="e">
        <f>VLOOKUP(C1241,#REF!,2,0)</f>
        <v>#REF!</v>
      </c>
      <c r="E1241" s="20" t="e">
        <f>VLOOKUP(D1241,数据集标准分类!E:F,2,0)</f>
        <v>#REF!</v>
      </c>
      <c r="F1241" s="21">
        <v>42</v>
      </c>
      <c r="G1241" s="22" t="s">
        <v>569</v>
      </c>
      <c r="H1241" s="22" t="s">
        <v>570</v>
      </c>
      <c r="I1241" s="22" t="s">
        <v>572</v>
      </c>
      <c r="J1241" s="22" t="s">
        <v>570</v>
      </c>
      <c r="K1241" s="22" t="s">
        <v>572</v>
      </c>
      <c r="L1241" s="22" t="s">
        <v>1225</v>
      </c>
      <c r="M1241" s="16" t="s">
        <v>5595</v>
      </c>
      <c r="N1241" s="16" t="s">
        <v>5595</v>
      </c>
      <c r="O1241" s="23">
        <v>1</v>
      </c>
      <c r="P1241" s="24" t="e">
        <f>VLOOKUP(I1241,#REF!,2,0)</f>
        <v>#REF!</v>
      </c>
      <c r="Q1241" s="25"/>
      <c r="R1241" s="24"/>
      <c r="S1241" s="26"/>
      <c r="T1241" s="24"/>
      <c r="U1241" s="26"/>
      <c r="V1241" s="26"/>
      <c r="W1241" s="27">
        <v>930</v>
      </c>
      <c r="X1241" s="28"/>
    </row>
    <row r="1242" ht="46" spans="1:32">
      <c r="A1242" s="16" t="s">
        <v>4174</v>
      </c>
      <c r="B1242" s="17" t="s">
        <v>4175</v>
      </c>
      <c r="C1242" s="30" t="s">
        <v>1224</v>
      </c>
      <c r="D1242" s="19" t="e">
        <f>VLOOKUP(C1242,#REF!,2,0)</f>
        <v>#REF!</v>
      </c>
      <c r="E1242" s="20" t="e">
        <f>VLOOKUP(D1242,数据集标准分类!E:F,2,0)</f>
        <v>#REF!</v>
      </c>
      <c r="F1242" s="21">
        <v>42</v>
      </c>
      <c r="G1242" s="22" t="s">
        <v>152</v>
      </c>
      <c r="H1242" s="22" t="s">
        <v>5905</v>
      </c>
      <c r="I1242" s="22" t="s">
        <v>5906</v>
      </c>
      <c r="J1242" s="22" t="s">
        <v>153</v>
      </c>
      <c r="K1242" s="22" t="s">
        <v>155</v>
      </c>
      <c r="L1242" s="22" t="s">
        <v>156</v>
      </c>
      <c r="M1242" s="16" t="s">
        <v>5593</v>
      </c>
      <c r="N1242" s="16" t="s">
        <v>5593</v>
      </c>
      <c r="O1242" s="23">
        <v>2</v>
      </c>
      <c r="P1242" s="24" t="e">
        <f>VLOOKUP(I1242,#REF!,2,0)</f>
        <v>#REF!</v>
      </c>
      <c r="Q1242" s="25"/>
      <c r="R1242" s="24"/>
      <c r="S1242" s="26"/>
      <c r="T1242" s="24"/>
      <c r="U1242" s="26"/>
      <c r="V1242" s="26"/>
      <c r="W1242" s="27">
        <v>931</v>
      </c>
      <c r="X1242" s="28"/>
    </row>
    <row r="1243" ht="31" spans="1:32">
      <c r="A1243" s="16" t="s">
        <v>4174</v>
      </c>
      <c r="B1243" s="17" t="s">
        <v>4175</v>
      </c>
      <c r="C1243" s="30" t="s">
        <v>1224</v>
      </c>
      <c r="D1243" s="19" t="e">
        <f>VLOOKUP(C1243,#REF!,2,0)</f>
        <v>#REF!</v>
      </c>
      <c r="E1243" s="20" t="e">
        <f>VLOOKUP(D1243,数据集标准分类!E:F,2,0)</f>
        <v>#REF!</v>
      </c>
      <c r="F1243" s="21">
        <v>42</v>
      </c>
      <c r="G1243" s="22" t="s">
        <v>1226</v>
      </c>
      <c r="H1243" s="22" t="s">
        <v>6122</v>
      </c>
      <c r="I1243" s="22" t="s">
        <v>6123</v>
      </c>
      <c r="J1243" s="22" t="s">
        <v>1227</v>
      </c>
      <c r="K1243" s="22" t="s">
        <v>1229</v>
      </c>
      <c r="L1243" s="22" t="s">
        <v>1230</v>
      </c>
      <c r="M1243" s="16" t="s">
        <v>5593</v>
      </c>
      <c r="N1243" s="16" t="s">
        <v>5593</v>
      </c>
      <c r="O1243" s="23">
        <v>3</v>
      </c>
      <c r="P1243" s="24" t="e">
        <f>VLOOKUP(I1243,#REF!,2,0)</f>
        <v>#REF!</v>
      </c>
      <c r="Q1243" s="47"/>
      <c r="R1243" s="24"/>
      <c r="S1243" s="48"/>
      <c r="T1243" s="24"/>
      <c r="U1243" s="48"/>
      <c r="V1243" s="48"/>
      <c r="W1243" s="27">
        <v>932</v>
      </c>
      <c r="X1243" s="28"/>
      <c r="Y1243" s="5"/>
      <c r="Z1243" s="5"/>
      <c r="AA1243" s="5"/>
      <c r="AB1243" s="5"/>
      <c r="AC1243" s="5"/>
      <c r="AD1243" s="5"/>
      <c r="AE1243" s="5"/>
      <c r="AF1243" s="5"/>
    </row>
    <row r="1244" ht="61" spans="1:32">
      <c r="A1244" s="16" t="s">
        <v>4174</v>
      </c>
      <c r="B1244" s="17" t="s">
        <v>4175</v>
      </c>
      <c r="C1244" s="30" t="s">
        <v>1224</v>
      </c>
      <c r="D1244" s="19" t="e">
        <f>VLOOKUP(C1244,#REF!,2,0)</f>
        <v>#REF!</v>
      </c>
      <c r="E1244" s="20" t="e">
        <f>VLOOKUP(D1244,数据集标准分类!E:F,2,0)</f>
        <v>#REF!</v>
      </c>
      <c r="F1244" s="21">
        <v>42</v>
      </c>
      <c r="G1244" s="22" t="s">
        <v>663</v>
      </c>
      <c r="H1244" s="22" t="s">
        <v>664</v>
      </c>
      <c r="I1244" s="22" t="s">
        <v>666</v>
      </c>
      <c r="J1244" s="22" t="s">
        <v>664</v>
      </c>
      <c r="K1244" s="22" t="s">
        <v>666</v>
      </c>
      <c r="L1244" s="22" t="s">
        <v>667</v>
      </c>
      <c r="M1244" s="16" t="s">
        <v>5595</v>
      </c>
      <c r="N1244" s="16" t="s">
        <v>5595</v>
      </c>
      <c r="O1244" s="23">
        <v>4</v>
      </c>
      <c r="P1244" s="24" t="e">
        <f>VLOOKUP(I1244,#REF!,2,0)</f>
        <v>#REF!</v>
      </c>
      <c r="Q1244" s="25"/>
      <c r="R1244" s="24"/>
      <c r="S1244" s="26"/>
      <c r="T1244" s="24"/>
      <c r="U1244" s="26"/>
      <c r="V1244" s="26"/>
      <c r="W1244" s="27">
        <v>933</v>
      </c>
      <c r="X1244" s="28"/>
    </row>
    <row r="1245" spans="1:32">
      <c r="A1245" s="16" t="s">
        <v>4174</v>
      </c>
      <c r="B1245" s="17" t="s">
        <v>4175</v>
      </c>
      <c r="C1245" s="30" t="s">
        <v>1224</v>
      </c>
      <c r="D1245" s="19" t="e">
        <f>VLOOKUP(C1245,#REF!,2,0)</f>
        <v>#REF!</v>
      </c>
      <c r="E1245" s="20" t="e">
        <f>VLOOKUP(D1245,数据集标准分类!E:F,2,0)</f>
        <v>#REF!</v>
      </c>
      <c r="F1245" s="21">
        <v>42</v>
      </c>
      <c r="G1245" s="22" t="s">
        <v>924</v>
      </c>
      <c r="H1245" s="22" t="s">
        <v>6084</v>
      </c>
      <c r="I1245" s="22" t="s">
        <v>927</v>
      </c>
      <c r="J1245" s="22" t="s">
        <v>925</v>
      </c>
      <c r="K1245" s="22" t="s">
        <v>927</v>
      </c>
      <c r="L1245" s="22" t="s">
        <v>928</v>
      </c>
      <c r="M1245" s="16" t="s">
        <v>5593</v>
      </c>
      <c r="N1245" s="16" t="s">
        <v>5595</v>
      </c>
      <c r="O1245" s="23">
        <v>5</v>
      </c>
      <c r="P1245" s="24" t="e">
        <f>VLOOKUP(I1245,#REF!,2,0)</f>
        <v>#REF!</v>
      </c>
      <c r="Q1245" s="25"/>
      <c r="R1245" s="24"/>
      <c r="S1245" s="26"/>
      <c r="T1245" s="24"/>
      <c r="U1245" s="26"/>
      <c r="V1245" s="26"/>
      <c r="W1245" s="27">
        <v>934</v>
      </c>
      <c r="X1245" s="28"/>
    </row>
    <row r="1246" ht="46" spans="1:32">
      <c r="A1246" s="16" t="s">
        <v>4174</v>
      </c>
      <c r="B1246" s="17" t="s">
        <v>4175</v>
      </c>
      <c r="C1246" s="30" t="s">
        <v>1224</v>
      </c>
      <c r="D1246" s="19" t="e">
        <f>VLOOKUP(C1246,#REF!,2,0)</f>
        <v>#REF!</v>
      </c>
      <c r="E1246" s="20" t="e">
        <f>VLOOKUP(D1246,数据集标准分类!E:F,2,0)</f>
        <v>#REF!</v>
      </c>
      <c r="F1246" s="21">
        <v>42</v>
      </c>
      <c r="G1246" s="22" t="s">
        <v>784</v>
      </c>
      <c r="H1246" s="22" t="s">
        <v>785</v>
      </c>
      <c r="I1246" s="22" t="s">
        <v>787</v>
      </c>
      <c r="J1246" s="22" t="s">
        <v>785</v>
      </c>
      <c r="K1246" s="22" t="s">
        <v>787</v>
      </c>
      <c r="L1246" s="22" t="s">
        <v>788</v>
      </c>
      <c r="M1246" s="16" t="s">
        <v>5595</v>
      </c>
      <c r="N1246" s="16" t="s">
        <v>5595</v>
      </c>
      <c r="O1246" s="23">
        <v>6</v>
      </c>
      <c r="P1246" s="24" t="e">
        <f>VLOOKUP(I1246,#REF!,2,0)</f>
        <v>#REF!</v>
      </c>
      <c r="Q1246" s="25"/>
      <c r="R1246" s="24"/>
      <c r="S1246" s="26"/>
      <c r="T1246" s="24"/>
      <c r="U1246" s="26"/>
      <c r="V1246" s="26"/>
      <c r="W1246" s="27">
        <v>935</v>
      </c>
      <c r="X1246" s="28"/>
    </row>
    <row r="1247" ht="46" spans="1:32">
      <c r="A1247" s="16" t="s">
        <v>4174</v>
      </c>
      <c r="B1247" s="17" t="s">
        <v>4175</v>
      </c>
      <c r="C1247" s="30" t="s">
        <v>1224</v>
      </c>
      <c r="D1247" s="19" t="e">
        <f>VLOOKUP(C1247,#REF!,2,0)</f>
        <v>#REF!</v>
      </c>
      <c r="E1247" s="20" t="e">
        <f>VLOOKUP(D1247,数据集标准分类!E:F,2,0)</f>
        <v>#REF!</v>
      </c>
      <c r="F1247" s="21">
        <v>42</v>
      </c>
      <c r="G1247" s="22" t="s">
        <v>943</v>
      </c>
      <c r="H1247" s="22" t="s">
        <v>5932</v>
      </c>
      <c r="I1247" s="22" t="s">
        <v>946</v>
      </c>
      <c r="J1247" s="22" t="s">
        <v>944</v>
      </c>
      <c r="K1247" s="22" t="s">
        <v>946</v>
      </c>
      <c r="L1247" s="22" t="s">
        <v>947</v>
      </c>
      <c r="M1247" s="16" t="s">
        <v>5593</v>
      </c>
      <c r="N1247" s="16" t="s">
        <v>5595</v>
      </c>
      <c r="O1247" s="23">
        <v>7</v>
      </c>
      <c r="P1247" s="24" t="e">
        <f>VLOOKUP(I1247,#REF!,2,0)</f>
        <v>#REF!</v>
      </c>
      <c r="Q1247" s="25"/>
      <c r="R1247" s="24"/>
      <c r="S1247" s="26"/>
      <c r="T1247" s="24"/>
      <c r="U1247" s="26"/>
      <c r="V1247" s="26"/>
      <c r="W1247" s="27">
        <v>936</v>
      </c>
      <c r="X1247" s="28"/>
    </row>
    <row r="1248" ht="46" spans="1:32">
      <c r="A1248" s="16" t="s">
        <v>4174</v>
      </c>
      <c r="B1248" s="17" t="s">
        <v>4175</v>
      </c>
      <c r="C1248" s="30" t="s">
        <v>1224</v>
      </c>
      <c r="D1248" s="19" t="e">
        <f>VLOOKUP(C1248,#REF!,2,0)</f>
        <v>#REF!</v>
      </c>
      <c r="E1248" s="20" t="e">
        <f>VLOOKUP(D1248,数据集标准分类!E:F,2,0)</f>
        <v>#REF!</v>
      </c>
      <c r="F1248" s="21">
        <v>42</v>
      </c>
      <c r="G1248" s="22" t="s">
        <v>952</v>
      </c>
      <c r="H1248" s="22" t="s">
        <v>6087</v>
      </c>
      <c r="I1248" s="22" t="s">
        <v>955</v>
      </c>
      <c r="J1248" s="22" t="s">
        <v>953</v>
      </c>
      <c r="K1248" s="22" t="s">
        <v>955</v>
      </c>
      <c r="L1248" s="22" t="s">
        <v>956</v>
      </c>
      <c r="M1248" s="16" t="s">
        <v>5593</v>
      </c>
      <c r="N1248" s="16" t="s">
        <v>5595</v>
      </c>
      <c r="O1248" s="23">
        <v>8</v>
      </c>
      <c r="P1248" s="24" t="e">
        <f>VLOOKUP(I1248,#REF!,2,0)</f>
        <v>#REF!</v>
      </c>
      <c r="Q1248" s="25"/>
      <c r="R1248" s="24"/>
      <c r="S1248" s="26"/>
      <c r="T1248" s="24"/>
      <c r="U1248" s="26"/>
      <c r="V1248" s="26"/>
      <c r="W1248" s="27">
        <v>937</v>
      </c>
      <c r="X1248" s="28"/>
    </row>
    <row r="1249" ht="46" spans="1:32">
      <c r="A1249" s="16" t="s">
        <v>4174</v>
      </c>
      <c r="B1249" s="17" t="s">
        <v>4175</v>
      </c>
      <c r="C1249" s="30" t="s">
        <v>1224</v>
      </c>
      <c r="D1249" s="19" t="e">
        <f>VLOOKUP(C1249,#REF!,2,0)</f>
        <v>#REF!</v>
      </c>
      <c r="E1249" s="20" t="e">
        <f>VLOOKUP(D1249,数据集标准分类!E:F,2,0)</f>
        <v>#REF!</v>
      </c>
      <c r="F1249" s="21">
        <v>42</v>
      </c>
      <c r="G1249" s="22" t="s">
        <v>961</v>
      </c>
      <c r="H1249" s="22" t="s">
        <v>6089</v>
      </c>
      <c r="I1249" s="22" t="s">
        <v>964</v>
      </c>
      <c r="J1249" s="22" t="s">
        <v>962</v>
      </c>
      <c r="K1249" s="22" t="s">
        <v>964</v>
      </c>
      <c r="L1249" s="22" t="s">
        <v>965</v>
      </c>
      <c r="M1249" s="16" t="s">
        <v>5593</v>
      </c>
      <c r="N1249" s="16" t="s">
        <v>5595</v>
      </c>
      <c r="O1249" s="23">
        <v>9</v>
      </c>
      <c r="P1249" s="24" t="e">
        <f>VLOOKUP(I1249,#REF!,2,0)</f>
        <v>#REF!</v>
      </c>
      <c r="Q1249" s="25"/>
      <c r="R1249" s="24"/>
      <c r="S1249" s="26"/>
      <c r="T1249" s="24"/>
      <c r="U1249" s="26"/>
      <c r="V1249" s="26"/>
      <c r="W1249" s="27">
        <v>938</v>
      </c>
      <c r="X1249" s="28"/>
    </row>
    <row r="1250" ht="31" spans="1:32">
      <c r="A1250" s="16" t="s">
        <v>4174</v>
      </c>
      <c r="B1250" s="17" t="s">
        <v>4175</v>
      </c>
      <c r="C1250" s="30" t="s">
        <v>1224</v>
      </c>
      <c r="D1250" s="19" t="e">
        <f>VLOOKUP(C1250,#REF!,2,0)</f>
        <v>#REF!</v>
      </c>
      <c r="E1250" s="20" t="e">
        <f>VLOOKUP(D1250,数据集标准分类!E:F,2,0)</f>
        <v>#REF!</v>
      </c>
      <c r="F1250" s="21">
        <v>42</v>
      </c>
      <c r="G1250" s="22" t="s">
        <v>789</v>
      </c>
      <c r="H1250" s="22" t="s">
        <v>790</v>
      </c>
      <c r="I1250" s="22" t="s">
        <v>791</v>
      </c>
      <c r="J1250" s="22" t="s">
        <v>790</v>
      </c>
      <c r="K1250" s="22" t="s">
        <v>791</v>
      </c>
      <c r="L1250" s="22" t="s">
        <v>792</v>
      </c>
      <c r="M1250" s="16" t="s">
        <v>5595</v>
      </c>
      <c r="N1250" s="16" t="s">
        <v>5595</v>
      </c>
      <c r="O1250" s="23">
        <v>10</v>
      </c>
      <c r="P1250" s="24" t="e">
        <f>VLOOKUP(I1250,#REF!,2,0)</f>
        <v>#REF!</v>
      </c>
      <c r="Q1250" s="25"/>
      <c r="R1250" s="24"/>
      <c r="S1250" s="26"/>
      <c r="T1250" s="24"/>
      <c r="U1250" s="26"/>
      <c r="V1250" s="26"/>
      <c r="W1250" s="27">
        <v>939</v>
      </c>
      <c r="X1250" s="28"/>
    </row>
    <row r="1251" spans="1:32">
      <c r="A1251" s="16" t="s">
        <v>4174</v>
      </c>
      <c r="B1251" s="17" t="s">
        <v>4175</v>
      </c>
      <c r="C1251" s="30" t="s">
        <v>1224</v>
      </c>
      <c r="D1251" s="19" t="e">
        <f>VLOOKUP(C1251,#REF!,2,0)</f>
        <v>#REF!</v>
      </c>
      <c r="E1251" s="20" t="e">
        <f>VLOOKUP(D1251,数据集标准分类!E:F,2,0)</f>
        <v>#REF!</v>
      </c>
      <c r="F1251" s="21">
        <v>42</v>
      </c>
      <c r="G1251" s="22" t="s">
        <v>1109</v>
      </c>
      <c r="H1251" s="22" t="s">
        <v>6112</v>
      </c>
      <c r="I1251" s="22" t="s">
        <v>6113</v>
      </c>
      <c r="J1251" s="22" t="s">
        <v>1110</v>
      </c>
      <c r="K1251" s="22" t="s">
        <v>1112</v>
      </c>
      <c r="L1251" s="22" t="s">
        <v>1113</v>
      </c>
      <c r="M1251" s="16" t="s">
        <v>5593</v>
      </c>
      <c r="N1251" s="16" t="s">
        <v>5593</v>
      </c>
      <c r="O1251" s="23">
        <v>11</v>
      </c>
      <c r="P1251" s="24" t="e">
        <f>VLOOKUP(I1251,#REF!,2,0)</f>
        <v>#REF!</v>
      </c>
      <c r="Q1251" s="25"/>
      <c r="R1251" s="24"/>
      <c r="S1251" s="26"/>
      <c r="T1251" s="24"/>
      <c r="U1251" s="26"/>
      <c r="V1251" s="26"/>
      <c r="W1251" s="27">
        <v>940</v>
      </c>
      <c r="X1251" s="28"/>
    </row>
    <row r="1252" spans="1:32">
      <c r="A1252" s="16" t="s">
        <v>4174</v>
      </c>
      <c r="B1252" s="17" t="s">
        <v>4175</v>
      </c>
      <c r="C1252" s="30" t="s">
        <v>1224</v>
      </c>
      <c r="D1252" s="19" t="e">
        <f>VLOOKUP(C1252,#REF!,2,0)</f>
        <v>#REF!</v>
      </c>
      <c r="E1252" s="20" t="e">
        <f>VLOOKUP(D1252,数据集标准分类!E:F,2,0)</f>
        <v>#REF!</v>
      </c>
      <c r="F1252" s="21">
        <v>42</v>
      </c>
      <c r="G1252" s="22" t="s">
        <v>201</v>
      </c>
      <c r="H1252" s="22" t="s">
        <v>5646</v>
      </c>
      <c r="I1252" s="22" t="s">
        <v>5647</v>
      </c>
      <c r="J1252" s="22" t="s">
        <v>202</v>
      </c>
      <c r="K1252" s="22" t="s">
        <v>204</v>
      </c>
      <c r="L1252" s="22" t="s">
        <v>1114</v>
      </c>
      <c r="M1252" s="16" t="s">
        <v>5593</v>
      </c>
      <c r="N1252" s="16" t="s">
        <v>5593</v>
      </c>
      <c r="O1252" s="23">
        <v>12</v>
      </c>
      <c r="P1252" s="24" t="e">
        <f>VLOOKUP(I1252,#REF!,2,0)</f>
        <v>#REF!</v>
      </c>
      <c r="Q1252" s="25"/>
      <c r="R1252" s="24"/>
      <c r="S1252" s="26"/>
      <c r="T1252" s="24"/>
      <c r="U1252" s="26"/>
      <c r="V1252" s="26"/>
      <c r="W1252" s="27">
        <v>941</v>
      </c>
      <c r="X1252" s="28"/>
    </row>
    <row r="1253" ht="46" spans="1:32">
      <c r="A1253" s="16" t="s">
        <v>4174</v>
      </c>
      <c r="B1253" s="17" t="s">
        <v>4175</v>
      </c>
      <c r="C1253" s="30" t="s">
        <v>1224</v>
      </c>
      <c r="D1253" s="19" t="e">
        <f>VLOOKUP(C1253,#REF!,2,0)</f>
        <v>#REF!</v>
      </c>
      <c r="E1253" s="20" t="e">
        <f>VLOOKUP(D1253,数据集标准分类!E:F,2,0)</f>
        <v>#REF!</v>
      </c>
      <c r="F1253" s="21">
        <v>42</v>
      </c>
      <c r="G1253" s="22" t="s">
        <v>1006</v>
      </c>
      <c r="H1253" s="63" t="s">
        <v>6124</v>
      </c>
      <c r="I1253" s="22" t="s">
        <v>1009</v>
      </c>
      <c r="J1253" s="22" t="s">
        <v>1007</v>
      </c>
      <c r="K1253" s="22" t="s">
        <v>1009</v>
      </c>
      <c r="L1253" s="22" t="s">
        <v>1107</v>
      </c>
      <c r="M1253" s="16" t="s">
        <v>5593</v>
      </c>
      <c r="N1253" s="16" t="s">
        <v>5595</v>
      </c>
      <c r="O1253" s="23">
        <v>13</v>
      </c>
      <c r="P1253" s="24" t="e">
        <f>VLOOKUP(I1253,#REF!,2,0)</f>
        <v>#REF!</v>
      </c>
      <c r="Q1253" s="25"/>
      <c r="R1253" s="24"/>
      <c r="S1253" s="26"/>
      <c r="T1253" s="24"/>
      <c r="U1253" s="26"/>
      <c r="V1253" s="26"/>
      <c r="W1253" s="27">
        <v>942</v>
      </c>
      <c r="X1253" s="28"/>
    </row>
    <row r="1254" spans="1:32">
      <c r="A1254" s="16" t="s">
        <v>4174</v>
      </c>
      <c r="B1254" s="17" t="s">
        <v>4175</v>
      </c>
      <c r="C1254" s="30" t="s">
        <v>1224</v>
      </c>
      <c r="D1254" s="19" t="e">
        <f>VLOOKUP(C1254,#REF!,2,0)</f>
        <v>#REF!</v>
      </c>
      <c r="E1254" s="20" t="e">
        <f>VLOOKUP(D1254,数据集标准分类!E:F,2,0)</f>
        <v>#REF!</v>
      </c>
      <c r="F1254" s="21">
        <v>42</v>
      </c>
      <c r="G1254" s="22" t="s">
        <v>966</v>
      </c>
      <c r="H1254" s="22" t="s">
        <v>5715</v>
      </c>
      <c r="I1254" s="22" t="s">
        <v>969</v>
      </c>
      <c r="J1254" s="22" t="s">
        <v>967</v>
      </c>
      <c r="K1254" s="22" t="s">
        <v>969</v>
      </c>
      <c r="L1254" s="22" t="s">
        <v>970</v>
      </c>
      <c r="M1254" s="16" t="s">
        <v>5593</v>
      </c>
      <c r="N1254" s="16" t="s">
        <v>5595</v>
      </c>
      <c r="O1254" s="23">
        <v>14</v>
      </c>
      <c r="P1254" s="24" t="e">
        <f>VLOOKUP(I1254,#REF!,2,0)</f>
        <v>#REF!</v>
      </c>
      <c r="Q1254" s="25"/>
      <c r="R1254" s="24"/>
      <c r="S1254" s="26"/>
      <c r="T1254" s="24"/>
      <c r="U1254" s="26"/>
      <c r="V1254" s="26"/>
      <c r="W1254" s="27">
        <v>943</v>
      </c>
      <c r="X1254" s="28"/>
    </row>
    <row r="1255" spans="1:32">
      <c r="A1255" s="16" t="s">
        <v>4174</v>
      </c>
      <c r="B1255" s="17" t="s">
        <v>4175</v>
      </c>
      <c r="C1255" s="30" t="s">
        <v>1224</v>
      </c>
      <c r="D1255" s="19" t="e">
        <f>VLOOKUP(C1255,#REF!,2,0)</f>
        <v>#REF!</v>
      </c>
      <c r="E1255" s="20" t="e">
        <f>VLOOKUP(D1255,数据集标准分类!E:F,2,0)</f>
        <v>#REF!</v>
      </c>
      <c r="F1255" s="21">
        <v>42</v>
      </c>
      <c r="G1255" s="22" t="s">
        <v>1172</v>
      </c>
      <c r="H1255" s="22" t="s">
        <v>6117</v>
      </c>
      <c r="I1255" s="22" t="s">
        <v>1175</v>
      </c>
      <c r="J1255" s="22" t="s">
        <v>1173</v>
      </c>
      <c r="K1255" s="22" t="s">
        <v>1175</v>
      </c>
      <c r="L1255" s="22" t="s">
        <v>1176</v>
      </c>
      <c r="M1255" s="16" t="s">
        <v>5593</v>
      </c>
      <c r="N1255" s="16" t="s">
        <v>5595</v>
      </c>
      <c r="O1255" s="23">
        <v>15</v>
      </c>
      <c r="P1255" s="24" t="e">
        <f>VLOOKUP(I1255,#REF!,2,0)</f>
        <v>#REF!</v>
      </c>
      <c r="Q1255" s="25"/>
      <c r="R1255" s="24"/>
      <c r="S1255" s="26"/>
      <c r="T1255" s="24"/>
      <c r="U1255" s="26"/>
      <c r="V1255" s="26"/>
      <c r="W1255" s="27">
        <v>944</v>
      </c>
      <c r="X1255" s="28"/>
    </row>
    <row r="1256" ht="46" spans="1:32">
      <c r="A1256" s="16" t="s">
        <v>4174</v>
      </c>
      <c r="B1256" s="17" t="s">
        <v>4175</v>
      </c>
      <c r="C1256" s="30" t="s">
        <v>1224</v>
      </c>
      <c r="D1256" s="19" t="e">
        <f>VLOOKUP(C1256,#REF!,2,0)</f>
        <v>#REF!</v>
      </c>
      <c r="E1256" s="20" t="e">
        <f>VLOOKUP(D1256,数据集标准分类!E:F,2,0)</f>
        <v>#REF!</v>
      </c>
      <c r="F1256" s="21">
        <v>42</v>
      </c>
      <c r="G1256" s="22" t="s">
        <v>1177</v>
      </c>
      <c r="H1256" s="22" t="s">
        <v>6118</v>
      </c>
      <c r="I1256" s="22" t="s">
        <v>1180</v>
      </c>
      <c r="J1256" s="22" t="s">
        <v>1178</v>
      </c>
      <c r="K1256" s="22" t="s">
        <v>1180</v>
      </c>
      <c r="L1256" s="22" t="s">
        <v>1231</v>
      </c>
      <c r="M1256" s="16" t="s">
        <v>5593</v>
      </c>
      <c r="N1256" s="16" t="s">
        <v>5595</v>
      </c>
      <c r="O1256" s="23">
        <v>16</v>
      </c>
      <c r="P1256" s="24" t="e">
        <f>VLOOKUP(I1256,#REF!,2,0)</f>
        <v>#REF!</v>
      </c>
      <c r="Q1256" s="25"/>
      <c r="R1256" s="24"/>
      <c r="S1256" s="26"/>
      <c r="T1256" s="24"/>
      <c r="U1256" s="26"/>
      <c r="V1256" s="26"/>
      <c r="W1256" s="27">
        <v>945</v>
      </c>
      <c r="X1256" s="28"/>
    </row>
    <row r="1257" ht="46" spans="1:32">
      <c r="A1257" s="16" t="s">
        <v>4174</v>
      </c>
      <c r="B1257" s="17" t="s">
        <v>4175</v>
      </c>
      <c r="C1257" s="30" t="s">
        <v>1224</v>
      </c>
      <c r="D1257" s="19" t="e">
        <f>VLOOKUP(C1257,#REF!,2,0)</f>
        <v>#REF!</v>
      </c>
      <c r="E1257" s="20" t="e">
        <f>VLOOKUP(D1257,数据集标准分类!E:F,2,0)</f>
        <v>#REF!</v>
      </c>
      <c r="F1257" s="21">
        <v>42</v>
      </c>
      <c r="G1257" s="22" t="s">
        <v>1182</v>
      </c>
      <c r="H1257" s="22" t="s">
        <v>6119</v>
      </c>
      <c r="I1257" s="22" t="s">
        <v>1185</v>
      </c>
      <c r="J1257" s="22" t="s">
        <v>1183</v>
      </c>
      <c r="K1257" s="22" t="s">
        <v>1185</v>
      </c>
      <c r="L1257" s="22" t="s">
        <v>1232</v>
      </c>
      <c r="M1257" s="16" t="s">
        <v>5593</v>
      </c>
      <c r="N1257" s="16" t="s">
        <v>5595</v>
      </c>
      <c r="O1257" s="23">
        <v>17</v>
      </c>
      <c r="P1257" s="24" t="e">
        <f>VLOOKUP(I1257,#REF!,2,0)</f>
        <v>#REF!</v>
      </c>
      <c r="Q1257" s="25"/>
      <c r="R1257" s="24"/>
      <c r="S1257" s="26"/>
      <c r="T1257" s="24"/>
      <c r="U1257" s="26"/>
      <c r="V1257" s="26"/>
      <c r="W1257" s="27">
        <v>946</v>
      </c>
      <c r="X1257" s="28"/>
    </row>
    <row r="1258" ht="36" customHeight="1" spans="1:32">
      <c r="A1258" s="16" t="s">
        <v>4174</v>
      </c>
      <c r="B1258" s="17" t="s">
        <v>4175</v>
      </c>
      <c r="C1258" s="30" t="s">
        <v>1224</v>
      </c>
      <c r="D1258" s="19" t="e">
        <f>VLOOKUP(C1258,#REF!,2,0)</f>
        <v>#REF!</v>
      </c>
      <c r="E1258" s="20" t="e">
        <f>VLOOKUP(D1258,数据集标准分类!E:F,2,0)</f>
        <v>#REF!</v>
      </c>
      <c r="F1258" s="21">
        <v>42</v>
      </c>
      <c r="G1258" s="22" t="s">
        <v>1187</v>
      </c>
      <c r="H1258" s="22" t="s">
        <v>6120</v>
      </c>
      <c r="I1258" s="22" t="s">
        <v>1190</v>
      </c>
      <c r="J1258" s="22" t="s">
        <v>1188</v>
      </c>
      <c r="K1258" s="22" t="s">
        <v>1190</v>
      </c>
      <c r="L1258" s="22" t="s">
        <v>1233</v>
      </c>
      <c r="M1258" s="16" t="s">
        <v>5593</v>
      </c>
      <c r="N1258" s="16" t="s">
        <v>5595</v>
      </c>
      <c r="O1258" s="23">
        <v>18</v>
      </c>
      <c r="P1258" s="24" t="e">
        <f>VLOOKUP(I1258,#REF!,2,0)</f>
        <v>#REF!</v>
      </c>
      <c r="Q1258" s="25"/>
      <c r="R1258" s="24"/>
      <c r="S1258" s="26"/>
      <c r="T1258" s="24"/>
      <c r="U1258" s="26"/>
      <c r="V1258" s="26"/>
      <c r="W1258" s="27">
        <v>947</v>
      </c>
      <c r="X1258" s="28"/>
    </row>
    <row r="1259" ht="31" spans="1:32">
      <c r="A1259" s="16" t="s">
        <v>4174</v>
      </c>
      <c r="B1259" s="17" t="s">
        <v>4175</v>
      </c>
      <c r="C1259" s="30" t="s">
        <v>1224</v>
      </c>
      <c r="D1259" s="19" t="e">
        <f>VLOOKUP(C1259,#REF!,2,0)</f>
        <v>#REF!</v>
      </c>
      <c r="E1259" s="20" t="e">
        <f>VLOOKUP(D1259,数据集标准分类!E:F,2,0)</f>
        <v>#REF!</v>
      </c>
      <c r="F1259" s="21">
        <v>42</v>
      </c>
      <c r="G1259" s="22" t="s">
        <v>1234</v>
      </c>
      <c r="H1259" s="22" t="s">
        <v>5657</v>
      </c>
      <c r="I1259" s="22" t="s">
        <v>1237</v>
      </c>
      <c r="J1259" s="22" t="s">
        <v>1235</v>
      </c>
      <c r="K1259" s="22" t="s">
        <v>1237</v>
      </c>
      <c r="L1259" s="22" t="s">
        <v>1238</v>
      </c>
      <c r="M1259" s="16" t="s">
        <v>5593</v>
      </c>
      <c r="N1259" s="16" t="s">
        <v>5595</v>
      </c>
      <c r="O1259" s="23">
        <v>19</v>
      </c>
      <c r="P1259" s="24" t="e">
        <f>VLOOKUP(I1259,#REF!,2,0)</f>
        <v>#REF!</v>
      </c>
      <c r="Q1259" s="25"/>
      <c r="R1259" s="24"/>
      <c r="S1259" s="26"/>
      <c r="T1259" s="24"/>
      <c r="U1259" s="26"/>
      <c r="V1259" s="26"/>
      <c r="W1259" s="27">
        <v>948</v>
      </c>
      <c r="X1259" s="28"/>
    </row>
    <row r="1260" ht="31" spans="1:32">
      <c r="A1260" s="16" t="s">
        <v>4174</v>
      </c>
      <c r="B1260" s="17" t="s">
        <v>4175</v>
      </c>
      <c r="C1260" s="30" t="s">
        <v>1239</v>
      </c>
      <c r="D1260" s="19" t="e">
        <f>VLOOKUP(C1260,#REF!,2,0)</f>
        <v>#REF!</v>
      </c>
      <c r="E1260" s="20" t="e">
        <f>VLOOKUP(D1260,数据集标准分类!E:F,2,0)</f>
        <v>#REF!</v>
      </c>
      <c r="F1260" s="21">
        <v>43</v>
      </c>
      <c r="G1260" s="22" t="s">
        <v>1240</v>
      </c>
      <c r="H1260" s="22" t="s">
        <v>6125</v>
      </c>
      <c r="I1260" s="22" t="s">
        <v>6126</v>
      </c>
      <c r="J1260" s="22" t="s">
        <v>1241</v>
      </c>
      <c r="K1260" s="22" t="s">
        <v>1243</v>
      </c>
      <c r="L1260" s="22" t="s">
        <v>1244</v>
      </c>
      <c r="M1260" s="16" t="s">
        <v>5593</v>
      </c>
      <c r="N1260" s="16" t="s">
        <v>5593</v>
      </c>
      <c r="O1260" s="23">
        <v>1</v>
      </c>
      <c r="P1260" s="24" t="e">
        <f>VLOOKUP(I1260,#REF!,2,0)</f>
        <v>#REF!</v>
      </c>
      <c r="Q1260" s="25"/>
      <c r="R1260" s="24"/>
      <c r="S1260" s="26"/>
      <c r="T1260" s="24"/>
      <c r="U1260" s="26"/>
      <c r="V1260" s="26"/>
      <c r="W1260" s="27">
        <v>949</v>
      </c>
      <c r="X1260" s="28"/>
    </row>
    <row r="1261" ht="31" spans="1:32">
      <c r="A1261" s="31" t="s">
        <v>4174</v>
      </c>
      <c r="B1261" s="32" t="s">
        <v>4175</v>
      </c>
      <c r="C1261" s="33" t="s">
        <v>1239</v>
      </c>
      <c r="D1261" s="34" t="e">
        <f>VLOOKUP(C1261,#REF!,2,0)</f>
        <v>#REF!</v>
      </c>
      <c r="E1261" s="35" t="e">
        <f>VLOOKUP(D1261,数据集标准分类!E:F,2,0)</f>
        <v>#REF!</v>
      </c>
      <c r="F1261" s="36">
        <v>43</v>
      </c>
      <c r="G1261" s="37" t="s">
        <v>172</v>
      </c>
      <c r="H1261" s="37" t="s">
        <v>5639</v>
      </c>
      <c r="I1261" s="37" t="s">
        <v>5640</v>
      </c>
      <c r="J1261" s="37" t="s">
        <v>173</v>
      </c>
      <c r="K1261" s="37" t="s">
        <v>175</v>
      </c>
      <c r="L1261" s="37" t="s">
        <v>1245</v>
      </c>
      <c r="M1261" s="31" t="s">
        <v>5593</v>
      </c>
      <c r="N1261" s="31" t="s">
        <v>5593</v>
      </c>
      <c r="O1261" s="38">
        <v>2</v>
      </c>
      <c r="P1261" s="39" t="e">
        <f>VLOOKUP(I1261,#REF!,2,0)</f>
        <v>#REF!</v>
      </c>
      <c r="Q1261" s="40"/>
      <c r="R1261" s="39"/>
      <c r="S1261" s="41"/>
      <c r="T1261" s="39"/>
      <c r="U1261" s="41"/>
      <c r="V1261" s="41"/>
      <c r="W1261" s="42">
        <v>950</v>
      </c>
      <c r="X1261" s="43"/>
      <c r="Y1261" s="44"/>
      <c r="Z1261" s="44"/>
      <c r="AA1261" s="44"/>
      <c r="AB1261" s="44"/>
      <c r="AC1261" s="44"/>
      <c r="AD1261" s="44"/>
      <c r="AE1261" s="44"/>
      <c r="AF1261" s="44"/>
    </row>
    <row r="1262" spans="1:32">
      <c r="A1262" s="83" t="s">
        <v>4174</v>
      </c>
      <c r="B1262" s="84" t="s">
        <v>4175</v>
      </c>
      <c r="C1262" s="85" t="s">
        <v>1239</v>
      </c>
      <c r="D1262" s="86" t="e">
        <f>VLOOKUP(C1262,#REF!,2,0)</f>
        <v>#REF!</v>
      </c>
      <c r="E1262" s="224" t="e">
        <f>VLOOKUP(D1262,数据集标准分类!E:F,2,0)</f>
        <v>#REF!</v>
      </c>
      <c r="F1262" s="87">
        <v>43</v>
      </c>
      <c r="G1262" s="88" t="s">
        <v>1250</v>
      </c>
      <c r="H1262" s="88" t="s">
        <v>5856</v>
      </c>
      <c r="I1262" s="88" t="s">
        <v>1253</v>
      </c>
      <c r="J1262" s="88" t="s">
        <v>1251</v>
      </c>
      <c r="K1262" s="88" t="s">
        <v>1253</v>
      </c>
      <c r="L1262" s="88" t="s">
        <v>1254</v>
      </c>
      <c r="M1262" s="83" t="s">
        <v>5593</v>
      </c>
      <c r="N1262" s="83" t="s">
        <v>5595</v>
      </c>
      <c r="O1262" s="89">
        <v>3</v>
      </c>
      <c r="P1262" s="90" t="e">
        <f>VLOOKUP(I1262,#REF!,2,0)</f>
        <v>#REF!</v>
      </c>
      <c r="Q1262" s="91"/>
      <c r="R1262" s="90"/>
      <c r="S1262" s="92"/>
      <c r="T1262" s="90"/>
      <c r="U1262" s="92"/>
      <c r="V1262" s="92" t="s">
        <v>5593</v>
      </c>
      <c r="W1262" s="93">
        <v>951</v>
      </c>
      <c r="X1262" s="94"/>
      <c r="Y1262" s="95"/>
      <c r="Z1262" s="95"/>
      <c r="AA1262" s="95"/>
      <c r="AB1262" s="95"/>
      <c r="AC1262" s="95"/>
      <c r="AD1262" s="95"/>
      <c r="AE1262" s="95"/>
      <c r="AF1262" s="95"/>
    </row>
    <row r="1263" spans="1:32">
      <c r="A1263" s="16" t="s">
        <v>4174</v>
      </c>
      <c r="B1263" s="17" t="s">
        <v>4175</v>
      </c>
      <c r="C1263" s="30" t="s">
        <v>1239</v>
      </c>
      <c r="D1263" s="19" t="e">
        <f>VLOOKUP(C1263,#REF!,2,0)</f>
        <v>#REF!</v>
      </c>
      <c r="E1263" s="20" t="e">
        <f>VLOOKUP(D1263,数据集标准分类!E:F,2,0)</f>
        <v>#REF!</v>
      </c>
      <c r="F1263" s="21">
        <v>43</v>
      </c>
      <c r="G1263" s="22" t="s">
        <v>1255</v>
      </c>
      <c r="H1263" s="22" t="s">
        <v>1256</v>
      </c>
      <c r="I1263" s="22" t="s">
        <v>1258</v>
      </c>
      <c r="J1263" s="22" t="s">
        <v>1256</v>
      </c>
      <c r="K1263" s="22" t="s">
        <v>1258</v>
      </c>
      <c r="L1263" s="22" t="s">
        <v>1259</v>
      </c>
      <c r="M1263" s="16" t="s">
        <v>5595</v>
      </c>
      <c r="N1263" s="16" t="s">
        <v>5595</v>
      </c>
      <c r="O1263" s="23">
        <v>4</v>
      </c>
      <c r="P1263" s="24" t="e">
        <f>VLOOKUP(I1263,#REF!,2,0)</f>
        <v>#REF!</v>
      </c>
      <c r="Q1263" s="25"/>
      <c r="R1263" s="24"/>
      <c r="S1263" s="26"/>
      <c r="T1263" s="24"/>
      <c r="U1263" s="26"/>
      <c r="V1263" s="26"/>
      <c r="W1263" s="27">
        <v>952</v>
      </c>
      <c r="X1263" s="28"/>
    </row>
    <row r="1264" ht="46" spans="1:32">
      <c r="A1264" s="16" t="s">
        <v>4174</v>
      </c>
      <c r="B1264" s="17" t="s">
        <v>4175</v>
      </c>
      <c r="C1264" s="30" t="s">
        <v>1239</v>
      </c>
      <c r="D1264" s="19" t="e">
        <f>VLOOKUP(C1264,#REF!,2,0)</f>
        <v>#REF!</v>
      </c>
      <c r="E1264" s="20" t="e">
        <f>VLOOKUP(D1264,数据集标准分类!E:F,2,0)</f>
        <v>#REF!</v>
      </c>
      <c r="F1264" s="21">
        <v>43</v>
      </c>
      <c r="G1264" s="22" t="s">
        <v>192</v>
      </c>
      <c r="H1264" s="22" t="s">
        <v>5630</v>
      </c>
      <c r="I1264" s="22" t="s">
        <v>5631</v>
      </c>
      <c r="J1264" s="22" t="s">
        <v>193</v>
      </c>
      <c r="K1264" s="22" t="s">
        <v>195</v>
      </c>
      <c r="L1264" s="22" t="s">
        <v>385</v>
      </c>
      <c r="M1264" s="16" t="s">
        <v>5593</v>
      </c>
      <c r="N1264" s="16" t="s">
        <v>5593</v>
      </c>
      <c r="O1264" s="23">
        <v>5</v>
      </c>
      <c r="P1264" s="24" t="e">
        <f>VLOOKUP(I1264,#REF!,2,0)</f>
        <v>#REF!</v>
      </c>
      <c r="Q1264" s="25"/>
      <c r="R1264" s="24"/>
      <c r="S1264" s="26"/>
      <c r="T1264" s="24"/>
      <c r="U1264" s="26"/>
      <c r="V1264" s="26"/>
      <c r="W1264" s="27">
        <v>953</v>
      </c>
      <c r="X1264" s="28"/>
    </row>
    <row r="1265" spans="1:32">
      <c r="A1265" s="16" t="s">
        <v>4174</v>
      </c>
      <c r="B1265" s="17" t="s">
        <v>4175</v>
      </c>
      <c r="C1265" s="30" t="s">
        <v>1239</v>
      </c>
      <c r="D1265" s="19" t="e">
        <f>VLOOKUP(C1265,#REF!,2,0)</f>
        <v>#REF!</v>
      </c>
      <c r="E1265" s="20" t="e">
        <f>VLOOKUP(D1265,数据集标准分类!E:F,2,0)</f>
        <v>#REF!</v>
      </c>
      <c r="F1265" s="21">
        <v>43</v>
      </c>
      <c r="G1265" s="22" t="s">
        <v>396</v>
      </c>
      <c r="H1265" s="22" t="s">
        <v>5628</v>
      </c>
      <c r="I1265" s="22" t="s">
        <v>5629</v>
      </c>
      <c r="J1265" s="22" t="s">
        <v>397</v>
      </c>
      <c r="K1265" s="22" t="s">
        <v>399</v>
      </c>
      <c r="L1265" s="22" t="s">
        <v>1260</v>
      </c>
      <c r="M1265" s="16" t="s">
        <v>5593</v>
      </c>
      <c r="N1265" s="16" t="s">
        <v>5593</v>
      </c>
      <c r="O1265" s="23">
        <v>6</v>
      </c>
      <c r="P1265" s="24" t="e">
        <f>VLOOKUP(I1265,#REF!,2,0)</f>
        <v>#REF!</v>
      </c>
      <c r="Q1265" s="25"/>
      <c r="R1265" s="24"/>
      <c r="S1265" s="26"/>
      <c r="T1265" s="24"/>
      <c r="U1265" s="26"/>
      <c r="V1265" s="26"/>
      <c r="W1265" s="27">
        <v>954</v>
      </c>
      <c r="X1265" s="28"/>
    </row>
    <row r="1266" ht="31" spans="1:32">
      <c r="A1266" s="16" t="s">
        <v>4174</v>
      </c>
      <c r="B1266" s="17" t="s">
        <v>4175</v>
      </c>
      <c r="C1266" s="30" t="s">
        <v>1239</v>
      </c>
      <c r="D1266" s="19" t="e">
        <f>VLOOKUP(C1266,#REF!,2,0)</f>
        <v>#REF!</v>
      </c>
      <c r="E1266" s="20" t="e">
        <f>VLOOKUP(D1266,数据集标准分类!E:F,2,0)</f>
        <v>#REF!</v>
      </c>
      <c r="F1266" s="21">
        <v>43</v>
      </c>
      <c r="G1266" s="22" t="s">
        <v>1261</v>
      </c>
      <c r="H1266" s="22" t="s">
        <v>5632</v>
      </c>
      <c r="I1266" s="22" t="s">
        <v>1264</v>
      </c>
      <c r="J1266" s="22" t="s">
        <v>1262</v>
      </c>
      <c r="K1266" s="22" t="s">
        <v>1264</v>
      </c>
      <c r="L1266" s="22" t="s">
        <v>1265</v>
      </c>
      <c r="M1266" s="16" t="s">
        <v>5593</v>
      </c>
      <c r="N1266" s="16" t="s">
        <v>5595</v>
      </c>
      <c r="O1266" s="23">
        <v>7</v>
      </c>
      <c r="P1266" s="24" t="e">
        <f>VLOOKUP(I1266,#REF!,2,0)</f>
        <v>#REF!</v>
      </c>
      <c r="Q1266" s="25"/>
      <c r="R1266" s="24"/>
      <c r="S1266" s="26"/>
      <c r="T1266" s="24"/>
      <c r="U1266" s="26"/>
      <c r="V1266" s="26"/>
      <c r="W1266" s="27">
        <v>955</v>
      </c>
      <c r="X1266" s="28"/>
    </row>
    <row r="1267" ht="31" spans="1:32">
      <c r="A1267" s="16" t="s">
        <v>4174</v>
      </c>
      <c r="B1267" s="17" t="s">
        <v>4175</v>
      </c>
      <c r="C1267" s="30" t="s">
        <v>1239</v>
      </c>
      <c r="D1267" s="19" t="e">
        <f>VLOOKUP(C1267,#REF!,2,0)</f>
        <v>#REF!</v>
      </c>
      <c r="E1267" s="20" t="e">
        <f>VLOOKUP(D1267,数据集标准分类!E:F,2,0)</f>
        <v>#REF!</v>
      </c>
      <c r="F1267" s="21">
        <v>43</v>
      </c>
      <c r="G1267" s="22" t="s">
        <v>1266</v>
      </c>
      <c r="H1267" s="22" t="s">
        <v>5633</v>
      </c>
      <c r="I1267" s="22" t="s">
        <v>1269</v>
      </c>
      <c r="J1267" s="22" t="s">
        <v>1267</v>
      </c>
      <c r="K1267" s="22" t="s">
        <v>1269</v>
      </c>
      <c r="L1267" s="22" t="s">
        <v>1270</v>
      </c>
      <c r="M1267" s="16" t="s">
        <v>5593</v>
      </c>
      <c r="N1267" s="16" t="s">
        <v>5595</v>
      </c>
      <c r="O1267" s="23">
        <v>8</v>
      </c>
      <c r="P1267" s="24" t="e">
        <f>VLOOKUP(I1267,#REF!,2,0)</f>
        <v>#REF!</v>
      </c>
      <c r="Q1267" s="25"/>
      <c r="R1267" s="24"/>
      <c r="S1267" s="26"/>
      <c r="T1267" s="24"/>
      <c r="U1267" s="26"/>
      <c r="V1267" s="26"/>
      <c r="W1267" s="27">
        <v>956</v>
      </c>
      <c r="X1267" s="28"/>
    </row>
    <row r="1268" spans="1:32">
      <c r="A1268" s="16" t="s">
        <v>4174</v>
      </c>
      <c r="B1268" s="17" t="s">
        <v>4175</v>
      </c>
      <c r="C1268" s="30" t="s">
        <v>1239</v>
      </c>
      <c r="D1268" s="19" t="e">
        <f>VLOOKUP(C1268,#REF!,2,0)</f>
        <v>#REF!</v>
      </c>
      <c r="E1268" s="20" t="e">
        <f>VLOOKUP(D1268,数据集标准分类!E:F,2,0)</f>
        <v>#REF!</v>
      </c>
      <c r="F1268" s="21">
        <v>43</v>
      </c>
      <c r="G1268" s="22" t="s">
        <v>216</v>
      </c>
      <c r="H1268" s="22" t="s">
        <v>5634</v>
      </c>
      <c r="I1268" s="22" t="s">
        <v>219</v>
      </c>
      <c r="J1268" s="22" t="s">
        <v>217</v>
      </c>
      <c r="K1268" s="22" t="s">
        <v>219</v>
      </c>
      <c r="L1268" s="22" t="s">
        <v>1271</v>
      </c>
      <c r="M1268" s="16" t="s">
        <v>5593</v>
      </c>
      <c r="N1268" s="16" t="s">
        <v>5595</v>
      </c>
      <c r="O1268" s="23">
        <v>9</v>
      </c>
      <c r="P1268" s="24" t="e">
        <f>VLOOKUP(I1268,#REF!,2,0)</f>
        <v>#REF!</v>
      </c>
      <c r="Q1268" s="25"/>
      <c r="R1268" s="24"/>
      <c r="S1268" s="26"/>
      <c r="T1268" s="24"/>
      <c r="U1268" s="26"/>
      <c r="V1268" s="26"/>
      <c r="W1268" s="27">
        <v>957</v>
      </c>
      <c r="X1268" s="28"/>
    </row>
    <row r="1269" spans="1:32">
      <c r="A1269" s="16" t="s">
        <v>4174</v>
      </c>
      <c r="B1269" s="17" t="s">
        <v>4175</v>
      </c>
      <c r="C1269" s="30" t="s">
        <v>1239</v>
      </c>
      <c r="D1269" s="19" t="e">
        <f>VLOOKUP(C1269,#REF!,2,0)</f>
        <v>#REF!</v>
      </c>
      <c r="E1269" s="20" t="e">
        <f>VLOOKUP(D1269,数据集标准分类!E:F,2,0)</f>
        <v>#REF!</v>
      </c>
      <c r="F1269" s="21">
        <v>43</v>
      </c>
      <c r="G1269" s="22" t="s">
        <v>1272</v>
      </c>
      <c r="H1269" s="22" t="s">
        <v>5635</v>
      </c>
      <c r="I1269" s="22" t="s">
        <v>1275</v>
      </c>
      <c r="J1269" s="22" t="s">
        <v>1273</v>
      </c>
      <c r="K1269" s="22" t="s">
        <v>1275</v>
      </c>
      <c r="L1269" s="22" t="s">
        <v>1276</v>
      </c>
      <c r="M1269" s="16" t="s">
        <v>5593</v>
      </c>
      <c r="N1269" s="16" t="s">
        <v>5595</v>
      </c>
      <c r="O1269" s="23">
        <v>10</v>
      </c>
      <c r="P1269" s="24" t="e">
        <f>VLOOKUP(I1269,#REF!,2,0)</f>
        <v>#REF!</v>
      </c>
      <c r="Q1269" s="25"/>
      <c r="R1269" s="24"/>
      <c r="S1269" s="26"/>
      <c r="T1269" s="24"/>
      <c r="U1269" s="26"/>
      <c r="V1269" s="26"/>
      <c r="W1269" s="27">
        <v>958</v>
      </c>
      <c r="X1269" s="28"/>
    </row>
    <row r="1270" ht="31" spans="1:32">
      <c r="A1270" s="16" t="s">
        <v>4174</v>
      </c>
      <c r="B1270" s="17" t="s">
        <v>4175</v>
      </c>
      <c r="C1270" s="30" t="s">
        <v>1239</v>
      </c>
      <c r="D1270" s="19" t="e">
        <f>VLOOKUP(C1270,#REF!,2,0)</f>
        <v>#REF!</v>
      </c>
      <c r="E1270" s="20" t="e">
        <f>VLOOKUP(D1270,数据集标准分类!E:F,2,0)</f>
        <v>#REF!</v>
      </c>
      <c r="F1270" s="21">
        <v>43</v>
      </c>
      <c r="G1270" s="22" t="s">
        <v>1277</v>
      </c>
      <c r="H1270" s="22" t="s">
        <v>5624</v>
      </c>
      <c r="I1270" s="22" t="s">
        <v>5625</v>
      </c>
      <c r="J1270" s="22" t="s">
        <v>1278</v>
      </c>
      <c r="K1270" s="22" t="s">
        <v>1280</v>
      </c>
      <c r="L1270" s="22" t="s">
        <v>1281</v>
      </c>
      <c r="M1270" s="16" t="s">
        <v>5593</v>
      </c>
      <c r="N1270" s="16" t="s">
        <v>5593</v>
      </c>
      <c r="O1270" s="23">
        <v>11</v>
      </c>
      <c r="P1270" s="24" t="e">
        <f>VLOOKUP(I1270,#REF!,2,0)</f>
        <v>#REF!</v>
      </c>
      <c r="Q1270" s="25"/>
      <c r="R1270" s="24"/>
      <c r="S1270" s="26"/>
      <c r="T1270" s="24"/>
      <c r="U1270" s="26"/>
      <c r="V1270" s="26"/>
      <c r="W1270" s="27">
        <v>959</v>
      </c>
      <c r="X1270" s="28"/>
    </row>
    <row r="1271" ht="31" spans="1:32">
      <c r="A1271" s="16" t="s">
        <v>4174</v>
      </c>
      <c r="B1271" s="17" t="s">
        <v>4175</v>
      </c>
      <c r="C1271" s="30" t="s">
        <v>1239</v>
      </c>
      <c r="D1271" s="19" t="e">
        <f>VLOOKUP(C1271,#REF!,2,0)</f>
        <v>#REF!</v>
      </c>
      <c r="E1271" s="20" t="e">
        <f>VLOOKUP(D1271,数据集标准分类!E:F,2,0)</f>
        <v>#REF!</v>
      </c>
      <c r="F1271" s="21">
        <v>43</v>
      </c>
      <c r="G1271" s="49" t="s">
        <v>1282</v>
      </c>
      <c r="H1271" s="49" t="s">
        <v>5626</v>
      </c>
      <c r="I1271" s="49" t="s">
        <v>5627</v>
      </c>
      <c r="J1271" s="22" t="s">
        <v>1283</v>
      </c>
      <c r="K1271" s="22" t="s">
        <v>1285</v>
      </c>
      <c r="L1271" s="22" t="s">
        <v>1286</v>
      </c>
      <c r="M1271" s="16" t="s">
        <v>5593</v>
      </c>
      <c r="N1271" s="16" t="s">
        <v>5593</v>
      </c>
      <c r="O1271" s="23">
        <v>12</v>
      </c>
      <c r="P1271" s="24" t="e">
        <f>VLOOKUP(I1271,#REF!,2,0)</f>
        <v>#REF!</v>
      </c>
      <c r="Q1271" s="47"/>
      <c r="R1271" s="24"/>
      <c r="S1271" s="48"/>
      <c r="T1271" s="24"/>
      <c r="U1271" s="48"/>
      <c r="V1271" s="48"/>
      <c r="W1271" s="27">
        <v>960</v>
      </c>
      <c r="X1271" s="28"/>
      <c r="Y1271" s="5"/>
      <c r="Z1271" s="5"/>
      <c r="AA1271" s="5"/>
      <c r="AB1271" s="5"/>
      <c r="AC1271" s="5"/>
      <c r="AD1271" s="5"/>
      <c r="AE1271" s="5"/>
      <c r="AF1271" s="5"/>
    </row>
    <row r="1272" ht="31" spans="1:32">
      <c r="A1272" s="16" t="s">
        <v>4174</v>
      </c>
      <c r="B1272" s="17" t="s">
        <v>4175</v>
      </c>
      <c r="C1272" s="30" t="s">
        <v>1239</v>
      </c>
      <c r="D1272" s="19" t="e">
        <f>VLOOKUP(C1272,#REF!,2,0)</f>
        <v>#REF!</v>
      </c>
      <c r="E1272" s="20" t="e">
        <f>VLOOKUP(D1272,数据集标准分类!E:F,2,0)</f>
        <v>#REF!</v>
      </c>
      <c r="F1272" s="21">
        <v>43</v>
      </c>
      <c r="G1272" s="22" t="s">
        <v>1287</v>
      </c>
      <c r="H1272" s="22" t="s">
        <v>1288</v>
      </c>
      <c r="I1272" s="22" t="s">
        <v>1290</v>
      </c>
      <c r="J1272" s="22" t="s">
        <v>1288</v>
      </c>
      <c r="K1272" s="22" t="s">
        <v>1290</v>
      </c>
      <c r="L1272" s="22" t="s">
        <v>1291</v>
      </c>
      <c r="M1272" s="16" t="s">
        <v>5595</v>
      </c>
      <c r="N1272" s="16" t="s">
        <v>5595</v>
      </c>
      <c r="O1272" s="23">
        <v>13</v>
      </c>
      <c r="P1272" s="24" t="e">
        <f>VLOOKUP(I1272,#REF!,2,0)</f>
        <v>#REF!</v>
      </c>
      <c r="Q1272" s="25"/>
      <c r="R1272" s="24"/>
      <c r="S1272" s="26"/>
      <c r="T1272" s="24"/>
      <c r="U1272" s="26"/>
      <c r="V1272" s="26"/>
      <c r="W1272" s="27">
        <v>961</v>
      </c>
      <c r="X1272" s="28"/>
    </row>
    <row r="1273" spans="1:32">
      <c r="A1273" s="16" t="s">
        <v>4174</v>
      </c>
      <c r="B1273" s="17" t="s">
        <v>4175</v>
      </c>
      <c r="C1273" s="30" t="s">
        <v>1239</v>
      </c>
      <c r="D1273" s="19" t="e">
        <f>VLOOKUP(C1273,#REF!,2,0)</f>
        <v>#REF!</v>
      </c>
      <c r="E1273" s="20" t="e">
        <f>VLOOKUP(D1273,数据集标准分类!E:F,2,0)</f>
        <v>#REF!</v>
      </c>
      <c r="F1273" s="21">
        <v>43</v>
      </c>
      <c r="G1273" s="22" t="s">
        <v>779</v>
      </c>
      <c r="H1273" s="22" t="s">
        <v>780</v>
      </c>
      <c r="I1273" s="22" t="s">
        <v>782</v>
      </c>
      <c r="J1273" s="22" t="s">
        <v>780</v>
      </c>
      <c r="K1273" s="22" t="s">
        <v>782</v>
      </c>
      <c r="L1273" s="22" t="s">
        <v>1292</v>
      </c>
      <c r="M1273" s="16" t="s">
        <v>5595</v>
      </c>
      <c r="N1273" s="16" t="s">
        <v>5595</v>
      </c>
      <c r="O1273" s="23">
        <v>14</v>
      </c>
      <c r="P1273" s="24" t="e">
        <f>VLOOKUP(I1273,#REF!,2,0)</f>
        <v>#REF!</v>
      </c>
      <c r="Q1273" s="25"/>
      <c r="R1273" s="24"/>
      <c r="S1273" s="26"/>
      <c r="T1273" s="24"/>
      <c r="U1273" s="26"/>
      <c r="V1273" s="26"/>
      <c r="W1273" s="27">
        <v>962</v>
      </c>
      <c r="X1273" s="28"/>
    </row>
    <row r="1274" ht="31" spans="1:32">
      <c r="A1274" s="16" t="s">
        <v>4174</v>
      </c>
      <c r="B1274" s="17" t="s">
        <v>4175</v>
      </c>
      <c r="C1274" s="30" t="s">
        <v>1239</v>
      </c>
      <c r="D1274" s="19" t="e">
        <f>VLOOKUP(C1274,#REF!,2,0)</f>
        <v>#REF!</v>
      </c>
      <c r="E1274" s="20" t="e">
        <f>VLOOKUP(D1274,数据集标准分类!E:F,2,0)</f>
        <v>#REF!</v>
      </c>
      <c r="F1274" s="21">
        <v>43</v>
      </c>
      <c r="G1274" s="22" t="s">
        <v>1293</v>
      </c>
      <c r="H1274" s="22" t="s">
        <v>1294</v>
      </c>
      <c r="I1274" s="22" t="s">
        <v>1296</v>
      </c>
      <c r="J1274" s="22" t="s">
        <v>1294</v>
      </c>
      <c r="K1274" s="22" t="s">
        <v>1296</v>
      </c>
      <c r="L1274" s="22" t="s">
        <v>1297</v>
      </c>
      <c r="M1274" s="16" t="s">
        <v>5595</v>
      </c>
      <c r="N1274" s="16" t="s">
        <v>5595</v>
      </c>
      <c r="O1274" s="23">
        <v>15</v>
      </c>
      <c r="P1274" s="24" t="e">
        <f>VLOOKUP(I1274,#REF!,2,0)</f>
        <v>#REF!</v>
      </c>
      <c r="Q1274" s="25"/>
      <c r="R1274" s="24"/>
      <c r="S1274" s="26"/>
      <c r="T1274" s="24"/>
      <c r="U1274" s="26"/>
      <c r="V1274" s="26"/>
      <c r="W1274" s="27">
        <v>963</v>
      </c>
      <c r="X1274" s="28"/>
    </row>
    <row r="1275" ht="24" customHeight="1" spans="1:32">
      <c r="A1275" s="16" t="s">
        <v>4174</v>
      </c>
      <c r="B1275" s="17" t="s">
        <v>4175</v>
      </c>
      <c r="C1275" s="30" t="s">
        <v>1239</v>
      </c>
      <c r="D1275" s="19" t="e">
        <f>VLOOKUP(C1275,#REF!,2,0)</f>
        <v>#REF!</v>
      </c>
      <c r="E1275" s="20" t="e">
        <f>VLOOKUP(D1275,数据集标准分类!E:F,2,0)</f>
        <v>#REF!</v>
      </c>
      <c r="F1275" s="21">
        <v>43</v>
      </c>
      <c r="G1275" s="22" t="s">
        <v>1298</v>
      </c>
      <c r="H1275" s="22" t="s">
        <v>1299</v>
      </c>
      <c r="I1275" s="22" t="s">
        <v>1301</v>
      </c>
      <c r="J1275" s="22" t="s">
        <v>1299</v>
      </c>
      <c r="K1275" s="22" t="s">
        <v>1301</v>
      </c>
      <c r="L1275" s="22" t="s">
        <v>1302</v>
      </c>
      <c r="M1275" s="16" t="s">
        <v>5595</v>
      </c>
      <c r="N1275" s="16" t="s">
        <v>5595</v>
      </c>
      <c r="O1275" s="23">
        <v>16</v>
      </c>
      <c r="P1275" s="24" t="e">
        <f>VLOOKUP(I1275,#REF!,2,0)</f>
        <v>#REF!</v>
      </c>
      <c r="Q1275" s="25"/>
      <c r="R1275" s="24"/>
      <c r="S1275" s="26"/>
      <c r="T1275" s="24"/>
      <c r="U1275" s="26"/>
      <c r="V1275" s="26"/>
      <c r="W1275" s="27">
        <v>964</v>
      </c>
      <c r="X1275" s="28"/>
    </row>
    <row r="1276" ht="31" spans="1:32">
      <c r="A1276" s="16" t="s">
        <v>4174</v>
      </c>
      <c r="B1276" s="17" t="s">
        <v>4175</v>
      </c>
      <c r="C1276" s="30" t="s">
        <v>1239</v>
      </c>
      <c r="D1276" s="19" t="e">
        <f>VLOOKUP(C1276,#REF!,2,0)</f>
        <v>#REF!</v>
      </c>
      <c r="E1276" s="20" t="e">
        <f>VLOOKUP(D1276,数据集标准分类!E:F,2,0)</f>
        <v>#REF!</v>
      </c>
      <c r="F1276" s="21">
        <v>43</v>
      </c>
      <c r="G1276" s="22" t="s">
        <v>1192</v>
      </c>
      <c r="H1276" s="22" t="s">
        <v>5638</v>
      </c>
      <c r="I1276" s="22" t="s">
        <v>1195</v>
      </c>
      <c r="J1276" s="22" t="s">
        <v>1193</v>
      </c>
      <c r="K1276" s="22" t="s">
        <v>1195</v>
      </c>
      <c r="L1276" s="22" t="s">
        <v>1196</v>
      </c>
      <c r="M1276" s="16" t="s">
        <v>5593</v>
      </c>
      <c r="N1276" s="16" t="s">
        <v>5595</v>
      </c>
      <c r="O1276" s="23">
        <v>17</v>
      </c>
      <c r="P1276" s="24" t="e">
        <f>VLOOKUP(I1276,#REF!,2,0)</f>
        <v>#REF!</v>
      </c>
      <c r="Q1276" s="25"/>
      <c r="R1276" s="24"/>
      <c r="S1276" s="26"/>
      <c r="T1276" s="24"/>
      <c r="U1276" s="26"/>
      <c r="V1276" s="26"/>
      <c r="W1276" s="27">
        <v>965</v>
      </c>
      <c r="X1276" s="28"/>
    </row>
    <row r="1277" spans="1:32">
      <c r="A1277" s="16" t="s">
        <v>4174</v>
      </c>
      <c r="B1277" s="17" t="s">
        <v>4175</v>
      </c>
      <c r="C1277" s="30" t="s">
        <v>1508</v>
      </c>
      <c r="D1277" s="19" t="e">
        <f>VLOOKUP(C1277,#REF!,2,0)</f>
        <v>#REF!</v>
      </c>
      <c r="E1277" s="20" t="e">
        <f>VLOOKUP(D1277,数据集标准分类!E:F,2,0)</f>
        <v>#REF!</v>
      </c>
      <c r="F1277" s="21">
        <v>44</v>
      </c>
      <c r="G1277" s="22" t="s">
        <v>1509</v>
      </c>
      <c r="H1277" s="22" t="s">
        <v>5871</v>
      </c>
      <c r="I1277" s="22" t="s">
        <v>1512</v>
      </c>
      <c r="J1277" s="22" t="s">
        <v>1510</v>
      </c>
      <c r="K1277" s="22" t="s">
        <v>1512</v>
      </c>
      <c r="L1277" s="22" t="s">
        <v>1513</v>
      </c>
      <c r="M1277" s="16" t="s">
        <v>5593</v>
      </c>
      <c r="N1277" s="16" t="s">
        <v>5595</v>
      </c>
      <c r="O1277" s="23">
        <v>1</v>
      </c>
      <c r="P1277" s="24" t="e">
        <f>VLOOKUP(I1277,#REF!,2,0)</f>
        <v>#REF!</v>
      </c>
      <c r="Q1277" s="47"/>
      <c r="R1277" s="45"/>
      <c r="S1277" s="48"/>
      <c r="T1277" s="45" t="s">
        <v>6127</v>
      </c>
      <c r="U1277" s="48"/>
      <c r="V1277" s="48"/>
      <c r="W1277" s="27">
        <v>966</v>
      </c>
      <c r="X1277" s="28"/>
      <c r="Y1277" s="5"/>
      <c r="Z1277" s="5"/>
      <c r="AA1277" s="5"/>
      <c r="AB1277" s="5"/>
      <c r="AC1277" s="5"/>
      <c r="AD1277" s="5"/>
      <c r="AE1277" s="5"/>
      <c r="AF1277" s="5"/>
    </row>
    <row r="1278" ht="31" spans="1:32">
      <c r="A1278" s="16" t="s">
        <v>4174</v>
      </c>
      <c r="B1278" s="17" t="s">
        <v>4175</v>
      </c>
      <c r="C1278" s="30" t="s">
        <v>1508</v>
      </c>
      <c r="D1278" s="19" t="e">
        <f>VLOOKUP(C1278,#REF!,2,0)</f>
        <v>#REF!</v>
      </c>
      <c r="E1278" s="20" t="e">
        <f>VLOOKUP(D1278,数据集标准分类!E:F,2,0)</f>
        <v>#REF!</v>
      </c>
      <c r="F1278" s="21">
        <v>44</v>
      </c>
      <c r="G1278" s="22" t="s">
        <v>779</v>
      </c>
      <c r="H1278" s="22" t="s">
        <v>780</v>
      </c>
      <c r="I1278" s="22" t="s">
        <v>782</v>
      </c>
      <c r="J1278" s="22" t="s">
        <v>780</v>
      </c>
      <c r="K1278" s="22" t="s">
        <v>782</v>
      </c>
      <c r="L1278" s="22" t="s">
        <v>783</v>
      </c>
      <c r="M1278" s="16" t="s">
        <v>5595</v>
      </c>
      <c r="N1278" s="16" t="s">
        <v>5595</v>
      </c>
      <c r="O1278" s="23">
        <v>2</v>
      </c>
      <c r="P1278" s="24" t="e">
        <f>VLOOKUP(I1278,#REF!,2,0)</f>
        <v>#REF!</v>
      </c>
      <c r="Q1278" s="25"/>
      <c r="R1278" s="24"/>
      <c r="S1278" s="26"/>
      <c r="T1278" s="24"/>
      <c r="U1278" s="26"/>
      <c r="V1278" s="26"/>
      <c r="W1278" s="27">
        <v>967</v>
      </c>
      <c r="X1278" s="28"/>
    </row>
    <row r="1279" ht="46" spans="1:32">
      <c r="A1279" s="16" t="s">
        <v>4174</v>
      </c>
      <c r="B1279" s="17" t="s">
        <v>4175</v>
      </c>
      <c r="C1279" s="30" t="s">
        <v>1508</v>
      </c>
      <c r="D1279" s="19" t="e">
        <f>VLOOKUP(C1279,#REF!,2,0)</f>
        <v>#REF!</v>
      </c>
      <c r="E1279" s="20" t="e">
        <f>VLOOKUP(D1279,数据集标准分类!E:F,2,0)</f>
        <v>#REF!</v>
      </c>
      <c r="F1279" s="21">
        <v>44</v>
      </c>
      <c r="G1279" s="22" t="s">
        <v>784</v>
      </c>
      <c r="H1279" s="22" t="s">
        <v>785</v>
      </c>
      <c r="I1279" s="22" t="s">
        <v>787</v>
      </c>
      <c r="J1279" s="22" t="s">
        <v>785</v>
      </c>
      <c r="K1279" s="22" t="s">
        <v>787</v>
      </c>
      <c r="L1279" s="22" t="s">
        <v>788</v>
      </c>
      <c r="M1279" s="16" t="s">
        <v>5595</v>
      </c>
      <c r="N1279" s="16" t="s">
        <v>5595</v>
      </c>
      <c r="O1279" s="23">
        <v>3</v>
      </c>
      <c r="P1279" s="24" t="e">
        <f>VLOOKUP(I1279,#REF!,2,0)</f>
        <v>#REF!</v>
      </c>
      <c r="Q1279" s="25"/>
      <c r="R1279" s="24"/>
      <c r="S1279" s="26"/>
      <c r="T1279" s="24"/>
      <c r="U1279" s="26"/>
      <c r="V1279" s="26"/>
      <c r="W1279" s="27">
        <v>968</v>
      </c>
      <c r="X1279" s="28"/>
    </row>
    <row r="1280" ht="31" spans="1:32">
      <c r="A1280" s="16" t="s">
        <v>4174</v>
      </c>
      <c r="B1280" s="17" t="s">
        <v>4175</v>
      </c>
      <c r="C1280" s="30" t="s">
        <v>1508</v>
      </c>
      <c r="D1280" s="19" t="e">
        <f>VLOOKUP(C1280,#REF!,2,0)</f>
        <v>#REF!</v>
      </c>
      <c r="E1280" s="20" t="e">
        <f>VLOOKUP(D1280,数据集标准分类!E:F,2,0)</f>
        <v>#REF!</v>
      </c>
      <c r="F1280" s="21">
        <v>44</v>
      </c>
      <c r="G1280" s="22" t="s">
        <v>1240</v>
      </c>
      <c r="H1280" s="22" t="s">
        <v>6125</v>
      </c>
      <c r="I1280" s="22" t="s">
        <v>6126</v>
      </c>
      <c r="J1280" s="22" t="s">
        <v>1241</v>
      </c>
      <c r="K1280" s="22" t="s">
        <v>1243</v>
      </c>
      <c r="L1280" s="22" t="s">
        <v>1244</v>
      </c>
      <c r="M1280" s="16" t="s">
        <v>5593</v>
      </c>
      <c r="N1280" s="16" t="s">
        <v>5593</v>
      </c>
      <c r="O1280" s="23">
        <v>4</v>
      </c>
      <c r="P1280" s="24" t="e">
        <f>VLOOKUP(I1280,#REF!,2,0)</f>
        <v>#REF!</v>
      </c>
      <c r="Q1280" s="25"/>
      <c r="R1280" s="24"/>
      <c r="S1280" s="26"/>
      <c r="T1280" s="24"/>
      <c r="U1280" s="26"/>
      <c r="V1280" s="26"/>
      <c r="W1280" s="27">
        <v>969</v>
      </c>
      <c r="X1280" s="28"/>
    </row>
    <row r="1281" ht="31" spans="1:32">
      <c r="A1281" s="16" t="s">
        <v>4174</v>
      </c>
      <c r="B1281" s="17" t="s">
        <v>4175</v>
      </c>
      <c r="C1281" s="30" t="s">
        <v>1508</v>
      </c>
      <c r="D1281" s="19" t="e">
        <f>VLOOKUP(C1281,#REF!,2,0)</f>
        <v>#REF!</v>
      </c>
      <c r="E1281" s="20" t="e">
        <f>VLOOKUP(D1281,数据集标准分类!E:F,2,0)</f>
        <v>#REF!</v>
      </c>
      <c r="F1281" s="21">
        <v>44</v>
      </c>
      <c r="G1281" s="22" t="s">
        <v>172</v>
      </c>
      <c r="H1281" s="22" t="s">
        <v>5639</v>
      </c>
      <c r="I1281" s="22" t="s">
        <v>5640</v>
      </c>
      <c r="J1281" s="22" t="s">
        <v>173</v>
      </c>
      <c r="K1281" s="22" t="s">
        <v>175</v>
      </c>
      <c r="L1281" s="22" t="s">
        <v>176</v>
      </c>
      <c r="M1281" s="16" t="s">
        <v>5593</v>
      </c>
      <c r="N1281" s="16" t="s">
        <v>5593</v>
      </c>
      <c r="O1281" s="23">
        <v>5</v>
      </c>
      <c r="P1281" s="24" t="e">
        <f>VLOOKUP(I1281,#REF!,2,0)</f>
        <v>#REF!</v>
      </c>
      <c r="Q1281" s="25"/>
      <c r="R1281" s="24"/>
      <c r="S1281" s="26"/>
      <c r="T1281" s="24"/>
      <c r="U1281" s="26"/>
      <c r="V1281" s="26"/>
      <c r="W1281" s="27">
        <v>970</v>
      </c>
      <c r="X1281" s="28"/>
    </row>
    <row r="1282" spans="1:32">
      <c r="A1282" s="31" t="s">
        <v>4174</v>
      </c>
      <c r="B1282" s="32" t="s">
        <v>4175</v>
      </c>
      <c r="C1282" s="33" t="s">
        <v>1508</v>
      </c>
      <c r="D1282" s="34" t="e">
        <f>VLOOKUP(C1282,#REF!,2,0)</f>
        <v>#REF!</v>
      </c>
      <c r="E1282" s="20" t="e">
        <f>VLOOKUP(D1282,数据集标准分类!E:F,2,0)</f>
        <v>#REF!</v>
      </c>
      <c r="F1282" s="36">
        <v>44</v>
      </c>
      <c r="G1282" s="37" t="s">
        <v>1514</v>
      </c>
      <c r="H1282" s="37" t="s">
        <v>6128</v>
      </c>
      <c r="I1282" s="37" t="s">
        <v>1517</v>
      </c>
      <c r="J1282" s="37" t="s">
        <v>1515</v>
      </c>
      <c r="K1282" s="37" t="s">
        <v>1517</v>
      </c>
      <c r="L1282" s="37" t="s">
        <v>1518</v>
      </c>
      <c r="M1282" s="31" t="s">
        <v>5593</v>
      </c>
      <c r="N1282" s="31" t="s">
        <v>5595</v>
      </c>
      <c r="O1282" s="38">
        <v>6</v>
      </c>
      <c r="P1282" s="39" t="e">
        <f>VLOOKUP(I1282,#REF!,2,0)</f>
        <v>#REF!</v>
      </c>
      <c r="Q1282" s="207"/>
      <c r="R1282" s="39"/>
      <c r="S1282" s="208"/>
      <c r="T1282" s="39"/>
      <c r="U1282" s="208"/>
      <c r="V1282" s="41"/>
      <c r="W1282" s="42">
        <v>971</v>
      </c>
      <c r="X1282" s="43"/>
      <c r="Y1282" s="44"/>
      <c r="Z1282" s="44"/>
      <c r="AA1282" s="44"/>
      <c r="AB1282" s="44"/>
      <c r="AC1282" s="44"/>
      <c r="AD1282" s="44"/>
      <c r="AE1282" s="44"/>
      <c r="AF1282" s="44"/>
    </row>
    <row r="1283" ht="31" spans="1:32">
      <c r="A1283" s="31" t="s">
        <v>4174</v>
      </c>
      <c r="B1283" s="32" t="s">
        <v>4175</v>
      </c>
      <c r="C1283" s="33" t="s">
        <v>1508</v>
      </c>
      <c r="D1283" s="34" t="e">
        <f>VLOOKUP(C1283,#REF!,2,0)</f>
        <v>#REF!</v>
      </c>
      <c r="E1283" s="20" t="e">
        <f>VLOOKUP(D1283,数据集标准分类!E:F,2,0)</f>
        <v>#REF!</v>
      </c>
      <c r="F1283" s="36">
        <v>44</v>
      </c>
      <c r="G1283" s="37" t="s">
        <v>177</v>
      </c>
      <c r="H1283" s="37" t="s">
        <v>6129</v>
      </c>
      <c r="I1283" s="37" t="s">
        <v>180</v>
      </c>
      <c r="J1283" s="37" t="s">
        <v>178</v>
      </c>
      <c r="K1283" s="37" t="s">
        <v>180</v>
      </c>
      <c r="L1283" s="37" t="s">
        <v>181</v>
      </c>
      <c r="M1283" s="31" t="s">
        <v>5593</v>
      </c>
      <c r="N1283" s="31" t="s">
        <v>5595</v>
      </c>
      <c r="O1283" s="38">
        <v>7</v>
      </c>
      <c r="P1283" s="39" t="e">
        <f>VLOOKUP(I1283,#REF!,2,0)</f>
        <v>#REF!</v>
      </c>
      <c r="Q1283" s="207"/>
      <c r="R1283" s="39"/>
      <c r="S1283" s="208"/>
      <c r="T1283" s="39"/>
      <c r="U1283" s="208"/>
      <c r="V1283" s="41"/>
      <c r="W1283" s="42">
        <v>972</v>
      </c>
      <c r="X1283" s="43"/>
      <c r="Y1283" s="44"/>
      <c r="Z1283" s="44"/>
      <c r="AA1283" s="44"/>
      <c r="AB1283" s="44"/>
      <c r="AC1283" s="44"/>
      <c r="AD1283" s="44"/>
      <c r="AE1283" s="44"/>
      <c r="AF1283" s="44"/>
    </row>
    <row r="1284" ht="31" spans="1:32">
      <c r="A1284" s="31" t="s">
        <v>4174</v>
      </c>
      <c r="B1284" s="32" t="s">
        <v>4175</v>
      </c>
      <c r="C1284" s="33" t="s">
        <v>1508</v>
      </c>
      <c r="D1284" s="34" t="e">
        <f>VLOOKUP(C1284,#REF!,2,0)</f>
        <v>#REF!</v>
      </c>
      <c r="E1284" s="20" t="e">
        <f>VLOOKUP(D1284,数据集标准分类!E:F,2,0)</f>
        <v>#REF!</v>
      </c>
      <c r="F1284" s="36">
        <v>44</v>
      </c>
      <c r="G1284" s="37" t="s">
        <v>1519</v>
      </c>
      <c r="H1284" s="37" t="s">
        <v>6130</v>
      </c>
      <c r="I1284" s="37" t="s">
        <v>1522</v>
      </c>
      <c r="J1284" s="37" t="s">
        <v>1520</v>
      </c>
      <c r="K1284" s="37" t="s">
        <v>1522</v>
      </c>
      <c r="L1284" s="37" t="s">
        <v>1523</v>
      </c>
      <c r="M1284" s="31" t="s">
        <v>5593</v>
      </c>
      <c r="N1284" s="31" t="s">
        <v>5595</v>
      </c>
      <c r="O1284" s="38">
        <v>8</v>
      </c>
      <c r="P1284" s="39" t="e">
        <f>VLOOKUP(I1284,#REF!,2,0)</f>
        <v>#REF!</v>
      </c>
      <c r="Q1284" s="207"/>
      <c r="R1284" s="39"/>
      <c r="S1284" s="208"/>
      <c r="T1284" s="39"/>
      <c r="U1284" s="208"/>
      <c r="V1284" s="41"/>
      <c r="W1284" s="42">
        <v>973</v>
      </c>
      <c r="X1284" s="43"/>
      <c r="Y1284" s="44"/>
      <c r="Z1284" s="44"/>
      <c r="AA1284" s="44"/>
      <c r="AB1284" s="44"/>
      <c r="AC1284" s="44"/>
      <c r="AD1284" s="44"/>
      <c r="AE1284" s="44"/>
      <c r="AF1284" s="44"/>
    </row>
    <row r="1285" ht="31" spans="1:32">
      <c r="A1285" s="31" t="s">
        <v>4174</v>
      </c>
      <c r="B1285" s="32" t="s">
        <v>4175</v>
      </c>
      <c r="C1285" s="33" t="s">
        <v>1508</v>
      </c>
      <c r="D1285" s="34" t="e">
        <f>VLOOKUP(C1285,#REF!,2,0)</f>
        <v>#REF!</v>
      </c>
      <c r="E1285" s="20" t="e">
        <f>VLOOKUP(D1285,数据集标准分类!E:F,2,0)</f>
        <v>#REF!</v>
      </c>
      <c r="F1285" s="36">
        <v>44</v>
      </c>
      <c r="G1285" s="37" t="s">
        <v>182</v>
      </c>
      <c r="H1285" s="37" t="s">
        <v>6131</v>
      </c>
      <c r="I1285" s="37" t="s">
        <v>185</v>
      </c>
      <c r="J1285" s="37" t="s">
        <v>183</v>
      </c>
      <c r="K1285" s="37" t="s">
        <v>185</v>
      </c>
      <c r="L1285" s="37" t="s">
        <v>186</v>
      </c>
      <c r="M1285" s="31" t="s">
        <v>5593</v>
      </c>
      <c r="N1285" s="31" t="s">
        <v>5595</v>
      </c>
      <c r="O1285" s="38">
        <v>9</v>
      </c>
      <c r="P1285" s="39" t="e">
        <f>VLOOKUP(I1285,#REF!,2,0)</f>
        <v>#REF!</v>
      </c>
      <c r="Q1285" s="207"/>
      <c r="R1285" s="39"/>
      <c r="S1285" s="208"/>
      <c r="T1285" s="39"/>
      <c r="U1285" s="208"/>
      <c r="V1285" s="41"/>
      <c r="W1285" s="42">
        <v>974</v>
      </c>
      <c r="X1285" s="43"/>
      <c r="Y1285" s="44"/>
      <c r="Z1285" s="44"/>
      <c r="AA1285" s="44"/>
      <c r="AB1285" s="44"/>
      <c r="AC1285" s="44"/>
      <c r="AD1285" s="44"/>
      <c r="AE1285" s="44"/>
      <c r="AF1285" s="44"/>
    </row>
    <row r="1286" ht="31" spans="1:32">
      <c r="A1286" s="31" t="s">
        <v>4174</v>
      </c>
      <c r="B1286" s="32" t="s">
        <v>4175</v>
      </c>
      <c r="C1286" s="33" t="s">
        <v>1508</v>
      </c>
      <c r="D1286" s="34" t="e">
        <f>VLOOKUP(C1286,#REF!,2,0)</f>
        <v>#REF!</v>
      </c>
      <c r="E1286" s="20" t="e">
        <f>VLOOKUP(D1286,数据集标准分类!E:F,2,0)</f>
        <v>#REF!</v>
      </c>
      <c r="F1286" s="36">
        <v>44</v>
      </c>
      <c r="G1286" s="37" t="s">
        <v>789</v>
      </c>
      <c r="H1286" s="37" t="s">
        <v>790</v>
      </c>
      <c r="I1286" s="37" t="s">
        <v>791</v>
      </c>
      <c r="J1286" s="37" t="s">
        <v>790</v>
      </c>
      <c r="K1286" s="37" t="s">
        <v>791</v>
      </c>
      <c r="L1286" s="37" t="s">
        <v>792</v>
      </c>
      <c r="M1286" s="31" t="s">
        <v>5595</v>
      </c>
      <c r="N1286" s="31" t="s">
        <v>5595</v>
      </c>
      <c r="O1286" s="38">
        <v>10</v>
      </c>
      <c r="P1286" s="39" t="e">
        <f>VLOOKUP(I1286,#REF!,2,0)</f>
        <v>#REF!</v>
      </c>
      <c r="Q1286" s="207"/>
      <c r="R1286" s="39"/>
      <c r="S1286" s="208"/>
      <c r="T1286" s="39"/>
      <c r="U1286" s="208" t="s">
        <v>5593</v>
      </c>
      <c r="V1286" s="41"/>
      <c r="W1286" s="42">
        <v>975</v>
      </c>
      <c r="X1286" s="43"/>
      <c r="Y1286" s="44"/>
      <c r="Z1286" s="44"/>
      <c r="AA1286" s="44"/>
      <c r="AB1286" s="44"/>
      <c r="AC1286" s="44"/>
      <c r="AD1286" s="44"/>
      <c r="AE1286" s="44"/>
      <c r="AF1286" s="44"/>
    </row>
    <row r="1287" spans="1:32">
      <c r="A1287" s="31" t="s">
        <v>4174</v>
      </c>
      <c r="B1287" s="32" t="s">
        <v>4175</v>
      </c>
      <c r="C1287" s="33" t="s">
        <v>1508</v>
      </c>
      <c r="D1287" s="34" t="e">
        <f>VLOOKUP(C1287,#REF!,2,0)</f>
        <v>#REF!</v>
      </c>
      <c r="E1287" s="20" t="e">
        <f>VLOOKUP(D1287,数据集标准分类!E:F,2,0)</f>
        <v>#REF!</v>
      </c>
      <c r="F1287" s="36">
        <v>44</v>
      </c>
      <c r="G1287" s="225" t="s">
        <v>1524</v>
      </c>
      <c r="H1287" s="225" t="s">
        <v>6132</v>
      </c>
      <c r="I1287" s="209" t="s">
        <v>1527</v>
      </c>
      <c r="J1287" s="37" t="s">
        <v>1525</v>
      </c>
      <c r="K1287" s="37" t="s">
        <v>1527</v>
      </c>
      <c r="L1287" s="37" t="s">
        <v>1528</v>
      </c>
      <c r="M1287" s="31" t="s">
        <v>5593</v>
      </c>
      <c r="N1287" s="31" t="s">
        <v>5595</v>
      </c>
      <c r="O1287" s="38">
        <v>11</v>
      </c>
      <c r="P1287" s="39" t="e">
        <f>VLOOKUP(I1287,#REF!,2,0)</f>
        <v>#REF!</v>
      </c>
      <c r="Q1287" s="207"/>
      <c r="R1287" s="39"/>
      <c r="S1287" s="208"/>
      <c r="T1287" s="39"/>
      <c r="U1287" s="208"/>
      <c r="V1287" s="41"/>
      <c r="W1287" s="42">
        <v>976</v>
      </c>
      <c r="X1287" s="43"/>
      <c r="Y1287" s="44"/>
      <c r="Z1287" s="44"/>
      <c r="AA1287" s="44"/>
      <c r="AB1287" s="44"/>
      <c r="AC1287" s="44"/>
      <c r="AD1287" s="44"/>
      <c r="AE1287" s="44"/>
      <c r="AF1287" s="44"/>
    </row>
    <row r="1288" spans="1:32">
      <c r="A1288" s="16" t="s">
        <v>4174</v>
      </c>
      <c r="B1288" s="17" t="s">
        <v>4175</v>
      </c>
      <c r="C1288" s="30" t="s">
        <v>1508</v>
      </c>
      <c r="D1288" s="19" t="e">
        <f>VLOOKUP(C1288,#REF!,2,0)</f>
        <v>#REF!</v>
      </c>
      <c r="E1288" s="20" t="e">
        <f>VLOOKUP(D1288,数据集标准分类!E:F,2,0)</f>
        <v>#REF!</v>
      </c>
      <c r="F1288" s="21">
        <v>44</v>
      </c>
      <c r="G1288" s="22" t="s">
        <v>966</v>
      </c>
      <c r="H1288" s="22" t="s">
        <v>5715</v>
      </c>
      <c r="I1288" s="22" t="s">
        <v>969</v>
      </c>
      <c r="J1288" s="22" t="s">
        <v>967</v>
      </c>
      <c r="K1288" s="22" t="s">
        <v>969</v>
      </c>
      <c r="L1288" s="22" t="s">
        <v>970</v>
      </c>
      <c r="M1288" s="16" t="s">
        <v>5593</v>
      </c>
      <c r="N1288" s="16" t="s">
        <v>5595</v>
      </c>
      <c r="O1288" s="23">
        <v>12</v>
      </c>
      <c r="P1288" s="24" t="e">
        <f>VLOOKUP(I1288,#REF!,2,0)</f>
        <v>#REF!</v>
      </c>
      <c r="Q1288" s="25"/>
      <c r="R1288" s="24"/>
      <c r="S1288" s="26"/>
      <c r="T1288" s="24"/>
      <c r="U1288" s="26"/>
      <c r="V1288" s="26"/>
      <c r="W1288" s="27">
        <v>977</v>
      </c>
      <c r="X1288" s="28"/>
    </row>
    <row r="1289" ht="46" spans="1:32">
      <c r="A1289" s="16" t="s">
        <v>4174</v>
      </c>
      <c r="B1289" s="17" t="s">
        <v>4175</v>
      </c>
      <c r="C1289" s="30" t="s">
        <v>1508</v>
      </c>
      <c r="D1289" s="19" t="e">
        <f>VLOOKUP(C1289,#REF!,2,0)</f>
        <v>#REF!</v>
      </c>
      <c r="E1289" s="20" t="e">
        <f>VLOOKUP(D1289,数据集标准分类!E:F,2,0)</f>
        <v>#REF!</v>
      </c>
      <c r="F1289" s="21">
        <v>44</v>
      </c>
      <c r="G1289" s="22" t="s">
        <v>1529</v>
      </c>
      <c r="H1289" s="22" t="s">
        <v>1530</v>
      </c>
      <c r="I1289" s="22" t="s">
        <v>1532</v>
      </c>
      <c r="J1289" s="22" t="s">
        <v>1530</v>
      </c>
      <c r="K1289" s="22" t="s">
        <v>1532</v>
      </c>
      <c r="L1289" s="22" t="s">
        <v>1533</v>
      </c>
      <c r="M1289" s="16" t="s">
        <v>5595</v>
      </c>
      <c r="N1289" s="16" t="s">
        <v>5595</v>
      </c>
      <c r="O1289" s="23">
        <v>13</v>
      </c>
      <c r="P1289" s="24" t="e">
        <f>VLOOKUP(I1289,#REF!,2,0)</f>
        <v>#REF!</v>
      </c>
      <c r="Q1289" s="25"/>
      <c r="R1289" s="24"/>
      <c r="S1289" s="26"/>
      <c r="T1289" s="24"/>
      <c r="U1289" s="26"/>
      <c r="V1289" s="26"/>
      <c r="W1289" s="27">
        <v>978</v>
      </c>
      <c r="X1289" s="28"/>
    </row>
    <row r="1290" ht="31" spans="1:32">
      <c r="A1290" s="16" t="s">
        <v>4174</v>
      </c>
      <c r="B1290" s="17" t="s">
        <v>4175</v>
      </c>
      <c r="C1290" s="30" t="s">
        <v>1508</v>
      </c>
      <c r="D1290" s="19" t="e">
        <f>VLOOKUP(C1290,#REF!,2,0)</f>
        <v>#REF!</v>
      </c>
      <c r="E1290" s="20" t="e">
        <f>VLOOKUP(D1290,数据集标准分类!E:F,2,0)</f>
        <v>#REF!</v>
      </c>
      <c r="F1290" s="21">
        <v>44</v>
      </c>
      <c r="G1290" s="22" t="s">
        <v>1534</v>
      </c>
      <c r="H1290" s="22" t="s">
        <v>1535</v>
      </c>
      <c r="I1290" s="22" t="s">
        <v>1537</v>
      </c>
      <c r="J1290" s="22" t="s">
        <v>1535</v>
      </c>
      <c r="K1290" s="22" t="s">
        <v>1537</v>
      </c>
      <c r="L1290" s="22" t="s">
        <v>1538</v>
      </c>
      <c r="M1290" s="16" t="s">
        <v>5595</v>
      </c>
      <c r="N1290" s="16" t="s">
        <v>5595</v>
      </c>
      <c r="O1290" s="23">
        <v>14</v>
      </c>
      <c r="P1290" s="24" t="e">
        <f>VLOOKUP(I1290,#REF!,2,0)</f>
        <v>#REF!</v>
      </c>
      <c r="Q1290" s="25"/>
      <c r="R1290" s="24"/>
      <c r="S1290" s="26"/>
      <c r="T1290" s="24"/>
      <c r="U1290" s="26"/>
      <c r="V1290" s="26"/>
      <c r="W1290" s="27">
        <v>979</v>
      </c>
      <c r="X1290" s="28"/>
    </row>
    <row r="1291" ht="46" spans="1:32">
      <c r="A1291" s="16" t="s">
        <v>4174</v>
      </c>
      <c r="B1291" s="17" t="s">
        <v>4175</v>
      </c>
      <c r="C1291" s="30" t="s">
        <v>1508</v>
      </c>
      <c r="D1291" s="19" t="e">
        <f>VLOOKUP(C1291,#REF!,2,0)</f>
        <v>#REF!</v>
      </c>
      <c r="E1291" s="20" t="e">
        <f>VLOOKUP(D1291,数据集标准分类!E:F,2,0)</f>
        <v>#REF!</v>
      </c>
      <c r="F1291" s="21">
        <v>44</v>
      </c>
      <c r="G1291" s="22" t="s">
        <v>1539</v>
      </c>
      <c r="H1291" s="22" t="s">
        <v>6133</v>
      </c>
      <c r="I1291" s="22" t="s">
        <v>1542</v>
      </c>
      <c r="J1291" s="22" t="s">
        <v>1540</v>
      </c>
      <c r="K1291" s="22" t="s">
        <v>1542</v>
      </c>
      <c r="L1291" s="22" t="s">
        <v>1543</v>
      </c>
      <c r="M1291" s="16" t="s">
        <v>5593</v>
      </c>
      <c r="N1291" s="16" t="s">
        <v>5595</v>
      </c>
      <c r="O1291" s="23">
        <v>15</v>
      </c>
      <c r="P1291" s="24" t="e">
        <f>VLOOKUP(I1291,#REF!,2,0)</f>
        <v>#REF!</v>
      </c>
      <c r="Q1291" s="25"/>
      <c r="R1291" s="24"/>
      <c r="S1291" s="26"/>
      <c r="T1291" s="24"/>
      <c r="U1291" s="26"/>
      <c r="V1291" s="26"/>
      <c r="W1291" s="27">
        <v>980</v>
      </c>
      <c r="X1291" s="28"/>
    </row>
    <row r="1292" ht="46" spans="1:32">
      <c r="A1292" s="24" t="s">
        <v>4174</v>
      </c>
      <c r="B1292" s="27" t="s">
        <v>4175</v>
      </c>
      <c r="C1292" s="30" t="s">
        <v>1508</v>
      </c>
      <c r="D1292" s="19" t="e">
        <f>VLOOKUP(C1292,#REF!,2,0)</f>
        <v>#REF!</v>
      </c>
      <c r="E1292" s="45" t="e">
        <f>VLOOKUP(D1292,数据集标准分类!E:F,2,0)</f>
        <v>#REF!</v>
      </c>
      <c r="F1292" s="21">
        <v>44</v>
      </c>
      <c r="G1292" s="65" t="s">
        <v>1544</v>
      </c>
      <c r="H1292" s="29" t="s">
        <v>6134</v>
      </c>
      <c r="I1292" s="29" t="s">
        <v>6135</v>
      </c>
      <c r="J1292" s="29" t="s">
        <v>1545</v>
      </c>
      <c r="K1292" s="29" t="s">
        <v>1547</v>
      </c>
      <c r="L1292" s="29" t="s">
        <v>1548</v>
      </c>
      <c r="M1292" s="24" t="s">
        <v>5593</v>
      </c>
      <c r="N1292" s="24" t="s">
        <v>5593</v>
      </c>
      <c r="O1292" s="46"/>
      <c r="P1292" s="24" t="e">
        <f>VLOOKUP(I1292,#REF!,2,0)</f>
        <v>#REF!</v>
      </c>
      <c r="Q1292" s="226"/>
      <c r="R1292" s="24"/>
      <c r="S1292" s="227"/>
      <c r="T1292" s="24"/>
      <c r="U1292" s="48"/>
      <c r="V1292" s="48"/>
      <c r="W1292" s="27">
        <v>981</v>
      </c>
      <c r="X1292" s="28"/>
      <c r="Y1292" s="5"/>
      <c r="Z1292" s="5"/>
      <c r="AA1292" s="5"/>
      <c r="AB1292" s="5"/>
      <c r="AC1292" s="5"/>
      <c r="AD1292" s="5"/>
      <c r="AE1292" s="5"/>
      <c r="AF1292" s="5"/>
    </row>
    <row r="1293" ht="31" spans="1:32">
      <c r="A1293" s="24" t="s">
        <v>4174</v>
      </c>
      <c r="B1293" s="27" t="s">
        <v>4175</v>
      </c>
      <c r="C1293" s="30" t="s">
        <v>1508</v>
      </c>
      <c r="D1293" s="19" t="e">
        <f>VLOOKUP(C1293,#REF!,2,0)</f>
        <v>#REF!</v>
      </c>
      <c r="E1293" s="45" t="e">
        <f>VLOOKUP(D1293,数据集标准分类!E:F,2,0)</f>
        <v>#REF!</v>
      </c>
      <c r="F1293" s="21">
        <v>44</v>
      </c>
      <c r="G1293" s="228" t="s">
        <v>1549</v>
      </c>
      <c r="H1293" s="29" t="s">
        <v>6136</v>
      </c>
      <c r="I1293" s="29" t="s">
        <v>6137</v>
      </c>
      <c r="J1293" s="29" t="s">
        <v>1550</v>
      </c>
      <c r="K1293" s="29" t="s">
        <v>1552</v>
      </c>
      <c r="L1293" s="29" t="s">
        <v>1553</v>
      </c>
      <c r="M1293" s="24" t="s">
        <v>5593</v>
      </c>
      <c r="N1293" s="24" t="s">
        <v>5593</v>
      </c>
      <c r="O1293" s="46"/>
      <c r="P1293" s="24" t="e">
        <f>VLOOKUP(I1293,#REF!,2,0)</f>
        <v>#REF!</v>
      </c>
      <c r="Q1293" s="47"/>
      <c r="R1293" s="24"/>
      <c r="S1293" s="48"/>
      <c r="T1293" s="24"/>
      <c r="U1293" s="48"/>
      <c r="V1293" s="48"/>
      <c r="W1293" s="27">
        <v>982</v>
      </c>
      <c r="X1293" s="28"/>
      <c r="Y1293" s="5"/>
      <c r="Z1293" s="5"/>
      <c r="AA1293" s="5"/>
      <c r="AB1293" s="5"/>
      <c r="AC1293" s="5"/>
      <c r="AD1293" s="5"/>
      <c r="AE1293" s="5"/>
      <c r="AF1293" s="5"/>
    </row>
    <row r="1294" ht="31" spans="1:32">
      <c r="A1294" s="31" t="s">
        <v>4174</v>
      </c>
      <c r="B1294" s="32" t="s">
        <v>4175</v>
      </c>
      <c r="C1294" s="33" t="s">
        <v>1508</v>
      </c>
      <c r="D1294" s="34" t="e">
        <f>VLOOKUP(C1294,#REF!,2,0)</f>
        <v>#REF!</v>
      </c>
      <c r="E1294" s="20" t="e">
        <f>VLOOKUP(D1294,数据集标准分类!E:F,2,0)</f>
        <v>#REF!</v>
      </c>
      <c r="F1294" s="36">
        <v>44</v>
      </c>
      <c r="G1294" s="37" t="s">
        <v>1115</v>
      </c>
      <c r="H1294" s="37" t="s">
        <v>1116</v>
      </c>
      <c r="I1294" s="37" t="s">
        <v>6138</v>
      </c>
      <c r="J1294" s="37" t="s">
        <v>1116</v>
      </c>
      <c r="K1294" s="37" t="s">
        <v>1118</v>
      </c>
      <c r="L1294" s="37" t="s">
        <v>1554</v>
      </c>
      <c r="M1294" s="31" t="s">
        <v>5595</v>
      </c>
      <c r="N1294" s="31" t="s">
        <v>5593</v>
      </c>
      <c r="O1294" s="38">
        <v>17</v>
      </c>
      <c r="P1294" s="39" t="e">
        <f>VLOOKUP(I1294,#REF!,2,0)</f>
        <v>#REF!</v>
      </c>
      <c r="Q1294" s="207"/>
      <c r="R1294" s="39"/>
      <c r="S1294" s="208"/>
      <c r="T1294" s="39"/>
      <c r="U1294" s="208"/>
      <c r="V1294" s="41"/>
      <c r="W1294" s="42">
        <v>983</v>
      </c>
      <c r="X1294" s="43"/>
      <c r="Y1294" s="44"/>
      <c r="Z1294" s="44"/>
      <c r="AA1294" s="44"/>
      <c r="AB1294" s="44"/>
      <c r="AC1294" s="44"/>
      <c r="AD1294" s="44"/>
      <c r="AE1294" s="44"/>
      <c r="AF1294" s="44"/>
    </row>
    <row r="1295" ht="36" customHeight="1" spans="1:32">
      <c r="A1295" s="39" t="s">
        <v>4174</v>
      </c>
      <c r="B1295" s="42" t="s">
        <v>4175</v>
      </c>
      <c r="C1295" s="33" t="s">
        <v>1508</v>
      </c>
      <c r="D1295" s="34" t="e">
        <f>VLOOKUP(C1295,#REF!,2,0)</f>
        <v>#REF!</v>
      </c>
      <c r="E1295" s="45" t="e">
        <f>VLOOKUP(D1295,数据集标准分类!E:F,2,0)</f>
        <v>#REF!</v>
      </c>
      <c r="F1295" s="36">
        <v>44</v>
      </c>
      <c r="G1295" s="37" t="s">
        <v>1418</v>
      </c>
      <c r="H1295" s="37" t="s">
        <v>1419</v>
      </c>
      <c r="I1295" s="37" t="s">
        <v>1421</v>
      </c>
      <c r="J1295" s="37" t="s">
        <v>1419</v>
      </c>
      <c r="K1295" s="37" t="s">
        <v>1421</v>
      </c>
      <c r="L1295" s="37" t="s">
        <v>1555</v>
      </c>
      <c r="M1295" s="39" t="s">
        <v>5595</v>
      </c>
      <c r="N1295" s="39" t="s">
        <v>5595</v>
      </c>
      <c r="O1295" s="229">
        <v>16</v>
      </c>
      <c r="P1295" s="39" t="e">
        <f>VLOOKUP(I1295,#REF!,2,0)</f>
        <v>#REF!</v>
      </c>
      <c r="Q1295" s="207"/>
      <c r="R1295" s="39"/>
      <c r="S1295" s="208"/>
      <c r="T1295" s="39"/>
      <c r="U1295" s="208"/>
      <c r="V1295" s="41"/>
      <c r="W1295" s="42">
        <v>984</v>
      </c>
      <c r="X1295" s="43"/>
      <c r="Y1295" s="44"/>
      <c r="Z1295" s="44"/>
      <c r="AA1295" s="44"/>
      <c r="AB1295" s="44"/>
      <c r="AC1295" s="44"/>
      <c r="AD1295" s="44"/>
      <c r="AE1295" s="44"/>
      <c r="AF1295" s="44"/>
    </row>
    <row r="1296" spans="1:32">
      <c r="A1296" s="39" t="s">
        <v>4174</v>
      </c>
      <c r="B1296" s="42" t="s">
        <v>4175</v>
      </c>
      <c r="C1296" s="33" t="s">
        <v>1508</v>
      </c>
      <c r="D1296" s="34" t="e">
        <f>VLOOKUP(C1296,#REF!,2,0)</f>
        <v>#REF!</v>
      </c>
      <c r="E1296" s="45" t="e">
        <f>VLOOKUP(D1296,数据集标准分类!E:F,2,0)</f>
        <v>#REF!</v>
      </c>
      <c r="F1296" s="36">
        <v>44</v>
      </c>
      <c r="G1296" s="209" t="s">
        <v>1556</v>
      </c>
      <c r="H1296" s="209" t="s">
        <v>1557</v>
      </c>
      <c r="I1296" s="209" t="s">
        <v>1559</v>
      </c>
      <c r="J1296" s="209" t="s">
        <v>1557</v>
      </c>
      <c r="K1296" s="209" t="s">
        <v>1559</v>
      </c>
      <c r="L1296" s="209" t="s">
        <v>1559</v>
      </c>
      <c r="M1296" s="208" t="s">
        <v>5595</v>
      </c>
      <c r="N1296" s="208" t="s">
        <v>5595</v>
      </c>
      <c r="O1296" s="230"/>
      <c r="P1296" s="39" t="e">
        <f>VLOOKUP(I1296,#REF!,2,0)</f>
        <v>#REF!</v>
      </c>
      <c r="Q1296" s="40"/>
      <c r="R1296" s="39"/>
      <c r="S1296" s="41"/>
      <c r="T1296" s="39"/>
      <c r="U1296" s="41"/>
      <c r="V1296" s="41"/>
      <c r="W1296" s="42">
        <v>985</v>
      </c>
      <c r="X1296" s="43"/>
      <c r="Y1296" s="44"/>
      <c r="Z1296" s="44"/>
      <c r="AA1296" s="44"/>
      <c r="AB1296" s="44"/>
      <c r="AC1296" s="44"/>
      <c r="AD1296" s="44"/>
      <c r="AE1296" s="44"/>
      <c r="AF1296" s="44"/>
    </row>
    <row r="1297" spans="1:32">
      <c r="A1297" s="31" t="s">
        <v>4174</v>
      </c>
      <c r="B1297" s="32" t="s">
        <v>4175</v>
      </c>
      <c r="C1297" s="33" t="s">
        <v>1778</v>
      </c>
      <c r="D1297" s="34" t="e">
        <f>VLOOKUP(C1297,#REF!,2,0)</f>
        <v>#REF!</v>
      </c>
      <c r="E1297" s="20" t="e">
        <f>VLOOKUP(D1297,数据集标准分类!E:F,2,0)</f>
        <v>#REF!</v>
      </c>
      <c r="F1297" s="36">
        <v>45</v>
      </c>
      <c r="G1297" s="37" t="s">
        <v>1509</v>
      </c>
      <c r="H1297" s="37" t="s">
        <v>5871</v>
      </c>
      <c r="I1297" s="37" t="s">
        <v>1512</v>
      </c>
      <c r="J1297" s="37" t="s">
        <v>1510</v>
      </c>
      <c r="K1297" s="37" t="s">
        <v>1512</v>
      </c>
      <c r="L1297" s="37" t="s">
        <v>1513</v>
      </c>
      <c r="M1297" s="31" t="s">
        <v>5593</v>
      </c>
      <c r="N1297" s="31" t="s">
        <v>5595</v>
      </c>
      <c r="O1297" s="38">
        <v>1</v>
      </c>
      <c r="P1297" s="39" t="e">
        <f>VLOOKUP(I1297,#REF!,2,0)</f>
        <v>#REF!</v>
      </c>
      <c r="Q1297" s="40"/>
      <c r="R1297" s="39"/>
      <c r="S1297" s="41"/>
      <c r="T1297" s="39"/>
      <c r="U1297" s="41"/>
      <c r="V1297" s="41"/>
      <c r="W1297" s="42">
        <v>986</v>
      </c>
      <c r="X1297" s="43"/>
      <c r="Y1297" s="44"/>
      <c r="Z1297" s="44"/>
      <c r="AA1297" s="44"/>
      <c r="AB1297" s="44"/>
      <c r="AC1297" s="44"/>
      <c r="AD1297" s="44"/>
      <c r="AE1297" s="44"/>
      <c r="AF1297" s="44"/>
    </row>
    <row r="1298" ht="31" spans="1:32">
      <c r="A1298" s="16" t="s">
        <v>4174</v>
      </c>
      <c r="B1298" s="17" t="s">
        <v>4175</v>
      </c>
      <c r="C1298" s="30" t="s">
        <v>1778</v>
      </c>
      <c r="D1298" s="19" t="e">
        <f>VLOOKUP(C1298,#REF!,2,0)</f>
        <v>#REF!</v>
      </c>
      <c r="E1298" s="20" t="e">
        <f>VLOOKUP(D1298,数据集标准分类!E:F,2,0)</f>
        <v>#REF!</v>
      </c>
      <c r="F1298" s="21">
        <v>45</v>
      </c>
      <c r="G1298" s="22" t="s">
        <v>172</v>
      </c>
      <c r="H1298" s="22" t="s">
        <v>5639</v>
      </c>
      <c r="I1298" s="22" t="s">
        <v>5640</v>
      </c>
      <c r="J1298" s="22" t="s">
        <v>173</v>
      </c>
      <c r="K1298" s="22" t="s">
        <v>175</v>
      </c>
      <c r="L1298" s="22" t="s">
        <v>1587</v>
      </c>
      <c r="M1298" s="16" t="s">
        <v>5593</v>
      </c>
      <c r="N1298" s="16" t="s">
        <v>5593</v>
      </c>
      <c r="O1298" s="23">
        <v>2</v>
      </c>
      <c r="P1298" s="24" t="e">
        <f>VLOOKUP(I1298,#REF!,2,0)</f>
        <v>#REF!</v>
      </c>
      <c r="Q1298" s="25"/>
      <c r="R1298" s="24"/>
      <c r="S1298" s="26"/>
      <c r="T1298" s="24"/>
      <c r="U1298" s="26"/>
      <c r="V1298" s="26"/>
      <c r="W1298" s="27">
        <v>987</v>
      </c>
      <c r="X1298" s="28"/>
    </row>
    <row r="1299" spans="1:32">
      <c r="A1299" s="50" t="s">
        <v>4174</v>
      </c>
      <c r="B1299" s="51" t="s">
        <v>4175</v>
      </c>
      <c r="C1299" s="52" t="s">
        <v>1778</v>
      </c>
      <c r="D1299" s="53" t="e">
        <f>VLOOKUP(C1299,#REF!,2,0)</f>
        <v>#REF!</v>
      </c>
      <c r="E1299" s="20" t="e">
        <f>VLOOKUP(D1299,数据集标准分类!E:F,2,0)</f>
        <v>#REF!</v>
      </c>
      <c r="F1299" s="54">
        <v>45</v>
      </c>
      <c r="G1299" s="55" t="s">
        <v>1063</v>
      </c>
      <c r="H1299" s="55" t="s">
        <v>1064</v>
      </c>
      <c r="I1299" s="55" t="s">
        <v>1066</v>
      </c>
      <c r="J1299" s="55" t="s">
        <v>1064</v>
      </c>
      <c r="K1299" s="55" t="s">
        <v>1066</v>
      </c>
      <c r="L1299" s="55" t="s">
        <v>1067</v>
      </c>
      <c r="M1299" s="50" t="s">
        <v>5595</v>
      </c>
      <c r="N1299" s="50" t="s">
        <v>5595</v>
      </c>
      <c r="O1299" s="56">
        <v>3</v>
      </c>
      <c r="P1299" s="57" t="e">
        <f>VLOOKUP(I1299,#REF!,2,0)</f>
        <v>#REF!</v>
      </c>
      <c r="Q1299" s="58"/>
      <c r="R1299" s="57"/>
      <c r="S1299" s="59"/>
      <c r="T1299" s="57"/>
      <c r="U1299" s="59"/>
      <c r="V1299" s="59"/>
      <c r="W1299" s="60">
        <v>988</v>
      </c>
      <c r="X1299" s="61"/>
      <c r="Y1299" s="62"/>
      <c r="Z1299" s="62"/>
      <c r="AA1299" s="62"/>
      <c r="AB1299" s="62"/>
      <c r="AC1299" s="62"/>
      <c r="AD1299" s="62"/>
      <c r="AE1299" s="62"/>
      <c r="AF1299" s="62"/>
    </row>
    <row r="1300" ht="31" spans="1:32">
      <c r="A1300" s="16" t="s">
        <v>4174</v>
      </c>
      <c r="B1300" s="17" t="s">
        <v>4175</v>
      </c>
      <c r="C1300" s="30" t="s">
        <v>1778</v>
      </c>
      <c r="D1300" s="19" t="e">
        <f>VLOOKUP(C1300,#REF!,2,0)</f>
        <v>#REF!</v>
      </c>
      <c r="E1300" s="20" t="e">
        <f>VLOOKUP(D1300,数据集标准分类!E:F,2,0)</f>
        <v>#REF!</v>
      </c>
      <c r="F1300" s="21">
        <v>45</v>
      </c>
      <c r="G1300" s="22" t="s">
        <v>503</v>
      </c>
      <c r="H1300" s="22" t="s">
        <v>5591</v>
      </c>
      <c r="I1300" s="22" t="s">
        <v>5592</v>
      </c>
      <c r="J1300" s="22" t="s">
        <v>504</v>
      </c>
      <c r="K1300" s="22" t="s">
        <v>506</v>
      </c>
      <c r="L1300" s="22" t="s">
        <v>1779</v>
      </c>
      <c r="M1300" s="16" t="s">
        <v>5593</v>
      </c>
      <c r="N1300" s="16" t="s">
        <v>5593</v>
      </c>
      <c r="O1300" s="23">
        <v>4</v>
      </c>
      <c r="P1300" s="24" t="e">
        <f>VLOOKUP(I1300,#REF!,2,0)</f>
        <v>#REF!</v>
      </c>
      <c r="Q1300" s="25"/>
      <c r="R1300" s="24"/>
      <c r="S1300" s="26"/>
      <c r="T1300" s="24"/>
      <c r="U1300" s="26"/>
      <c r="V1300" s="26"/>
      <c r="W1300" s="27">
        <v>989</v>
      </c>
      <c r="X1300" s="28"/>
    </row>
    <row r="1301" ht="31" spans="1:32">
      <c r="A1301" s="16" t="s">
        <v>4174</v>
      </c>
      <c r="B1301" s="17" t="s">
        <v>4175</v>
      </c>
      <c r="C1301" s="30" t="s">
        <v>1778</v>
      </c>
      <c r="D1301" s="19" t="e">
        <f>VLOOKUP(C1301,#REF!,2,0)</f>
        <v>#REF!</v>
      </c>
      <c r="E1301" s="20" t="e">
        <f>VLOOKUP(D1301,数据集标准分类!E:F,2,0)</f>
        <v>#REF!</v>
      </c>
      <c r="F1301" s="21">
        <v>45</v>
      </c>
      <c r="G1301" s="22" t="s">
        <v>508</v>
      </c>
      <c r="H1301" s="22" t="s">
        <v>5594</v>
      </c>
      <c r="I1301" s="22" t="s">
        <v>511</v>
      </c>
      <c r="J1301" s="22" t="s">
        <v>509</v>
      </c>
      <c r="K1301" s="22" t="s">
        <v>511</v>
      </c>
      <c r="L1301" s="22" t="s">
        <v>116</v>
      </c>
      <c r="M1301" s="16" t="s">
        <v>5593</v>
      </c>
      <c r="N1301" s="16" t="s">
        <v>5595</v>
      </c>
      <c r="O1301" s="23">
        <v>5</v>
      </c>
      <c r="P1301" s="24" t="e">
        <f>VLOOKUP(I1301,#REF!,2,0)</f>
        <v>#REF!</v>
      </c>
      <c r="Q1301" s="25"/>
      <c r="R1301" s="24"/>
      <c r="S1301" s="26"/>
      <c r="T1301" s="24"/>
      <c r="U1301" s="26"/>
      <c r="V1301" s="26"/>
      <c r="W1301" s="27">
        <v>990</v>
      </c>
      <c r="X1301" s="28"/>
    </row>
    <row r="1302" ht="31" spans="1:32">
      <c r="A1302" s="16" t="s">
        <v>4174</v>
      </c>
      <c r="B1302" s="17" t="s">
        <v>4175</v>
      </c>
      <c r="C1302" s="30" t="s">
        <v>1778</v>
      </c>
      <c r="D1302" s="19" t="e">
        <f>VLOOKUP(C1302,#REF!,2,0)</f>
        <v>#REF!</v>
      </c>
      <c r="E1302" s="20" t="e">
        <f>VLOOKUP(D1302,数据集标准分类!E:F,2,0)</f>
        <v>#REF!</v>
      </c>
      <c r="F1302" s="21">
        <v>45</v>
      </c>
      <c r="G1302" s="22" t="s">
        <v>779</v>
      </c>
      <c r="H1302" s="22" t="s">
        <v>780</v>
      </c>
      <c r="I1302" s="22" t="s">
        <v>782</v>
      </c>
      <c r="J1302" s="22" t="s">
        <v>780</v>
      </c>
      <c r="K1302" s="22" t="s">
        <v>782</v>
      </c>
      <c r="L1302" s="22" t="s">
        <v>783</v>
      </c>
      <c r="M1302" s="16" t="s">
        <v>5595</v>
      </c>
      <c r="N1302" s="16" t="s">
        <v>5595</v>
      </c>
      <c r="O1302" s="23">
        <v>6</v>
      </c>
      <c r="P1302" s="24" t="e">
        <f>VLOOKUP(I1302,#REF!,2,0)</f>
        <v>#REF!</v>
      </c>
      <c r="Q1302" s="25"/>
      <c r="R1302" s="24"/>
      <c r="S1302" s="26"/>
      <c r="T1302" s="24"/>
      <c r="U1302" s="26"/>
      <c r="V1302" s="26"/>
      <c r="W1302" s="27">
        <v>991</v>
      </c>
      <c r="X1302" s="28"/>
    </row>
    <row r="1303" ht="31" spans="1:32">
      <c r="A1303" s="50" t="s">
        <v>4174</v>
      </c>
      <c r="B1303" s="51" t="s">
        <v>4175</v>
      </c>
      <c r="C1303" s="52" t="s">
        <v>1778</v>
      </c>
      <c r="D1303" s="53" t="e">
        <f>VLOOKUP(C1303,#REF!,2,0)</f>
        <v>#REF!</v>
      </c>
      <c r="E1303" s="20" t="e">
        <f>VLOOKUP(D1303,数据集标准分类!E:F,2,0)</f>
        <v>#REF!</v>
      </c>
      <c r="F1303" s="54">
        <v>45</v>
      </c>
      <c r="G1303" s="55" t="s">
        <v>1780</v>
      </c>
      <c r="H1303" s="55" t="s">
        <v>6139</v>
      </c>
      <c r="I1303" s="55" t="s">
        <v>1783</v>
      </c>
      <c r="J1303" s="55" t="s">
        <v>1781</v>
      </c>
      <c r="K1303" s="55" t="s">
        <v>1783</v>
      </c>
      <c r="L1303" s="55" t="s">
        <v>1784</v>
      </c>
      <c r="M1303" s="50" t="s">
        <v>5593</v>
      </c>
      <c r="N1303" s="50" t="s">
        <v>5595</v>
      </c>
      <c r="O1303" s="56">
        <v>7</v>
      </c>
      <c r="P1303" s="57" t="e">
        <f>VLOOKUP(I1303,#REF!,2,0)</f>
        <v>#REF!</v>
      </c>
      <c r="Q1303" s="58"/>
      <c r="R1303" s="57"/>
      <c r="S1303" s="59"/>
      <c r="T1303" s="57"/>
      <c r="U1303" s="59"/>
      <c r="V1303" s="59"/>
      <c r="W1303" s="60">
        <v>992</v>
      </c>
      <c r="X1303" s="61"/>
      <c r="Y1303" s="62"/>
      <c r="Z1303" s="62"/>
      <c r="AA1303" s="62"/>
      <c r="AB1303" s="62"/>
      <c r="AC1303" s="62"/>
      <c r="AD1303" s="62"/>
      <c r="AE1303" s="62"/>
      <c r="AF1303" s="62"/>
    </row>
    <row r="1304" spans="1:32">
      <c r="A1304" s="16" t="s">
        <v>4174</v>
      </c>
      <c r="B1304" s="17" t="s">
        <v>4175</v>
      </c>
      <c r="C1304" s="30" t="s">
        <v>1778</v>
      </c>
      <c r="D1304" s="19" t="e">
        <f>VLOOKUP(C1304,#REF!,2,0)</f>
        <v>#REF!</v>
      </c>
      <c r="E1304" s="20" t="e">
        <f>VLOOKUP(D1304,数据集标准分类!E:F,2,0)</f>
        <v>#REF!</v>
      </c>
      <c r="F1304" s="21">
        <v>45</v>
      </c>
      <c r="G1304" s="22" t="s">
        <v>1785</v>
      </c>
      <c r="H1304" s="22" t="s">
        <v>5985</v>
      </c>
      <c r="I1304" s="22" t="s">
        <v>1788</v>
      </c>
      <c r="J1304" s="22" t="s">
        <v>1786</v>
      </c>
      <c r="K1304" s="22" t="s">
        <v>1788</v>
      </c>
      <c r="L1304" s="22" t="s">
        <v>1789</v>
      </c>
      <c r="M1304" s="16" t="s">
        <v>5593</v>
      </c>
      <c r="N1304" s="16" t="s">
        <v>5595</v>
      </c>
      <c r="O1304" s="23">
        <v>8</v>
      </c>
      <c r="P1304" s="24" t="e">
        <f>VLOOKUP(I1304,#REF!,2,0)</f>
        <v>#REF!</v>
      </c>
      <c r="Q1304" s="25"/>
      <c r="R1304" s="24"/>
      <c r="S1304" s="26"/>
      <c r="T1304" s="24"/>
      <c r="U1304" s="26"/>
      <c r="V1304" s="26"/>
      <c r="W1304" s="27">
        <v>993</v>
      </c>
      <c r="X1304" s="28"/>
    </row>
    <row r="1305" ht="31" spans="1:32">
      <c r="A1305" s="16" t="s">
        <v>4174</v>
      </c>
      <c r="B1305" s="17" t="s">
        <v>4175</v>
      </c>
      <c r="C1305" s="30" t="s">
        <v>1778</v>
      </c>
      <c r="D1305" s="19" t="e">
        <f>VLOOKUP(C1305,#REF!,2,0)</f>
        <v>#REF!</v>
      </c>
      <c r="E1305" s="20" t="e">
        <f>VLOOKUP(D1305,数据集标准分类!E:F,2,0)</f>
        <v>#REF!</v>
      </c>
      <c r="F1305" s="21">
        <v>45</v>
      </c>
      <c r="G1305" s="22" t="s">
        <v>1678</v>
      </c>
      <c r="H1305" s="22" t="s">
        <v>5839</v>
      </c>
      <c r="I1305" s="22" t="s">
        <v>1681</v>
      </c>
      <c r="J1305" s="22" t="s">
        <v>1679</v>
      </c>
      <c r="K1305" s="22" t="s">
        <v>1681</v>
      </c>
      <c r="L1305" s="22" t="s">
        <v>1735</v>
      </c>
      <c r="M1305" s="16" t="s">
        <v>5593</v>
      </c>
      <c r="N1305" s="16" t="s">
        <v>5595</v>
      </c>
      <c r="O1305" s="23">
        <v>9</v>
      </c>
      <c r="P1305" s="24" t="e">
        <f>VLOOKUP(I1305,#REF!,2,0)</f>
        <v>#REF!</v>
      </c>
      <c r="Q1305" s="25"/>
      <c r="R1305" s="24"/>
      <c r="S1305" s="26"/>
      <c r="T1305" s="24"/>
      <c r="U1305" s="26"/>
      <c r="V1305" s="26"/>
      <c r="W1305" s="27">
        <v>994</v>
      </c>
      <c r="X1305" s="28"/>
    </row>
    <row r="1306" ht="46" spans="1:32">
      <c r="A1306" s="16" t="s">
        <v>4174</v>
      </c>
      <c r="B1306" s="17" t="s">
        <v>4175</v>
      </c>
      <c r="C1306" s="30" t="s">
        <v>1778</v>
      </c>
      <c r="D1306" s="19" t="e">
        <f>VLOOKUP(C1306,#REF!,2,0)</f>
        <v>#REF!</v>
      </c>
      <c r="E1306" s="20" t="e">
        <f>VLOOKUP(D1306,数据集标准分类!E:F,2,0)</f>
        <v>#REF!</v>
      </c>
      <c r="F1306" s="21">
        <v>45</v>
      </c>
      <c r="G1306" s="22" t="s">
        <v>1120</v>
      </c>
      <c r="H1306" s="22" t="s">
        <v>1121</v>
      </c>
      <c r="I1306" s="22" t="s">
        <v>1123</v>
      </c>
      <c r="J1306" s="22" t="s">
        <v>1121</v>
      </c>
      <c r="K1306" s="22" t="s">
        <v>1123</v>
      </c>
      <c r="L1306" s="22" t="s">
        <v>1555</v>
      </c>
      <c r="M1306" s="16" t="s">
        <v>5595</v>
      </c>
      <c r="N1306" s="16" t="s">
        <v>5595</v>
      </c>
      <c r="O1306" s="23">
        <v>10</v>
      </c>
      <c r="P1306" s="24" t="e">
        <f>VLOOKUP(I1306,#REF!,2,0)</f>
        <v>#REF!</v>
      </c>
      <c r="Q1306" s="25"/>
      <c r="R1306" s="24"/>
      <c r="S1306" s="26"/>
      <c r="T1306" s="24"/>
      <c r="U1306" s="26"/>
      <c r="V1306" s="26"/>
      <c r="W1306" s="27">
        <v>995</v>
      </c>
      <c r="X1306" s="28"/>
    </row>
    <row r="1307" ht="31" spans="1:32">
      <c r="A1307" s="16" t="s">
        <v>4174</v>
      </c>
      <c r="B1307" s="17" t="s">
        <v>4175</v>
      </c>
      <c r="C1307" s="30" t="s">
        <v>1778</v>
      </c>
      <c r="D1307" s="19" t="e">
        <f>VLOOKUP(C1307,#REF!,2,0)</f>
        <v>#REF!</v>
      </c>
      <c r="E1307" s="20" t="e">
        <f>VLOOKUP(D1307,数据集标准分类!E:F,2,0)</f>
        <v>#REF!</v>
      </c>
      <c r="F1307" s="21">
        <v>45</v>
      </c>
      <c r="G1307" s="22" t="s">
        <v>192</v>
      </c>
      <c r="H1307" s="22" t="s">
        <v>5630</v>
      </c>
      <c r="I1307" s="22" t="s">
        <v>5631</v>
      </c>
      <c r="J1307" s="22" t="s">
        <v>193</v>
      </c>
      <c r="K1307" s="22" t="s">
        <v>195</v>
      </c>
      <c r="L1307" s="22" t="s">
        <v>1722</v>
      </c>
      <c r="M1307" s="16" t="s">
        <v>5593</v>
      </c>
      <c r="N1307" s="16" t="s">
        <v>5593</v>
      </c>
      <c r="O1307" s="23">
        <v>11</v>
      </c>
      <c r="P1307" s="24" t="e">
        <f>VLOOKUP(I1307,#REF!,2,0)</f>
        <v>#REF!</v>
      </c>
      <c r="Q1307" s="25"/>
      <c r="R1307" s="24"/>
      <c r="S1307" s="26"/>
      <c r="T1307" s="24"/>
      <c r="U1307" s="26"/>
      <c r="V1307" s="26"/>
      <c r="W1307" s="27">
        <v>996</v>
      </c>
      <c r="X1307" s="28"/>
    </row>
    <row r="1308" spans="1:32">
      <c r="A1308" s="16" t="s">
        <v>4174</v>
      </c>
      <c r="B1308" s="17" t="s">
        <v>4175</v>
      </c>
      <c r="C1308" s="30" t="s">
        <v>1778</v>
      </c>
      <c r="D1308" s="19" t="e">
        <f>VLOOKUP(C1308,#REF!,2,0)</f>
        <v>#REF!</v>
      </c>
      <c r="E1308" s="20" t="e">
        <f>VLOOKUP(D1308,数据集标准分类!E:F,2,0)</f>
        <v>#REF!</v>
      </c>
      <c r="F1308" s="21">
        <v>45</v>
      </c>
      <c r="G1308" s="22" t="s">
        <v>396</v>
      </c>
      <c r="H1308" s="22" t="s">
        <v>5628</v>
      </c>
      <c r="I1308" s="22" t="s">
        <v>5629</v>
      </c>
      <c r="J1308" s="22" t="s">
        <v>397</v>
      </c>
      <c r="K1308" s="22" t="s">
        <v>399</v>
      </c>
      <c r="L1308" s="22" t="s">
        <v>1260</v>
      </c>
      <c r="M1308" s="16" t="s">
        <v>5593</v>
      </c>
      <c r="N1308" s="16" t="s">
        <v>5593</v>
      </c>
      <c r="O1308" s="23">
        <v>12</v>
      </c>
      <c r="P1308" s="24" t="e">
        <f>VLOOKUP(I1308,#REF!,2,0)</f>
        <v>#REF!</v>
      </c>
      <c r="Q1308" s="25"/>
      <c r="R1308" s="24"/>
      <c r="S1308" s="26"/>
      <c r="T1308" s="24"/>
      <c r="U1308" s="26"/>
      <c r="V1308" s="26"/>
      <c r="W1308" s="27">
        <v>997</v>
      </c>
      <c r="X1308" s="28"/>
    </row>
    <row r="1309" spans="1:32">
      <c r="A1309" s="16" t="s">
        <v>4174</v>
      </c>
      <c r="B1309" s="17" t="s">
        <v>4175</v>
      </c>
      <c r="C1309" s="30" t="s">
        <v>1778</v>
      </c>
      <c r="D1309" s="19" t="e">
        <f>VLOOKUP(C1309,#REF!,2,0)</f>
        <v>#REF!</v>
      </c>
      <c r="E1309" s="20" t="e">
        <f>VLOOKUP(D1309,数据集标准分类!E:F,2,0)</f>
        <v>#REF!</v>
      </c>
      <c r="F1309" s="21">
        <v>45</v>
      </c>
      <c r="G1309" s="22" t="s">
        <v>1261</v>
      </c>
      <c r="H1309" s="22" t="s">
        <v>5632</v>
      </c>
      <c r="I1309" s="22" t="s">
        <v>1264</v>
      </c>
      <c r="J1309" s="22" t="s">
        <v>1262</v>
      </c>
      <c r="K1309" s="22" t="s">
        <v>1264</v>
      </c>
      <c r="L1309" s="22" t="s">
        <v>1429</v>
      </c>
      <c r="M1309" s="16" t="s">
        <v>5593</v>
      </c>
      <c r="N1309" s="16" t="s">
        <v>5595</v>
      </c>
      <c r="O1309" s="23">
        <v>13</v>
      </c>
      <c r="P1309" s="24" t="e">
        <f>VLOOKUP(I1309,#REF!,2,0)</f>
        <v>#REF!</v>
      </c>
      <c r="Q1309" s="25"/>
      <c r="R1309" s="24"/>
      <c r="S1309" s="26"/>
      <c r="T1309" s="24"/>
      <c r="U1309" s="26"/>
      <c r="V1309" s="26"/>
      <c r="W1309" s="27">
        <v>998</v>
      </c>
      <c r="X1309" s="28"/>
    </row>
    <row r="1310" ht="46" spans="1:32">
      <c r="A1310" s="16" t="s">
        <v>4174</v>
      </c>
      <c r="B1310" s="17">
        <v>2</v>
      </c>
      <c r="C1310" s="30" t="s">
        <v>1778</v>
      </c>
      <c r="D1310" s="19" t="e">
        <f>VLOOKUP(C1310,#REF!,2,0)</f>
        <v>#REF!</v>
      </c>
      <c r="E1310" s="20" t="e">
        <f>VLOOKUP(D1310,数据集标准分类!E:F,2,0)</f>
        <v>#REF!</v>
      </c>
      <c r="F1310" s="21">
        <v>45</v>
      </c>
      <c r="G1310" s="22" t="s">
        <v>1430</v>
      </c>
      <c r="H1310" s="22" t="s">
        <v>5643</v>
      </c>
      <c r="I1310" s="22" t="s">
        <v>5644</v>
      </c>
      <c r="J1310" s="22" t="s">
        <v>1431</v>
      </c>
      <c r="K1310" s="22" t="s">
        <v>1433</v>
      </c>
      <c r="L1310" s="22" t="s">
        <v>1723</v>
      </c>
      <c r="M1310" s="16" t="s">
        <v>5593</v>
      </c>
      <c r="N1310" s="16" t="s">
        <v>5593</v>
      </c>
      <c r="O1310" s="23">
        <v>14</v>
      </c>
      <c r="P1310" s="24" t="e">
        <f>VLOOKUP(I1310,#REF!,2,0)</f>
        <v>#REF!</v>
      </c>
      <c r="Q1310" s="25"/>
      <c r="R1310" s="24"/>
      <c r="S1310" s="26"/>
      <c r="T1310" s="24"/>
      <c r="U1310" s="26"/>
      <c r="V1310" s="26"/>
      <c r="W1310" s="27">
        <v>999</v>
      </c>
      <c r="X1310" s="28"/>
    </row>
    <row r="1311" ht="46" spans="1:32">
      <c r="A1311" s="16" t="s">
        <v>4174</v>
      </c>
      <c r="B1311" s="17" t="s">
        <v>4175</v>
      </c>
      <c r="C1311" s="30" t="s">
        <v>1778</v>
      </c>
      <c r="D1311" s="19" t="e">
        <f>VLOOKUP(C1311,#REF!,2,0)</f>
        <v>#REF!</v>
      </c>
      <c r="E1311" s="20" t="e">
        <f>VLOOKUP(D1311,数据集标准分类!E:F,2,0)</f>
        <v>#REF!</v>
      </c>
      <c r="F1311" s="21">
        <v>45</v>
      </c>
      <c r="G1311" s="22" t="s">
        <v>421</v>
      </c>
      <c r="H1311" s="22" t="s">
        <v>5685</v>
      </c>
      <c r="I1311" s="22" t="s">
        <v>424</v>
      </c>
      <c r="J1311" s="22" t="s">
        <v>422</v>
      </c>
      <c r="K1311" s="22" t="s">
        <v>424</v>
      </c>
      <c r="L1311" s="22" t="s">
        <v>1724</v>
      </c>
      <c r="M1311" s="16" t="s">
        <v>5593</v>
      </c>
      <c r="N1311" s="16" t="s">
        <v>5595</v>
      </c>
      <c r="O1311" s="23">
        <v>15</v>
      </c>
      <c r="P1311" s="24" t="e">
        <f>VLOOKUP(I1311,#REF!,2,0)</f>
        <v>#REF!</v>
      </c>
      <c r="Q1311" s="25"/>
      <c r="R1311" s="24"/>
      <c r="S1311" s="26"/>
      <c r="T1311" s="24"/>
      <c r="U1311" s="26"/>
      <c r="V1311" s="26"/>
      <c r="W1311" s="27">
        <v>1000</v>
      </c>
      <c r="X1311" s="28"/>
    </row>
    <row r="1312" ht="31" spans="1:32">
      <c r="A1312" s="16" t="s">
        <v>4174</v>
      </c>
      <c r="B1312" s="17" t="s">
        <v>4175</v>
      </c>
      <c r="C1312" s="30" t="s">
        <v>1778</v>
      </c>
      <c r="D1312" s="19" t="e">
        <f>VLOOKUP(C1312,#REF!,2,0)</f>
        <v>#REF!</v>
      </c>
      <c r="E1312" s="20" t="e">
        <f>VLOOKUP(D1312,数据集标准分类!E:F,2,0)</f>
        <v>#REF!</v>
      </c>
      <c r="F1312" s="21">
        <v>45</v>
      </c>
      <c r="G1312" s="22" t="s">
        <v>1192</v>
      </c>
      <c r="H1312" s="22" t="s">
        <v>5638</v>
      </c>
      <c r="I1312" s="22" t="s">
        <v>1195</v>
      </c>
      <c r="J1312" s="22" t="s">
        <v>1193</v>
      </c>
      <c r="K1312" s="22" t="s">
        <v>1195</v>
      </c>
      <c r="L1312" s="22" t="s">
        <v>1196</v>
      </c>
      <c r="M1312" s="16" t="s">
        <v>5593</v>
      </c>
      <c r="N1312" s="16" t="s">
        <v>5595</v>
      </c>
      <c r="O1312" s="23">
        <v>16</v>
      </c>
      <c r="P1312" s="24" t="e">
        <f>VLOOKUP(I1312,#REF!,2,0)</f>
        <v>#REF!</v>
      </c>
      <c r="Q1312" s="25"/>
      <c r="R1312" s="24"/>
      <c r="S1312" s="26"/>
      <c r="T1312" s="24"/>
      <c r="U1312" s="26"/>
      <c r="V1312" s="26"/>
      <c r="W1312" s="27">
        <v>1001</v>
      </c>
      <c r="X1312" s="28"/>
    </row>
    <row r="1313" ht="14.4" customHeight="1" spans="1:24">
      <c r="A1313" s="16" t="s">
        <v>4174</v>
      </c>
      <c r="B1313" s="17" t="s">
        <v>4175</v>
      </c>
      <c r="C1313" s="30" t="s">
        <v>1778</v>
      </c>
      <c r="D1313" s="19" t="e">
        <f>VLOOKUP(C1313,#REF!,2,0)</f>
        <v>#REF!</v>
      </c>
      <c r="E1313" s="20" t="e">
        <f>VLOOKUP(D1313,数据集标准分类!E:F,2,0)</f>
        <v>#REF!</v>
      </c>
      <c r="F1313" s="21">
        <v>45</v>
      </c>
      <c r="G1313" s="22" t="s">
        <v>1725</v>
      </c>
      <c r="H1313" s="22" t="s">
        <v>6140</v>
      </c>
      <c r="I1313" s="22" t="s">
        <v>1728</v>
      </c>
      <c r="J1313" s="22" t="s">
        <v>1726</v>
      </c>
      <c r="K1313" s="22" t="s">
        <v>1728</v>
      </c>
      <c r="L1313" s="22" t="s">
        <v>1729</v>
      </c>
      <c r="M1313" s="16" t="s">
        <v>5593</v>
      </c>
      <c r="N1313" s="16" t="s">
        <v>5595</v>
      </c>
      <c r="O1313" s="23">
        <v>17</v>
      </c>
      <c r="P1313" s="24" t="e">
        <f>VLOOKUP(I1313,#REF!,2,0)</f>
        <v>#REF!</v>
      </c>
      <c r="Q1313" s="25"/>
      <c r="R1313" s="24"/>
      <c r="S1313" s="26"/>
      <c r="T1313" s="24"/>
      <c r="U1313" s="26"/>
      <c r="V1313" s="26"/>
      <c r="W1313" s="27">
        <v>1002</v>
      </c>
      <c r="X1313" s="28"/>
    </row>
    <row r="1314" spans="1:24">
      <c r="A1314" s="16" t="s">
        <v>4174</v>
      </c>
      <c r="B1314" s="17" t="s">
        <v>4175</v>
      </c>
      <c r="C1314" s="30" t="s">
        <v>1778</v>
      </c>
      <c r="D1314" s="19" t="e">
        <f>VLOOKUP(C1314,#REF!,2,0)</f>
        <v>#REF!</v>
      </c>
      <c r="E1314" s="20" t="e">
        <f>VLOOKUP(D1314,数据集标准分类!E:F,2,0)</f>
        <v>#REF!</v>
      </c>
      <c r="F1314" s="21">
        <v>45</v>
      </c>
      <c r="G1314" s="22" t="s">
        <v>1730</v>
      </c>
      <c r="H1314" s="22" t="s">
        <v>5987</v>
      </c>
      <c r="I1314" s="22" t="s">
        <v>1733</v>
      </c>
      <c r="J1314" s="22" t="s">
        <v>1731</v>
      </c>
      <c r="K1314" s="22" t="s">
        <v>1733</v>
      </c>
      <c r="L1314" s="22" t="s">
        <v>1734</v>
      </c>
      <c r="M1314" s="16" t="s">
        <v>5593</v>
      </c>
      <c r="N1314" s="16" t="s">
        <v>5595</v>
      </c>
      <c r="O1314" s="23">
        <v>18</v>
      </c>
      <c r="P1314" s="24" t="e">
        <f>VLOOKUP(I1314,#REF!,2,0)</f>
        <v>#REF!</v>
      </c>
      <c r="Q1314" s="25"/>
      <c r="R1314" s="24"/>
      <c r="S1314" s="26"/>
      <c r="T1314" s="24"/>
      <c r="U1314" s="26"/>
      <c r="V1314" s="26"/>
      <c r="W1314" s="27">
        <v>1003</v>
      </c>
      <c r="X1314" s="28"/>
    </row>
    <row r="1315" ht="46" spans="1:24">
      <c r="A1315" s="16" t="s">
        <v>4174</v>
      </c>
      <c r="B1315" s="17" t="s">
        <v>4175</v>
      </c>
      <c r="C1315" s="30" t="s">
        <v>1720</v>
      </c>
      <c r="D1315" s="19" t="e">
        <f>VLOOKUP(C1315,#REF!,2,0)</f>
        <v>#REF!</v>
      </c>
      <c r="E1315" s="20" t="e">
        <f>VLOOKUP(D1315,数据集标准分类!E:F,2,0)</f>
        <v>#REF!</v>
      </c>
      <c r="F1315" s="21">
        <v>46</v>
      </c>
      <c r="G1315" s="22" t="s">
        <v>1139</v>
      </c>
      <c r="H1315" s="22" t="s">
        <v>1140</v>
      </c>
      <c r="I1315" s="22" t="s">
        <v>1142</v>
      </c>
      <c r="J1315" s="22" t="s">
        <v>1140</v>
      </c>
      <c r="K1315" s="22" t="s">
        <v>1142</v>
      </c>
      <c r="L1315" s="22" t="s">
        <v>1721</v>
      </c>
      <c r="M1315" s="16" t="s">
        <v>5595</v>
      </c>
      <c r="N1315" s="16" t="s">
        <v>5595</v>
      </c>
      <c r="O1315" s="23">
        <v>1</v>
      </c>
      <c r="P1315" s="24" t="e">
        <f>VLOOKUP(I1315,#REF!,2,0)</f>
        <v>#REF!</v>
      </c>
      <c r="Q1315" s="25"/>
      <c r="R1315" s="24"/>
      <c r="S1315" s="26" t="s">
        <v>5595</v>
      </c>
      <c r="T1315" s="24"/>
      <c r="U1315" s="26"/>
      <c r="V1315" s="26"/>
      <c r="W1315" s="27">
        <v>1004</v>
      </c>
      <c r="X1315" s="28"/>
    </row>
    <row r="1316" ht="46" spans="1:24">
      <c r="A1316" s="16" t="s">
        <v>4174</v>
      </c>
      <c r="B1316" s="17" t="s">
        <v>4175</v>
      </c>
      <c r="C1316" s="30" t="s">
        <v>1720</v>
      </c>
      <c r="D1316" s="19" t="e">
        <f>VLOOKUP(C1316,#REF!,2,0)</f>
        <v>#REF!</v>
      </c>
      <c r="E1316" s="20" t="e">
        <f>VLOOKUP(D1316,数据集标准分类!E:F,2,0)</f>
        <v>#REF!</v>
      </c>
      <c r="F1316" s="21">
        <v>46</v>
      </c>
      <c r="G1316" s="22" t="s">
        <v>152</v>
      </c>
      <c r="H1316" s="22" t="s">
        <v>5905</v>
      </c>
      <c r="I1316" s="22" t="s">
        <v>5906</v>
      </c>
      <c r="J1316" s="22" t="s">
        <v>153</v>
      </c>
      <c r="K1316" s="22" t="s">
        <v>155</v>
      </c>
      <c r="L1316" s="22" t="s">
        <v>156</v>
      </c>
      <c r="M1316" s="16" t="s">
        <v>5593</v>
      </c>
      <c r="N1316" s="16" t="s">
        <v>5593</v>
      </c>
      <c r="O1316" s="23">
        <v>2</v>
      </c>
      <c r="P1316" s="24" t="e">
        <f>VLOOKUP(I1316,#REF!,2,0)</f>
        <v>#REF!</v>
      </c>
      <c r="Q1316" s="25"/>
      <c r="R1316" s="24"/>
      <c r="S1316" s="26"/>
      <c r="T1316" s="24"/>
      <c r="U1316" s="26"/>
      <c r="V1316" s="26"/>
      <c r="W1316" s="27">
        <v>1005</v>
      </c>
      <c r="X1316" s="28"/>
    </row>
    <row r="1317" ht="31" spans="1:24">
      <c r="A1317" s="16" t="s">
        <v>4174</v>
      </c>
      <c r="B1317" s="17" t="s">
        <v>4175</v>
      </c>
      <c r="C1317" s="30" t="s">
        <v>1720</v>
      </c>
      <c r="D1317" s="19" t="e">
        <f>VLOOKUP(C1317,#REF!,2,0)</f>
        <v>#REF!</v>
      </c>
      <c r="E1317" s="20" t="e">
        <f>VLOOKUP(D1317,数据集标准分类!E:F,2,0)</f>
        <v>#REF!</v>
      </c>
      <c r="F1317" s="21">
        <v>46</v>
      </c>
      <c r="G1317" s="22" t="s">
        <v>1583</v>
      </c>
      <c r="H1317" s="22" t="s">
        <v>5659</v>
      </c>
      <c r="I1317" s="22" t="s">
        <v>1586</v>
      </c>
      <c r="J1317" s="22" t="s">
        <v>1584</v>
      </c>
      <c r="K1317" s="22" t="s">
        <v>1586</v>
      </c>
      <c r="L1317" s="22" t="s">
        <v>1587</v>
      </c>
      <c r="M1317" s="16" t="s">
        <v>5593</v>
      </c>
      <c r="N1317" s="16" t="s">
        <v>5595</v>
      </c>
      <c r="O1317" s="23">
        <v>3</v>
      </c>
      <c r="P1317" s="24" t="e">
        <f>VLOOKUP(I1317,#REF!,2,0)</f>
        <v>#REF!</v>
      </c>
      <c r="Q1317" s="25"/>
      <c r="R1317" s="24"/>
      <c r="S1317" s="26"/>
      <c r="T1317" s="24"/>
      <c r="U1317" s="26"/>
      <c r="V1317" s="26"/>
      <c r="W1317" s="27">
        <v>1006</v>
      </c>
      <c r="X1317" s="28"/>
    </row>
    <row r="1318" ht="31" spans="1:24">
      <c r="A1318" s="16" t="s">
        <v>4174</v>
      </c>
      <c r="B1318" s="17" t="s">
        <v>4175</v>
      </c>
      <c r="C1318" s="30" t="s">
        <v>1720</v>
      </c>
      <c r="D1318" s="19" t="e">
        <f>VLOOKUP(C1318,#REF!,2,0)</f>
        <v>#REF!</v>
      </c>
      <c r="E1318" s="20" t="e">
        <f>VLOOKUP(D1318,数据集标准分类!E:F,2,0)</f>
        <v>#REF!</v>
      </c>
      <c r="F1318" s="21">
        <v>46</v>
      </c>
      <c r="G1318" s="22" t="s">
        <v>192</v>
      </c>
      <c r="H1318" s="22" t="s">
        <v>5630</v>
      </c>
      <c r="I1318" s="22" t="s">
        <v>5631</v>
      </c>
      <c r="J1318" s="22" t="s">
        <v>193</v>
      </c>
      <c r="K1318" s="22" t="s">
        <v>195</v>
      </c>
      <c r="L1318" s="22" t="s">
        <v>1722</v>
      </c>
      <c r="M1318" s="16" t="s">
        <v>5593</v>
      </c>
      <c r="N1318" s="16" t="s">
        <v>5593</v>
      </c>
      <c r="O1318" s="23">
        <v>4</v>
      </c>
      <c r="P1318" s="24" t="e">
        <f>VLOOKUP(I1318,#REF!,2,0)</f>
        <v>#REF!</v>
      </c>
      <c r="Q1318" s="25"/>
      <c r="R1318" s="24"/>
      <c r="S1318" s="26"/>
      <c r="T1318" s="24"/>
      <c r="U1318" s="26"/>
      <c r="V1318" s="26"/>
      <c r="W1318" s="27">
        <v>1007</v>
      </c>
      <c r="X1318" s="28"/>
    </row>
    <row r="1319" spans="1:24">
      <c r="A1319" s="16" t="s">
        <v>4174</v>
      </c>
      <c r="B1319" s="17" t="s">
        <v>4175</v>
      </c>
      <c r="C1319" s="30" t="s">
        <v>1720</v>
      </c>
      <c r="D1319" s="19" t="e">
        <f>VLOOKUP(C1319,#REF!,2,0)</f>
        <v>#REF!</v>
      </c>
      <c r="E1319" s="20" t="e">
        <f>VLOOKUP(D1319,数据集标准分类!E:F,2,0)</f>
        <v>#REF!</v>
      </c>
      <c r="F1319" s="21">
        <v>46</v>
      </c>
      <c r="G1319" s="22" t="s">
        <v>396</v>
      </c>
      <c r="H1319" s="22" t="s">
        <v>5628</v>
      </c>
      <c r="I1319" s="22" t="s">
        <v>5629</v>
      </c>
      <c r="J1319" s="22" t="s">
        <v>397</v>
      </c>
      <c r="K1319" s="22" t="s">
        <v>399</v>
      </c>
      <c r="L1319" s="22" t="s">
        <v>1260</v>
      </c>
      <c r="M1319" s="16" t="s">
        <v>5593</v>
      </c>
      <c r="N1319" s="16" t="s">
        <v>5593</v>
      </c>
      <c r="O1319" s="23">
        <v>5</v>
      </c>
      <c r="P1319" s="24" t="e">
        <f>VLOOKUP(I1319,#REF!,2,0)</f>
        <v>#REF!</v>
      </c>
      <c r="Q1319" s="25"/>
      <c r="R1319" s="24"/>
      <c r="S1319" s="26"/>
      <c r="T1319" s="24"/>
      <c r="U1319" s="26"/>
      <c r="V1319" s="26"/>
      <c r="W1319" s="27">
        <v>1008</v>
      </c>
      <c r="X1319" s="28"/>
    </row>
    <row r="1320" spans="1:24">
      <c r="A1320" s="16" t="s">
        <v>4174</v>
      </c>
      <c r="B1320" s="17" t="s">
        <v>4175</v>
      </c>
      <c r="C1320" s="30" t="s">
        <v>1720</v>
      </c>
      <c r="D1320" s="19" t="e">
        <f>VLOOKUP(C1320,#REF!,2,0)</f>
        <v>#REF!</v>
      </c>
      <c r="E1320" s="20" t="e">
        <f>VLOOKUP(D1320,数据集标准分类!E:F,2,0)</f>
        <v>#REF!</v>
      </c>
      <c r="F1320" s="21">
        <v>46</v>
      </c>
      <c r="G1320" s="22" t="s">
        <v>1261</v>
      </c>
      <c r="H1320" s="22" t="s">
        <v>5632</v>
      </c>
      <c r="I1320" s="22" t="s">
        <v>1264</v>
      </c>
      <c r="J1320" s="22" t="s">
        <v>1262</v>
      </c>
      <c r="K1320" s="22" t="s">
        <v>1264</v>
      </c>
      <c r="L1320" s="22" t="s">
        <v>1429</v>
      </c>
      <c r="M1320" s="16" t="s">
        <v>5593</v>
      </c>
      <c r="N1320" s="16" t="s">
        <v>5595</v>
      </c>
      <c r="O1320" s="23">
        <v>6</v>
      </c>
      <c r="P1320" s="24" t="e">
        <f>VLOOKUP(I1320,#REF!,2,0)</f>
        <v>#REF!</v>
      </c>
      <c r="Q1320" s="25"/>
      <c r="R1320" s="24"/>
      <c r="S1320" s="26"/>
      <c r="T1320" s="24"/>
      <c r="U1320" s="26"/>
      <c r="V1320" s="26"/>
      <c r="W1320" s="27">
        <v>1009</v>
      </c>
      <c r="X1320" s="28"/>
    </row>
    <row r="1321" ht="46" spans="1:24">
      <c r="A1321" s="16" t="s">
        <v>4174</v>
      </c>
      <c r="B1321" s="17" t="s">
        <v>4175</v>
      </c>
      <c r="C1321" s="30" t="s">
        <v>1720</v>
      </c>
      <c r="D1321" s="19" t="e">
        <f>VLOOKUP(C1321,#REF!,2,0)</f>
        <v>#REF!</v>
      </c>
      <c r="E1321" s="20" t="e">
        <f>VLOOKUP(D1321,数据集标准分类!E:F,2,0)</f>
        <v>#REF!</v>
      </c>
      <c r="F1321" s="21">
        <v>46</v>
      </c>
      <c r="G1321" s="22" t="s">
        <v>1430</v>
      </c>
      <c r="H1321" s="22" t="s">
        <v>5643</v>
      </c>
      <c r="I1321" s="22" t="s">
        <v>5644</v>
      </c>
      <c r="J1321" s="22" t="s">
        <v>1431</v>
      </c>
      <c r="K1321" s="22" t="s">
        <v>1433</v>
      </c>
      <c r="L1321" s="22" t="s">
        <v>1723</v>
      </c>
      <c r="M1321" s="16" t="s">
        <v>5593</v>
      </c>
      <c r="N1321" s="16" t="s">
        <v>5593</v>
      </c>
      <c r="O1321" s="23">
        <v>7</v>
      </c>
      <c r="P1321" s="24" t="e">
        <f>VLOOKUP(I1321,#REF!,2,0)</f>
        <v>#REF!</v>
      </c>
      <c r="Q1321" s="25"/>
      <c r="R1321" s="24"/>
      <c r="S1321" s="26"/>
      <c r="T1321" s="24"/>
      <c r="U1321" s="26"/>
      <c r="V1321" s="26"/>
      <c r="W1321" s="27">
        <v>1010</v>
      </c>
      <c r="X1321" s="28"/>
    </row>
    <row r="1322" ht="46" spans="1:24">
      <c r="A1322" s="16" t="s">
        <v>4174</v>
      </c>
      <c r="B1322" s="17" t="s">
        <v>4175</v>
      </c>
      <c r="C1322" s="30" t="s">
        <v>1720</v>
      </c>
      <c r="D1322" s="19" t="e">
        <f>VLOOKUP(C1322,#REF!,2,0)</f>
        <v>#REF!</v>
      </c>
      <c r="E1322" s="20" t="e">
        <f>VLOOKUP(D1322,数据集标准分类!E:F,2,0)</f>
        <v>#REF!</v>
      </c>
      <c r="F1322" s="21">
        <v>46</v>
      </c>
      <c r="G1322" s="22" t="s">
        <v>421</v>
      </c>
      <c r="H1322" s="22" t="s">
        <v>5685</v>
      </c>
      <c r="I1322" s="22" t="s">
        <v>424</v>
      </c>
      <c r="J1322" s="22" t="s">
        <v>422</v>
      </c>
      <c r="K1322" s="22" t="s">
        <v>424</v>
      </c>
      <c r="L1322" s="22" t="s">
        <v>1724</v>
      </c>
      <c r="M1322" s="16" t="s">
        <v>5593</v>
      </c>
      <c r="N1322" s="16" t="s">
        <v>5595</v>
      </c>
      <c r="O1322" s="23">
        <v>8</v>
      </c>
      <c r="P1322" s="24" t="e">
        <f>VLOOKUP(I1322,#REF!,2,0)</f>
        <v>#REF!</v>
      </c>
      <c r="Q1322" s="25"/>
      <c r="R1322" s="24"/>
      <c r="S1322" s="26"/>
      <c r="T1322" s="24"/>
      <c r="U1322" s="26"/>
      <c r="V1322" s="26"/>
      <c r="W1322" s="27">
        <v>1011</v>
      </c>
      <c r="X1322" s="28"/>
    </row>
    <row r="1323" spans="1:24">
      <c r="A1323" s="16" t="s">
        <v>4174</v>
      </c>
      <c r="B1323" s="17" t="s">
        <v>4175</v>
      </c>
      <c r="C1323" s="30" t="s">
        <v>1720</v>
      </c>
      <c r="D1323" s="19" t="e">
        <f>VLOOKUP(C1323,#REF!,2,0)</f>
        <v>#REF!</v>
      </c>
      <c r="E1323" s="20" t="e">
        <f>VLOOKUP(D1323,数据集标准分类!E:F,2,0)</f>
        <v>#REF!</v>
      </c>
      <c r="F1323" s="21">
        <v>46</v>
      </c>
      <c r="G1323" s="22" t="s">
        <v>1725</v>
      </c>
      <c r="H1323" s="63" t="s">
        <v>6140</v>
      </c>
      <c r="I1323" s="22" t="s">
        <v>1728</v>
      </c>
      <c r="J1323" s="22" t="s">
        <v>1726</v>
      </c>
      <c r="K1323" s="22" t="s">
        <v>1728</v>
      </c>
      <c r="L1323" s="22" t="s">
        <v>1729</v>
      </c>
      <c r="M1323" s="16" t="s">
        <v>5593</v>
      </c>
      <c r="N1323" s="16" t="s">
        <v>5595</v>
      </c>
      <c r="O1323" s="23">
        <v>9</v>
      </c>
      <c r="P1323" s="24" t="e">
        <f>VLOOKUP(I1323,#REF!,2,0)</f>
        <v>#REF!</v>
      </c>
      <c r="Q1323" s="25"/>
      <c r="R1323" s="24"/>
      <c r="S1323" s="26"/>
      <c r="T1323" s="24"/>
      <c r="U1323" s="26"/>
      <c r="V1323" s="26"/>
      <c r="W1323" s="27">
        <v>1012</v>
      </c>
      <c r="X1323" s="28"/>
    </row>
    <row r="1324" spans="1:24">
      <c r="A1324" s="16" t="s">
        <v>4174</v>
      </c>
      <c r="B1324" s="17" t="s">
        <v>4175</v>
      </c>
      <c r="C1324" s="30" t="s">
        <v>1720</v>
      </c>
      <c r="D1324" s="19" t="e">
        <f>VLOOKUP(C1324,#REF!,2,0)</f>
        <v>#REF!</v>
      </c>
      <c r="E1324" s="20" t="e">
        <f>VLOOKUP(D1324,数据集标准分类!E:F,2,0)</f>
        <v>#REF!</v>
      </c>
      <c r="F1324" s="21">
        <v>46</v>
      </c>
      <c r="G1324" s="22" t="s">
        <v>1730</v>
      </c>
      <c r="H1324" s="22" t="s">
        <v>5987</v>
      </c>
      <c r="I1324" s="22" t="s">
        <v>1733</v>
      </c>
      <c r="J1324" s="22" t="s">
        <v>1731</v>
      </c>
      <c r="K1324" s="22" t="s">
        <v>1733</v>
      </c>
      <c r="L1324" s="22" t="s">
        <v>1734</v>
      </c>
      <c r="M1324" s="16" t="s">
        <v>5593</v>
      </c>
      <c r="N1324" s="16" t="s">
        <v>5595</v>
      </c>
      <c r="O1324" s="23">
        <v>10</v>
      </c>
      <c r="P1324" s="24" t="e">
        <f>VLOOKUP(I1324,#REF!,2,0)</f>
        <v>#REF!</v>
      </c>
      <c r="Q1324" s="25"/>
      <c r="R1324" s="24"/>
      <c r="S1324" s="26"/>
      <c r="T1324" s="24"/>
      <c r="U1324" s="26"/>
      <c r="V1324" s="26"/>
      <c r="W1324" s="27">
        <v>1013</v>
      </c>
      <c r="X1324" s="28"/>
    </row>
    <row r="1325" ht="31" spans="1:24">
      <c r="A1325" s="16" t="s">
        <v>4174</v>
      </c>
      <c r="B1325" s="17" t="s">
        <v>4175</v>
      </c>
      <c r="C1325" s="30" t="s">
        <v>1720</v>
      </c>
      <c r="D1325" s="19" t="e">
        <f>VLOOKUP(C1325,#REF!,2,0)</f>
        <v>#REF!</v>
      </c>
      <c r="E1325" s="20" t="e">
        <f>VLOOKUP(D1325,数据集标准分类!E:F,2,0)</f>
        <v>#REF!</v>
      </c>
      <c r="F1325" s="21">
        <v>46</v>
      </c>
      <c r="G1325" s="22" t="s">
        <v>1678</v>
      </c>
      <c r="H1325" s="22" t="s">
        <v>5839</v>
      </c>
      <c r="I1325" s="22" t="s">
        <v>1681</v>
      </c>
      <c r="J1325" s="22" t="s">
        <v>1679</v>
      </c>
      <c r="K1325" s="22" t="s">
        <v>1681</v>
      </c>
      <c r="L1325" s="22" t="s">
        <v>1735</v>
      </c>
      <c r="M1325" s="16" t="s">
        <v>5593</v>
      </c>
      <c r="N1325" s="16" t="s">
        <v>5595</v>
      </c>
      <c r="O1325" s="23">
        <v>11</v>
      </c>
      <c r="P1325" s="24" t="e">
        <f>VLOOKUP(I1325,#REF!,2,0)</f>
        <v>#REF!</v>
      </c>
      <c r="Q1325" s="25"/>
      <c r="R1325" s="24"/>
      <c r="S1325" s="26"/>
      <c r="T1325" s="24"/>
      <c r="U1325" s="26"/>
      <c r="V1325" s="26"/>
      <c r="W1325" s="27">
        <v>1014</v>
      </c>
      <c r="X1325" s="28"/>
    </row>
    <row r="1326" spans="1:24">
      <c r="A1326" s="16" t="s">
        <v>4174</v>
      </c>
      <c r="B1326" s="17" t="s">
        <v>4175</v>
      </c>
      <c r="C1326" s="30" t="s">
        <v>1720</v>
      </c>
      <c r="D1326" s="19" t="e">
        <f>VLOOKUP(C1326,#REF!,2,0)</f>
        <v>#REF!</v>
      </c>
      <c r="E1326" s="20" t="e">
        <f>VLOOKUP(D1326,数据集标准分类!E:F,2,0)</f>
        <v>#REF!</v>
      </c>
      <c r="F1326" s="21">
        <v>46</v>
      </c>
      <c r="G1326" s="29" t="s">
        <v>1736</v>
      </c>
      <c r="H1326" s="29" t="s">
        <v>5634</v>
      </c>
      <c r="I1326" s="29" t="s">
        <v>1739</v>
      </c>
      <c r="J1326" s="22" t="s">
        <v>1737</v>
      </c>
      <c r="K1326" s="22" t="s">
        <v>1739</v>
      </c>
      <c r="L1326" s="22" t="s">
        <v>1740</v>
      </c>
      <c r="M1326" s="16" t="s">
        <v>5593</v>
      </c>
      <c r="N1326" s="16" t="s">
        <v>5595</v>
      </c>
      <c r="O1326" s="23">
        <v>12</v>
      </c>
      <c r="P1326" s="24" t="e">
        <f>VLOOKUP(I1326,#REF!,2,0)</f>
        <v>#REF!</v>
      </c>
      <c r="Q1326" s="25"/>
      <c r="R1326" s="24"/>
      <c r="S1326" s="26"/>
      <c r="T1326" s="24"/>
      <c r="U1326" s="26"/>
      <c r="V1326" s="26"/>
      <c r="W1326" s="27">
        <v>1015</v>
      </c>
      <c r="X1326" s="28"/>
    </row>
    <row r="1327" ht="31" spans="1:24">
      <c r="A1327" s="16" t="s">
        <v>4174</v>
      </c>
      <c r="B1327" s="17" t="s">
        <v>4175</v>
      </c>
      <c r="C1327" s="30" t="s">
        <v>1720</v>
      </c>
      <c r="D1327" s="19" t="e">
        <f>VLOOKUP(C1327,#REF!,2,0)</f>
        <v>#REF!</v>
      </c>
      <c r="E1327" s="20" t="e">
        <f>VLOOKUP(D1327,数据集标准分类!E:F,2,0)</f>
        <v>#REF!</v>
      </c>
      <c r="F1327" s="21">
        <v>46</v>
      </c>
      <c r="G1327" s="22" t="s">
        <v>1446</v>
      </c>
      <c r="H1327" s="22" t="s">
        <v>5988</v>
      </c>
      <c r="I1327" s="22" t="s">
        <v>1449</v>
      </c>
      <c r="J1327" s="22" t="s">
        <v>1447</v>
      </c>
      <c r="K1327" s="22" t="s">
        <v>1449</v>
      </c>
      <c r="L1327" s="22" t="s">
        <v>1196</v>
      </c>
      <c r="M1327" s="16" t="s">
        <v>5593</v>
      </c>
      <c r="N1327" s="16" t="s">
        <v>5595</v>
      </c>
      <c r="O1327" s="23">
        <v>13</v>
      </c>
      <c r="P1327" s="24" t="e">
        <f>VLOOKUP(I1327,#REF!,2,0)</f>
        <v>#REF!</v>
      </c>
      <c r="Q1327" s="25"/>
      <c r="R1327" s="24"/>
      <c r="S1327" s="26"/>
      <c r="T1327" s="24"/>
      <c r="U1327" s="26"/>
      <c r="V1327" s="26"/>
      <c r="W1327" s="27">
        <v>1016</v>
      </c>
      <c r="X1327" s="28"/>
    </row>
    <row r="1328" ht="24" customHeight="1" spans="1:24">
      <c r="A1328" s="16" t="s">
        <v>4174</v>
      </c>
      <c r="B1328" s="17" t="s">
        <v>4175</v>
      </c>
      <c r="C1328" s="30" t="s">
        <v>1720</v>
      </c>
      <c r="D1328" s="19" t="e">
        <f>VLOOKUP(C1328,#REF!,2,0)</f>
        <v>#REF!</v>
      </c>
      <c r="E1328" s="20" t="e">
        <f>VLOOKUP(D1328,数据集标准分类!E:F,2,0)</f>
        <v>#REF!</v>
      </c>
      <c r="F1328" s="21">
        <v>46</v>
      </c>
      <c r="G1328" s="29" t="s">
        <v>1741</v>
      </c>
      <c r="H1328" s="29" t="s">
        <v>1742</v>
      </c>
      <c r="I1328" s="29" t="s">
        <v>1744</v>
      </c>
      <c r="J1328" s="22" t="s">
        <v>1742</v>
      </c>
      <c r="K1328" s="22" t="s">
        <v>1744</v>
      </c>
      <c r="L1328" s="22" t="s">
        <v>1745</v>
      </c>
      <c r="M1328" s="16" t="s">
        <v>5595</v>
      </c>
      <c r="N1328" s="16" t="s">
        <v>5595</v>
      </c>
      <c r="O1328" s="23">
        <v>14</v>
      </c>
      <c r="P1328" s="24" t="e">
        <f>VLOOKUP(I1328,#REF!,2,0)</f>
        <v>#REF!</v>
      </c>
      <c r="Q1328" s="25"/>
      <c r="R1328" s="24"/>
      <c r="S1328" s="26"/>
      <c r="T1328" s="24"/>
      <c r="U1328" s="26"/>
      <c r="V1328" s="26"/>
      <c r="W1328" s="27">
        <v>1017</v>
      </c>
      <c r="X1328" s="28"/>
    </row>
    <row r="1329" ht="31" spans="1:32">
      <c r="A1329" s="16" t="s">
        <v>4174</v>
      </c>
      <c r="B1329" s="17" t="s">
        <v>4175</v>
      </c>
      <c r="C1329" s="30" t="s">
        <v>1720</v>
      </c>
      <c r="D1329" s="19" t="e">
        <f>VLOOKUP(C1329,#REF!,2,0)</f>
        <v>#REF!</v>
      </c>
      <c r="E1329" s="20" t="e">
        <f>VLOOKUP(D1329,数据集标准分类!E:F,2,0)</f>
        <v>#REF!</v>
      </c>
      <c r="F1329" s="21">
        <v>46</v>
      </c>
      <c r="G1329" s="29" t="s">
        <v>1746</v>
      </c>
      <c r="H1329" s="29" t="s">
        <v>1747</v>
      </c>
      <c r="I1329" s="29" t="s">
        <v>1749</v>
      </c>
      <c r="J1329" s="22" t="s">
        <v>1747</v>
      </c>
      <c r="K1329" s="22" t="s">
        <v>1749</v>
      </c>
      <c r="L1329" s="22" t="s">
        <v>1750</v>
      </c>
      <c r="M1329" s="16" t="s">
        <v>5595</v>
      </c>
      <c r="N1329" s="16" t="s">
        <v>5595</v>
      </c>
      <c r="O1329" s="23">
        <v>15</v>
      </c>
      <c r="P1329" s="24" t="e">
        <f>VLOOKUP(I1329,#REF!,2,0)</f>
        <v>#REF!</v>
      </c>
      <c r="Q1329" s="25"/>
      <c r="R1329" s="24"/>
      <c r="S1329" s="26"/>
      <c r="T1329" s="24"/>
      <c r="U1329" s="26"/>
      <c r="V1329" s="26"/>
      <c r="W1329" s="27">
        <v>1018</v>
      </c>
      <c r="X1329" s="28"/>
    </row>
    <row r="1330" ht="46" spans="1:32">
      <c r="A1330" s="16" t="s">
        <v>4174</v>
      </c>
      <c r="B1330" s="17" t="s">
        <v>4175</v>
      </c>
      <c r="C1330" s="30" t="s">
        <v>1423</v>
      </c>
      <c r="D1330" s="19" t="e">
        <f>VLOOKUP(C1330,#REF!,2,0)</f>
        <v>#REF!</v>
      </c>
      <c r="E1330" s="20" t="e">
        <f>VLOOKUP(D1330,数据集标准分类!E:F,2,0)</f>
        <v>#REF!</v>
      </c>
      <c r="F1330" s="21">
        <v>47</v>
      </c>
      <c r="G1330" s="22" t="s">
        <v>192</v>
      </c>
      <c r="H1330" s="22" t="s">
        <v>5630</v>
      </c>
      <c r="I1330" s="22" t="s">
        <v>5631</v>
      </c>
      <c r="J1330" s="22" t="s">
        <v>193</v>
      </c>
      <c r="K1330" s="22" t="s">
        <v>195</v>
      </c>
      <c r="L1330" s="22" t="s">
        <v>385</v>
      </c>
      <c r="M1330" s="16" t="s">
        <v>5593</v>
      </c>
      <c r="N1330" s="16" t="s">
        <v>5593</v>
      </c>
      <c r="O1330" s="23">
        <v>1</v>
      </c>
      <c r="P1330" s="24" t="e">
        <f>VLOOKUP(I1330,#REF!,2,0)</f>
        <v>#REF!</v>
      </c>
      <c r="Q1330" s="25"/>
      <c r="R1330" s="24"/>
      <c r="S1330" s="26"/>
      <c r="T1330" s="24"/>
      <c r="U1330" s="26"/>
      <c r="V1330" s="26"/>
      <c r="W1330" s="27">
        <v>1019</v>
      </c>
      <c r="X1330" s="28"/>
    </row>
    <row r="1331" spans="1:32">
      <c r="A1331" s="16" t="s">
        <v>4174</v>
      </c>
      <c r="B1331" s="17" t="s">
        <v>4175</v>
      </c>
      <c r="C1331" s="30" t="s">
        <v>1423</v>
      </c>
      <c r="D1331" s="19" t="e">
        <f>VLOOKUP(C1331,#REF!,2,0)</f>
        <v>#REF!</v>
      </c>
      <c r="E1331" s="20" t="e">
        <f>VLOOKUP(D1331,数据集标准分类!E:F,2,0)</f>
        <v>#REF!</v>
      </c>
      <c r="F1331" s="21">
        <v>47</v>
      </c>
      <c r="G1331" s="22" t="s">
        <v>396</v>
      </c>
      <c r="H1331" s="22" t="s">
        <v>5628</v>
      </c>
      <c r="I1331" s="22" t="s">
        <v>5629</v>
      </c>
      <c r="J1331" s="22" t="s">
        <v>397</v>
      </c>
      <c r="K1331" s="22" t="s">
        <v>399</v>
      </c>
      <c r="L1331" s="22" t="s">
        <v>1260</v>
      </c>
      <c r="M1331" s="16" t="s">
        <v>5593</v>
      </c>
      <c r="N1331" s="16" t="s">
        <v>5593</v>
      </c>
      <c r="O1331" s="23">
        <v>2</v>
      </c>
      <c r="P1331" s="24" t="e">
        <f>VLOOKUP(I1331,#REF!,2,0)</f>
        <v>#REF!</v>
      </c>
      <c r="Q1331" s="25"/>
      <c r="R1331" s="24"/>
      <c r="S1331" s="26"/>
      <c r="T1331" s="24"/>
      <c r="U1331" s="26"/>
      <c r="V1331" s="26"/>
      <c r="W1331" s="27">
        <v>1020</v>
      </c>
      <c r="X1331" s="28"/>
    </row>
    <row r="1332" spans="1:32">
      <c r="A1332" s="16" t="s">
        <v>4174</v>
      </c>
      <c r="B1332" s="17" t="s">
        <v>4175</v>
      </c>
      <c r="C1332" s="30" t="s">
        <v>1423</v>
      </c>
      <c r="D1332" s="19" t="e">
        <f>VLOOKUP(C1332,#REF!,2,0)</f>
        <v>#REF!</v>
      </c>
      <c r="E1332" s="20" t="e">
        <f>VLOOKUP(D1332,数据集标准分类!E:F,2,0)</f>
        <v>#REF!</v>
      </c>
      <c r="F1332" s="21">
        <v>47</v>
      </c>
      <c r="G1332" s="22" t="s">
        <v>1261</v>
      </c>
      <c r="H1332" s="22" t="s">
        <v>5632</v>
      </c>
      <c r="I1332" s="22" t="s">
        <v>1264</v>
      </c>
      <c r="J1332" s="22" t="s">
        <v>1262</v>
      </c>
      <c r="K1332" s="22" t="s">
        <v>1264</v>
      </c>
      <c r="L1332" s="22" t="s">
        <v>1429</v>
      </c>
      <c r="M1332" s="16" t="s">
        <v>5593</v>
      </c>
      <c r="N1332" s="16" t="s">
        <v>5595</v>
      </c>
      <c r="O1332" s="23">
        <v>3</v>
      </c>
      <c r="P1332" s="24" t="e">
        <f>VLOOKUP(I1332,#REF!,2,0)</f>
        <v>#REF!</v>
      </c>
      <c r="Q1332" s="25"/>
      <c r="R1332" s="24"/>
      <c r="S1332" s="26"/>
      <c r="T1332" s="24"/>
      <c r="U1332" s="26"/>
      <c r="V1332" s="26"/>
      <c r="W1332" s="27">
        <v>1021</v>
      </c>
      <c r="X1332" s="28"/>
    </row>
    <row r="1333" ht="46" spans="1:32">
      <c r="A1333" s="16" t="s">
        <v>4174</v>
      </c>
      <c r="B1333" s="17" t="s">
        <v>4175</v>
      </c>
      <c r="C1333" s="30" t="s">
        <v>1423</v>
      </c>
      <c r="D1333" s="19" t="e">
        <f>VLOOKUP(C1333,#REF!,2,0)</f>
        <v>#REF!</v>
      </c>
      <c r="E1333" s="20" t="e">
        <f>VLOOKUP(D1333,数据集标准分类!E:F,2,0)</f>
        <v>#REF!</v>
      </c>
      <c r="F1333" s="21">
        <v>47</v>
      </c>
      <c r="G1333" s="22" t="s">
        <v>1430</v>
      </c>
      <c r="H1333" s="22" t="s">
        <v>5643</v>
      </c>
      <c r="I1333" s="22" t="s">
        <v>5644</v>
      </c>
      <c r="J1333" s="22" t="s">
        <v>1431</v>
      </c>
      <c r="K1333" s="22" t="s">
        <v>1433</v>
      </c>
      <c r="L1333" s="22" t="s">
        <v>1434</v>
      </c>
      <c r="M1333" s="16" t="s">
        <v>5593</v>
      </c>
      <c r="N1333" s="16" t="s">
        <v>5593</v>
      </c>
      <c r="O1333" s="23">
        <v>4</v>
      </c>
      <c r="P1333" s="24" t="e">
        <f>VLOOKUP(I1333,#REF!,2,0)</f>
        <v>#REF!</v>
      </c>
      <c r="Q1333" s="25"/>
      <c r="R1333" s="24"/>
      <c r="S1333" s="26"/>
      <c r="T1333" s="24"/>
      <c r="U1333" s="26"/>
      <c r="V1333" s="26"/>
      <c r="W1333" s="27">
        <v>1022</v>
      </c>
      <c r="X1333" s="28"/>
    </row>
    <row r="1334" ht="46" spans="1:32">
      <c r="A1334" s="16" t="s">
        <v>4174</v>
      </c>
      <c r="B1334" s="17" t="s">
        <v>4175</v>
      </c>
      <c r="C1334" s="30" t="s">
        <v>1423</v>
      </c>
      <c r="D1334" s="19" t="e">
        <f>VLOOKUP(C1334,#REF!,2,0)</f>
        <v>#REF!</v>
      </c>
      <c r="E1334" s="20" t="e">
        <f>VLOOKUP(D1334,数据集标准分类!E:F,2,0)</f>
        <v>#REF!</v>
      </c>
      <c r="F1334" s="21">
        <v>47</v>
      </c>
      <c r="G1334" s="22" t="s">
        <v>421</v>
      </c>
      <c r="H1334" s="22" t="s">
        <v>5685</v>
      </c>
      <c r="I1334" s="22" t="s">
        <v>424</v>
      </c>
      <c r="J1334" s="22" t="s">
        <v>422</v>
      </c>
      <c r="K1334" s="22" t="s">
        <v>424</v>
      </c>
      <c r="L1334" s="22" t="s">
        <v>425</v>
      </c>
      <c r="M1334" s="16" t="s">
        <v>5593</v>
      </c>
      <c r="N1334" s="16" t="s">
        <v>5595</v>
      </c>
      <c r="O1334" s="23">
        <v>5</v>
      </c>
      <c r="P1334" s="24" t="e">
        <f>VLOOKUP(I1334,#REF!,2,0)</f>
        <v>#REF!</v>
      </c>
      <c r="Q1334" s="25"/>
      <c r="R1334" s="24"/>
      <c r="S1334" s="26"/>
      <c r="T1334" s="24"/>
      <c r="U1334" s="26"/>
      <c r="V1334" s="26"/>
      <c r="W1334" s="27">
        <v>1023</v>
      </c>
      <c r="X1334" s="28"/>
    </row>
    <row r="1335" ht="31" spans="1:32">
      <c r="A1335" s="16" t="s">
        <v>4174</v>
      </c>
      <c r="B1335" s="17" t="s">
        <v>4175</v>
      </c>
      <c r="C1335" s="30" t="s">
        <v>1423</v>
      </c>
      <c r="D1335" s="19" t="e">
        <f>VLOOKUP(C1335,#REF!,2,0)</f>
        <v>#REF!</v>
      </c>
      <c r="E1335" s="20" t="e">
        <f>VLOOKUP(D1335,数据集标准分类!E:F,2,0)</f>
        <v>#REF!</v>
      </c>
      <c r="F1335" s="21">
        <v>47</v>
      </c>
      <c r="G1335" s="22" t="s">
        <v>1435</v>
      </c>
      <c r="H1335" s="22" t="s">
        <v>5666</v>
      </c>
      <c r="I1335" s="22" t="s">
        <v>1438</v>
      </c>
      <c r="J1335" s="22" t="s">
        <v>1436</v>
      </c>
      <c r="K1335" s="22" t="s">
        <v>1438</v>
      </c>
      <c r="L1335" s="22" t="s">
        <v>1439</v>
      </c>
      <c r="M1335" s="16" t="s">
        <v>5593</v>
      </c>
      <c r="N1335" s="16" t="s">
        <v>5595</v>
      </c>
      <c r="O1335" s="23">
        <v>6</v>
      </c>
      <c r="P1335" s="24" t="e">
        <f>VLOOKUP(I1335,#REF!,2,0)</f>
        <v>#REF!</v>
      </c>
      <c r="Q1335" s="25"/>
      <c r="R1335" s="24"/>
      <c r="S1335" s="26"/>
      <c r="T1335" s="24"/>
      <c r="U1335" s="26"/>
      <c r="V1335" s="26"/>
      <c r="W1335" s="27">
        <v>1024</v>
      </c>
      <c r="X1335" s="28"/>
    </row>
    <row r="1336" ht="31" spans="1:32">
      <c r="A1336" s="16" t="s">
        <v>4174</v>
      </c>
      <c r="B1336" s="17" t="s">
        <v>4175</v>
      </c>
      <c r="C1336" s="30" t="s">
        <v>1423</v>
      </c>
      <c r="D1336" s="19" t="e">
        <f>VLOOKUP(C1336,#REF!,2,0)</f>
        <v>#REF!</v>
      </c>
      <c r="E1336" s="20" t="e">
        <f>VLOOKUP(D1336,数据集标准分类!E:F,2,0)</f>
        <v>#REF!</v>
      </c>
      <c r="F1336" s="21">
        <v>47</v>
      </c>
      <c r="G1336" s="22" t="s">
        <v>1440</v>
      </c>
      <c r="H1336" s="22" t="s">
        <v>6141</v>
      </c>
      <c r="I1336" s="22" t="s">
        <v>1443</v>
      </c>
      <c r="J1336" s="22" t="s">
        <v>1441</v>
      </c>
      <c r="K1336" s="22" t="s">
        <v>1443</v>
      </c>
      <c r="L1336" s="22" t="s">
        <v>1444</v>
      </c>
      <c r="M1336" s="16" t="s">
        <v>5593</v>
      </c>
      <c r="N1336" s="16" t="s">
        <v>5595</v>
      </c>
      <c r="O1336" s="23">
        <v>7</v>
      </c>
      <c r="P1336" s="24" t="e">
        <f>VLOOKUP(I1336,#REF!,2,0)</f>
        <v>#REF!</v>
      </c>
      <c r="Q1336" s="25"/>
      <c r="R1336" s="24"/>
      <c r="S1336" s="26"/>
      <c r="T1336" s="24"/>
      <c r="U1336" s="26"/>
      <c r="V1336" s="26"/>
      <c r="W1336" s="27">
        <v>1025</v>
      </c>
      <c r="X1336" s="28"/>
    </row>
    <row r="1337" ht="31" spans="1:32">
      <c r="A1337" s="16" t="s">
        <v>4174</v>
      </c>
      <c r="B1337" s="17" t="s">
        <v>4175</v>
      </c>
      <c r="C1337" s="30" t="s">
        <v>1423</v>
      </c>
      <c r="D1337" s="19" t="e">
        <f>VLOOKUP(C1337,#REF!,2,0)</f>
        <v>#REF!</v>
      </c>
      <c r="E1337" s="20" t="e">
        <f>VLOOKUP(D1337,数据集标准分类!E:F,2,0)</f>
        <v>#REF!</v>
      </c>
      <c r="F1337" s="21">
        <v>47</v>
      </c>
      <c r="G1337" s="22" t="s">
        <v>172</v>
      </c>
      <c r="H1337" s="22" t="s">
        <v>5639</v>
      </c>
      <c r="I1337" s="22" t="s">
        <v>5640</v>
      </c>
      <c r="J1337" s="22" t="s">
        <v>173</v>
      </c>
      <c r="K1337" s="22" t="s">
        <v>175</v>
      </c>
      <c r="L1337" s="22" t="s">
        <v>1445</v>
      </c>
      <c r="M1337" s="16" t="s">
        <v>5593</v>
      </c>
      <c r="N1337" s="16" t="s">
        <v>5593</v>
      </c>
      <c r="O1337" s="23">
        <v>8</v>
      </c>
      <c r="P1337" s="24" t="e">
        <f>VLOOKUP(I1337,#REF!,2,0)</f>
        <v>#REF!</v>
      </c>
      <c r="Q1337" s="25"/>
      <c r="R1337" s="24"/>
      <c r="S1337" s="26"/>
      <c r="T1337" s="24"/>
      <c r="U1337" s="26"/>
      <c r="V1337" s="26"/>
      <c r="W1337" s="27">
        <v>1026</v>
      </c>
      <c r="X1337" s="28"/>
    </row>
    <row r="1338" ht="14.4" customHeight="1" spans="1:32">
      <c r="A1338" s="83" t="s">
        <v>4174</v>
      </c>
      <c r="B1338" s="84" t="s">
        <v>4175</v>
      </c>
      <c r="C1338" s="85" t="s">
        <v>1423</v>
      </c>
      <c r="D1338" s="86" t="e">
        <f>VLOOKUP(C1338,#REF!,2,0)</f>
        <v>#REF!</v>
      </c>
      <c r="E1338" s="20" t="e">
        <f>VLOOKUP(D1338,数据集标准分类!E:F,2,0)</f>
        <v>#REF!</v>
      </c>
      <c r="F1338" s="87">
        <v>47</v>
      </c>
      <c r="G1338" s="88" t="s">
        <v>1063</v>
      </c>
      <c r="H1338" s="88" t="s">
        <v>1064</v>
      </c>
      <c r="I1338" s="88" t="s">
        <v>1066</v>
      </c>
      <c r="J1338" s="88" t="s">
        <v>1064</v>
      </c>
      <c r="K1338" s="88" t="s">
        <v>1066</v>
      </c>
      <c r="L1338" s="88" t="s">
        <v>1067</v>
      </c>
      <c r="M1338" s="83" t="s">
        <v>5595</v>
      </c>
      <c r="N1338" s="83" t="s">
        <v>5595</v>
      </c>
      <c r="O1338" s="89">
        <v>9</v>
      </c>
      <c r="P1338" s="90" t="e">
        <f>VLOOKUP(I1338,#REF!,2,0)</f>
        <v>#REF!</v>
      </c>
      <c r="Q1338" s="91"/>
      <c r="R1338" s="90"/>
      <c r="S1338" s="92"/>
      <c r="T1338" s="90"/>
      <c r="U1338" s="92"/>
      <c r="V1338" s="92"/>
      <c r="W1338" s="93">
        <v>1027</v>
      </c>
      <c r="X1338" s="94"/>
      <c r="Y1338" s="95"/>
      <c r="Z1338" s="95"/>
      <c r="AA1338" s="95"/>
      <c r="AB1338" s="95"/>
      <c r="AC1338" s="95"/>
      <c r="AD1338" s="95"/>
      <c r="AE1338" s="95"/>
      <c r="AF1338" s="95"/>
    </row>
    <row r="1339" ht="31" spans="1:32">
      <c r="A1339" s="83" t="s">
        <v>4174</v>
      </c>
      <c r="B1339" s="84" t="s">
        <v>4175</v>
      </c>
      <c r="C1339" s="85" t="s">
        <v>1423</v>
      </c>
      <c r="D1339" s="86" t="e">
        <f>VLOOKUP(C1339,#REF!,2,0)</f>
        <v>#REF!</v>
      </c>
      <c r="E1339" s="20" t="e">
        <f>VLOOKUP(D1339,数据集标准分类!E:F,2,0)</f>
        <v>#REF!</v>
      </c>
      <c r="F1339" s="87">
        <v>47</v>
      </c>
      <c r="G1339" s="88" t="s">
        <v>1446</v>
      </c>
      <c r="H1339" s="88" t="s">
        <v>5988</v>
      </c>
      <c r="I1339" s="88" t="s">
        <v>1449</v>
      </c>
      <c r="J1339" s="88" t="s">
        <v>1447</v>
      </c>
      <c r="K1339" s="88" t="s">
        <v>1449</v>
      </c>
      <c r="L1339" s="88" t="s">
        <v>1196</v>
      </c>
      <c r="M1339" s="83" t="s">
        <v>5593</v>
      </c>
      <c r="N1339" s="83" t="s">
        <v>5595</v>
      </c>
      <c r="O1339" s="89">
        <v>10</v>
      </c>
      <c r="P1339" s="90" t="e">
        <f>VLOOKUP(I1339,#REF!,2,0)</f>
        <v>#REF!</v>
      </c>
      <c r="Q1339" s="91"/>
      <c r="R1339" s="90"/>
      <c r="S1339" s="92"/>
      <c r="T1339" s="90"/>
      <c r="U1339" s="92"/>
      <c r="V1339" s="92"/>
      <c r="W1339" s="93">
        <v>1028</v>
      </c>
      <c r="X1339" s="94"/>
      <c r="Y1339" s="95"/>
      <c r="Z1339" s="95"/>
      <c r="AA1339" s="95"/>
      <c r="AB1339" s="95"/>
      <c r="AC1339" s="95"/>
      <c r="AD1339" s="95"/>
      <c r="AE1339" s="95"/>
      <c r="AF1339" s="95"/>
    </row>
    <row r="1340" ht="46" spans="1:32">
      <c r="A1340" s="16" t="s">
        <v>4174</v>
      </c>
      <c r="B1340" s="17" t="s">
        <v>4175</v>
      </c>
      <c r="C1340" s="30" t="s">
        <v>1560</v>
      </c>
      <c r="D1340" s="19" t="e">
        <f>VLOOKUP(C1340,#REF!,2,0)</f>
        <v>#REF!</v>
      </c>
      <c r="E1340" s="20" t="e">
        <f>VLOOKUP(D1340,数据集标准分类!E:F,2,0)</f>
        <v>#REF!</v>
      </c>
      <c r="F1340" s="21">
        <v>48</v>
      </c>
      <c r="G1340" s="22" t="s">
        <v>152</v>
      </c>
      <c r="H1340" s="22" t="s">
        <v>5905</v>
      </c>
      <c r="I1340" s="22" t="s">
        <v>5906</v>
      </c>
      <c r="J1340" s="22" t="s">
        <v>153</v>
      </c>
      <c r="K1340" s="22" t="s">
        <v>155</v>
      </c>
      <c r="L1340" s="22" t="s">
        <v>156</v>
      </c>
      <c r="M1340" s="16" t="s">
        <v>5593</v>
      </c>
      <c r="N1340" s="16" t="s">
        <v>5593</v>
      </c>
      <c r="O1340" s="23">
        <v>1</v>
      </c>
      <c r="P1340" s="24" t="e">
        <f>VLOOKUP(I1340,#REF!,2,0)</f>
        <v>#REF!</v>
      </c>
      <c r="Q1340" s="25"/>
      <c r="R1340" s="24"/>
      <c r="S1340" s="26"/>
      <c r="T1340" s="24"/>
      <c r="U1340" s="26"/>
      <c r="V1340" s="26"/>
      <c r="W1340" s="27">
        <v>1029</v>
      </c>
      <c r="X1340" s="28"/>
    </row>
    <row r="1341" spans="1:32">
      <c r="A1341" s="16" t="s">
        <v>4174</v>
      </c>
      <c r="B1341" s="17" t="s">
        <v>4175</v>
      </c>
      <c r="C1341" s="30" t="s">
        <v>1560</v>
      </c>
      <c r="D1341" s="19" t="e">
        <f>VLOOKUP(C1341,#REF!,2,0)</f>
        <v>#REF!</v>
      </c>
      <c r="E1341" s="20" t="e">
        <f>VLOOKUP(D1341,数据集标准分类!E:F,2,0)</f>
        <v>#REF!</v>
      </c>
      <c r="F1341" s="21">
        <v>48</v>
      </c>
      <c r="G1341" s="22" t="s">
        <v>924</v>
      </c>
      <c r="H1341" s="22" t="s">
        <v>6084</v>
      </c>
      <c r="I1341" s="22" t="s">
        <v>927</v>
      </c>
      <c r="J1341" s="22" t="s">
        <v>925</v>
      </c>
      <c r="K1341" s="22" t="s">
        <v>927</v>
      </c>
      <c r="L1341" s="22" t="s">
        <v>928</v>
      </c>
      <c r="M1341" s="16" t="s">
        <v>5593</v>
      </c>
      <c r="N1341" s="16" t="s">
        <v>5595</v>
      </c>
      <c r="O1341" s="23">
        <v>2</v>
      </c>
      <c r="P1341" s="24" t="e">
        <f>VLOOKUP(I1341,#REF!,2,0)</f>
        <v>#REF!</v>
      </c>
      <c r="Q1341" s="25"/>
      <c r="R1341" s="24"/>
      <c r="S1341" s="26"/>
      <c r="T1341" s="24"/>
      <c r="U1341" s="26"/>
      <c r="V1341" s="26"/>
      <c r="W1341" s="27">
        <v>1030</v>
      </c>
      <c r="X1341" s="28"/>
    </row>
    <row r="1342" ht="31" spans="1:32">
      <c r="A1342" s="16" t="s">
        <v>4174</v>
      </c>
      <c r="B1342" s="17" t="s">
        <v>4175</v>
      </c>
      <c r="C1342" s="30" t="s">
        <v>1560</v>
      </c>
      <c r="D1342" s="19" t="e">
        <f>VLOOKUP(C1342,#REF!,2,0)</f>
        <v>#REF!</v>
      </c>
      <c r="E1342" s="20" t="e">
        <f>VLOOKUP(D1342,数据集标准分类!E:F,2,0)</f>
        <v>#REF!</v>
      </c>
      <c r="F1342" s="21">
        <v>48</v>
      </c>
      <c r="G1342" s="22" t="s">
        <v>943</v>
      </c>
      <c r="H1342" s="22" t="s">
        <v>5932</v>
      </c>
      <c r="I1342" s="22" t="s">
        <v>946</v>
      </c>
      <c r="J1342" s="22" t="s">
        <v>944</v>
      </c>
      <c r="K1342" s="22" t="s">
        <v>946</v>
      </c>
      <c r="L1342" s="22" t="s">
        <v>1561</v>
      </c>
      <c r="M1342" s="16" t="s">
        <v>5593</v>
      </c>
      <c r="N1342" s="16" t="s">
        <v>5595</v>
      </c>
      <c r="O1342" s="23">
        <v>3</v>
      </c>
      <c r="P1342" s="24" t="e">
        <f>VLOOKUP(I1342,#REF!,2,0)</f>
        <v>#REF!</v>
      </c>
      <c r="Q1342" s="25"/>
      <c r="R1342" s="24"/>
      <c r="S1342" s="26"/>
      <c r="T1342" s="24"/>
      <c r="U1342" s="26"/>
      <c r="V1342" s="26"/>
      <c r="W1342" s="27">
        <v>1031</v>
      </c>
      <c r="X1342" s="28"/>
    </row>
    <row r="1343" ht="31" spans="1:32">
      <c r="A1343" s="16" t="s">
        <v>4174</v>
      </c>
      <c r="B1343" s="17" t="s">
        <v>4175</v>
      </c>
      <c r="C1343" s="30" t="s">
        <v>1560</v>
      </c>
      <c r="D1343" s="19" t="e">
        <f>VLOOKUP(C1343,#REF!,2,0)</f>
        <v>#REF!</v>
      </c>
      <c r="E1343" s="20" t="e">
        <f>VLOOKUP(D1343,数据集标准分类!E:F,2,0)</f>
        <v>#REF!</v>
      </c>
      <c r="F1343" s="21">
        <v>48</v>
      </c>
      <c r="G1343" s="22" t="s">
        <v>779</v>
      </c>
      <c r="H1343" s="22" t="s">
        <v>780</v>
      </c>
      <c r="I1343" s="22" t="s">
        <v>782</v>
      </c>
      <c r="J1343" s="22" t="s">
        <v>780</v>
      </c>
      <c r="K1343" s="22" t="s">
        <v>782</v>
      </c>
      <c r="L1343" s="22" t="s">
        <v>1562</v>
      </c>
      <c r="M1343" s="16" t="s">
        <v>5595</v>
      </c>
      <c r="N1343" s="16" t="s">
        <v>5595</v>
      </c>
      <c r="O1343" s="23">
        <v>4</v>
      </c>
      <c r="P1343" s="24" t="e">
        <f>VLOOKUP(I1343,#REF!,2,0)</f>
        <v>#REF!</v>
      </c>
      <c r="Q1343" s="25"/>
      <c r="R1343" s="24"/>
      <c r="S1343" s="26"/>
      <c r="T1343" s="24"/>
      <c r="U1343" s="26"/>
      <c r="V1343" s="26"/>
      <c r="W1343" s="27">
        <v>1032</v>
      </c>
      <c r="X1343" s="28"/>
    </row>
    <row r="1344" ht="46" spans="1:32">
      <c r="A1344" s="83" t="s">
        <v>4174</v>
      </c>
      <c r="B1344" s="84" t="s">
        <v>4175</v>
      </c>
      <c r="C1344" s="85" t="s">
        <v>1560</v>
      </c>
      <c r="D1344" s="86" t="e">
        <f>VLOOKUP(C1344,#REF!,2,0)</f>
        <v>#REF!</v>
      </c>
      <c r="E1344" s="20" t="e">
        <f>VLOOKUP(D1344,数据集标准分类!E:F,2,0)</f>
        <v>#REF!</v>
      </c>
      <c r="F1344" s="87">
        <v>48</v>
      </c>
      <c r="G1344" s="88" t="s">
        <v>803</v>
      </c>
      <c r="H1344" s="88" t="s">
        <v>5608</v>
      </c>
      <c r="I1344" s="88" t="s">
        <v>806</v>
      </c>
      <c r="J1344" s="88" t="s">
        <v>804</v>
      </c>
      <c r="K1344" s="88" t="s">
        <v>806</v>
      </c>
      <c r="L1344" s="88" t="s">
        <v>788</v>
      </c>
      <c r="M1344" s="83" t="s">
        <v>5593</v>
      </c>
      <c r="N1344" s="83" t="s">
        <v>5595</v>
      </c>
      <c r="O1344" s="89">
        <v>5</v>
      </c>
      <c r="P1344" s="90" t="e">
        <f>VLOOKUP(I1344,#REF!,2,0)</f>
        <v>#REF!</v>
      </c>
      <c r="Q1344" s="91"/>
      <c r="R1344" s="90"/>
      <c r="S1344" s="92"/>
      <c r="T1344" s="90"/>
      <c r="U1344" s="92"/>
      <c r="V1344" s="92"/>
      <c r="W1344" s="93">
        <v>1033</v>
      </c>
      <c r="X1344" s="94"/>
      <c r="Y1344" s="95"/>
      <c r="Z1344" s="95"/>
      <c r="AA1344" s="95"/>
      <c r="AB1344" s="95"/>
      <c r="AC1344" s="95"/>
      <c r="AD1344" s="95"/>
      <c r="AE1344" s="95"/>
      <c r="AF1344" s="95"/>
    </row>
    <row r="1345" ht="31" spans="1:32">
      <c r="A1345" s="83" t="s">
        <v>4174</v>
      </c>
      <c r="B1345" s="84" t="s">
        <v>4175</v>
      </c>
      <c r="C1345" s="85" t="s">
        <v>1560</v>
      </c>
      <c r="D1345" s="86" t="e">
        <f>VLOOKUP(C1345,#REF!,2,0)</f>
        <v>#REF!</v>
      </c>
      <c r="E1345" s="20" t="e">
        <f>VLOOKUP(D1345,数据集标准分类!E:F,2,0)</f>
        <v>#REF!</v>
      </c>
      <c r="F1345" s="87">
        <v>48</v>
      </c>
      <c r="G1345" s="88" t="s">
        <v>1092</v>
      </c>
      <c r="H1345" s="88" t="s">
        <v>6111</v>
      </c>
      <c r="I1345" s="88" t="s">
        <v>1095</v>
      </c>
      <c r="J1345" s="88" t="s">
        <v>1093</v>
      </c>
      <c r="K1345" s="88" t="s">
        <v>1095</v>
      </c>
      <c r="L1345" s="88" t="s">
        <v>792</v>
      </c>
      <c r="M1345" s="83" t="s">
        <v>5593</v>
      </c>
      <c r="N1345" s="83" t="s">
        <v>5595</v>
      </c>
      <c r="O1345" s="89">
        <v>6</v>
      </c>
      <c r="P1345" s="90" t="e">
        <f>VLOOKUP(I1345,#REF!,2,0)</f>
        <v>#REF!</v>
      </c>
      <c r="Q1345" s="91"/>
      <c r="R1345" s="90"/>
      <c r="S1345" s="92"/>
      <c r="T1345" s="90"/>
      <c r="U1345" s="92"/>
      <c r="V1345" s="92"/>
      <c r="W1345" s="93">
        <v>1034</v>
      </c>
      <c r="X1345" s="94"/>
      <c r="Y1345" s="95"/>
      <c r="Z1345" s="95"/>
      <c r="AA1345" s="95"/>
      <c r="AB1345" s="95"/>
      <c r="AC1345" s="95"/>
      <c r="AD1345" s="95"/>
      <c r="AE1345" s="95"/>
      <c r="AF1345" s="95"/>
    </row>
    <row r="1346" spans="1:32">
      <c r="A1346" s="16" t="s">
        <v>4174</v>
      </c>
      <c r="B1346" s="17" t="s">
        <v>4175</v>
      </c>
      <c r="C1346" s="30" t="s">
        <v>1560</v>
      </c>
      <c r="D1346" s="19" t="e">
        <f>VLOOKUP(C1346,#REF!,2,0)</f>
        <v>#REF!</v>
      </c>
      <c r="E1346" s="20" t="e">
        <f>VLOOKUP(D1346,数据集标准分类!E:F,2,0)</f>
        <v>#REF!</v>
      </c>
      <c r="F1346" s="21">
        <v>48</v>
      </c>
      <c r="G1346" s="22" t="s">
        <v>966</v>
      </c>
      <c r="H1346" s="22" t="s">
        <v>5715</v>
      </c>
      <c r="I1346" s="22" t="s">
        <v>969</v>
      </c>
      <c r="J1346" s="22" t="s">
        <v>967</v>
      </c>
      <c r="K1346" s="22" t="s">
        <v>969</v>
      </c>
      <c r="L1346" s="22" t="s">
        <v>970</v>
      </c>
      <c r="M1346" s="16" t="s">
        <v>5593</v>
      </c>
      <c r="N1346" s="16" t="s">
        <v>5595</v>
      </c>
      <c r="O1346" s="23">
        <v>7</v>
      </c>
      <c r="P1346" s="24" t="e">
        <f>VLOOKUP(I1346,#REF!,2,0)</f>
        <v>#REF!</v>
      </c>
      <c r="Q1346" s="25"/>
      <c r="R1346" s="24"/>
      <c r="S1346" s="26"/>
      <c r="T1346" s="24"/>
      <c r="U1346" s="26"/>
      <c r="V1346" s="26"/>
      <c r="W1346" s="27">
        <v>1035</v>
      </c>
      <c r="X1346" s="28"/>
    </row>
    <row r="1347" spans="1:32">
      <c r="A1347" s="16" t="s">
        <v>4174</v>
      </c>
      <c r="B1347" s="17" t="s">
        <v>4175</v>
      </c>
      <c r="C1347" s="30" t="s">
        <v>1560</v>
      </c>
      <c r="D1347" s="19" t="e">
        <f>VLOOKUP(C1347,#REF!,2,0)</f>
        <v>#REF!</v>
      </c>
      <c r="E1347" s="20" t="e">
        <f>VLOOKUP(D1347,数据集标准分类!E:F,2,0)</f>
        <v>#REF!</v>
      </c>
      <c r="F1347" s="21">
        <v>48</v>
      </c>
      <c r="G1347" s="22" t="s">
        <v>1109</v>
      </c>
      <c r="H1347" s="22" t="s">
        <v>6112</v>
      </c>
      <c r="I1347" s="22" t="s">
        <v>6113</v>
      </c>
      <c r="J1347" s="22" t="s">
        <v>1110</v>
      </c>
      <c r="K1347" s="22" t="s">
        <v>1112</v>
      </c>
      <c r="L1347" s="22" t="s">
        <v>1113</v>
      </c>
      <c r="M1347" s="16" t="s">
        <v>5593</v>
      </c>
      <c r="N1347" s="16" t="s">
        <v>5593</v>
      </c>
      <c r="O1347" s="23">
        <v>8</v>
      </c>
      <c r="P1347" s="24" t="e">
        <f>VLOOKUP(I1347,#REF!,2,0)</f>
        <v>#REF!</v>
      </c>
      <c r="Q1347" s="25"/>
      <c r="R1347" s="24"/>
      <c r="S1347" s="26"/>
      <c r="T1347" s="24"/>
      <c r="U1347" s="26"/>
      <c r="V1347" s="26"/>
      <c r="W1347" s="27">
        <v>1036</v>
      </c>
      <c r="X1347" s="28"/>
    </row>
    <row r="1348" spans="1:32">
      <c r="A1348" s="16" t="s">
        <v>4174</v>
      </c>
      <c r="B1348" s="17" t="s">
        <v>4175</v>
      </c>
      <c r="C1348" s="30" t="s">
        <v>1560</v>
      </c>
      <c r="D1348" s="19" t="e">
        <f>VLOOKUP(C1348,#REF!,2,0)</f>
        <v>#REF!</v>
      </c>
      <c r="E1348" s="20" t="e">
        <f>VLOOKUP(D1348,数据集标准分类!E:F,2,0)</f>
        <v>#REF!</v>
      </c>
      <c r="F1348" s="21">
        <v>48</v>
      </c>
      <c r="G1348" s="22" t="s">
        <v>201</v>
      </c>
      <c r="H1348" s="22" t="s">
        <v>5646</v>
      </c>
      <c r="I1348" s="22" t="s">
        <v>5647</v>
      </c>
      <c r="J1348" s="22" t="s">
        <v>202</v>
      </c>
      <c r="K1348" s="22" t="s">
        <v>204</v>
      </c>
      <c r="L1348" s="22" t="s">
        <v>1114</v>
      </c>
      <c r="M1348" s="16" t="s">
        <v>5593</v>
      </c>
      <c r="N1348" s="16" t="s">
        <v>5593</v>
      </c>
      <c r="O1348" s="23">
        <v>9</v>
      </c>
      <c r="P1348" s="24" t="e">
        <f>VLOOKUP(I1348,#REF!,2,0)</f>
        <v>#REF!</v>
      </c>
      <c r="Q1348" s="25"/>
      <c r="R1348" s="24"/>
      <c r="S1348" s="26"/>
      <c r="T1348" s="24"/>
      <c r="U1348" s="26"/>
      <c r="V1348" s="26"/>
      <c r="W1348" s="27">
        <v>1037</v>
      </c>
      <c r="X1348" s="28"/>
    </row>
    <row r="1349" spans="1:32">
      <c r="A1349" s="83" t="s">
        <v>4174</v>
      </c>
      <c r="B1349" s="84" t="s">
        <v>4175</v>
      </c>
      <c r="C1349" s="85" t="s">
        <v>1560</v>
      </c>
      <c r="D1349" s="86" t="e">
        <f>VLOOKUP(C1349,#REF!,2,0)</f>
        <v>#REF!</v>
      </c>
      <c r="E1349" s="20" t="e">
        <f>VLOOKUP(D1349,数据集标准分类!E:F,2,0)</f>
        <v>#REF!</v>
      </c>
      <c r="F1349" s="87">
        <v>48</v>
      </c>
      <c r="G1349" s="88" t="s">
        <v>1172</v>
      </c>
      <c r="H1349" s="88" t="s">
        <v>6117</v>
      </c>
      <c r="I1349" s="88" t="s">
        <v>1175</v>
      </c>
      <c r="J1349" s="88" t="s">
        <v>1173</v>
      </c>
      <c r="K1349" s="88" t="s">
        <v>1175</v>
      </c>
      <c r="L1349" s="88" t="s">
        <v>975</v>
      </c>
      <c r="M1349" s="83" t="s">
        <v>5593</v>
      </c>
      <c r="N1349" s="83" t="s">
        <v>5595</v>
      </c>
      <c r="O1349" s="89">
        <v>10</v>
      </c>
      <c r="P1349" s="90" t="e">
        <f>VLOOKUP(I1349,#REF!,2,0)</f>
        <v>#REF!</v>
      </c>
      <c r="Q1349" s="91"/>
      <c r="R1349" s="90"/>
      <c r="S1349" s="92"/>
      <c r="T1349" s="90"/>
      <c r="U1349" s="92"/>
      <c r="V1349" s="92"/>
      <c r="W1349" s="93">
        <v>1038</v>
      </c>
      <c r="X1349" s="94"/>
      <c r="Y1349" s="95"/>
      <c r="Z1349" s="95"/>
      <c r="AA1349" s="95"/>
      <c r="AB1349" s="95"/>
      <c r="AC1349" s="95"/>
      <c r="AD1349" s="95"/>
      <c r="AE1349" s="95"/>
      <c r="AF1349" s="95"/>
    </row>
    <row r="1350" ht="46" spans="1:32">
      <c r="A1350" s="16" t="s">
        <v>4174</v>
      </c>
      <c r="B1350" s="17" t="s">
        <v>4175</v>
      </c>
      <c r="C1350" s="30" t="s">
        <v>1560</v>
      </c>
      <c r="D1350" s="19" t="e">
        <f>VLOOKUP(C1350,#REF!,2,0)</f>
        <v>#REF!</v>
      </c>
      <c r="E1350" s="20" t="e">
        <f>VLOOKUP(D1350,数据集标准分类!E:F,2,0)</f>
        <v>#REF!</v>
      </c>
      <c r="F1350" s="21">
        <v>48</v>
      </c>
      <c r="G1350" s="22" t="s">
        <v>157</v>
      </c>
      <c r="H1350" s="22" t="s">
        <v>158</v>
      </c>
      <c r="I1350" s="22" t="s">
        <v>5955</v>
      </c>
      <c r="J1350" s="22" t="s">
        <v>158</v>
      </c>
      <c r="K1350" s="22" t="s">
        <v>160</v>
      </c>
      <c r="L1350" s="22" t="s">
        <v>161</v>
      </c>
      <c r="M1350" s="16" t="s">
        <v>5595</v>
      </c>
      <c r="N1350" s="16" t="s">
        <v>5593</v>
      </c>
      <c r="O1350" s="23">
        <v>11</v>
      </c>
      <c r="P1350" s="24" t="e">
        <f>VLOOKUP(I1350,#REF!,2,0)</f>
        <v>#REF!</v>
      </c>
      <c r="Q1350" s="25"/>
      <c r="R1350" s="24"/>
      <c r="S1350" s="26"/>
      <c r="T1350" s="24"/>
      <c r="U1350" s="26"/>
      <c r="V1350" s="26"/>
      <c r="W1350" s="27">
        <v>1039</v>
      </c>
      <c r="X1350" s="28"/>
    </row>
    <row r="1351" ht="31" spans="1:32">
      <c r="A1351" s="16" t="s">
        <v>4174</v>
      </c>
      <c r="B1351" s="17" t="s">
        <v>4175</v>
      </c>
      <c r="C1351" s="30" t="s">
        <v>1560</v>
      </c>
      <c r="D1351" s="19" t="e">
        <f>VLOOKUP(C1351,#REF!,2,0)</f>
        <v>#REF!</v>
      </c>
      <c r="E1351" s="20" t="e">
        <f>VLOOKUP(D1351,数据集标准分类!E:F,2,0)</f>
        <v>#REF!</v>
      </c>
      <c r="F1351" s="21">
        <v>48</v>
      </c>
      <c r="G1351" s="22" t="s">
        <v>976</v>
      </c>
      <c r="H1351" s="22" t="s">
        <v>6090</v>
      </c>
      <c r="I1351" s="22" t="s">
        <v>979</v>
      </c>
      <c r="J1351" s="22" t="s">
        <v>977</v>
      </c>
      <c r="K1351" s="22" t="s">
        <v>979</v>
      </c>
      <c r="L1351" s="22" t="s">
        <v>1564</v>
      </c>
      <c r="M1351" s="16" t="s">
        <v>5593</v>
      </c>
      <c r="N1351" s="16" t="s">
        <v>5595</v>
      </c>
      <c r="O1351" s="23">
        <v>12</v>
      </c>
      <c r="P1351" s="24" t="e">
        <f>VLOOKUP(I1351,#REF!,2,0)</f>
        <v>#REF!</v>
      </c>
      <c r="Q1351" s="25"/>
      <c r="R1351" s="24"/>
      <c r="S1351" s="26"/>
      <c r="T1351" s="24"/>
      <c r="U1351" s="26"/>
      <c r="V1351" s="26"/>
      <c r="W1351" s="27">
        <v>1040</v>
      </c>
      <c r="X1351" s="28"/>
    </row>
    <row r="1352" ht="31" spans="1:32">
      <c r="A1352" s="16" t="s">
        <v>4174</v>
      </c>
      <c r="B1352" s="17" t="s">
        <v>4175</v>
      </c>
      <c r="C1352" s="30" t="s">
        <v>1560</v>
      </c>
      <c r="D1352" s="19" t="e">
        <f>VLOOKUP(C1352,#REF!,2,0)</f>
        <v>#REF!</v>
      </c>
      <c r="E1352" s="20" t="e">
        <f>VLOOKUP(D1352,数据集标准分类!E:F,2,0)</f>
        <v>#REF!</v>
      </c>
      <c r="F1352" s="21">
        <v>48</v>
      </c>
      <c r="G1352" s="22" t="s">
        <v>981</v>
      </c>
      <c r="H1352" s="22" t="s">
        <v>6091</v>
      </c>
      <c r="I1352" s="22" t="s">
        <v>984</v>
      </c>
      <c r="J1352" s="22" t="s">
        <v>982</v>
      </c>
      <c r="K1352" s="22" t="s">
        <v>984</v>
      </c>
      <c r="L1352" s="22" t="s">
        <v>985</v>
      </c>
      <c r="M1352" s="16" t="s">
        <v>5593</v>
      </c>
      <c r="N1352" s="16" t="s">
        <v>5595</v>
      </c>
      <c r="O1352" s="23">
        <v>13</v>
      </c>
      <c r="P1352" s="24" t="e">
        <f>VLOOKUP(I1352,#REF!,2,0)</f>
        <v>#REF!</v>
      </c>
      <c r="Q1352" s="25"/>
      <c r="R1352" s="24"/>
      <c r="S1352" s="26"/>
      <c r="T1352" s="24"/>
      <c r="U1352" s="26"/>
      <c r="V1352" s="26"/>
      <c r="W1352" s="27">
        <v>1041</v>
      </c>
      <c r="X1352" s="28"/>
    </row>
    <row r="1353" ht="31" spans="1:32">
      <c r="A1353" s="16" t="s">
        <v>4174</v>
      </c>
      <c r="B1353" s="17" t="s">
        <v>4175</v>
      </c>
      <c r="C1353" s="30" t="s">
        <v>1560</v>
      </c>
      <c r="D1353" s="19" t="e">
        <f>VLOOKUP(C1353,#REF!,2,0)</f>
        <v>#REF!</v>
      </c>
      <c r="E1353" s="20" t="e">
        <f>VLOOKUP(D1353,数据集标准分类!E:F,2,0)</f>
        <v>#REF!</v>
      </c>
      <c r="F1353" s="21">
        <v>48</v>
      </c>
      <c r="G1353" s="22" t="s">
        <v>986</v>
      </c>
      <c r="H1353" s="22" t="s">
        <v>6092</v>
      </c>
      <c r="I1353" s="22" t="s">
        <v>989</v>
      </c>
      <c r="J1353" s="22" t="s">
        <v>987</v>
      </c>
      <c r="K1353" s="22" t="s">
        <v>989</v>
      </c>
      <c r="L1353" s="22" t="s">
        <v>627</v>
      </c>
      <c r="M1353" s="16" t="s">
        <v>5593</v>
      </c>
      <c r="N1353" s="16" t="s">
        <v>5595</v>
      </c>
      <c r="O1353" s="23">
        <v>14</v>
      </c>
      <c r="P1353" s="24" t="e">
        <f>VLOOKUP(I1353,#REF!,2,0)</f>
        <v>#REF!</v>
      </c>
      <c r="Q1353" s="25"/>
      <c r="R1353" s="24"/>
      <c r="S1353" s="26"/>
      <c r="T1353" s="24"/>
      <c r="U1353" s="26"/>
      <c r="V1353" s="26"/>
      <c r="W1353" s="27">
        <v>1042</v>
      </c>
      <c r="X1353" s="28"/>
    </row>
    <row r="1354" ht="31" spans="1:32">
      <c r="A1354" s="16" t="s">
        <v>4174</v>
      </c>
      <c r="B1354" s="17" t="s">
        <v>4175</v>
      </c>
      <c r="C1354" s="30" t="s">
        <v>1560</v>
      </c>
      <c r="D1354" s="19" t="e">
        <f>VLOOKUP(C1354,#REF!,2,0)</f>
        <v>#REF!</v>
      </c>
      <c r="E1354" s="20" t="e">
        <f>VLOOKUP(D1354,数据集标准分类!E:F,2,0)</f>
        <v>#REF!</v>
      </c>
      <c r="F1354" s="21">
        <v>48</v>
      </c>
      <c r="G1354" s="22" t="s">
        <v>991</v>
      </c>
      <c r="H1354" s="22" t="s">
        <v>6093</v>
      </c>
      <c r="I1354" s="22" t="s">
        <v>994</v>
      </c>
      <c r="J1354" s="22" t="s">
        <v>992</v>
      </c>
      <c r="K1354" s="22" t="s">
        <v>994</v>
      </c>
      <c r="L1354" s="22" t="s">
        <v>995</v>
      </c>
      <c r="M1354" s="16" t="s">
        <v>5593</v>
      </c>
      <c r="N1354" s="16" t="s">
        <v>5595</v>
      </c>
      <c r="O1354" s="23">
        <v>15</v>
      </c>
      <c r="P1354" s="24" t="e">
        <f>VLOOKUP(I1354,#REF!,2,0)</f>
        <v>#REF!</v>
      </c>
      <c r="Q1354" s="25"/>
      <c r="R1354" s="24"/>
      <c r="S1354" s="26"/>
      <c r="T1354" s="24"/>
      <c r="U1354" s="26"/>
      <c r="V1354" s="26"/>
      <c r="W1354" s="27">
        <v>1043</v>
      </c>
      <c r="X1354" s="28"/>
    </row>
    <row r="1355" ht="31" spans="1:32">
      <c r="A1355" s="16" t="s">
        <v>4174</v>
      </c>
      <c r="B1355" s="17" t="s">
        <v>4175</v>
      </c>
      <c r="C1355" s="30" t="s">
        <v>1560</v>
      </c>
      <c r="D1355" s="19" t="e">
        <f>VLOOKUP(C1355,#REF!,2,0)</f>
        <v>#REF!</v>
      </c>
      <c r="E1355" s="20" t="e">
        <f>VLOOKUP(D1355,数据集标准分类!E:F,2,0)</f>
        <v>#REF!</v>
      </c>
      <c r="F1355" s="21">
        <v>48</v>
      </c>
      <c r="G1355" s="22" t="s">
        <v>996</v>
      </c>
      <c r="H1355" s="22" t="s">
        <v>6094</v>
      </c>
      <c r="I1355" s="22" t="s">
        <v>999</v>
      </c>
      <c r="J1355" s="22" t="s">
        <v>997</v>
      </c>
      <c r="K1355" s="22" t="s">
        <v>999</v>
      </c>
      <c r="L1355" s="22" t="s">
        <v>1565</v>
      </c>
      <c r="M1355" s="16" t="s">
        <v>5593</v>
      </c>
      <c r="N1355" s="16" t="s">
        <v>5595</v>
      </c>
      <c r="O1355" s="23">
        <v>16</v>
      </c>
      <c r="P1355" s="24" t="e">
        <f>VLOOKUP(I1355,#REF!,2,0)</f>
        <v>#REF!</v>
      </c>
      <c r="Q1355" s="25"/>
      <c r="R1355" s="24"/>
      <c r="S1355" s="26"/>
      <c r="T1355" s="24"/>
      <c r="U1355" s="26"/>
      <c r="V1355" s="26"/>
      <c r="W1355" s="27">
        <v>1044</v>
      </c>
      <c r="X1355" s="28"/>
    </row>
    <row r="1356" ht="31" spans="1:32">
      <c r="A1356" s="16" t="s">
        <v>4174</v>
      </c>
      <c r="B1356" s="17" t="s">
        <v>4175</v>
      </c>
      <c r="C1356" s="30" t="s">
        <v>1560</v>
      </c>
      <c r="D1356" s="19" t="e">
        <f>VLOOKUP(C1356,#REF!,2,0)</f>
        <v>#REF!</v>
      </c>
      <c r="E1356" s="20" t="e">
        <f>VLOOKUP(D1356,数据集标准分类!E:F,2,0)</f>
        <v>#REF!</v>
      </c>
      <c r="F1356" s="21">
        <v>48</v>
      </c>
      <c r="G1356" s="22" t="s">
        <v>1001</v>
      </c>
      <c r="H1356" s="22" t="s">
        <v>6095</v>
      </c>
      <c r="I1356" s="22" t="s">
        <v>1004</v>
      </c>
      <c r="J1356" s="22" t="s">
        <v>1002</v>
      </c>
      <c r="K1356" s="22" t="s">
        <v>1004</v>
      </c>
      <c r="L1356" s="22" t="s">
        <v>1005</v>
      </c>
      <c r="M1356" s="16" t="s">
        <v>5593</v>
      </c>
      <c r="N1356" s="16" t="s">
        <v>5595</v>
      </c>
      <c r="O1356" s="23">
        <v>17</v>
      </c>
      <c r="P1356" s="24" t="e">
        <f>VLOOKUP(I1356,#REF!,2,0)</f>
        <v>#REF!</v>
      </c>
      <c r="Q1356" s="25"/>
      <c r="R1356" s="24"/>
      <c r="S1356" s="26"/>
      <c r="T1356" s="24"/>
      <c r="U1356" s="26"/>
      <c r="V1356" s="26"/>
      <c r="W1356" s="27">
        <v>1045</v>
      </c>
      <c r="X1356" s="28"/>
    </row>
    <row r="1357" ht="24" customHeight="1" spans="1:32">
      <c r="A1357" s="16" t="s">
        <v>4174</v>
      </c>
      <c r="B1357" s="17" t="s">
        <v>4175</v>
      </c>
      <c r="C1357" s="30" t="s">
        <v>1560</v>
      </c>
      <c r="D1357" s="19" t="e">
        <f>VLOOKUP(C1357,#REF!,2,0)</f>
        <v>#REF!</v>
      </c>
      <c r="E1357" s="20" t="e">
        <f>VLOOKUP(D1357,数据集标准分类!E:F,2,0)</f>
        <v>#REF!</v>
      </c>
      <c r="F1357" s="21">
        <v>48</v>
      </c>
      <c r="G1357" s="29" t="s">
        <v>1566</v>
      </c>
      <c r="H1357" s="29" t="s">
        <v>6142</v>
      </c>
      <c r="I1357" s="29" t="s">
        <v>1569</v>
      </c>
      <c r="J1357" s="22" t="s">
        <v>1567</v>
      </c>
      <c r="K1357" s="22" t="s">
        <v>1569</v>
      </c>
      <c r="L1357" s="22" t="s">
        <v>1570</v>
      </c>
      <c r="M1357" s="16" t="s">
        <v>5593</v>
      </c>
      <c r="N1357" s="16" t="s">
        <v>5595</v>
      </c>
      <c r="O1357" s="23">
        <v>18</v>
      </c>
      <c r="P1357" s="24" t="e">
        <f>VLOOKUP(I1357,#REF!,2,0)</f>
        <v>#REF!</v>
      </c>
      <c r="Q1357" s="25"/>
      <c r="R1357" s="24"/>
      <c r="S1357" s="26"/>
      <c r="T1357" s="24"/>
      <c r="U1357" s="26"/>
      <c r="V1357" s="26"/>
      <c r="W1357" s="27">
        <v>1046</v>
      </c>
      <c r="X1357" s="28"/>
    </row>
    <row r="1358" spans="1:32">
      <c r="A1358" s="16" t="s">
        <v>4174</v>
      </c>
      <c r="B1358" s="17" t="s">
        <v>4175</v>
      </c>
      <c r="C1358" s="30" t="s">
        <v>1560</v>
      </c>
      <c r="D1358" s="19" t="e">
        <f>VLOOKUP(C1358,#REF!,2,0)</f>
        <v>#REF!</v>
      </c>
      <c r="E1358" s="20" t="e">
        <f>VLOOKUP(D1358,数据集标准分类!E:F,2,0)</f>
        <v>#REF!</v>
      </c>
      <c r="F1358" s="21">
        <v>48</v>
      </c>
      <c r="G1358" s="22" t="s">
        <v>1006</v>
      </c>
      <c r="H1358" s="22" t="s">
        <v>5702</v>
      </c>
      <c r="I1358" s="22" t="s">
        <v>1009</v>
      </c>
      <c r="J1358" s="22" t="s">
        <v>1007</v>
      </c>
      <c r="K1358" s="22" t="s">
        <v>1009</v>
      </c>
      <c r="L1358" s="22" t="s">
        <v>1010</v>
      </c>
      <c r="M1358" s="16" t="s">
        <v>5593</v>
      </c>
      <c r="N1358" s="16" t="s">
        <v>5595</v>
      </c>
      <c r="O1358" s="23">
        <v>19</v>
      </c>
      <c r="P1358" s="24" t="e">
        <f>VLOOKUP(I1358,#REF!,2,0)</f>
        <v>#REF!</v>
      </c>
      <c r="Q1358" s="25"/>
      <c r="R1358" s="24"/>
      <c r="S1358" s="26"/>
      <c r="T1358" s="24"/>
      <c r="U1358" s="26"/>
      <c r="V1358" s="26"/>
      <c r="W1358" s="27">
        <v>1047</v>
      </c>
      <c r="X1358" s="28"/>
    </row>
    <row r="1359" ht="46" spans="1:32">
      <c r="A1359" s="16" t="s">
        <v>4174</v>
      </c>
      <c r="B1359" s="17" t="s">
        <v>4175</v>
      </c>
      <c r="C1359" s="30" t="s">
        <v>1576</v>
      </c>
      <c r="D1359" s="19" t="e">
        <f>VLOOKUP(C1359,#REF!,2,0)</f>
        <v>#REF!</v>
      </c>
      <c r="E1359" s="20" t="e">
        <f>VLOOKUP(D1359,数据集标准分类!E:F,2,0)</f>
        <v>#REF!</v>
      </c>
      <c r="F1359" s="21">
        <v>49</v>
      </c>
      <c r="G1359" s="22" t="s">
        <v>152</v>
      </c>
      <c r="H1359" s="22" t="s">
        <v>5905</v>
      </c>
      <c r="I1359" s="22" t="s">
        <v>5906</v>
      </c>
      <c r="J1359" s="22" t="s">
        <v>153</v>
      </c>
      <c r="K1359" s="22" t="s">
        <v>155</v>
      </c>
      <c r="L1359" s="22" t="s">
        <v>156</v>
      </c>
      <c r="M1359" s="16" t="s">
        <v>5593</v>
      </c>
      <c r="N1359" s="16" t="s">
        <v>5593</v>
      </c>
      <c r="O1359" s="23">
        <v>1</v>
      </c>
      <c r="P1359" s="24" t="e">
        <f>VLOOKUP(I1359,#REF!,2,0)</f>
        <v>#REF!</v>
      </c>
      <c r="Q1359" s="25"/>
      <c r="R1359" s="24"/>
      <c r="S1359" s="26"/>
      <c r="T1359" s="24"/>
      <c r="U1359" s="26"/>
      <c r="V1359" s="26"/>
      <c r="W1359" s="27">
        <v>1048</v>
      </c>
      <c r="X1359" s="28"/>
    </row>
    <row r="1360" ht="31" spans="1:32">
      <c r="A1360" s="16" t="s">
        <v>4174</v>
      </c>
      <c r="B1360" s="17" t="s">
        <v>4175</v>
      </c>
      <c r="C1360" s="30" t="s">
        <v>1576</v>
      </c>
      <c r="D1360" s="19" t="e">
        <f>VLOOKUP(C1360,#REF!,2,0)</f>
        <v>#REF!</v>
      </c>
      <c r="E1360" s="20" t="e">
        <f>VLOOKUP(D1360,数据集标准分类!E:F,2,0)</f>
        <v>#REF!</v>
      </c>
      <c r="F1360" s="21">
        <v>49</v>
      </c>
      <c r="G1360" s="22" t="s">
        <v>943</v>
      </c>
      <c r="H1360" s="22" t="s">
        <v>5932</v>
      </c>
      <c r="I1360" s="22" t="s">
        <v>946</v>
      </c>
      <c r="J1360" s="22" t="s">
        <v>944</v>
      </c>
      <c r="K1360" s="22" t="s">
        <v>946</v>
      </c>
      <c r="L1360" s="22" t="s">
        <v>1561</v>
      </c>
      <c r="M1360" s="16" t="s">
        <v>5593</v>
      </c>
      <c r="N1360" s="16" t="s">
        <v>5595</v>
      </c>
      <c r="O1360" s="23">
        <v>2</v>
      </c>
      <c r="P1360" s="24" t="e">
        <f>VLOOKUP(I1360,#REF!,2,0)</f>
        <v>#REF!</v>
      </c>
      <c r="Q1360" s="25"/>
      <c r="R1360" s="24"/>
      <c r="S1360" s="26"/>
      <c r="T1360" s="24"/>
      <c r="U1360" s="26"/>
      <c r="V1360" s="26"/>
      <c r="W1360" s="27">
        <v>1049</v>
      </c>
      <c r="X1360" s="28"/>
    </row>
    <row r="1361" spans="1:32">
      <c r="A1361" s="16" t="s">
        <v>4174</v>
      </c>
      <c r="B1361" s="17" t="s">
        <v>4175</v>
      </c>
      <c r="C1361" s="30" t="s">
        <v>1576</v>
      </c>
      <c r="D1361" s="19" t="e">
        <f>VLOOKUP(C1361,#REF!,2,0)</f>
        <v>#REF!</v>
      </c>
      <c r="E1361" s="20" t="e">
        <f>VLOOKUP(D1361,数据集标准分类!E:F,2,0)</f>
        <v>#REF!</v>
      </c>
      <c r="F1361" s="21">
        <v>49</v>
      </c>
      <c r="G1361" s="22" t="s">
        <v>924</v>
      </c>
      <c r="H1361" s="22" t="s">
        <v>6084</v>
      </c>
      <c r="I1361" s="22" t="s">
        <v>927</v>
      </c>
      <c r="J1361" s="22" t="s">
        <v>925</v>
      </c>
      <c r="K1361" s="22" t="s">
        <v>927</v>
      </c>
      <c r="L1361" s="22" t="s">
        <v>928</v>
      </c>
      <c r="M1361" s="16" t="s">
        <v>5593</v>
      </c>
      <c r="N1361" s="16" t="s">
        <v>5595</v>
      </c>
      <c r="O1361" s="23">
        <v>3</v>
      </c>
      <c r="P1361" s="24" t="e">
        <f>VLOOKUP(I1361,#REF!,2,0)</f>
        <v>#REF!</v>
      </c>
      <c r="Q1361" s="25"/>
      <c r="R1361" s="24"/>
      <c r="S1361" s="26"/>
      <c r="T1361" s="24"/>
      <c r="U1361" s="26"/>
      <c r="V1361" s="26"/>
      <c r="W1361" s="27">
        <v>1050</v>
      </c>
      <c r="X1361" s="28"/>
    </row>
    <row r="1362" spans="1:32">
      <c r="A1362" s="16" t="s">
        <v>4174</v>
      </c>
      <c r="B1362" s="17" t="s">
        <v>4175</v>
      </c>
      <c r="C1362" s="30" t="s">
        <v>1576</v>
      </c>
      <c r="D1362" s="19" t="e">
        <f>VLOOKUP(C1362,#REF!,2,0)</f>
        <v>#REF!</v>
      </c>
      <c r="E1362" s="20" t="e">
        <f>VLOOKUP(D1362,数据集标准分类!E:F,2,0)</f>
        <v>#REF!</v>
      </c>
      <c r="F1362" s="21">
        <v>49</v>
      </c>
      <c r="G1362" s="22" t="s">
        <v>966</v>
      </c>
      <c r="H1362" s="22" t="s">
        <v>5715</v>
      </c>
      <c r="I1362" s="22" t="s">
        <v>969</v>
      </c>
      <c r="J1362" s="22" t="s">
        <v>967</v>
      </c>
      <c r="K1362" s="22" t="s">
        <v>969</v>
      </c>
      <c r="L1362" s="22" t="s">
        <v>970</v>
      </c>
      <c r="M1362" s="16" t="s">
        <v>5593</v>
      </c>
      <c r="N1362" s="16" t="s">
        <v>5595</v>
      </c>
      <c r="O1362" s="23">
        <v>4</v>
      </c>
      <c r="P1362" s="24" t="e">
        <f>VLOOKUP(I1362,#REF!,2,0)</f>
        <v>#REF!</v>
      </c>
      <c r="Q1362" s="25"/>
      <c r="R1362" s="24"/>
      <c r="S1362" s="26"/>
      <c r="T1362" s="24"/>
      <c r="U1362" s="26"/>
      <c r="V1362" s="26"/>
      <c r="W1362" s="27">
        <v>1051</v>
      </c>
      <c r="X1362" s="28"/>
    </row>
    <row r="1363" ht="31" spans="1:32">
      <c r="A1363" s="16" t="s">
        <v>4174</v>
      </c>
      <c r="B1363" s="17" t="s">
        <v>4175</v>
      </c>
      <c r="C1363" s="30" t="s">
        <v>1576</v>
      </c>
      <c r="D1363" s="19" t="e">
        <f>VLOOKUP(C1363,#REF!,2,0)</f>
        <v>#REF!</v>
      </c>
      <c r="E1363" s="20" t="e">
        <f>VLOOKUP(D1363,数据集标准分类!E:F,2,0)</f>
        <v>#REF!</v>
      </c>
      <c r="F1363" s="21">
        <v>49</v>
      </c>
      <c r="G1363" s="22" t="s">
        <v>1017</v>
      </c>
      <c r="H1363" s="22" t="s">
        <v>1018</v>
      </c>
      <c r="I1363" s="22" t="s">
        <v>6097</v>
      </c>
      <c r="J1363" s="22" t="s">
        <v>1018</v>
      </c>
      <c r="K1363" s="22" t="s">
        <v>1020</v>
      </c>
      <c r="L1363" s="22" t="s">
        <v>1021</v>
      </c>
      <c r="M1363" s="16" t="s">
        <v>5595</v>
      </c>
      <c r="N1363" s="16" t="s">
        <v>5593</v>
      </c>
      <c r="O1363" s="23">
        <v>5</v>
      </c>
      <c r="P1363" s="24" t="e">
        <f>VLOOKUP(I1363,#REF!,2,0)</f>
        <v>#REF!</v>
      </c>
      <c r="Q1363" s="25"/>
      <c r="R1363" s="24"/>
      <c r="S1363" s="26"/>
      <c r="T1363" s="24"/>
      <c r="U1363" s="26"/>
      <c r="V1363" s="26"/>
      <c r="W1363" s="27">
        <v>1052</v>
      </c>
      <c r="X1363" s="28"/>
    </row>
    <row r="1364" ht="31" spans="1:32">
      <c r="A1364" s="16" t="s">
        <v>4174</v>
      </c>
      <c r="B1364" s="17" t="s">
        <v>4175</v>
      </c>
      <c r="C1364" s="30" t="s">
        <v>1576</v>
      </c>
      <c r="D1364" s="19" t="e">
        <f>VLOOKUP(C1364,#REF!,2,0)</f>
        <v>#REF!</v>
      </c>
      <c r="E1364" s="20" t="e">
        <f>VLOOKUP(D1364,数据集标准分类!E:F,2,0)</f>
        <v>#REF!</v>
      </c>
      <c r="F1364" s="21">
        <v>49</v>
      </c>
      <c r="G1364" s="22" t="s">
        <v>1405</v>
      </c>
      <c r="H1364" s="22" t="s">
        <v>6143</v>
      </c>
      <c r="I1364" s="22" t="s">
        <v>1408</v>
      </c>
      <c r="J1364" s="22" t="s">
        <v>1406</v>
      </c>
      <c r="K1364" s="22" t="s">
        <v>1408</v>
      </c>
      <c r="L1364" s="22" t="s">
        <v>1409</v>
      </c>
      <c r="M1364" s="16" t="s">
        <v>5593</v>
      </c>
      <c r="N1364" s="16" t="s">
        <v>5595</v>
      </c>
      <c r="O1364" s="23">
        <v>6</v>
      </c>
      <c r="P1364" s="24" t="e">
        <f>VLOOKUP(I1364,#REF!,2,0)</f>
        <v>#REF!</v>
      </c>
      <c r="Q1364" s="25"/>
      <c r="R1364" s="24"/>
      <c r="S1364" s="26"/>
      <c r="T1364" s="24"/>
      <c r="U1364" s="26"/>
      <c r="V1364" s="26"/>
      <c r="W1364" s="27">
        <v>1053</v>
      </c>
      <c r="X1364" s="28"/>
    </row>
    <row r="1365" ht="46" spans="1:32">
      <c r="A1365" s="16" t="s">
        <v>4174</v>
      </c>
      <c r="B1365" s="17" t="s">
        <v>4175</v>
      </c>
      <c r="C1365" s="30" t="s">
        <v>1576</v>
      </c>
      <c r="D1365" s="19" t="e">
        <f>VLOOKUP(C1365,#REF!,2,0)</f>
        <v>#REF!</v>
      </c>
      <c r="E1365" s="20" t="e">
        <f>VLOOKUP(D1365,数据集标准分类!E:F,2,0)</f>
        <v>#REF!</v>
      </c>
      <c r="F1365" s="21">
        <v>49</v>
      </c>
      <c r="G1365" s="22" t="s">
        <v>1410</v>
      </c>
      <c r="H1365" s="22" t="s">
        <v>6144</v>
      </c>
      <c r="I1365" s="22" t="s">
        <v>1413</v>
      </c>
      <c r="J1365" s="22" t="s">
        <v>1411</v>
      </c>
      <c r="K1365" s="22" t="s">
        <v>1413</v>
      </c>
      <c r="L1365" s="22" t="s">
        <v>1414</v>
      </c>
      <c r="M1365" s="16" t="s">
        <v>5593</v>
      </c>
      <c r="N1365" s="16" t="s">
        <v>5595</v>
      </c>
      <c r="O1365" s="23">
        <v>7</v>
      </c>
      <c r="P1365" s="24" t="e">
        <f>VLOOKUP(I1365,#REF!,2,0)</f>
        <v>#REF!</v>
      </c>
      <c r="Q1365" s="25"/>
      <c r="R1365" s="24"/>
      <c r="S1365" s="26"/>
      <c r="T1365" s="24"/>
      <c r="U1365" s="26"/>
      <c r="V1365" s="26"/>
      <c r="W1365" s="27">
        <v>1054</v>
      </c>
      <c r="X1365" s="28"/>
    </row>
    <row r="1366" ht="107" spans="1:32">
      <c r="A1366" s="16" t="s">
        <v>4174</v>
      </c>
      <c r="B1366" s="17" t="s">
        <v>4175</v>
      </c>
      <c r="C1366" s="30" t="s">
        <v>1576</v>
      </c>
      <c r="D1366" s="19" t="e">
        <f>VLOOKUP(C1366,#REF!,2,0)</f>
        <v>#REF!</v>
      </c>
      <c r="E1366" s="20" t="e">
        <f>VLOOKUP(D1366,数据集标准分类!E:F,2,0)</f>
        <v>#REF!</v>
      </c>
      <c r="F1366" s="21">
        <v>49</v>
      </c>
      <c r="G1366" s="22" t="s">
        <v>1027</v>
      </c>
      <c r="H1366" s="22" t="s">
        <v>6098</v>
      </c>
      <c r="I1366" s="22" t="s">
        <v>1030</v>
      </c>
      <c r="J1366" s="22" t="s">
        <v>1028</v>
      </c>
      <c r="K1366" s="22" t="s">
        <v>1030</v>
      </c>
      <c r="L1366" s="22" t="s">
        <v>1415</v>
      </c>
      <c r="M1366" s="16" t="s">
        <v>5593</v>
      </c>
      <c r="N1366" s="16" t="s">
        <v>5595</v>
      </c>
      <c r="O1366" s="23">
        <v>8</v>
      </c>
      <c r="P1366" s="24" t="e">
        <f>VLOOKUP(I1366,#REF!,2,0)</f>
        <v>#REF!</v>
      </c>
      <c r="Q1366" s="25"/>
      <c r="R1366" s="24"/>
      <c r="S1366" s="26"/>
      <c r="T1366" s="24"/>
      <c r="U1366" s="26"/>
      <c r="V1366" s="26"/>
      <c r="W1366" s="27">
        <v>1055</v>
      </c>
      <c r="X1366" s="28"/>
    </row>
    <row r="1367" ht="24" customHeight="1" spans="1:32">
      <c r="A1367" s="16" t="s">
        <v>4174</v>
      </c>
      <c r="B1367" s="17" t="s">
        <v>4175</v>
      </c>
      <c r="C1367" s="30" t="s">
        <v>1576</v>
      </c>
      <c r="D1367" s="19" t="e">
        <f>VLOOKUP(C1367,#REF!,2,0)</f>
        <v>#REF!</v>
      </c>
      <c r="E1367" s="20" t="e">
        <f>VLOOKUP(D1367,数据集标准分类!E:F,2,0)</f>
        <v>#REF!</v>
      </c>
      <c r="F1367" s="21">
        <v>49</v>
      </c>
      <c r="G1367" s="22" t="s">
        <v>1032</v>
      </c>
      <c r="H1367" s="22" t="s">
        <v>6099</v>
      </c>
      <c r="I1367" s="22" t="s">
        <v>1035</v>
      </c>
      <c r="J1367" s="22" t="s">
        <v>1033</v>
      </c>
      <c r="K1367" s="22" t="s">
        <v>1035</v>
      </c>
      <c r="L1367" s="22" t="s">
        <v>1416</v>
      </c>
      <c r="M1367" s="16" t="s">
        <v>5593</v>
      </c>
      <c r="N1367" s="16" t="s">
        <v>5595</v>
      </c>
      <c r="O1367" s="23">
        <v>9</v>
      </c>
      <c r="P1367" s="24" t="e">
        <f>VLOOKUP(I1367,#REF!,2,0)</f>
        <v>#REF!</v>
      </c>
      <c r="Q1367" s="25"/>
      <c r="R1367" s="24"/>
      <c r="S1367" s="26"/>
      <c r="T1367" s="24"/>
      <c r="U1367" s="26"/>
      <c r="V1367" s="26"/>
      <c r="W1367" s="27">
        <v>1056</v>
      </c>
      <c r="X1367" s="28"/>
    </row>
    <row r="1368" ht="31" spans="1:32">
      <c r="A1368" s="16" t="s">
        <v>4174</v>
      </c>
      <c r="B1368" s="17" t="s">
        <v>4175</v>
      </c>
      <c r="C1368" s="30" t="s">
        <v>1576</v>
      </c>
      <c r="D1368" s="19" t="e">
        <f>VLOOKUP(C1368,#REF!,2,0)</f>
        <v>#REF!</v>
      </c>
      <c r="E1368" s="20" t="e">
        <f>VLOOKUP(D1368,数据集标准分类!E:F,2,0)</f>
        <v>#REF!</v>
      </c>
      <c r="F1368" s="21">
        <v>49</v>
      </c>
      <c r="G1368" s="22" t="s">
        <v>1577</v>
      </c>
      <c r="H1368" s="22" t="s">
        <v>6145</v>
      </c>
      <c r="I1368" s="22" t="s">
        <v>6146</v>
      </c>
      <c r="J1368" s="22" t="s">
        <v>1578</v>
      </c>
      <c r="K1368" s="22" t="s">
        <v>1580</v>
      </c>
      <c r="L1368" s="22" t="s">
        <v>1581</v>
      </c>
      <c r="M1368" s="16" t="s">
        <v>5593</v>
      </c>
      <c r="N1368" s="16" t="s">
        <v>5593</v>
      </c>
      <c r="O1368" s="23">
        <v>10</v>
      </c>
      <c r="P1368" s="24" t="e">
        <f>VLOOKUP(I1368,#REF!,2,0)</f>
        <v>#REF!</v>
      </c>
      <c r="Q1368" s="25"/>
      <c r="R1368" s="24"/>
      <c r="S1368" s="26"/>
      <c r="T1368" s="24"/>
      <c r="U1368" s="26"/>
      <c r="V1368" s="26"/>
      <c r="W1368" s="27">
        <v>1057</v>
      </c>
      <c r="X1368" s="28"/>
    </row>
    <row r="1369" ht="46" spans="1:32">
      <c r="A1369" s="66" t="s">
        <v>4174</v>
      </c>
      <c r="B1369" s="67" t="s">
        <v>4175</v>
      </c>
      <c r="C1369" s="68" t="s">
        <v>1403</v>
      </c>
      <c r="D1369" s="69" t="e">
        <f>VLOOKUP(C1369,#REF!,2,0)</f>
        <v>#REF!</v>
      </c>
      <c r="E1369" s="70" t="e">
        <f>VLOOKUP(D1369,数据集标准分类!E:F,2,0)</f>
        <v>#REF!</v>
      </c>
      <c r="F1369" s="71">
        <v>50</v>
      </c>
      <c r="G1369" s="72" t="s">
        <v>245</v>
      </c>
      <c r="H1369" s="72" t="s">
        <v>5680</v>
      </c>
      <c r="I1369" s="72" t="s">
        <v>248</v>
      </c>
      <c r="J1369" s="72" t="s">
        <v>246</v>
      </c>
      <c r="K1369" s="72" t="s">
        <v>248</v>
      </c>
      <c r="L1369" s="72" t="s">
        <v>1404</v>
      </c>
      <c r="M1369" s="66" t="s">
        <v>5593</v>
      </c>
      <c r="N1369" s="66" t="s">
        <v>5595</v>
      </c>
      <c r="O1369" s="73">
        <v>1</v>
      </c>
      <c r="P1369" s="74" t="e">
        <f>VLOOKUP(I1369,#REF!,2,0)</f>
        <v>#REF!</v>
      </c>
      <c r="Q1369" s="75"/>
      <c r="R1369" s="74"/>
      <c r="S1369" s="76" t="s">
        <v>5593</v>
      </c>
      <c r="T1369" s="74"/>
      <c r="U1369" s="76"/>
      <c r="V1369" s="76"/>
      <c r="W1369" s="77">
        <v>1058</v>
      </c>
      <c r="X1369" s="78"/>
      <c r="Y1369" s="79"/>
      <c r="Z1369" s="79"/>
      <c r="AA1369" s="79"/>
      <c r="AB1369" s="79"/>
      <c r="AC1369" s="79"/>
      <c r="AD1369" s="79"/>
      <c r="AE1369" s="79"/>
      <c r="AF1369" s="79"/>
    </row>
    <row r="1370" ht="31" spans="1:32">
      <c r="A1370" s="16" t="s">
        <v>4174</v>
      </c>
      <c r="B1370" s="17" t="s">
        <v>4175</v>
      </c>
      <c r="C1370" s="30" t="s">
        <v>1403</v>
      </c>
      <c r="D1370" s="19" t="e">
        <f>VLOOKUP(C1370,#REF!,2,0)</f>
        <v>#REF!</v>
      </c>
      <c r="E1370" s="20" t="e">
        <f>VLOOKUP(D1370,数据集标准分类!E:F,2,0)</f>
        <v>#REF!</v>
      </c>
      <c r="F1370" s="21">
        <v>50</v>
      </c>
      <c r="G1370" s="64" t="s">
        <v>1405</v>
      </c>
      <c r="H1370" s="64" t="s">
        <v>6143</v>
      </c>
      <c r="I1370" s="64" t="s">
        <v>1408</v>
      </c>
      <c r="J1370" s="22" t="s">
        <v>1406</v>
      </c>
      <c r="K1370" s="22" t="s">
        <v>1408</v>
      </c>
      <c r="L1370" s="22" t="s">
        <v>1409</v>
      </c>
      <c r="M1370" s="16" t="s">
        <v>5593</v>
      </c>
      <c r="N1370" s="16" t="s">
        <v>5595</v>
      </c>
      <c r="O1370" s="23">
        <v>2</v>
      </c>
      <c r="P1370" s="24" t="e">
        <f>VLOOKUP(I1370,#REF!,2,0)</f>
        <v>#REF!</v>
      </c>
      <c r="Q1370" s="25"/>
      <c r="R1370" s="24"/>
      <c r="S1370" s="26"/>
      <c r="T1370" s="24"/>
      <c r="U1370" s="26"/>
      <c r="V1370" s="26"/>
      <c r="W1370" s="27">
        <v>1059</v>
      </c>
      <c r="X1370" s="28"/>
    </row>
    <row r="1371" ht="46" spans="1:32">
      <c r="A1371" s="16" t="s">
        <v>4174</v>
      </c>
      <c r="B1371" s="17" t="s">
        <v>4175</v>
      </c>
      <c r="C1371" s="30" t="s">
        <v>1403</v>
      </c>
      <c r="D1371" s="19" t="e">
        <f>VLOOKUP(C1371,#REF!,2,0)</f>
        <v>#REF!</v>
      </c>
      <c r="E1371" s="20" t="e">
        <f>VLOOKUP(D1371,数据集标准分类!E:F,2,0)</f>
        <v>#REF!</v>
      </c>
      <c r="F1371" s="21">
        <v>50</v>
      </c>
      <c r="G1371" s="29" t="s">
        <v>1410</v>
      </c>
      <c r="H1371" s="64" t="s">
        <v>6144</v>
      </c>
      <c r="I1371" s="64" t="s">
        <v>1413</v>
      </c>
      <c r="J1371" s="22" t="s">
        <v>1411</v>
      </c>
      <c r="K1371" s="22" t="s">
        <v>1413</v>
      </c>
      <c r="L1371" s="22" t="s">
        <v>1414</v>
      </c>
      <c r="M1371" s="16" t="s">
        <v>5593</v>
      </c>
      <c r="N1371" s="16" t="s">
        <v>5595</v>
      </c>
      <c r="O1371" s="23">
        <v>3</v>
      </c>
      <c r="P1371" s="24" t="e">
        <f>VLOOKUP(I1371,#REF!,2,0)</f>
        <v>#REF!</v>
      </c>
      <c r="Q1371" s="25"/>
      <c r="R1371" s="24"/>
      <c r="S1371" s="26"/>
      <c r="T1371" s="24"/>
      <c r="U1371" s="26"/>
      <c r="V1371" s="26"/>
      <c r="W1371" s="27">
        <v>1060</v>
      </c>
      <c r="X1371" s="28"/>
    </row>
    <row r="1372" ht="107" spans="1:32">
      <c r="A1372" s="16" t="s">
        <v>4174</v>
      </c>
      <c r="B1372" s="17" t="s">
        <v>4175</v>
      </c>
      <c r="C1372" s="30" t="s">
        <v>1403</v>
      </c>
      <c r="D1372" s="19" t="e">
        <f>VLOOKUP(C1372,#REF!,2,0)</f>
        <v>#REF!</v>
      </c>
      <c r="E1372" s="20" t="e">
        <f>VLOOKUP(D1372,数据集标准分类!E:F,2,0)</f>
        <v>#REF!</v>
      </c>
      <c r="F1372" s="21">
        <v>50</v>
      </c>
      <c r="G1372" s="64" t="s">
        <v>1027</v>
      </c>
      <c r="H1372" s="64" t="s">
        <v>6098</v>
      </c>
      <c r="I1372" s="29" t="s">
        <v>1030</v>
      </c>
      <c r="J1372" s="22" t="s">
        <v>1028</v>
      </c>
      <c r="K1372" s="22" t="s">
        <v>1030</v>
      </c>
      <c r="L1372" s="22" t="s">
        <v>1415</v>
      </c>
      <c r="M1372" s="16" t="s">
        <v>5593</v>
      </c>
      <c r="N1372" s="16" t="s">
        <v>5595</v>
      </c>
      <c r="O1372" s="23">
        <v>4</v>
      </c>
      <c r="P1372" s="24" t="e">
        <f>VLOOKUP(I1372,#REF!,2,0)</f>
        <v>#REF!</v>
      </c>
      <c r="Q1372" s="25"/>
      <c r="R1372" s="24"/>
      <c r="S1372" s="26"/>
      <c r="T1372" s="24"/>
      <c r="U1372" s="26"/>
      <c r="V1372" s="26"/>
      <c r="W1372" s="27">
        <v>1061</v>
      </c>
      <c r="X1372" s="28"/>
    </row>
    <row r="1373" ht="31" spans="1:32">
      <c r="A1373" s="16" t="s">
        <v>4174</v>
      </c>
      <c r="B1373" s="17" t="s">
        <v>4175</v>
      </c>
      <c r="C1373" s="30" t="s">
        <v>1403</v>
      </c>
      <c r="D1373" s="19" t="e">
        <f>VLOOKUP(C1373,#REF!,2,0)</f>
        <v>#REF!</v>
      </c>
      <c r="E1373" s="20" t="e">
        <f>VLOOKUP(D1373,数据集标准分类!E:F,2,0)</f>
        <v>#REF!</v>
      </c>
      <c r="F1373" s="21">
        <v>50</v>
      </c>
      <c r="G1373" s="64" t="s">
        <v>1032</v>
      </c>
      <c r="H1373" s="64" t="s">
        <v>6099</v>
      </c>
      <c r="I1373" s="64" t="s">
        <v>1035</v>
      </c>
      <c r="J1373" s="22" t="s">
        <v>1033</v>
      </c>
      <c r="K1373" s="22" t="s">
        <v>1035</v>
      </c>
      <c r="L1373" s="22" t="s">
        <v>1416</v>
      </c>
      <c r="M1373" s="16" t="s">
        <v>5593</v>
      </c>
      <c r="N1373" s="16" t="s">
        <v>5595</v>
      </c>
      <c r="O1373" s="23">
        <v>5</v>
      </c>
      <c r="P1373" s="24" t="e">
        <f>VLOOKUP(I1373,#REF!,2,0)</f>
        <v>#REF!</v>
      </c>
      <c r="Q1373" s="25"/>
      <c r="R1373" s="24"/>
      <c r="S1373" s="26"/>
      <c r="T1373" s="24"/>
      <c r="U1373" s="26"/>
      <c r="V1373" s="26"/>
      <c r="W1373" s="27">
        <v>1062</v>
      </c>
      <c r="X1373" s="28"/>
    </row>
    <row r="1374" ht="24" customHeight="1" spans="1:32">
      <c r="A1374" s="16" t="s">
        <v>4174</v>
      </c>
      <c r="B1374" s="17" t="s">
        <v>4175</v>
      </c>
      <c r="C1374" s="30" t="s">
        <v>1403</v>
      </c>
      <c r="D1374" s="19" t="e">
        <f>VLOOKUP(C1374,#REF!,2,0)</f>
        <v>#REF!</v>
      </c>
      <c r="E1374" s="20" t="e">
        <f>VLOOKUP(D1374,数据集标准分类!E:F,2,0)</f>
        <v>#REF!</v>
      </c>
      <c r="F1374" s="21">
        <v>50</v>
      </c>
      <c r="G1374" s="22" t="s">
        <v>1133</v>
      </c>
      <c r="H1374" s="22" t="s">
        <v>5738</v>
      </c>
      <c r="I1374" s="22" t="s">
        <v>1136</v>
      </c>
      <c r="J1374" s="22" t="s">
        <v>1134</v>
      </c>
      <c r="K1374" s="22" t="s">
        <v>1136</v>
      </c>
      <c r="L1374" s="22" t="s">
        <v>1417</v>
      </c>
      <c r="M1374" s="16" t="s">
        <v>5593</v>
      </c>
      <c r="N1374" s="16" t="s">
        <v>5595</v>
      </c>
      <c r="O1374" s="23">
        <v>6</v>
      </c>
      <c r="P1374" s="24" t="e">
        <f>VLOOKUP(I1374,#REF!,2,0)</f>
        <v>#REF!</v>
      </c>
      <c r="Q1374" s="25"/>
      <c r="R1374" s="24"/>
      <c r="S1374" s="26"/>
      <c r="T1374" s="24"/>
      <c r="U1374" s="26"/>
      <c r="V1374" s="26"/>
      <c r="W1374" s="27">
        <v>1063</v>
      </c>
      <c r="X1374" s="28"/>
    </row>
    <row r="1375" ht="31" spans="1:32">
      <c r="A1375" s="16" t="s">
        <v>4174</v>
      </c>
      <c r="B1375" s="17" t="s">
        <v>4175</v>
      </c>
      <c r="C1375" s="30" t="s">
        <v>1403</v>
      </c>
      <c r="D1375" s="19" t="e">
        <f>VLOOKUP(C1375,#REF!,2,0)</f>
        <v>#REF!</v>
      </c>
      <c r="E1375" s="20" t="e">
        <f>VLOOKUP(D1375,数据集标准分类!E:F,2,0)</f>
        <v>#REF!</v>
      </c>
      <c r="F1375" s="21">
        <v>50</v>
      </c>
      <c r="G1375" s="22" t="s">
        <v>1418</v>
      </c>
      <c r="H1375" s="22" t="s">
        <v>1419</v>
      </c>
      <c r="I1375" s="22" t="s">
        <v>1421</v>
      </c>
      <c r="J1375" s="22" t="s">
        <v>1419</v>
      </c>
      <c r="K1375" s="22" t="s">
        <v>1421</v>
      </c>
      <c r="L1375" s="22" t="s">
        <v>1422</v>
      </c>
      <c r="M1375" s="16" t="s">
        <v>5595</v>
      </c>
      <c r="N1375" s="16" t="s">
        <v>5595</v>
      </c>
      <c r="O1375" s="23">
        <v>7</v>
      </c>
      <c r="P1375" s="24" t="e">
        <f>VLOOKUP(I1375,#REF!,2,0)</f>
        <v>#REF!</v>
      </c>
      <c r="Q1375" s="25"/>
      <c r="R1375" s="24"/>
      <c r="S1375" s="26"/>
      <c r="T1375" s="24"/>
      <c r="U1375" s="26"/>
      <c r="V1375" s="26"/>
      <c r="W1375" s="27">
        <v>1064</v>
      </c>
      <c r="X1375" s="28"/>
    </row>
    <row r="1376" ht="46" spans="1:32">
      <c r="A1376" s="16" t="s">
        <v>4174</v>
      </c>
      <c r="B1376" s="17" t="s">
        <v>4175</v>
      </c>
      <c r="C1376" s="30" t="s">
        <v>1571</v>
      </c>
      <c r="D1376" s="19" t="e">
        <f>VLOOKUP(C1376,#REF!,2,0)</f>
        <v>#REF!</v>
      </c>
      <c r="E1376" s="20" t="e">
        <f>VLOOKUP(D1376,数据集标准分类!E:F,2,0)</f>
        <v>#REF!</v>
      </c>
      <c r="F1376" s="21">
        <v>52</v>
      </c>
      <c r="G1376" s="22" t="s">
        <v>152</v>
      </c>
      <c r="H1376" s="22" t="s">
        <v>5905</v>
      </c>
      <c r="I1376" s="22" t="s">
        <v>5906</v>
      </c>
      <c r="J1376" s="22" t="s">
        <v>153</v>
      </c>
      <c r="K1376" s="22" t="s">
        <v>155</v>
      </c>
      <c r="L1376" s="22" t="s">
        <v>156</v>
      </c>
      <c r="M1376" s="16" t="s">
        <v>5593</v>
      </c>
      <c r="N1376" s="16" t="s">
        <v>5593</v>
      </c>
      <c r="O1376" s="23">
        <v>1</v>
      </c>
      <c r="P1376" s="24" t="e">
        <f>VLOOKUP(I1376,#REF!,2,0)</f>
        <v>#REF!</v>
      </c>
      <c r="Q1376" s="25"/>
      <c r="R1376" s="24"/>
      <c r="S1376" s="26"/>
      <c r="T1376" s="24"/>
      <c r="U1376" s="26"/>
      <c r="V1376" s="26"/>
      <c r="W1376" s="27">
        <v>1065</v>
      </c>
      <c r="X1376" s="28"/>
    </row>
    <row r="1377" ht="46" spans="1:32">
      <c r="A1377" s="16" t="s">
        <v>4174</v>
      </c>
      <c r="B1377" s="17" t="s">
        <v>4175</v>
      </c>
      <c r="C1377" s="30" t="s">
        <v>1571</v>
      </c>
      <c r="D1377" s="19" t="e">
        <f>VLOOKUP(C1377,#REF!,2,0)</f>
        <v>#REF!</v>
      </c>
      <c r="E1377" s="20" t="e">
        <f>VLOOKUP(D1377,数据集标准分类!E:F,2,0)</f>
        <v>#REF!</v>
      </c>
      <c r="F1377" s="21">
        <v>52</v>
      </c>
      <c r="G1377" s="22" t="s">
        <v>157</v>
      </c>
      <c r="H1377" s="22" t="s">
        <v>158</v>
      </c>
      <c r="I1377" s="22" t="s">
        <v>5955</v>
      </c>
      <c r="J1377" s="22" t="s">
        <v>158</v>
      </c>
      <c r="K1377" s="22" t="s">
        <v>160</v>
      </c>
      <c r="L1377" s="22" t="s">
        <v>161</v>
      </c>
      <c r="M1377" s="16" t="s">
        <v>5595</v>
      </c>
      <c r="N1377" s="16" t="s">
        <v>5593</v>
      </c>
      <c r="O1377" s="23">
        <v>2</v>
      </c>
      <c r="P1377" s="24" t="e">
        <f>VLOOKUP(I1377,#REF!,2,0)</f>
        <v>#REF!</v>
      </c>
      <c r="Q1377" s="25"/>
      <c r="R1377" s="24"/>
      <c r="S1377" s="26"/>
      <c r="T1377" s="24"/>
      <c r="U1377" s="26"/>
      <c r="V1377" s="26"/>
      <c r="W1377" s="27">
        <v>1066</v>
      </c>
      <c r="X1377" s="28"/>
    </row>
    <row r="1378" ht="31" spans="1:32">
      <c r="A1378" s="16" t="s">
        <v>4174</v>
      </c>
      <c r="B1378" s="17" t="s">
        <v>4175</v>
      </c>
      <c r="C1378" s="30" t="s">
        <v>1571</v>
      </c>
      <c r="D1378" s="19" t="e">
        <f>VLOOKUP(C1378,#REF!,2,0)</f>
        <v>#REF!</v>
      </c>
      <c r="E1378" s="20" t="e">
        <f>VLOOKUP(D1378,数据集标准分类!E:F,2,0)</f>
        <v>#REF!</v>
      </c>
      <c r="F1378" s="21">
        <v>52</v>
      </c>
      <c r="G1378" s="22" t="s">
        <v>574</v>
      </c>
      <c r="H1378" s="22" t="s">
        <v>5907</v>
      </c>
      <c r="I1378" s="22" t="s">
        <v>577</v>
      </c>
      <c r="J1378" s="22" t="s">
        <v>575</v>
      </c>
      <c r="K1378" s="22" t="s">
        <v>577</v>
      </c>
      <c r="L1378" s="22" t="s">
        <v>578</v>
      </c>
      <c r="M1378" s="16" t="s">
        <v>5593</v>
      </c>
      <c r="N1378" s="16" t="s">
        <v>5595</v>
      </c>
      <c r="O1378" s="23">
        <v>3</v>
      </c>
      <c r="P1378" s="24" t="e">
        <f>VLOOKUP(I1378,#REF!,2,0)</f>
        <v>#REF!</v>
      </c>
      <c r="Q1378" s="25"/>
      <c r="R1378" s="24"/>
      <c r="S1378" s="26"/>
      <c r="T1378" s="24"/>
      <c r="U1378" s="26"/>
      <c r="V1378" s="26"/>
      <c r="W1378" s="27">
        <v>1067</v>
      </c>
      <c r="X1378" s="28"/>
    </row>
    <row r="1379" spans="1:32">
      <c r="A1379" s="16" t="s">
        <v>4174</v>
      </c>
      <c r="B1379" s="17" t="s">
        <v>4175</v>
      </c>
      <c r="C1379" s="30" t="s">
        <v>1571</v>
      </c>
      <c r="D1379" s="19" t="e">
        <f>VLOOKUP(C1379,#REF!,2,0)</f>
        <v>#REF!</v>
      </c>
      <c r="E1379" s="20" t="e">
        <f>VLOOKUP(D1379,数据集标准分类!E:F,2,0)</f>
        <v>#REF!</v>
      </c>
      <c r="F1379" s="21">
        <v>52</v>
      </c>
      <c r="G1379" s="22" t="s">
        <v>924</v>
      </c>
      <c r="H1379" s="22" t="s">
        <v>6084</v>
      </c>
      <c r="I1379" s="22" t="s">
        <v>927</v>
      </c>
      <c r="J1379" s="22" t="s">
        <v>925</v>
      </c>
      <c r="K1379" s="22" t="s">
        <v>927</v>
      </c>
      <c r="L1379" s="22" t="s">
        <v>928</v>
      </c>
      <c r="M1379" s="16" t="s">
        <v>5593</v>
      </c>
      <c r="N1379" s="16" t="s">
        <v>5595</v>
      </c>
      <c r="O1379" s="23">
        <v>4</v>
      </c>
      <c r="P1379" s="24" t="e">
        <f>VLOOKUP(I1379,#REF!,2,0)</f>
        <v>#REF!</v>
      </c>
      <c r="Q1379" s="25"/>
      <c r="R1379" s="24"/>
      <c r="S1379" s="26"/>
      <c r="T1379" s="24"/>
      <c r="U1379" s="26"/>
      <c r="V1379" s="26"/>
      <c r="W1379" s="27">
        <v>1068</v>
      </c>
      <c r="X1379" s="28"/>
    </row>
    <row r="1380" ht="31" spans="1:32">
      <c r="A1380" s="16" t="s">
        <v>4174</v>
      </c>
      <c r="B1380" s="17" t="s">
        <v>4175</v>
      </c>
      <c r="C1380" s="30" t="s">
        <v>1571</v>
      </c>
      <c r="D1380" s="19" t="e">
        <f>VLOOKUP(C1380,#REF!,2,0)</f>
        <v>#REF!</v>
      </c>
      <c r="E1380" s="20" t="e">
        <f>VLOOKUP(D1380,数据集标准分类!E:F,2,0)</f>
        <v>#REF!</v>
      </c>
      <c r="F1380" s="21">
        <v>52</v>
      </c>
      <c r="G1380" s="22" t="s">
        <v>1572</v>
      </c>
      <c r="H1380" s="22" t="s">
        <v>6147</v>
      </c>
      <c r="I1380" s="22" t="s">
        <v>1575</v>
      </c>
      <c r="J1380" s="22" t="s">
        <v>1573</v>
      </c>
      <c r="K1380" s="22" t="s">
        <v>1575</v>
      </c>
      <c r="L1380" s="22" t="s">
        <v>1562</v>
      </c>
      <c r="M1380" s="16" t="s">
        <v>5593</v>
      </c>
      <c r="N1380" s="16" t="s">
        <v>5595</v>
      </c>
      <c r="O1380" s="23">
        <v>5</v>
      </c>
      <c r="P1380" s="24" t="e">
        <f>VLOOKUP(I1380,#REF!,2,0)</f>
        <v>#REF!</v>
      </c>
      <c r="Q1380" s="25"/>
      <c r="R1380" s="24"/>
      <c r="S1380" s="26"/>
      <c r="T1380" s="24"/>
      <c r="U1380" s="26"/>
      <c r="V1380" s="26"/>
      <c r="W1380" s="27">
        <v>1069</v>
      </c>
      <c r="X1380" s="28"/>
    </row>
    <row r="1381" ht="46" spans="1:32">
      <c r="A1381" s="16" t="s">
        <v>4174</v>
      </c>
      <c r="B1381" s="17" t="s">
        <v>4175</v>
      </c>
      <c r="C1381" s="30" t="s">
        <v>1571</v>
      </c>
      <c r="D1381" s="19" t="e">
        <f>VLOOKUP(C1381,#REF!,2,0)</f>
        <v>#REF!</v>
      </c>
      <c r="E1381" s="20" t="e">
        <f>VLOOKUP(D1381,数据集标准分类!E:F,2,0)</f>
        <v>#REF!</v>
      </c>
      <c r="F1381" s="21">
        <v>52</v>
      </c>
      <c r="G1381" s="22" t="s">
        <v>784</v>
      </c>
      <c r="H1381" s="22" t="s">
        <v>785</v>
      </c>
      <c r="I1381" s="22" t="s">
        <v>787</v>
      </c>
      <c r="J1381" s="22" t="s">
        <v>785</v>
      </c>
      <c r="K1381" s="22" t="s">
        <v>787</v>
      </c>
      <c r="L1381" s="22" t="s">
        <v>788</v>
      </c>
      <c r="M1381" s="16" t="s">
        <v>5595</v>
      </c>
      <c r="N1381" s="16" t="s">
        <v>5595</v>
      </c>
      <c r="O1381" s="23">
        <v>6</v>
      </c>
      <c r="P1381" s="24" t="e">
        <f>VLOOKUP(I1381,#REF!,2,0)</f>
        <v>#REF!</v>
      </c>
      <c r="Q1381" s="25"/>
      <c r="R1381" s="24"/>
      <c r="S1381" s="26"/>
      <c r="T1381" s="24"/>
      <c r="U1381" s="26"/>
      <c r="V1381" s="26"/>
      <c r="W1381" s="27">
        <v>1070</v>
      </c>
      <c r="X1381" s="28"/>
    </row>
    <row r="1382" ht="46" spans="1:32">
      <c r="A1382" s="16" t="s">
        <v>4174</v>
      </c>
      <c r="B1382" s="17" t="s">
        <v>4175</v>
      </c>
      <c r="C1382" s="30" t="s">
        <v>1571</v>
      </c>
      <c r="D1382" s="19" t="e">
        <f>VLOOKUP(C1382,#REF!,2,0)</f>
        <v>#REF!</v>
      </c>
      <c r="E1382" s="20" t="e">
        <f>VLOOKUP(D1382,数据集标准分类!E:F,2,0)</f>
        <v>#REF!</v>
      </c>
      <c r="F1382" s="21">
        <v>52</v>
      </c>
      <c r="G1382" s="64" t="s">
        <v>943</v>
      </c>
      <c r="H1382" s="64" t="s">
        <v>5932</v>
      </c>
      <c r="I1382" s="64" t="s">
        <v>946</v>
      </c>
      <c r="J1382" s="22" t="s">
        <v>944</v>
      </c>
      <c r="K1382" s="22" t="s">
        <v>946</v>
      </c>
      <c r="L1382" s="22" t="s">
        <v>947</v>
      </c>
      <c r="M1382" s="16" t="s">
        <v>5593</v>
      </c>
      <c r="N1382" s="16" t="s">
        <v>5595</v>
      </c>
      <c r="O1382" s="23">
        <v>7</v>
      </c>
      <c r="P1382" s="24" t="e">
        <f>VLOOKUP(I1382,#REF!,2,0)</f>
        <v>#REF!</v>
      </c>
      <c r="Q1382" s="25"/>
      <c r="R1382" s="24"/>
      <c r="S1382" s="26"/>
      <c r="T1382" s="24"/>
      <c r="U1382" s="26"/>
      <c r="V1382" s="26"/>
      <c r="W1382" s="27">
        <v>1071</v>
      </c>
      <c r="X1382" s="28"/>
    </row>
    <row r="1383" ht="46" spans="1:32">
      <c r="A1383" s="83" t="s">
        <v>4174</v>
      </c>
      <c r="B1383" s="84" t="s">
        <v>4175</v>
      </c>
      <c r="C1383" s="85" t="s">
        <v>1571</v>
      </c>
      <c r="D1383" s="86" t="e">
        <f>VLOOKUP(C1383,#REF!,2,0)</f>
        <v>#REF!</v>
      </c>
      <c r="E1383" s="20" t="e">
        <f>VLOOKUP(D1383,数据集标准分类!E:F,2,0)</f>
        <v>#REF!</v>
      </c>
      <c r="F1383" s="87">
        <v>52</v>
      </c>
      <c r="G1383" s="88" t="s">
        <v>952</v>
      </c>
      <c r="H1383" s="88" t="s">
        <v>6087</v>
      </c>
      <c r="I1383" s="88" t="s">
        <v>955</v>
      </c>
      <c r="J1383" s="88" t="s">
        <v>953</v>
      </c>
      <c r="K1383" s="88" t="s">
        <v>955</v>
      </c>
      <c r="L1383" s="88" t="s">
        <v>956</v>
      </c>
      <c r="M1383" s="83" t="s">
        <v>5593</v>
      </c>
      <c r="N1383" s="83" t="s">
        <v>5595</v>
      </c>
      <c r="O1383" s="89">
        <v>8</v>
      </c>
      <c r="P1383" s="90" t="e">
        <f>VLOOKUP(I1383,#REF!,2,0)</f>
        <v>#REF!</v>
      </c>
      <c r="Q1383" s="91"/>
      <c r="R1383" s="90"/>
      <c r="S1383" s="92"/>
      <c r="T1383" s="90"/>
      <c r="U1383" s="92"/>
      <c r="V1383" s="92"/>
      <c r="W1383" s="93">
        <v>1072</v>
      </c>
      <c r="X1383" s="94"/>
      <c r="Y1383" s="95"/>
      <c r="Z1383" s="95"/>
      <c r="AA1383" s="95"/>
      <c r="AB1383" s="95"/>
      <c r="AC1383" s="95"/>
      <c r="AD1383" s="95"/>
      <c r="AE1383" s="95"/>
      <c r="AF1383" s="95"/>
    </row>
    <row r="1384" ht="46" spans="1:32">
      <c r="A1384" s="83" t="s">
        <v>4174</v>
      </c>
      <c r="B1384" s="84" t="s">
        <v>4175</v>
      </c>
      <c r="C1384" s="85" t="s">
        <v>1571</v>
      </c>
      <c r="D1384" s="86" t="e">
        <f>VLOOKUP(C1384,#REF!,2,0)</f>
        <v>#REF!</v>
      </c>
      <c r="E1384" s="20" t="e">
        <f>VLOOKUP(D1384,数据集标准分类!E:F,2,0)</f>
        <v>#REF!</v>
      </c>
      <c r="F1384" s="87">
        <v>52</v>
      </c>
      <c r="G1384" s="88" t="s">
        <v>961</v>
      </c>
      <c r="H1384" s="88" t="s">
        <v>6089</v>
      </c>
      <c r="I1384" s="88" t="s">
        <v>964</v>
      </c>
      <c r="J1384" s="88" t="s">
        <v>962</v>
      </c>
      <c r="K1384" s="88" t="s">
        <v>964</v>
      </c>
      <c r="L1384" s="88" t="s">
        <v>965</v>
      </c>
      <c r="M1384" s="83" t="s">
        <v>5593</v>
      </c>
      <c r="N1384" s="83" t="s">
        <v>5595</v>
      </c>
      <c r="O1384" s="89">
        <v>9</v>
      </c>
      <c r="P1384" s="90" t="e">
        <f>VLOOKUP(I1384,#REF!,2,0)</f>
        <v>#REF!</v>
      </c>
      <c r="Q1384" s="91"/>
      <c r="R1384" s="90"/>
      <c r="S1384" s="92"/>
      <c r="T1384" s="90"/>
      <c r="U1384" s="92"/>
      <c r="V1384" s="92"/>
      <c r="W1384" s="93">
        <v>1073</v>
      </c>
      <c r="X1384" s="94"/>
      <c r="Y1384" s="95"/>
      <c r="Z1384" s="95"/>
      <c r="AA1384" s="95"/>
      <c r="AB1384" s="95"/>
      <c r="AC1384" s="95"/>
      <c r="AD1384" s="95"/>
      <c r="AE1384" s="95"/>
      <c r="AF1384" s="95"/>
    </row>
    <row r="1385" ht="31" spans="1:32">
      <c r="A1385" s="16" t="s">
        <v>4174</v>
      </c>
      <c r="B1385" s="17" t="s">
        <v>4175</v>
      </c>
      <c r="C1385" s="30" t="s">
        <v>1571</v>
      </c>
      <c r="D1385" s="19" t="e">
        <f>VLOOKUP(C1385,#REF!,2,0)</f>
        <v>#REF!</v>
      </c>
      <c r="E1385" s="20" t="e">
        <f>VLOOKUP(D1385,数据集标准分类!E:F,2,0)</f>
        <v>#REF!</v>
      </c>
      <c r="F1385" s="21">
        <v>52</v>
      </c>
      <c r="G1385" s="64" t="s">
        <v>981</v>
      </c>
      <c r="H1385" s="64" t="s">
        <v>6091</v>
      </c>
      <c r="I1385" s="64" t="s">
        <v>984</v>
      </c>
      <c r="J1385" s="22" t="s">
        <v>982</v>
      </c>
      <c r="K1385" s="22" t="s">
        <v>984</v>
      </c>
      <c r="L1385" s="22" t="s">
        <v>985</v>
      </c>
      <c r="M1385" s="16" t="s">
        <v>5593</v>
      </c>
      <c r="N1385" s="16" t="s">
        <v>5595</v>
      </c>
      <c r="O1385" s="23">
        <v>10</v>
      </c>
      <c r="P1385" s="24" t="e">
        <f>VLOOKUP(I1385,#REF!,2,0)</f>
        <v>#REF!</v>
      </c>
      <c r="Q1385" s="25"/>
      <c r="R1385" s="24"/>
      <c r="S1385" s="26"/>
      <c r="T1385" s="24"/>
      <c r="U1385" s="26"/>
      <c r="V1385" s="26"/>
      <c r="W1385" s="27">
        <v>1074</v>
      </c>
      <c r="X1385" s="28"/>
    </row>
    <row r="1386" ht="31" spans="1:32">
      <c r="A1386" s="16" t="s">
        <v>4174</v>
      </c>
      <c r="B1386" s="17" t="s">
        <v>4175</v>
      </c>
      <c r="C1386" s="30" t="s">
        <v>1571</v>
      </c>
      <c r="D1386" s="19" t="e">
        <f>VLOOKUP(C1386,#REF!,2,0)</f>
        <v>#REF!</v>
      </c>
      <c r="E1386" s="20" t="e">
        <f>VLOOKUP(D1386,数据集标准分类!E:F,2,0)</f>
        <v>#REF!</v>
      </c>
      <c r="F1386" s="21">
        <v>52</v>
      </c>
      <c r="G1386" s="22" t="s">
        <v>991</v>
      </c>
      <c r="H1386" s="22" t="s">
        <v>6093</v>
      </c>
      <c r="I1386" s="22" t="s">
        <v>994</v>
      </c>
      <c r="J1386" s="22" t="s">
        <v>992</v>
      </c>
      <c r="K1386" s="22" t="s">
        <v>994</v>
      </c>
      <c r="L1386" s="22" t="s">
        <v>995</v>
      </c>
      <c r="M1386" s="16" t="s">
        <v>5593</v>
      </c>
      <c r="N1386" s="16" t="s">
        <v>5595</v>
      </c>
      <c r="O1386" s="23">
        <v>11</v>
      </c>
      <c r="P1386" s="24" t="e">
        <f>VLOOKUP(I1386,#REF!,2,0)</f>
        <v>#REF!</v>
      </c>
      <c r="Q1386" s="25"/>
      <c r="R1386" s="24"/>
      <c r="S1386" s="26"/>
      <c r="T1386" s="24"/>
      <c r="U1386" s="26"/>
      <c r="V1386" s="26"/>
      <c r="W1386" s="27">
        <v>1075</v>
      </c>
      <c r="X1386" s="28"/>
    </row>
    <row r="1387" ht="31" spans="1:32">
      <c r="A1387" s="16" t="s">
        <v>4174</v>
      </c>
      <c r="B1387" s="17" t="s">
        <v>4175</v>
      </c>
      <c r="C1387" s="30" t="s">
        <v>1571</v>
      </c>
      <c r="D1387" s="19" t="e">
        <f>VLOOKUP(C1387,#REF!,2,0)</f>
        <v>#REF!</v>
      </c>
      <c r="E1387" s="20" t="e">
        <f>VLOOKUP(D1387,数据集标准分类!E:F,2,0)</f>
        <v>#REF!</v>
      </c>
      <c r="F1387" s="21">
        <v>52</v>
      </c>
      <c r="G1387" s="22" t="s">
        <v>1001</v>
      </c>
      <c r="H1387" s="22" t="s">
        <v>6095</v>
      </c>
      <c r="I1387" s="22" t="s">
        <v>1004</v>
      </c>
      <c r="J1387" s="22" t="s">
        <v>1002</v>
      </c>
      <c r="K1387" s="22" t="s">
        <v>1004</v>
      </c>
      <c r="L1387" s="22" t="s">
        <v>1005</v>
      </c>
      <c r="M1387" s="16" t="s">
        <v>5593</v>
      </c>
      <c r="N1387" s="16" t="s">
        <v>5595</v>
      </c>
      <c r="O1387" s="23">
        <v>12</v>
      </c>
      <c r="P1387" s="24" t="e">
        <f>VLOOKUP(I1387,#REF!,2,0)</f>
        <v>#REF!</v>
      </c>
      <c r="Q1387" s="25"/>
      <c r="R1387" s="24"/>
      <c r="S1387" s="26"/>
      <c r="T1387" s="24"/>
      <c r="U1387" s="26"/>
      <c r="V1387" s="26"/>
      <c r="W1387" s="27">
        <v>1076</v>
      </c>
      <c r="X1387" s="28"/>
    </row>
    <row r="1388" ht="31" spans="1:32">
      <c r="A1388" s="83" t="s">
        <v>4174</v>
      </c>
      <c r="B1388" s="84" t="s">
        <v>4175</v>
      </c>
      <c r="C1388" s="85" t="s">
        <v>1571</v>
      </c>
      <c r="D1388" s="86" t="e">
        <f>VLOOKUP(C1388,#REF!,2,0)</f>
        <v>#REF!</v>
      </c>
      <c r="E1388" s="20" t="e">
        <f>VLOOKUP(D1388,数据集标准分类!E:F,2,0)</f>
        <v>#REF!</v>
      </c>
      <c r="F1388" s="87">
        <v>52</v>
      </c>
      <c r="G1388" s="88" t="s">
        <v>411</v>
      </c>
      <c r="H1388" s="88" t="s">
        <v>6026</v>
      </c>
      <c r="I1388" s="88" t="s">
        <v>414</v>
      </c>
      <c r="J1388" s="88" t="s">
        <v>412</v>
      </c>
      <c r="K1388" s="88" t="s">
        <v>414</v>
      </c>
      <c r="L1388" s="88" t="s">
        <v>415</v>
      </c>
      <c r="M1388" s="83" t="s">
        <v>5593</v>
      </c>
      <c r="N1388" s="83" t="s">
        <v>5595</v>
      </c>
      <c r="O1388" s="89">
        <v>13</v>
      </c>
      <c r="P1388" s="90" t="e">
        <f>VLOOKUP(I1388,#REF!,2,0)</f>
        <v>#REF!</v>
      </c>
      <c r="Q1388" s="91"/>
      <c r="R1388" s="90"/>
      <c r="S1388" s="92"/>
      <c r="T1388" s="90"/>
      <c r="U1388" s="92"/>
      <c r="V1388" s="92"/>
      <c r="W1388" s="93">
        <v>1077</v>
      </c>
      <c r="X1388" s="94"/>
      <c r="Y1388" s="95"/>
      <c r="Z1388" s="95"/>
      <c r="AA1388" s="95"/>
      <c r="AB1388" s="95"/>
      <c r="AC1388" s="95"/>
      <c r="AD1388" s="95"/>
      <c r="AE1388" s="95"/>
      <c r="AF1388" s="95"/>
    </row>
    <row r="1389" ht="31" spans="1:32">
      <c r="A1389" s="83" t="s">
        <v>4174</v>
      </c>
      <c r="B1389" s="84" t="s">
        <v>4175</v>
      </c>
      <c r="C1389" s="85" t="s">
        <v>1571</v>
      </c>
      <c r="D1389" s="86" t="e">
        <f>VLOOKUP(C1389,#REF!,2,0)</f>
        <v>#REF!</v>
      </c>
      <c r="E1389" s="20" t="e">
        <f>VLOOKUP(D1389,数据集标准分类!E:F,2,0)</f>
        <v>#REF!</v>
      </c>
      <c r="F1389" s="87">
        <v>52</v>
      </c>
      <c r="G1389" s="88" t="s">
        <v>416</v>
      </c>
      <c r="H1389" s="88" t="s">
        <v>6027</v>
      </c>
      <c r="I1389" s="88" t="s">
        <v>419</v>
      </c>
      <c r="J1389" s="88" t="s">
        <v>417</v>
      </c>
      <c r="K1389" s="88" t="s">
        <v>419</v>
      </c>
      <c r="L1389" s="88" t="s">
        <v>420</v>
      </c>
      <c r="M1389" s="83" t="s">
        <v>5593</v>
      </c>
      <c r="N1389" s="83" t="s">
        <v>5595</v>
      </c>
      <c r="O1389" s="89">
        <v>14</v>
      </c>
      <c r="P1389" s="90" t="e">
        <f>VLOOKUP(I1389,#REF!,2,0)</f>
        <v>#REF!</v>
      </c>
      <c r="Q1389" s="91"/>
      <c r="R1389" s="90"/>
      <c r="S1389" s="92"/>
      <c r="T1389" s="90"/>
      <c r="U1389" s="92"/>
      <c r="V1389" s="92"/>
      <c r="W1389" s="93">
        <v>1078</v>
      </c>
      <c r="X1389" s="94"/>
      <c r="Y1389" s="95"/>
      <c r="Z1389" s="95"/>
      <c r="AA1389" s="95"/>
      <c r="AB1389" s="95"/>
      <c r="AC1389" s="95"/>
      <c r="AD1389" s="95"/>
      <c r="AE1389" s="95"/>
      <c r="AF1389" s="95"/>
    </row>
    <row r="1390" ht="46" spans="1:32">
      <c r="A1390" s="83" t="s">
        <v>4174</v>
      </c>
      <c r="B1390" s="84" t="s">
        <v>4175</v>
      </c>
      <c r="C1390" s="85" t="s">
        <v>1571</v>
      </c>
      <c r="D1390" s="86" t="e">
        <f>VLOOKUP(C1390,#REF!,2,0)</f>
        <v>#REF!</v>
      </c>
      <c r="E1390" s="20" t="e">
        <f>VLOOKUP(D1390,数据集标准分类!E:F,2,0)</f>
        <v>#REF!</v>
      </c>
      <c r="F1390" s="87">
        <v>52</v>
      </c>
      <c r="G1390" s="88" t="s">
        <v>192</v>
      </c>
      <c r="H1390" s="88" t="s">
        <v>5630</v>
      </c>
      <c r="I1390" s="88" t="s">
        <v>5631</v>
      </c>
      <c r="J1390" s="88" t="s">
        <v>193</v>
      </c>
      <c r="K1390" s="88" t="s">
        <v>195</v>
      </c>
      <c r="L1390" s="88" t="s">
        <v>385</v>
      </c>
      <c r="M1390" s="83" t="s">
        <v>5593</v>
      </c>
      <c r="N1390" s="83" t="s">
        <v>5593</v>
      </c>
      <c r="O1390" s="89">
        <v>15</v>
      </c>
      <c r="P1390" s="90" t="e">
        <f>VLOOKUP(I1390,#REF!,2,0)</f>
        <v>#REF!</v>
      </c>
      <c r="Q1390" s="91"/>
      <c r="R1390" s="90"/>
      <c r="S1390" s="92"/>
      <c r="T1390" s="90"/>
      <c r="U1390" s="92"/>
      <c r="V1390" s="92"/>
      <c r="W1390" s="93">
        <v>1079</v>
      </c>
      <c r="X1390" s="94"/>
      <c r="Y1390" s="95"/>
      <c r="Z1390" s="95"/>
      <c r="AA1390" s="95"/>
      <c r="AB1390" s="95"/>
      <c r="AC1390" s="95"/>
      <c r="AD1390" s="95"/>
      <c r="AE1390" s="95"/>
      <c r="AF1390" s="95"/>
    </row>
    <row r="1391" ht="46" spans="1:32">
      <c r="A1391" s="83" t="s">
        <v>4174</v>
      </c>
      <c r="B1391" s="84" t="s">
        <v>4175</v>
      </c>
      <c r="C1391" s="85" t="s">
        <v>1571</v>
      </c>
      <c r="D1391" s="86" t="e">
        <f>VLOOKUP(C1391,#REF!,2,0)</f>
        <v>#REF!</v>
      </c>
      <c r="E1391" s="20" t="e">
        <f>VLOOKUP(D1391,数据集标准分类!E:F,2,0)</f>
        <v>#REF!</v>
      </c>
      <c r="F1391" s="87">
        <v>52</v>
      </c>
      <c r="G1391" s="88" t="s">
        <v>1474</v>
      </c>
      <c r="H1391" s="88" t="s">
        <v>6148</v>
      </c>
      <c r="I1391" s="88" t="s">
        <v>6149</v>
      </c>
      <c r="J1391" s="88" t="s">
        <v>1475</v>
      </c>
      <c r="K1391" s="88" t="s">
        <v>1477</v>
      </c>
      <c r="L1391" s="88" t="s">
        <v>1478</v>
      </c>
      <c r="M1391" s="83" t="s">
        <v>5593</v>
      </c>
      <c r="N1391" s="83" t="s">
        <v>5593</v>
      </c>
      <c r="O1391" s="89">
        <v>16</v>
      </c>
      <c r="P1391" s="90" t="e">
        <f>VLOOKUP(I1391,#REF!,2,0)</f>
        <v>#REF!</v>
      </c>
      <c r="Q1391" s="91"/>
      <c r="R1391" s="90"/>
      <c r="S1391" s="92"/>
      <c r="T1391" s="90"/>
      <c r="U1391" s="92"/>
      <c r="V1391" s="92"/>
      <c r="W1391" s="93">
        <v>1080</v>
      </c>
      <c r="X1391" s="94"/>
      <c r="Y1391" s="95"/>
      <c r="Z1391" s="95"/>
      <c r="AA1391" s="95"/>
      <c r="AB1391" s="95"/>
      <c r="AC1391" s="95"/>
      <c r="AD1391" s="95"/>
      <c r="AE1391" s="95"/>
      <c r="AF1391" s="95"/>
    </row>
    <row r="1392" ht="46" spans="1:32">
      <c r="A1392" s="83" t="s">
        <v>4174</v>
      </c>
      <c r="B1392" s="84" t="s">
        <v>4175</v>
      </c>
      <c r="C1392" s="85" t="s">
        <v>1571</v>
      </c>
      <c r="D1392" s="86" t="e">
        <f>VLOOKUP(C1392,#REF!,2,0)</f>
        <v>#REF!</v>
      </c>
      <c r="E1392" s="20" t="e">
        <f>VLOOKUP(D1392,数据集标准分类!E:F,2,0)</f>
        <v>#REF!</v>
      </c>
      <c r="F1392" s="87">
        <v>52</v>
      </c>
      <c r="G1392" s="88" t="s">
        <v>421</v>
      </c>
      <c r="H1392" s="88" t="s">
        <v>5685</v>
      </c>
      <c r="I1392" s="88" t="s">
        <v>424</v>
      </c>
      <c r="J1392" s="88" t="s">
        <v>422</v>
      </c>
      <c r="K1392" s="88" t="s">
        <v>424</v>
      </c>
      <c r="L1392" s="88" t="s">
        <v>425</v>
      </c>
      <c r="M1392" s="83" t="s">
        <v>5593</v>
      </c>
      <c r="N1392" s="83" t="s">
        <v>5595</v>
      </c>
      <c r="O1392" s="89">
        <v>17</v>
      </c>
      <c r="P1392" s="90" t="e">
        <f>VLOOKUP(I1392,#REF!,2,0)</f>
        <v>#REF!</v>
      </c>
      <c r="Q1392" s="91"/>
      <c r="R1392" s="90"/>
      <c r="S1392" s="92"/>
      <c r="T1392" s="90"/>
      <c r="U1392" s="92"/>
      <c r="V1392" s="92"/>
      <c r="W1392" s="93">
        <v>1081</v>
      </c>
      <c r="X1392" s="94"/>
      <c r="Y1392" s="95"/>
      <c r="Z1392" s="95"/>
      <c r="AA1392" s="95"/>
      <c r="AB1392" s="95"/>
      <c r="AC1392" s="95"/>
      <c r="AD1392" s="95"/>
      <c r="AE1392" s="95"/>
      <c r="AF1392" s="95"/>
    </row>
    <row r="1393" ht="31" spans="1:32">
      <c r="A1393" s="16" t="s">
        <v>4174</v>
      </c>
      <c r="B1393" s="17" t="s">
        <v>4175</v>
      </c>
      <c r="C1393" s="30" t="s">
        <v>1571</v>
      </c>
      <c r="D1393" s="19" t="e">
        <f>VLOOKUP(C1393,#REF!,2,0)</f>
        <v>#REF!</v>
      </c>
      <c r="E1393" s="20" t="e">
        <f>VLOOKUP(D1393,数据集标准分类!E:F,2,0)</f>
        <v>#REF!</v>
      </c>
      <c r="F1393" s="21">
        <v>52</v>
      </c>
      <c r="G1393" s="22" t="s">
        <v>1435</v>
      </c>
      <c r="H1393" s="22" t="s">
        <v>5666</v>
      </c>
      <c r="I1393" s="22" t="s">
        <v>1438</v>
      </c>
      <c r="J1393" s="22" t="s">
        <v>1436</v>
      </c>
      <c r="K1393" s="22" t="s">
        <v>1438</v>
      </c>
      <c r="L1393" s="22" t="s">
        <v>1439</v>
      </c>
      <c r="M1393" s="16" t="s">
        <v>5593</v>
      </c>
      <c r="N1393" s="16" t="s">
        <v>5595</v>
      </c>
      <c r="O1393" s="23">
        <v>18</v>
      </c>
      <c r="P1393" s="24" t="e">
        <f>VLOOKUP(I1393,#REF!,2,0)</f>
        <v>#REF!</v>
      </c>
      <c r="Q1393" s="25"/>
      <c r="R1393" s="24"/>
      <c r="S1393" s="26"/>
      <c r="T1393" s="24"/>
      <c r="U1393" s="26"/>
      <c r="V1393" s="26"/>
      <c r="W1393" s="27">
        <v>1082</v>
      </c>
      <c r="X1393" s="28"/>
    </row>
    <row r="1394" ht="31" spans="1:32">
      <c r="A1394" s="16" t="s">
        <v>4174</v>
      </c>
      <c r="B1394" s="17" t="s">
        <v>4175</v>
      </c>
      <c r="C1394" s="30" t="s">
        <v>1571</v>
      </c>
      <c r="D1394" s="19" t="e">
        <f>VLOOKUP(C1394,#REF!,2,0)</f>
        <v>#REF!</v>
      </c>
      <c r="E1394" s="20" t="e">
        <f>VLOOKUP(D1394,数据集标准分类!E:F,2,0)</f>
        <v>#REF!</v>
      </c>
      <c r="F1394" s="21">
        <v>52</v>
      </c>
      <c r="G1394" s="22" t="s">
        <v>789</v>
      </c>
      <c r="H1394" s="22" t="s">
        <v>790</v>
      </c>
      <c r="I1394" s="22" t="s">
        <v>791</v>
      </c>
      <c r="J1394" s="22" t="s">
        <v>790</v>
      </c>
      <c r="K1394" s="22" t="s">
        <v>791</v>
      </c>
      <c r="L1394" s="22" t="s">
        <v>792</v>
      </c>
      <c r="M1394" s="16" t="s">
        <v>5595</v>
      </c>
      <c r="N1394" s="16" t="s">
        <v>5595</v>
      </c>
      <c r="O1394" s="23">
        <v>19</v>
      </c>
      <c r="P1394" s="24" t="e">
        <f>VLOOKUP(I1394,#REF!,2,0)</f>
        <v>#REF!</v>
      </c>
      <c r="Q1394" s="25"/>
      <c r="R1394" s="24"/>
      <c r="S1394" s="26"/>
      <c r="T1394" s="24"/>
      <c r="U1394" s="26"/>
      <c r="V1394" s="26"/>
      <c r="W1394" s="27">
        <v>1083</v>
      </c>
      <c r="X1394" s="28"/>
    </row>
    <row r="1395" spans="1:32">
      <c r="A1395" s="16" t="s">
        <v>4174</v>
      </c>
      <c r="B1395" s="17" t="s">
        <v>4175</v>
      </c>
      <c r="C1395" s="30" t="s">
        <v>1571</v>
      </c>
      <c r="D1395" s="19" t="e">
        <f>VLOOKUP(C1395,#REF!,2,0)</f>
        <v>#REF!</v>
      </c>
      <c r="E1395" s="20" t="e">
        <f>VLOOKUP(D1395,数据集标准分类!E:F,2,0)</f>
        <v>#REF!</v>
      </c>
      <c r="F1395" s="21">
        <v>52</v>
      </c>
      <c r="G1395" s="22" t="s">
        <v>1109</v>
      </c>
      <c r="H1395" s="22" t="s">
        <v>6112</v>
      </c>
      <c r="I1395" s="22" t="s">
        <v>6113</v>
      </c>
      <c r="J1395" s="22" t="s">
        <v>1110</v>
      </c>
      <c r="K1395" s="22" t="s">
        <v>1112</v>
      </c>
      <c r="L1395" s="22" t="s">
        <v>1113</v>
      </c>
      <c r="M1395" s="16" t="s">
        <v>5593</v>
      </c>
      <c r="N1395" s="16" t="s">
        <v>5593</v>
      </c>
      <c r="O1395" s="23">
        <v>20</v>
      </c>
      <c r="P1395" s="24" t="e">
        <f>VLOOKUP(I1395,#REF!,2,0)</f>
        <v>#REF!</v>
      </c>
      <c r="Q1395" s="25"/>
      <c r="R1395" s="24"/>
      <c r="S1395" s="26"/>
      <c r="T1395" s="24"/>
      <c r="U1395" s="26"/>
      <c r="V1395" s="26"/>
      <c r="W1395" s="27">
        <v>1084</v>
      </c>
      <c r="X1395" s="28"/>
    </row>
    <row r="1396" spans="1:32">
      <c r="A1396" s="16" t="s">
        <v>4174</v>
      </c>
      <c r="B1396" s="17" t="s">
        <v>4175</v>
      </c>
      <c r="C1396" s="30" t="s">
        <v>1571</v>
      </c>
      <c r="D1396" s="19" t="e">
        <f>VLOOKUP(C1396,#REF!,2,0)</f>
        <v>#REF!</v>
      </c>
      <c r="E1396" s="20" t="e">
        <f>VLOOKUP(D1396,数据集标准分类!E:F,2,0)</f>
        <v>#REF!</v>
      </c>
      <c r="F1396" s="21">
        <v>52</v>
      </c>
      <c r="G1396" s="22" t="s">
        <v>201</v>
      </c>
      <c r="H1396" s="22" t="s">
        <v>5646</v>
      </c>
      <c r="I1396" s="22" t="s">
        <v>5647</v>
      </c>
      <c r="J1396" s="22" t="s">
        <v>202</v>
      </c>
      <c r="K1396" s="22" t="s">
        <v>204</v>
      </c>
      <c r="L1396" s="22" t="s">
        <v>1114</v>
      </c>
      <c r="M1396" s="16" t="s">
        <v>5593</v>
      </c>
      <c r="N1396" s="16" t="s">
        <v>5593</v>
      </c>
      <c r="O1396" s="23">
        <v>21</v>
      </c>
      <c r="P1396" s="24" t="e">
        <f>VLOOKUP(I1396,#REF!,2,0)</f>
        <v>#REF!</v>
      </c>
      <c r="Q1396" s="25"/>
      <c r="R1396" s="24"/>
      <c r="S1396" s="26"/>
      <c r="T1396" s="24"/>
      <c r="U1396" s="26"/>
      <c r="V1396" s="26"/>
      <c r="W1396" s="27">
        <v>1085</v>
      </c>
      <c r="X1396" s="28"/>
    </row>
    <row r="1397" spans="1:32">
      <c r="A1397" s="16" t="s">
        <v>4174</v>
      </c>
      <c r="B1397" s="17" t="s">
        <v>4175</v>
      </c>
      <c r="C1397" s="30" t="s">
        <v>1571</v>
      </c>
      <c r="D1397" s="19" t="e">
        <f>VLOOKUP(C1397,#REF!,2,0)</f>
        <v>#REF!</v>
      </c>
      <c r="E1397" s="20" t="e">
        <f>VLOOKUP(D1397,数据集标准分类!E:F,2,0)</f>
        <v>#REF!</v>
      </c>
      <c r="F1397" s="21">
        <v>52</v>
      </c>
      <c r="G1397" s="22" t="s">
        <v>966</v>
      </c>
      <c r="H1397" s="22" t="s">
        <v>5715</v>
      </c>
      <c r="I1397" s="22" t="s">
        <v>969</v>
      </c>
      <c r="J1397" s="22" t="s">
        <v>967</v>
      </c>
      <c r="K1397" s="22" t="s">
        <v>969</v>
      </c>
      <c r="L1397" s="22" t="s">
        <v>970</v>
      </c>
      <c r="M1397" s="16" t="s">
        <v>5593</v>
      </c>
      <c r="N1397" s="16" t="s">
        <v>5595</v>
      </c>
      <c r="O1397" s="23">
        <v>22</v>
      </c>
      <c r="P1397" s="24" t="e">
        <f>VLOOKUP(I1397,#REF!,2,0)</f>
        <v>#REF!</v>
      </c>
      <c r="Q1397" s="25"/>
      <c r="R1397" s="24"/>
      <c r="S1397" s="26"/>
      <c r="T1397" s="24"/>
      <c r="U1397" s="26"/>
      <c r="V1397" s="26"/>
      <c r="W1397" s="27">
        <v>1086</v>
      </c>
      <c r="X1397" s="28"/>
    </row>
    <row r="1398" spans="1:32">
      <c r="A1398" s="16" t="s">
        <v>4174</v>
      </c>
      <c r="B1398" s="17" t="s">
        <v>4175</v>
      </c>
      <c r="C1398" s="30" t="s">
        <v>1571</v>
      </c>
      <c r="D1398" s="19" t="e">
        <f>VLOOKUP(C1398,#REF!,2,0)</f>
        <v>#REF!</v>
      </c>
      <c r="E1398" s="20" t="e">
        <f>VLOOKUP(D1398,数据集标准分类!E:F,2,0)</f>
        <v>#REF!</v>
      </c>
      <c r="F1398" s="21">
        <v>52</v>
      </c>
      <c r="G1398" s="22" t="s">
        <v>971</v>
      </c>
      <c r="H1398" s="22" t="s">
        <v>5956</v>
      </c>
      <c r="I1398" s="22" t="s">
        <v>974</v>
      </c>
      <c r="J1398" s="22" t="s">
        <v>972</v>
      </c>
      <c r="K1398" s="22" t="s">
        <v>974</v>
      </c>
      <c r="L1398" s="22" t="s">
        <v>975</v>
      </c>
      <c r="M1398" s="16" t="s">
        <v>5593</v>
      </c>
      <c r="N1398" s="16" t="s">
        <v>5595</v>
      </c>
      <c r="O1398" s="23">
        <v>23</v>
      </c>
      <c r="P1398" s="24" t="e">
        <f>VLOOKUP(I1398,#REF!,2,0)</f>
        <v>#REF!</v>
      </c>
      <c r="Q1398" s="25"/>
      <c r="R1398" s="24"/>
      <c r="S1398" s="26"/>
      <c r="T1398" s="24"/>
      <c r="U1398" s="26"/>
      <c r="V1398" s="26"/>
      <c r="W1398" s="27">
        <v>1087</v>
      </c>
      <c r="X1398" s="28"/>
    </row>
    <row r="1399" ht="31" spans="1:32">
      <c r="A1399" s="16" t="s">
        <v>4174</v>
      </c>
      <c r="B1399" s="17" t="s">
        <v>4175</v>
      </c>
      <c r="C1399" s="30" t="s">
        <v>1571</v>
      </c>
      <c r="D1399" s="19" t="e">
        <f>VLOOKUP(C1399,#REF!,2,0)</f>
        <v>#REF!</v>
      </c>
      <c r="E1399" s="20" t="e">
        <f>VLOOKUP(D1399,数据集标准分类!E:F,2,0)</f>
        <v>#REF!</v>
      </c>
      <c r="F1399" s="21">
        <v>52</v>
      </c>
      <c r="G1399" s="22" t="s">
        <v>934</v>
      </c>
      <c r="H1399" s="22" t="s">
        <v>935</v>
      </c>
      <c r="I1399" s="22" t="s">
        <v>937</v>
      </c>
      <c r="J1399" s="22" t="s">
        <v>935</v>
      </c>
      <c r="K1399" s="22" t="s">
        <v>937</v>
      </c>
      <c r="L1399" s="22" t="s">
        <v>1570</v>
      </c>
      <c r="M1399" s="16" t="s">
        <v>5595</v>
      </c>
      <c r="N1399" s="16" t="s">
        <v>5595</v>
      </c>
      <c r="O1399" s="23">
        <v>24</v>
      </c>
      <c r="P1399" s="24" t="e">
        <f>VLOOKUP(I1399,#REF!,2,0)</f>
        <v>#REF!</v>
      </c>
      <c r="Q1399" s="25"/>
      <c r="R1399" s="24"/>
      <c r="S1399" s="26"/>
      <c r="T1399" s="24"/>
      <c r="U1399" s="26"/>
      <c r="V1399" s="26"/>
      <c r="W1399" s="27">
        <v>1088</v>
      </c>
      <c r="X1399" s="28"/>
    </row>
    <row r="1400" ht="14.4" customHeight="1" spans="1:32">
      <c r="A1400" s="16" t="s">
        <v>4174</v>
      </c>
      <c r="B1400" s="17" t="s">
        <v>4175</v>
      </c>
      <c r="C1400" s="30" t="s">
        <v>1571</v>
      </c>
      <c r="D1400" s="19" t="e">
        <f>VLOOKUP(C1400,#REF!,2,0)</f>
        <v>#REF!</v>
      </c>
      <c r="E1400" s="20" t="e">
        <f>VLOOKUP(D1400,数据集标准分类!E:F,2,0)</f>
        <v>#REF!</v>
      </c>
      <c r="F1400" s="21">
        <v>52</v>
      </c>
      <c r="G1400" s="22" t="s">
        <v>1006</v>
      </c>
      <c r="H1400" s="22" t="s">
        <v>5702</v>
      </c>
      <c r="I1400" s="22" t="s">
        <v>1009</v>
      </c>
      <c r="J1400" s="22" t="s">
        <v>1007</v>
      </c>
      <c r="K1400" s="22" t="s">
        <v>1009</v>
      </c>
      <c r="L1400" s="22" t="s">
        <v>1010</v>
      </c>
      <c r="M1400" s="16" t="s">
        <v>5593</v>
      </c>
      <c r="N1400" s="16" t="s">
        <v>5595</v>
      </c>
      <c r="O1400" s="23">
        <v>25</v>
      </c>
      <c r="P1400" s="24" t="e">
        <f>VLOOKUP(I1400,#REF!,2,0)</f>
        <v>#REF!</v>
      </c>
      <c r="Q1400" s="25"/>
      <c r="R1400" s="24"/>
      <c r="S1400" s="26"/>
      <c r="T1400" s="24"/>
      <c r="U1400" s="26"/>
      <c r="V1400" s="26"/>
      <c r="W1400" s="27">
        <v>1089</v>
      </c>
      <c r="X1400" s="28"/>
    </row>
    <row r="1401" ht="46" spans="1:32">
      <c r="A1401" s="16" t="s">
        <v>4174</v>
      </c>
      <c r="B1401" s="17" t="s">
        <v>4175</v>
      </c>
      <c r="C1401" s="30" t="s">
        <v>1571</v>
      </c>
      <c r="D1401" s="19" t="e">
        <f>VLOOKUP(C1401,#REF!,2,0)</f>
        <v>#REF!</v>
      </c>
      <c r="E1401" s="20" t="e">
        <f>VLOOKUP(D1401,数据集标准分类!E:F,2,0)</f>
        <v>#REF!</v>
      </c>
      <c r="F1401" s="21">
        <v>52</v>
      </c>
      <c r="G1401" s="22" t="s">
        <v>227</v>
      </c>
      <c r="H1401" s="22" t="s">
        <v>6150</v>
      </c>
      <c r="I1401" s="22" t="s">
        <v>230</v>
      </c>
      <c r="J1401" s="22" t="s">
        <v>228</v>
      </c>
      <c r="K1401" s="22" t="s">
        <v>230</v>
      </c>
      <c r="L1401" s="22" t="s">
        <v>231</v>
      </c>
      <c r="M1401" s="16" t="s">
        <v>5593</v>
      </c>
      <c r="N1401" s="16" t="s">
        <v>5595</v>
      </c>
      <c r="O1401" s="23">
        <v>26</v>
      </c>
      <c r="P1401" s="24" t="e">
        <f>VLOOKUP(I1401,#REF!,2,0)</f>
        <v>#REF!</v>
      </c>
      <c r="Q1401" s="25"/>
      <c r="R1401" s="24"/>
      <c r="S1401" s="26"/>
      <c r="T1401" s="24"/>
      <c r="U1401" s="26"/>
      <c r="V1401" s="26"/>
      <c r="W1401" s="27">
        <v>1090</v>
      </c>
      <c r="X1401" s="28"/>
    </row>
    <row r="1402" ht="31" spans="1:32">
      <c r="A1402" s="16" t="s">
        <v>4174</v>
      </c>
      <c r="B1402" s="17" t="s">
        <v>4175</v>
      </c>
      <c r="C1402" s="30" t="s">
        <v>1450</v>
      </c>
      <c r="D1402" s="19" t="e">
        <f>VLOOKUP(C1402,#REF!,2,0)</f>
        <v>#REF!</v>
      </c>
      <c r="E1402" s="20" t="e">
        <f>VLOOKUP(D1402,数据集标准分类!E:F,2,0)</f>
        <v>#REF!</v>
      </c>
      <c r="F1402" s="21">
        <v>53</v>
      </c>
      <c r="G1402" s="22" t="s">
        <v>508</v>
      </c>
      <c r="H1402" s="22" t="s">
        <v>5594</v>
      </c>
      <c r="I1402" s="22" t="s">
        <v>511</v>
      </c>
      <c r="J1402" s="22" t="s">
        <v>509</v>
      </c>
      <c r="K1402" s="22" t="s">
        <v>511</v>
      </c>
      <c r="L1402" s="22" t="s">
        <v>116</v>
      </c>
      <c r="M1402" s="16" t="s">
        <v>5593</v>
      </c>
      <c r="N1402" s="16" t="s">
        <v>5595</v>
      </c>
      <c r="O1402" s="23">
        <v>1</v>
      </c>
      <c r="P1402" s="24" t="e">
        <f>VLOOKUP(I1402,#REF!,2,0)</f>
        <v>#REF!</v>
      </c>
      <c r="Q1402" s="25"/>
      <c r="R1402" s="24"/>
      <c r="S1402" s="26"/>
      <c r="T1402" s="24"/>
      <c r="U1402" s="26"/>
      <c r="V1402" s="26"/>
      <c r="W1402" s="27">
        <v>1091</v>
      </c>
      <c r="X1402" s="28"/>
    </row>
    <row r="1403" ht="31" spans="1:32">
      <c r="A1403" s="16" t="s">
        <v>4174</v>
      </c>
      <c r="B1403" s="17" t="s">
        <v>4175</v>
      </c>
      <c r="C1403" s="30" t="s">
        <v>1450</v>
      </c>
      <c r="D1403" s="19" t="e">
        <f>VLOOKUP(C1403,#REF!,2,0)</f>
        <v>#REF!</v>
      </c>
      <c r="E1403" s="20" t="e">
        <f>VLOOKUP(D1403,数据集标准分类!E:F,2,0)</f>
        <v>#REF!</v>
      </c>
      <c r="F1403" s="21">
        <v>53</v>
      </c>
      <c r="G1403" s="22" t="s">
        <v>87</v>
      </c>
      <c r="H1403" s="22" t="s">
        <v>5936</v>
      </c>
      <c r="I1403" s="22" t="s">
        <v>90</v>
      </c>
      <c r="J1403" s="22" t="s">
        <v>88</v>
      </c>
      <c r="K1403" s="22" t="s">
        <v>90</v>
      </c>
      <c r="L1403" s="22" t="s">
        <v>91</v>
      </c>
      <c r="M1403" s="16" t="s">
        <v>5593</v>
      </c>
      <c r="N1403" s="16" t="s">
        <v>5595</v>
      </c>
      <c r="O1403" s="23">
        <v>2</v>
      </c>
      <c r="P1403" s="24" t="e">
        <f>VLOOKUP(I1403,#REF!,2,0)</f>
        <v>#REF!</v>
      </c>
      <c r="Q1403" s="25"/>
      <c r="R1403" s="24"/>
      <c r="S1403" s="26"/>
      <c r="T1403" s="24"/>
      <c r="U1403" s="26"/>
      <c r="V1403" s="26"/>
      <c r="W1403" s="27">
        <v>1092</v>
      </c>
      <c r="X1403" s="28"/>
    </row>
    <row r="1404" ht="31" spans="1:32">
      <c r="A1404" s="16" t="s">
        <v>4174</v>
      </c>
      <c r="B1404" s="17" t="s">
        <v>4175</v>
      </c>
      <c r="C1404" s="30" t="s">
        <v>1450</v>
      </c>
      <c r="D1404" s="19" t="e">
        <f>VLOOKUP(C1404,#REF!,2,0)</f>
        <v>#REF!</v>
      </c>
      <c r="E1404" s="20" t="e">
        <f>VLOOKUP(D1404,数据集标准分类!E:F,2,0)</f>
        <v>#REF!</v>
      </c>
      <c r="F1404" s="21">
        <v>53</v>
      </c>
      <c r="G1404" s="22" t="s">
        <v>97</v>
      </c>
      <c r="H1404" s="22" t="s">
        <v>5755</v>
      </c>
      <c r="I1404" s="22" t="s">
        <v>100</v>
      </c>
      <c r="J1404" s="22" t="s">
        <v>98</v>
      </c>
      <c r="K1404" s="22" t="s">
        <v>100</v>
      </c>
      <c r="L1404" s="22" t="s">
        <v>106</v>
      </c>
      <c r="M1404" s="16" t="s">
        <v>5593</v>
      </c>
      <c r="N1404" s="16" t="s">
        <v>5595</v>
      </c>
      <c r="O1404" s="23">
        <v>3</v>
      </c>
      <c r="P1404" s="24" t="e">
        <f>VLOOKUP(I1404,#REF!,2,0)</f>
        <v>#REF!</v>
      </c>
      <c r="Q1404" s="25"/>
      <c r="R1404" s="24"/>
      <c r="S1404" s="26"/>
      <c r="T1404" s="24"/>
      <c r="U1404" s="26"/>
      <c r="V1404" s="26"/>
      <c r="W1404" s="27">
        <v>1093</v>
      </c>
      <c r="X1404" s="28"/>
    </row>
    <row r="1405" ht="31" spans="1:32">
      <c r="A1405" s="16" t="s">
        <v>4174</v>
      </c>
      <c r="B1405" s="17" t="s">
        <v>4175</v>
      </c>
      <c r="C1405" s="30" t="s">
        <v>1450</v>
      </c>
      <c r="D1405" s="19" t="e">
        <f>VLOOKUP(C1405,#REF!,2,0)</f>
        <v>#REF!</v>
      </c>
      <c r="E1405" s="20" t="e">
        <f>VLOOKUP(D1405,数据集标准分类!E:F,2,0)</f>
        <v>#REF!</v>
      </c>
      <c r="F1405" s="21">
        <v>53</v>
      </c>
      <c r="G1405" s="22" t="s">
        <v>1451</v>
      </c>
      <c r="H1405" s="22" t="s">
        <v>6151</v>
      </c>
      <c r="I1405" s="22" t="s">
        <v>1454</v>
      </c>
      <c r="J1405" s="22" t="s">
        <v>1452</v>
      </c>
      <c r="K1405" s="22" t="s">
        <v>1454</v>
      </c>
      <c r="L1405" s="22" t="s">
        <v>1455</v>
      </c>
      <c r="M1405" s="16" t="s">
        <v>5593</v>
      </c>
      <c r="N1405" s="16" t="s">
        <v>5595</v>
      </c>
      <c r="O1405" s="23">
        <v>4</v>
      </c>
      <c r="P1405" s="24" t="e">
        <f>VLOOKUP(I1405,#REF!,2,0)</f>
        <v>#REF!</v>
      </c>
      <c r="Q1405" s="25"/>
      <c r="R1405" s="24"/>
      <c r="S1405" s="26"/>
      <c r="T1405" s="24"/>
      <c r="U1405" s="26"/>
      <c r="V1405" s="26"/>
      <c r="W1405" s="27">
        <v>1094</v>
      </c>
      <c r="X1405" s="28"/>
    </row>
    <row r="1406" spans="1:32">
      <c r="A1406" s="16" t="s">
        <v>4174</v>
      </c>
      <c r="B1406" s="17" t="s">
        <v>4175</v>
      </c>
      <c r="C1406" s="30" t="s">
        <v>1450</v>
      </c>
      <c r="D1406" s="19" t="e">
        <f>VLOOKUP(C1406,#REF!,2,0)</f>
        <v>#REF!</v>
      </c>
      <c r="E1406" s="20" t="e">
        <f>VLOOKUP(D1406,数据集标准分类!E:F,2,0)</f>
        <v>#REF!</v>
      </c>
      <c r="F1406" s="21">
        <v>53</v>
      </c>
      <c r="G1406" s="22" t="s">
        <v>1456</v>
      </c>
      <c r="H1406" s="22" t="s">
        <v>6152</v>
      </c>
      <c r="I1406" s="22" t="s">
        <v>1459</v>
      </c>
      <c r="J1406" s="22" t="s">
        <v>1457</v>
      </c>
      <c r="K1406" s="22" t="s">
        <v>1459</v>
      </c>
      <c r="L1406" s="22" t="s">
        <v>1460</v>
      </c>
      <c r="M1406" s="16" t="s">
        <v>5593</v>
      </c>
      <c r="N1406" s="16" t="s">
        <v>5595</v>
      </c>
      <c r="O1406" s="23">
        <v>5</v>
      </c>
      <c r="P1406" s="24" t="e">
        <f>VLOOKUP(I1406,#REF!,2,0)</f>
        <v>#REF!</v>
      </c>
      <c r="Q1406" s="25"/>
      <c r="R1406" s="24"/>
      <c r="S1406" s="26"/>
      <c r="T1406" s="24"/>
      <c r="U1406" s="26"/>
      <c r="V1406" s="26"/>
      <c r="W1406" s="27">
        <v>1095</v>
      </c>
      <c r="X1406" s="28"/>
    </row>
    <row r="1407" spans="1:32">
      <c r="A1407" s="16" t="s">
        <v>4174</v>
      </c>
      <c r="B1407" s="17" t="s">
        <v>4175</v>
      </c>
      <c r="C1407" s="30" t="s">
        <v>1450</v>
      </c>
      <c r="D1407" s="19" t="e">
        <f>VLOOKUP(C1407,#REF!,2,0)</f>
        <v>#REF!</v>
      </c>
      <c r="E1407" s="20" t="e">
        <f>VLOOKUP(D1407,数据集标准分类!E:F,2,0)</f>
        <v>#REF!</v>
      </c>
      <c r="F1407" s="21">
        <v>53</v>
      </c>
      <c r="G1407" s="22" t="s">
        <v>1133</v>
      </c>
      <c r="H1407" s="22" t="s">
        <v>5738</v>
      </c>
      <c r="I1407" s="22" t="s">
        <v>1136</v>
      </c>
      <c r="J1407" s="22" t="s">
        <v>1134</v>
      </c>
      <c r="K1407" s="22" t="s">
        <v>1136</v>
      </c>
      <c r="L1407" s="22" t="s">
        <v>1461</v>
      </c>
      <c r="M1407" s="16" t="s">
        <v>5593</v>
      </c>
      <c r="N1407" s="16" t="s">
        <v>5595</v>
      </c>
      <c r="O1407" s="23">
        <v>6</v>
      </c>
      <c r="P1407" s="24" t="e">
        <f>VLOOKUP(I1407,#REF!,2,0)</f>
        <v>#REF!</v>
      </c>
      <c r="Q1407" s="25"/>
      <c r="R1407" s="24"/>
      <c r="S1407" s="26"/>
      <c r="T1407" s="24"/>
      <c r="U1407" s="26"/>
      <c r="V1407" s="26"/>
      <c r="W1407" s="27">
        <v>1096</v>
      </c>
      <c r="X1407" s="28"/>
    </row>
    <row r="1408" ht="46" spans="1:32">
      <c r="A1408" s="66" t="s">
        <v>4174</v>
      </c>
      <c r="B1408" s="67" t="s">
        <v>4175</v>
      </c>
      <c r="C1408" s="68" t="s">
        <v>1450</v>
      </c>
      <c r="D1408" s="69" t="e">
        <f>VLOOKUP(C1408,#REF!,2,0)</f>
        <v>#REF!</v>
      </c>
      <c r="E1408" s="70" t="e">
        <f>VLOOKUP(D1408,数据集标准分类!E:F,2,0)</f>
        <v>#REF!</v>
      </c>
      <c r="F1408" s="71">
        <v>53</v>
      </c>
      <c r="G1408" s="72" t="s">
        <v>245</v>
      </c>
      <c r="H1408" s="72" t="s">
        <v>5680</v>
      </c>
      <c r="I1408" s="72" t="s">
        <v>248</v>
      </c>
      <c r="J1408" s="72" t="s">
        <v>246</v>
      </c>
      <c r="K1408" s="72" t="s">
        <v>248</v>
      </c>
      <c r="L1408" s="72" t="s">
        <v>1462</v>
      </c>
      <c r="M1408" s="66" t="s">
        <v>5593</v>
      </c>
      <c r="N1408" s="66" t="s">
        <v>5595</v>
      </c>
      <c r="O1408" s="73">
        <v>7</v>
      </c>
      <c r="P1408" s="74" t="e">
        <f>VLOOKUP(I1408,#REF!,2,0)</f>
        <v>#REF!</v>
      </c>
      <c r="Q1408" s="75"/>
      <c r="R1408" s="74"/>
      <c r="S1408" s="76"/>
      <c r="T1408" s="74"/>
      <c r="U1408" s="76"/>
      <c r="V1408" s="76"/>
      <c r="W1408" s="77">
        <v>1097</v>
      </c>
      <c r="X1408" s="78"/>
      <c r="Y1408" s="79"/>
      <c r="Z1408" s="79"/>
      <c r="AA1408" s="79"/>
      <c r="AB1408" s="79"/>
      <c r="AC1408" s="79"/>
      <c r="AD1408" s="79"/>
      <c r="AE1408" s="79"/>
      <c r="AF1408" s="79"/>
    </row>
    <row r="1409" ht="31" spans="1:32">
      <c r="A1409" s="16" t="s">
        <v>4174</v>
      </c>
      <c r="B1409" s="17" t="s">
        <v>4175</v>
      </c>
      <c r="C1409" s="30" t="s">
        <v>1450</v>
      </c>
      <c r="D1409" s="19" t="e">
        <f>VLOOKUP(C1409,#REF!,2,0)</f>
        <v>#REF!</v>
      </c>
      <c r="E1409" s="20" t="e">
        <f>VLOOKUP(D1409,数据集标准分类!E:F,2,0)</f>
        <v>#REF!</v>
      </c>
      <c r="F1409" s="21">
        <v>53</v>
      </c>
      <c r="G1409" s="22" t="s">
        <v>172</v>
      </c>
      <c r="H1409" s="22" t="s">
        <v>5639</v>
      </c>
      <c r="I1409" s="22" t="s">
        <v>5640</v>
      </c>
      <c r="J1409" s="22" t="s">
        <v>173</v>
      </c>
      <c r="K1409" s="22" t="s">
        <v>175</v>
      </c>
      <c r="L1409" s="22" t="s">
        <v>1245</v>
      </c>
      <c r="M1409" s="16" t="s">
        <v>5593</v>
      </c>
      <c r="N1409" s="16" t="s">
        <v>5593</v>
      </c>
      <c r="O1409" s="23">
        <v>8</v>
      </c>
      <c r="P1409" s="24" t="e">
        <f>VLOOKUP(I1409,#REF!,2,0)</f>
        <v>#REF!</v>
      </c>
      <c r="Q1409" s="25"/>
      <c r="R1409" s="24"/>
      <c r="S1409" s="26"/>
      <c r="T1409" s="24"/>
      <c r="U1409" s="26"/>
      <c r="V1409" s="26"/>
      <c r="W1409" s="27">
        <v>1098</v>
      </c>
      <c r="X1409" s="28"/>
    </row>
    <row r="1410" ht="46" spans="1:32">
      <c r="A1410" s="16" t="s">
        <v>4174</v>
      </c>
      <c r="B1410" s="17" t="s">
        <v>4175</v>
      </c>
      <c r="C1410" s="30" t="s">
        <v>1450</v>
      </c>
      <c r="D1410" s="19" t="e">
        <f>VLOOKUP(C1410,#REF!,2,0)</f>
        <v>#REF!</v>
      </c>
      <c r="E1410" s="20" t="e">
        <f>VLOOKUP(D1410,数据集标准分类!E:F,2,0)</f>
        <v>#REF!</v>
      </c>
      <c r="F1410" s="21">
        <v>53</v>
      </c>
      <c r="G1410" s="22" t="s">
        <v>1463</v>
      </c>
      <c r="H1410" s="22" t="s">
        <v>6153</v>
      </c>
      <c r="I1410" s="22" t="s">
        <v>1466</v>
      </c>
      <c r="J1410" s="22" t="s">
        <v>1464</v>
      </c>
      <c r="K1410" s="22" t="s">
        <v>1466</v>
      </c>
      <c r="L1410" s="22" t="s">
        <v>1467</v>
      </c>
      <c r="M1410" s="16" t="s">
        <v>5593</v>
      </c>
      <c r="N1410" s="16" t="s">
        <v>5595</v>
      </c>
      <c r="O1410" s="23">
        <v>9</v>
      </c>
      <c r="P1410" s="24" t="e">
        <f>VLOOKUP(I1410,#REF!,2,0)</f>
        <v>#REF!</v>
      </c>
      <c r="Q1410" s="25"/>
      <c r="R1410" s="24"/>
      <c r="S1410" s="26"/>
      <c r="T1410" s="24"/>
      <c r="U1410" s="26"/>
      <c r="V1410" s="26"/>
      <c r="W1410" s="27">
        <v>1099</v>
      </c>
      <c r="X1410" s="28"/>
    </row>
    <row r="1411" spans="1:32">
      <c r="A1411" s="16" t="s">
        <v>4174</v>
      </c>
      <c r="B1411" s="17" t="s">
        <v>4175</v>
      </c>
      <c r="C1411" s="30" t="s">
        <v>1450</v>
      </c>
      <c r="D1411" s="19" t="e">
        <f>VLOOKUP(C1411,#REF!,2,0)</f>
        <v>#REF!</v>
      </c>
      <c r="E1411" s="20" t="e">
        <f>VLOOKUP(D1411,数据集标准分类!E:F,2,0)</f>
        <v>#REF!</v>
      </c>
      <c r="F1411" s="21">
        <v>53</v>
      </c>
      <c r="G1411" s="22" t="s">
        <v>934</v>
      </c>
      <c r="H1411" s="22" t="s">
        <v>935</v>
      </c>
      <c r="I1411" s="22" t="s">
        <v>937</v>
      </c>
      <c r="J1411" s="22" t="s">
        <v>935</v>
      </c>
      <c r="K1411" s="22" t="s">
        <v>937</v>
      </c>
      <c r="L1411" s="22" t="s">
        <v>1468</v>
      </c>
      <c r="M1411" s="16" t="s">
        <v>5595</v>
      </c>
      <c r="N1411" s="16" t="s">
        <v>5595</v>
      </c>
      <c r="O1411" s="23">
        <v>10</v>
      </c>
      <c r="P1411" s="24" t="e">
        <f>VLOOKUP(I1411,#REF!,2,0)</f>
        <v>#REF!</v>
      </c>
      <c r="Q1411" s="25"/>
      <c r="R1411" s="24"/>
      <c r="S1411" s="26"/>
      <c r="T1411" s="24"/>
      <c r="U1411" s="26"/>
      <c r="V1411" s="26"/>
      <c r="W1411" s="27">
        <v>1100</v>
      </c>
      <c r="X1411" s="28"/>
    </row>
    <row r="1412" ht="46" spans="1:32">
      <c r="A1412" s="16" t="s">
        <v>4174</v>
      </c>
      <c r="B1412" s="17" t="s">
        <v>4175</v>
      </c>
      <c r="C1412" s="30" t="s">
        <v>1450</v>
      </c>
      <c r="D1412" s="19" t="e">
        <f>VLOOKUP(C1412,#REF!,2,0)</f>
        <v>#REF!</v>
      </c>
      <c r="E1412" s="20" t="e">
        <f>VLOOKUP(D1412,数据集标准分类!E:F,2,0)</f>
        <v>#REF!</v>
      </c>
      <c r="F1412" s="21">
        <v>53</v>
      </c>
      <c r="G1412" s="22" t="s">
        <v>1469</v>
      </c>
      <c r="H1412" s="22" t="s">
        <v>6154</v>
      </c>
      <c r="I1412" s="22" t="s">
        <v>1472</v>
      </c>
      <c r="J1412" s="22" t="s">
        <v>1470</v>
      </c>
      <c r="K1412" s="22" t="s">
        <v>1472</v>
      </c>
      <c r="L1412" s="22" t="s">
        <v>1473</v>
      </c>
      <c r="M1412" s="16" t="s">
        <v>5593</v>
      </c>
      <c r="N1412" s="16" t="s">
        <v>5595</v>
      </c>
      <c r="O1412" s="23">
        <v>11</v>
      </c>
      <c r="P1412" s="24" t="e">
        <f>VLOOKUP(I1412,#REF!,2,0)</f>
        <v>#REF!</v>
      </c>
      <c r="Q1412" s="25"/>
      <c r="R1412" s="24"/>
      <c r="S1412" s="26"/>
      <c r="T1412" s="24"/>
      <c r="U1412" s="26"/>
      <c r="V1412" s="26"/>
      <c r="W1412" s="27">
        <v>1101</v>
      </c>
      <c r="X1412" s="28"/>
    </row>
    <row r="1413" ht="31" spans="1:32">
      <c r="A1413" s="16" t="s">
        <v>4174</v>
      </c>
      <c r="B1413" s="17" t="s">
        <v>4175</v>
      </c>
      <c r="C1413" s="30" t="s">
        <v>1450</v>
      </c>
      <c r="D1413" s="19" t="e">
        <f>VLOOKUP(C1413,#REF!,2,0)</f>
        <v>#REF!</v>
      </c>
      <c r="E1413" s="20" t="e">
        <f>VLOOKUP(D1413,数据集标准分类!E:F,2,0)</f>
        <v>#REF!</v>
      </c>
      <c r="F1413" s="21">
        <v>53</v>
      </c>
      <c r="G1413" s="22" t="s">
        <v>779</v>
      </c>
      <c r="H1413" s="22" t="s">
        <v>780</v>
      </c>
      <c r="I1413" s="22" t="s">
        <v>782</v>
      </c>
      <c r="J1413" s="22" t="s">
        <v>780</v>
      </c>
      <c r="K1413" s="22" t="s">
        <v>782</v>
      </c>
      <c r="L1413" s="22" t="s">
        <v>783</v>
      </c>
      <c r="M1413" s="16" t="s">
        <v>5595</v>
      </c>
      <c r="N1413" s="16" t="s">
        <v>5595</v>
      </c>
      <c r="O1413" s="23">
        <v>12</v>
      </c>
      <c r="P1413" s="24" t="e">
        <f>VLOOKUP(I1413,#REF!,2,0)</f>
        <v>#REF!</v>
      </c>
      <c r="Q1413" s="25"/>
      <c r="R1413" s="24"/>
      <c r="S1413" s="26"/>
      <c r="T1413" s="24"/>
      <c r="U1413" s="26"/>
      <c r="V1413" s="26"/>
      <c r="W1413" s="27">
        <v>1102</v>
      </c>
      <c r="X1413" s="28"/>
    </row>
    <row r="1414" ht="46" spans="1:32">
      <c r="A1414" s="16" t="s">
        <v>4174</v>
      </c>
      <c r="B1414" s="17" t="s">
        <v>4175</v>
      </c>
      <c r="C1414" s="30" t="s">
        <v>1450</v>
      </c>
      <c r="D1414" s="19" t="e">
        <f>VLOOKUP(C1414,#REF!,2,0)</f>
        <v>#REF!</v>
      </c>
      <c r="E1414" s="20" t="e">
        <f>VLOOKUP(D1414,数据集标准分类!E:F,2,0)</f>
        <v>#REF!</v>
      </c>
      <c r="F1414" s="21">
        <v>53</v>
      </c>
      <c r="G1414" s="22" t="s">
        <v>192</v>
      </c>
      <c r="H1414" s="22" t="s">
        <v>5630</v>
      </c>
      <c r="I1414" s="22" t="s">
        <v>5631</v>
      </c>
      <c r="J1414" s="22" t="s">
        <v>193</v>
      </c>
      <c r="K1414" s="22" t="s">
        <v>195</v>
      </c>
      <c r="L1414" s="22" t="s">
        <v>385</v>
      </c>
      <c r="M1414" s="16" t="s">
        <v>5593</v>
      </c>
      <c r="N1414" s="16" t="s">
        <v>5593</v>
      </c>
      <c r="O1414" s="23">
        <v>13</v>
      </c>
      <c r="P1414" s="24" t="e">
        <f>VLOOKUP(I1414,#REF!,2,0)</f>
        <v>#REF!</v>
      </c>
      <c r="Q1414" s="25"/>
      <c r="R1414" s="24"/>
      <c r="S1414" s="26"/>
      <c r="T1414" s="24"/>
      <c r="U1414" s="26"/>
      <c r="V1414" s="26"/>
      <c r="W1414" s="27">
        <v>1103</v>
      </c>
      <c r="X1414" s="28"/>
    </row>
    <row r="1415" ht="46" spans="1:32">
      <c r="A1415" s="16" t="s">
        <v>4174</v>
      </c>
      <c r="B1415" s="17" t="s">
        <v>4175</v>
      </c>
      <c r="C1415" s="30" t="s">
        <v>1450</v>
      </c>
      <c r="D1415" s="19" t="e">
        <f>VLOOKUP(C1415,#REF!,2,0)</f>
        <v>#REF!</v>
      </c>
      <c r="E1415" s="20" t="e">
        <f>VLOOKUP(D1415,数据集标准分类!E:F,2,0)</f>
        <v>#REF!</v>
      </c>
      <c r="F1415" s="21">
        <v>53</v>
      </c>
      <c r="G1415" s="22" t="s">
        <v>1474</v>
      </c>
      <c r="H1415" s="22" t="s">
        <v>6148</v>
      </c>
      <c r="I1415" s="22" t="s">
        <v>6149</v>
      </c>
      <c r="J1415" s="22" t="s">
        <v>1475</v>
      </c>
      <c r="K1415" s="22" t="s">
        <v>1477</v>
      </c>
      <c r="L1415" s="22" t="s">
        <v>1478</v>
      </c>
      <c r="M1415" s="16" t="s">
        <v>5593</v>
      </c>
      <c r="N1415" s="16" t="s">
        <v>5593</v>
      </c>
      <c r="O1415" s="23">
        <v>14</v>
      </c>
      <c r="P1415" s="24" t="e">
        <f>VLOOKUP(I1415,#REF!,2,0)</f>
        <v>#REF!</v>
      </c>
      <c r="Q1415" s="25"/>
      <c r="R1415" s="24"/>
      <c r="S1415" s="26"/>
      <c r="T1415" s="24"/>
      <c r="U1415" s="26"/>
      <c r="V1415" s="26"/>
      <c r="W1415" s="27">
        <v>1104</v>
      </c>
      <c r="X1415" s="28"/>
    </row>
    <row r="1416" ht="46" spans="1:32">
      <c r="A1416" s="16" t="s">
        <v>4174</v>
      </c>
      <c r="B1416" s="17" t="s">
        <v>4175</v>
      </c>
      <c r="C1416" s="30" t="s">
        <v>1450</v>
      </c>
      <c r="D1416" s="19" t="e">
        <f>VLOOKUP(C1416,#REF!,2,0)</f>
        <v>#REF!</v>
      </c>
      <c r="E1416" s="20" t="e">
        <f>VLOOKUP(D1416,数据集标准分类!E:F,2,0)</f>
        <v>#REF!</v>
      </c>
      <c r="F1416" s="21">
        <v>53</v>
      </c>
      <c r="G1416" s="22" t="s">
        <v>1234</v>
      </c>
      <c r="H1416" s="22" t="s">
        <v>5657</v>
      </c>
      <c r="I1416" s="22" t="s">
        <v>1237</v>
      </c>
      <c r="J1416" s="22" t="s">
        <v>1235</v>
      </c>
      <c r="K1416" s="22" t="s">
        <v>1237</v>
      </c>
      <c r="L1416" s="22" t="s">
        <v>1479</v>
      </c>
      <c r="M1416" s="16" t="s">
        <v>5593</v>
      </c>
      <c r="N1416" s="16" t="s">
        <v>5595</v>
      </c>
      <c r="O1416" s="23">
        <v>15</v>
      </c>
      <c r="P1416" s="24" t="e">
        <f>VLOOKUP(I1416,#REF!,2,0)</f>
        <v>#REF!</v>
      </c>
      <c r="Q1416" s="25"/>
      <c r="R1416" s="24"/>
      <c r="S1416" s="26"/>
      <c r="T1416" s="24"/>
      <c r="U1416" s="26"/>
      <c r="V1416" s="26"/>
      <c r="W1416" s="27">
        <v>1105</v>
      </c>
      <c r="X1416" s="28"/>
    </row>
    <row r="1417" ht="31" spans="1:32">
      <c r="A1417" s="16" t="s">
        <v>4174</v>
      </c>
      <c r="B1417" s="17" t="s">
        <v>4175</v>
      </c>
      <c r="C1417" s="30" t="s">
        <v>1450</v>
      </c>
      <c r="D1417" s="19" t="e">
        <f>VLOOKUP(C1417,#REF!,2,0)</f>
        <v>#REF!</v>
      </c>
      <c r="E1417" s="20" t="e">
        <f>VLOOKUP(D1417,数据集标准分类!E:F,2,0)</f>
        <v>#REF!</v>
      </c>
      <c r="F1417" s="21">
        <v>53</v>
      </c>
      <c r="G1417" s="22" t="s">
        <v>1480</v>
      </c>
      <c r="H1417" s="22" t="s">
        <v>1481</v>
      </c>
      <c r="I1417" s="22" t="s">
        <v>1483</v>
      </c>
      <c r="J1417" s="22" t="s">
        <v>1481</v>
      </c>
      <c r="K1417" s="22" t="s">
        <v>1483</v>
      </c>
      <c r="L1417" s="22" t="s">
        <v>1484</v>
      </c>
      <c r="M1417" s="16" t="s">
        <v>5595</v>
      </c>
      <c r="N1417" s="16" t="s">
        <v>5595</v>
      </c>
      <c r="O1417" s="23">
        <v>16</v>
      </c>
      <c r="P1417" s="24" t="e">
        <f>VLOOKUP(I1417,#REF!,2,0)</f>
        <v>#REF!</v>
      </c>
      <c r="Q1417" s="25"/>
      <c r="R1417" s="24"/>
      <c r="S1417" s="26"/>
      <c r="T1417" s="24"/>
      <c r="U1417" s="26"/>
      <c r="V1417" s="26"/>
      <c r="W1417" s="27">
        <v>1106</v>
      </c>
      <c r="X1417" s="28"/>
    </row>
    <row r="1418" ht="36" customHeight="1" spans="1:32">
      <c r="A1418" s="16" t="s">
        <v>4174</v>
      </c>
      <c r="B1418" s="17" t="s">
        <v>4175</v>
      </c>
      <c r="C1418" s="30" t="s">
        <v>1450</v>
      </c>
      <c r="D1418" s="19" t="e">
        <f>VLOOKUP(C1418,#REF!,2,0)</f>
        <v>#REF!</v>
      </c>
      <c r="E1418" s="20" t="e">
        <f>VLOOKUP(D1418,数据集标准分类!E:F,2,0)</f>
        <v>#REF!</v>
      </c>
      <c r="F1418" s="21">
        <v>53</v>
      </c>
      <c r="G1418" s="22" t="s">
        <v>1485</v>
      </c>
      <c r="H1418" s="22" t="s">
        <v>6155</v>
      </c>
      <c r="I1418" s="22" t="s">
        <v>1488</v>
      </c>
      <c r="J1418" s="22" t="s">
        <v>1486</v>
      </c>
      <c r="K1418" s="22" t="s">
        <v>1488</v>
      </c>
      <c r="L1418" s="22" t="s">
        <v>1489</v>
      </c>
      <c r="M1418" s="16" t="s">
        <v>5593</v>
      </c>
      <c r="N1418" s="16" t="s">
        <v>5595</v>
      </c>
      <c r="O1418" s="23">
        <v>17</v>
      </c>
      <c r="P1418" s="24" t="e">
        <f>VLOOKUP(I1418,#REF!,2,0)</f>
        <v>#REF!</v>
      </c>
      <c r="Q1418" s="25"/>
      <c r="R1418" s="24"/>
      <c r="S1418" s="26"/>
      <c r="T1418" s="24"/>
      <c r="U1418" s="26"/>
      <c r="V1418" s="26"/>
      <c r="W1418" s="27">
        <v>1107</v>
      </c>
      <c r="X1418" s="28"/>
    </row>
    <row r="1419" ht="31" spans="1:32">
      <c r="A1419" s="16" t="s">
        <v>4174</v>
      </c>
      <c r="B1419" s="17" t="s">
        <v>4175</v>
      </c>
      <c r="C1419" s="30" t="s">
        <v>1450</v>
      </c>
      <c r="D1419" s="19" t="e">
        <f>VLOOKUP(C1419,#REF!,2,0)</f>
        <v>#REF!</v>
      </c>
      <c r="E1419" s="20" t="e">
        <f>VLOOKUP(D1419,数据集标准分类!E:F,2,0)</f>
        <v>#REF!</v>
      </c>
      <c r="F1419" s="21">
        <v>53</v>
      </c>
      <c r="G1419" s="22" t="s">
        <v>1490</v>
      </c>
      <c r="H1419" s="22" t="s">
        <v>6156</v>
      </c>
      <c r="I1419" s="22" t="s">
        <v>1493</v>
      </c>
      <c r="J1419" s="22" t="s">
        <v>1491</v>
      </c>
      <c r="K1419" s="22" t="s">
        <v>1493</v>
      </c>
      <c r="L1419" s="22" t="s">
        <v>1494</v>
      </c>
      <c r="M1419" s="16" t="s">
        <v>5593</v>
      </c>
      <c r="N1419" s="16" t="s">
        <v>5595</v>
      </c>
      <c r="O1419" s="23">
        <v>18</v>
      </c>
      <c r="P1419" s="24" t="e">
        <f>VLOOKUP(I1419,#REF!,2,0)</f>
        <v>#REF!</v>
      </c>
      <c r="Q1419" s="25"/>
      <c r="R1419" s="24"/>
      <c r="S1419" s="26"/>
      <c r="T1419" s="24"/>
      <c r="U1419" s="26"/>
      <c r="V1419" s="26"/>
      <c r="W1419" s="27">
        <v>1108</v>
      </c>
      <c r="X1419" s="28"/>
    </row>
    <row r="1420" spans="1:32">
      <c r="A1420" s="16" t="s">
        <v>4174</v>
      </c>
      <c r="B1420" s="17" t="s">
        <v>4175</v>
      </c>
      <c r="C1420" s="30" t="s">
        <v>2522</v>
      </c>
      <c r="D1420" s="19" t="e">
        <f>VLOOKUP(C1420,#REF!,2,0)</f>
        <v>#REF!</v>
      </c>
      <c r="E1420" s="20" t="e">
        <f>VLOOKUP(D1420,数据集标准分类!E:F,2,0)</f>
        <v>#REF!</v>
      </c>
      <c r="F1420" s="21">
        <v>5</v>
      </c>
      <c r="G1420" s="22" t="s">
        <v>137</v>
      </c>
      <c r="H1420" s="22" t="s">
        <v>138</v>
      </c>
      <c r="I1420" s="22" t="s">
        <v>140</v>
      </c>
      <c r="J1420" s="22" t="s">
        <v>138</v>
      </c>
      <c r="K1420" s="22" t="s">
        <v>140</v>
      </c>
      <c r="L1420" s="22" t="s">
        <v>141</v>
      </c>
      <c r="M1420" s="16" t="s">
        <v>5595</v>
      </c>
      <c r="N1420" s="16" t="s">
        <v>5595</v>
      </c>
      <c r="O1420" s="23">
        <v>1</v>
      </c>
      <c r="P1420" s="24" t="e">
        <f>VLOOKUP(I1420,#REF!,2,0)</f>
        <v>#REF!</v>
      </c>
      <c r="Q1420" s="25"/>
      <c r="R1420" s="24"/>
      <c r="S1420" s="26"/>
      <c r="T1420" s="24"/>
      <c r="U1420" s="26"/>
      <c r="V1420" s="26"/>
      <c r="W1420" s="27">
        <v>1109</v>
      </c>
      <c r="X1420" s="28"/>
    </row>
    <row r="1421" ht="46" spans="1:32">
      <c r="A1421" s="50" t="s">
        <v>4174</v>
      </c>
      <c r="B1421" s="51" t="s">
        <v>4175</v>
      </c>
      <c r="C1421" s="52" t="s">
        <v>2522</v>
      </c>
      <c r="D1421" s="53" t="e">
        <f>VLOOKUP(C1421,#REF!,2,0)</f>
        <v>#REF!</v>
      </c>
      <c r="E1421" s="20" t="e">
        <f>VLOOKUP(D1421,数据集标准分类!E:F,2,0)</f>
        <v>#REF!</v>
      </c>
      <c r="F1421" s="54">
        <v>5</v>
      </c>
      <c r="G1421" s="55" t="s">
        <v>2523</v>
      </c>
      <c r="H1421" s="55" t="s">
        <v>2524</v>
      </c>
      <c r="I1421" s="55" t="s">
        <v>2526</v>
      </c>
      <c r="J1421" s="55" t="s">
        <v>2524</v>
      </c>
      <c r="K1421" s="55" t="s">
        <v>2526</v>
      </c>
      <c r="L1421" s="55" t="s">
        <v>2527</v>
      </c>
      <c r="M1421" s="50" t="s">
        <v>5595</v>
      </c>
      <c r="N1421" s="50" t="s">
        <v>5595</v>
      </c>
      <c r="O1421" s="56">
        <v>2</v>
      </c>
      <c r="P1421" s="57" t="e">
        <f>VLOOKUP(I1421,#REF!,2,0)</f>
        <v>#REF!</v>
      </c>
      <c r="Q1421" s="58"/>
      <c r="R1421" s="57"/>
      <c r="S1421" s="59"/>
      <c r="T1421" s="57"/>
      <c r="U1421" s="59"/>
      <c r="V1421" s="59"/>
      <c r="W1421" s="60">
        <v>1110</v>
      </c>
      <c r="X1421" s="61"/>
      <c r="Y1421" s="62"/>
      <c r="Z1421" s="62"/>
      <c r="AA1421" s="62"/>
      <c r="AB1421" s="62"/>
      <c r="AC1421" s="62"/>
      <c r="AD1421" s="62"/>
      <c r="AE1421" s="62"/>
      <c r="AF1421" s="62"/>
    </row>
    <row r="1422" ht="31" spans="1:32">
      <c r="A1422" s="16" t="s">
        <v>4174</v>
      </c>
      <c r="B1422" s="17" t="s">
        <v>4175</v>
      </c>
      <c r="C1422" s="30" t="s">
        <v>2522</v>
      </c>
      <c r="D1422" s="19" t="e">
        <f>VLOOKUP(C1422,#REF!,2,0)</f>
        <v>#REF!</v>
      </c>
      <c r="E1422" s="20" t="e">
        <f>VLOOKUP(D1422,数据集标准分类!E:F,2,0)</f>
        <v>#REF!</v>
      </c>
      <c r="F1422" s="21">
        <v>5</v>
      </c>
      <c r="G1422" s="22" t="s">
        <v>172</v>
      </c>
      <c r="H1422" s="22" t="s">
        <v>5639</v>
      </c>
      <c r="I1422" s="22" t="s">
        <v>5640</v>
      </c>
      <c r="J1422" s="22" t="s">
        <v>173</v>
      </c>
      <c r="K1422" s="22" t="s">
        <v>175</v>
      </c>
      <c r="L1422" s="22" t="s">
        <v>1245</v>
      </c>
      <c r="M1422" s="16" t="s">
        <v>5593</v>
      </c>
      <c r="N1422" s="16" t="s">
        <v>5593</v>
      </c>
      <c r="O1422" s="23">
        <v>3</v>
      </c>
      <c r="P1422" s="24" t="e">
        <f>VLOOKUP(I1422,#REF!,2,0)</f>
        <v>#REF!</v>
      </c>
      <c r="Q1422" s="25"/>
      <c r="R1422" s="24"/>
      <c r="S1422" s="26"/>
      <c r="T1422" s="24"/>
      <c r="U1422" s="26"/>
      <c r="V1422" s="26"/>
      <c r="W1422" s="27">
        <v>1111</v>
      </c>
      <c r="X1422" s="28"/>
    </row>
    <row r="1423" ht="46" spans="1:32">
      <c r="A1423" s="50" t="s">
        <v>4174</v>
      </c>
      <c r="B1423" s="51" t="s">
        <v>4175</v>
      </c>
      <c r="C1423" s="52" t="s">
        <v>2522</v>
      </c>
      <c r="D1423" s="53" t="e">
        <f>VLOOKUP(C1423,#REF!,2,0)</f>
        <v>#REF!</v>
      </c>
      <c r="E1423" s="20" t="e">
        <f>VLOOKUP(D1423,数据集标准分类!E:F,2,0)</f>
        <v>#REF!</v>
      </c>
      <c r="F1423" s="54">
        <v>5</v>
      </c>
      <c r="G1423" s="55" t="s">
        <v>1463</v>
      </c>
      <c r="H1423" s="55" t="s">
        <v>6153</v>
      </c>
      <c r="I1423" s="55" t="s">
        <v>1466</v>
      </c>
      <c r="J1423" s="55" t="s">
        <v>1464</v>
      </c>
      <c r="K1423" s="55" t="s">
        <v>1466</v>
      </c>
      <c r="L1423" s="55" t="s">
        <v>1467</v>
      </c>
      <c r="M1423" s="50" t="s">
        <v>5593</v>
      </c>
      <c r="N1423" s="50" t="s">
        <v>5595</v>
      </c>
      <c r="O1423" s="56">
        <v>4</v>
      </c>
      <c r="P1423" s="57" t="e">
        <f>VLOOKUP(I1423,#REF!,2,0)</f>
        <v>#REF!</v>
      </c>
      <c r="Q1423" s="58"/>
      <c r="R1423" s="57"/>
      <c r="S1423" s="59"/>
      <c r="T1423" s="57"/>
      <c r="U1423" s="59"/>
      <c r="V1423" s="59"/>
      <c r="W1423" s="60">
        <v>1112</v>
      </c>
      <c r="X1423" s="61"/>
      <c r="Y1423" s="62"/>
      <c r="Z1423" s="62"/>
      <c r="AA1423" s="62"/>
      <c r="AB1423" s="62"/>
      <c r="AC1423" s="62"/>
      <c r="AD1423" s="62"/>
      <c r="AE1423" s="62"/>
      <c r="AF1423" s="62"/>
    </row>
    <row r="1424" ht="61" spans="1:32">
      <c r="A1424" s="16" t="s">
        <v>4174</v>
      </c>
      <c r="B1424" s="17" t="s">
        <v>4175</v>
      </c>
      <c r="C1424" s="30" t="s">
        <v>2522</v>
      </c>
      <c r="D1424" s="19" t="e">
        <f>VLOOKUP(C1424,#REF!,2,0)</f>
        <v>#REF!</v>
      </c>
      <c r="E1424" s="20" t="e">
        <f>VLOOKUP(D1424,数据集标准分类!E:F,2,0)</f>
        <v>#REF!</v>
      </c>
      <c r="F1424" s="21">
        <v>5</v>
      </c>
      <c r="G1424" s="22" t="s">
        <v>663</v>
      </c>
      <c r="H1424" s="22" t="s">
        <v>664</v>
      </c>
      <c r="I1424" s="22" t="s">
        <v>666</v>
      </c>
      <c r="J1424" s="22" t="s">
        <v>664</v>
      </c>
      <c r="K1424" s="22" t="s">
        <v>666</v>
      </c>
      <c r="L1424" s="22" t="s">
        <v>667</v>
      </c>
      <c r="M1424" s="16" t="s">
        <v>5595</v>
      </c>
      <c r="N1424" s="16" t="s">
        <v>5595</v>
      </c>
      <c r="O1424" s="23">
        <v>5</v>
      </c>
      <c r="P1424" s="24" t="e">
        <f>VLOOKUP(I1424,#REF!,2,0)</f>
        <v>#REF!</v>
      </c>
      <c r="Q1424" s="25"/>
      <c r="R1424" s="24"/>
      <c r="S1424" s="26"/>
      <c r="T1424" s="24"/>
      <c r="U1424" s="26"/>
      <c r="V1424" s="26"/>
      <c r="W1424" s="27">
        <v>1113</v>
      </c>
      <c r="X1424" s="28"/>
    </row>
    <row r="1425" ht="31" spans="1:32">
      <c r="A1425" s="50" t="s">
        <v>4174</v>
      </c>
      <c r="B1425" s="51" t="s">
        <v>4175</v>
      </c>
      <c r="C1425" s="52" t="s">
        <v>2522</v>
      </c>
      <c r="D1425" s="53" t="e">
        <f>VLOOKUP(C1425,#REF!,2,0)</f>
        <v>#REF!</v>
      </c>
      <c r="E1425" s="20" t="e">
        <f>VLOOKUP(D1425,数据集标准分类!E:F,2,0)</f>
        <v>#REF!</v>
      </c>
      <c r="F1425" s="54">
        <v>5</v>
      </c>
      <c r="G1425" s="55" t="s">
        <v>2528</v>
      </c>
      <c r="H1425" s="55" t="s">
        <v>6157</v>
      </c>
      <c r="I1425" s="55" t="s">
        <v>6158</v>
      </c>
      <c r="J1425" s="55" t="s">
        <v>2529</v>
      </c>
      <c r="K1425" s="55" t="s">
        <v>2531</v>
      </c>
      <c r="L1425" s="55" t="s">
        <v>2532</v>
      </c>
      <c r="M1425" s="50" t="s">
        <v>5593</v>
      </c>
      <c r="N1425" s="50" t="s">
        <v>5593</v>
      </c>
      <c r="O1425" s="56">
        <v>6</v>
      </c>
      <c r="P1425" s="57" t="e">
        <f>VLOOKUP(I1425,#REF!,2,0)</f>
        <v>#REF!</v>
      </c>
      <c r="Q1425" s="58"/>
      <c r="R1425" s="57"/>
      <c r="S1425" s="59"/>
      <c r="T1425" s="57"/>
      <c r="U1425" s="59"/>
      <c r="V1425" s="59"/>
      <c r="W1425" s="60">
        <v>1114</v>
      </c>
      <c r="X1425" s="61"/>
      <c r="Y1425" s="62"/>
      <c r="Z1425" s="62"/>
      <c r="AA1425" s="62"/>
      <c r="AB1425" s="62"/>
      <c r="AC1425" s="62"/>
      <c r="AD1425" s="62"/>
      <c r="AE1425" s="62"/>
      <c r="AF1425" s="62"/>
    </row>
    <row r="1426" ht="31" spans="1:32">
      <c r="A1426" s="16" t="s">
        <v>4174</v>
      </c>
      <c r="B1426" s="17" t="s">
        <v>4175</v>
      </c>
      <c r="C1426" s="30" t="s">
        <v>2522</v>
      </c>
      <c r="D1426" s="19" t="e">
        <f>VLOOKUP(C1426,#REF!,2,0)</f>
        <v>#REF!</v>
      </c>
      <c r="E1426" s="20" t="e">
        <f>VLOOKUP(D1426,数据集标准分类!E:F,2,0)</f>
        <v>#REF!</v>
      </c>
      <c r="F1426" s="21">
        <v>5</v>
      </c>
      <c r="G1426" s="22" t="s">
        <v>2533</v>
      </c>
      <c r="H1426" s="22" t="s">
        <v>6159</v>
      </c>
      <c r="I1426" s="22" t="s">
        <v>6160</v>
      </c>
      <c r="J1426" s="22" t="s">
        <v>2534</v>
      </c>
      <c r="K1426" s="22" t="s">
        <v>2536</v>
      </c>
      <c r="L1426" s="22" t="s">
        <v>2537</v>
      </c>
      <c r="M1426" s="16" t="s">
        <v>5593</v>
      </c>
      <c r="N1426" s="16" t="s">
        <v>5593</v>
      </c>
      <c r="O1426" s="23">
        <v>7</v>
      </c>
      <c r="P1426" s="24" t="e">
        <f>VLOOKUP(I1426,#REF!,2,0)</f>
        <v>#REF!</v>
      </c>
      <c r="Q1426" s="47"/>
      <c r="R1426" s="24"/>
      <c r="S1426" s="48"/>
      <c r="T1426" s="24"/>
      <c r="U1426" s="48"/>
      <c r="V1426" s="48"/>
      <c r="W1426" s="27">
        <v>1115</v>
      </c>
      <c r="X1426" s="28"/>
      <c r="Y1426" s="5"/>
      <c r="Z1426" s="5"/>
      <c r="AA1426" s="5"/>
      <c r="AB1426" s="5"/>
      <c r="AC1426" s="5"/>
      <c r="AD1426" s="5"/>
      <c r="AE1426" s="5"/>
      <c r="AF1426" s="5"/>
    </row>
    <row r="1427" spans="1:32">
      <c r="A1427" s="16" t="s">
        <v>4174</v>
      </c>
      <c r="B1427" s="17" t="s">
        <v>4175</v>
      </c>
      <c r="C1427" s="30" t="s">
        <v>2522</v>
      </c>
      <c r="D1427" s="19" t="e">
        <f>VLOOKUP(C1427,#REF!,2,0)</f>
        <v>#REF!</v>
      </c>
      <c r="E1427" s="20" t="e">
        <f>VLOOKUP(D1427,数据集标准分类!E:F,2,0)</f>
        <v>#REF!</v>
      </c>
      <c r="F1427" s="21">
        <v>5</v>
      </c>
      <c r="G1427" s="22" t="s">
        <v>934</v>
      </c>
      <c r="H1427" s="22" t="s">
        <v>935</v>
      </c>
      <c r="I1427" s="22" t="s">
        <v>937</v>
      </c>
      <c r="J1427" s="22" t="s">
        <v>935</v>
      </c>
      <c r="K1427" s="22" t="s">
        <v>937</v>
      </c>
      <c r="L1427" s="22" t="s">
        <v>938</v>
      </c>
      <c r="M1427" s="16" t="s">
        <v>5595</v>
      </c>
      <c r="N1427" s="16" t="s">
        <v>5595</v>
      </c>
      <c r="O1427" s="23">
        <v>8</v>
      </c>
      <c r="P1427" s="24" t="e">
        <f>VLOOKUP(I1427,#REF!,2,0)</f>
        <v>#REF!</v>
      </c>
      <c r="Q1427" s="25"/>
      <c r="R1427" s="24"/>
      <c r="S1427" s="26"/>
      <c r="T1427" s="24"/>
      <c r="U1427" s="26"/>
      <c r="V1427" s="26"/>
      <c r="W1427" s="27">
        <v>1116</v>
      </c>
      <c r="X1427" s="28"/>
    </row>
    <row r="1428" ht="31" spans="1:32">
      <c r="A1428" s="16" t="s">
        <v>4174</v>
      </c>
      <c r="B1428" s="17" t="s">
        <v>4175</v>
      </c>
      <c r="C1428" s="30" t="s">
        <v>2522</v>
      </c>
      <c r="D1428" s="19" t="e">
        <f>VLOOKUP(C1428,#REF!,2,0)</f>
        <v>#REF!</v>
      </c>
      <c r="E1428" s="20" t="e">
        <f>VLOOKUP(D1428,数据集标准分类!E:F,2,0)</f>
        <v>#REF!</v>
      </c>
      <c r="F1428" s="21">
        <v>5</v>
      </c>
      <c r="G1428" s="22" t="s">
        <v>2538</v>
      </c>
      <c r="H1428" s="22" t="s">
        <v>6161</v>
      </c>
      <c r="I1428" s="22" t="s">
        <v>6162</v>
      </c>
      <c r="J1428" s="22" t="s">
        <v>2539</v>
      </c>
      <c r="K1428" s="22" t="s">
        <v>2541</v>
      </c>
      <c r="L1428" s="22" t="s">
        <v>2542</v>
      </c>
      <c r="M1428" s="16" t="s">
        <v>5593</v>
      </c>
      <c r="N1428" s="16" t="s">
        <v>5593</v>
      </c>
      <c r="O1428" s="23">
        <v>9</v>
      </c>
      <c r="P1428" s="24" t="e">
        <f>VLOOKUP(I1428,#REF!,2,0)</f>
        <v>#REF!</v>
      </c>
      <c r="Q1428" s="25"/>
      <c r="R1428" s="24"/>
      <c r="S1428" s="26"/>
      <c r="T1428" s="24"/>
      <c r="U1428" s="26"/>
      <c r="V1428" s="26"/>
      <c r="W1428" s="27">
        <v>1117</v>
      </c>
      <c r="X1428" s="28"/>
    </row>
    <row r="1429" ht="31" spans="1:32">
      <c r="A1429" s="50" t="s">
        <v>4174</v>
      </c>
      <c r="B1429" s="51" t="s">
        <v>4175</v>
      </c>
      <c r="C1429" s="52" t="s">
        <v>2522</v>
      </c>
      <c r="D1429" s="53" t="e">
        <f>VLOOKUP(C1429,#REF!,2,0)</f>
        <v>#REF!</v>
      </c>
      <c r="E1429" s="20" t="e">
        <f>VLOOKUP(D1429,数据集标准分类!E:F,2,0)</f>
        <v>#REF!</v>
      </c>
      <c r="F1429" s="54">
        <v>5</v>
      </c>
      <c r="G1429" s="55" t="s">
        <v>192</v>
      </c>
      <c r="H1429" s="55" t="s">
        <v>5630</v>
      </c>
      <c r="I1429" s="55" t="s">
        <v>5631</v>
      </c>
      <c r="J1429" s="55" t="s">
        <v>193</v>
      </c>
      <c r="K1429" s="55" t="s">
        <v>195</v>
      </c>
      <c r="L1429" s="55" t="s">
        <v>2543</v>
      </c>
      <c r="M1429" s="50" t="s">
        <v>5593</v>
      </c>
      <c r="N1429" s="50" t="s">
        <v>5593</v>
      </c>
      <c r="O1429" s="56">
        <v>10</v>
      </c>
      <c r="P1429" s="57" t="e">
        <f>VLOOKUP(I1429,#REF!,2,0)</f>
        <v>#REF!</v>
      </c>
      <c r="Q1429" s="58"/>
      <c r="R1429" s="57"/>
      <c r="S1429" s="59"/>
      <c r="T1429" s="57"/>
      <c r="U1429" s="59"/>
      <c r="V1429" s="59"/>
      <c r="W1429" s="60">
        <v>1118</v>
      </c>
      <c r="X1429" s="61"/>
      <c r="Y1429" s="62"/>
      <c r="Z1429" s="62"/>
      <c r="AA1429" s="62"/>
      <c r="AB1429" s="62"/>
      <c r="AC1429" s="62"/>
      <c r="AD1429" s="62"/>
      <c r="AE1429" s="62"/>
      <c r="AF1429" s="62"/>
    </row>
    <row r="1430" spans="1:32">
      <c r="A1430" s="50" t="s">
        <v>4174</v>
      </c>
      <c r="B1430" s="51" t="s">
        <v>4175</v>
      </c>
      <c r="C1430" s="52" t="s">
        <v>2522</v>
      </c>
      <c r="D1430" s="53" t="e">
        <f>VLOOKUP(C1430,#REF!,2,0)</f>
        <v>#REF!</v>
      </c>
      <c r="E1430" s="20" t="e">
        <f>VLOOKUP(D1430,数据集标准分类!E:F,2,0)</f>
        <v>#REF!</v>
      </c>
      <c r="F1430" s="54">
        <v>5</v>
      </c>
      <c r="G1430" s="55" t="s">
        <v>396</v>
      </c>
      <c r="H1430" s="55" t="s">
        <v>5628</v>
      </c>
      <c r="I1430" s="55" t="s">
        <v>5629</v>
      </c>
      <c r="J1430" s="55" t="s">
        <v>397</v>
      </c>
      <c r="K1430" s="55" t="s">
        <v>399</v>
      </c>
      <c r="L1430" s="55" t="s">
        <v>1260</v>
      </c>
      <c r="M1430" s="50" t="s">
        <v>5593</v>
      </c>
      <c r="N1430" s="50" t="s">
        <v>5593</v>
      </c>
      <c r="O1430" s="56">
        <v>11</v>
      </c>
      <c r="P1430" s="57" t="e">
        <f>VLOOKUP(I1430,#REF!,2,0)</f>
        <v>#REF!</v>
      </c>
      <c r="Q1430" s="58"/>
      <c r="R1430" s="57"/>
      <c r="S1430" s="59"/>
      <c r="T1430" s="57"/>
      <c r="U1430" s="59"/>
      <c r="V1430" s="59"/>
      <c r="W1430" s="60">
        <v>1119</v>
      </c>
      <c r="X1430" s="61"/>
      <c r="Y1430" s="62"/>
      <c r="Z1430" s="62"/>
      <c r="AA1430" s="62"/>
      <c r="AB1430" s="62"/>
      <c r="AC1430" s="62"/>
      <c r="AD1430" s="62"/>
      <c r="AE1430" s="62"/>
      <c r="AF1430" s="62"/>
    </row>
    <row r="1431" ht="31" spans="1:32">
      <c r="A1431" s="16" t="s">
        <v>4174</v>
      </c>
      <c r="B1431" s="17" t="s">
        <v>4175</v>
      </c>
      <c r="C1431" s="30" t="s">
        <v>2522</v>
      </c>
      <c r="D1431" s="19" t="e">
        <f>VLOOKUP(C1431,#REF!,2,0)</f>
        <v>#REF!</v>
      </c>
      <c r="E1431" s="20" t="e">
        <f>VLOOKUP(D1431,数据集标准分类!E:F,2,0)</f>
        <v>#REF!</v>
      </c>
      <c r="F1431" s="21">
        <v>5</v>
      </c>
      <c r="G1431" s="22" t="s">
        <v>2544</v>
      </c>
      <c r="H1431" s="22" t="s">
        <v>2545</v>
      </c>
      <c r="I1431" s="22" t="s">
        <v>2547</v>
      </c>
      <c r="J1431" s="22" t="s">
        <v>2545</v>
      </c>
      <c r="K1431" s="22" t="s">
        <v>2547</v>
      </c>
      <c r="L1431" s="22" t="s">
        <v>2548</v>
      </c>
      <c r="M1431" s="16" t="s">
        <v>5595</v>
      </c>
      <c r="N1431" s="16" t="s">
        <v>5595</v>
      </c>
      <c r="O1431" s="23">
        <v>12</v>
      </c>
      <c r="P1431" s="24" t="e">
        <f>VLOOKUP(I1431,#REF!,2,0)</f>
        <v>#REF!</v>
      </c>
      <c r="Q1431" s="25"/>
      <c r="R1431" s="24"/>
      <c r="S1431" s="26"/>
      <c r="T1431" s="24"/>
      <c r="U1431" s="26"/>
      <c r="V1431" s="26"/>
      <c r="W1431" s="27">
        <v>1120</v>
      </c>
      <c r="X1431" s="28"/>
    </row>
    <row r="1432" ht="31" spans="1:32">
      <c r="A1432" s="50" t="s">
        <v>4174</v>
      </c>
      <c r="B1432" s="51" t="s">
        <v>4175</v>
      </c>
      <c r="C1432" s="52" t="s">
        <v>2522</v>
      </c>
      <c r="D1432" s="53" t="e">
        <f>VLOOKUP(C1432,#REF!,2,0)</f>
        <v>#REF!</v>
      </c>
      <c r="E1432" s="20" t="e">
        <f>VLOOKUP(D1432,数据集标准分类!E:F,2,0)</f>
        <v>#REF!</v>
      </c>
      <c r="F1432" s="54">
        <v>5</v>
      </c>
      <c r="G1432" s="55" t="s">
        <v>1266</v>
      </c>
      <c r="H1432" s="55" t="s">
        <v>5633</v>
      </c>
      <c r="I1432" s="55" t="s">
        <v>1269</v>
      </c>
      <c r="J1432" s="55" t="s">
        <v>1267</v>
      </c>
      <c r="K1432" s="55" t="s">
        <v>1269</v>
      </c>
      <c r="L1432" s="55" t="s">
        <v>1270</v>
      </c>
      <c r="M1432" s="50" t="s">
        <v>5593</v>
      </c>
      <c r="N1432" s="50" t="s">
        <v>5595</v>
      </c>
      <c r="O1432" s="56">
        <v>13</v>
      </c>
      <c r="P1432" s="57" t="e">
        <f>VLOOKUP(I1432,#REF!,2,0)</f>
        <v>#REF!</v>
      </c>
      <c r="Q1432" s="58"/>
      <c r="R1432" s="57"/>
      <c r="S1432" s="59"/>
      <c r="T1432" s="57"/>
      <c r="U1432" s="59"/>
      <c r="V1432" s="59"/>
      <c r="W1432" s="60">
        <v>1121</v>
      </c>
      <c r="X1432" s="61"/>
      <c r="Y1432" s="62"/>
      <c r="Z1432" s="62"/>
      <c r="AA1432" s="62"/>
      <c r="AB1432" s="62"/>
      <c r="AC1432" s="62"/>
      <c r="AD1432" s="62"/>
      <c r="AE1432" s="62"/>
      <c r="AF1432" s="62"/>
    </row>
    <row r="1433" spans="1:32">
      <c r="A1433" s="50" t="s">
        <v>4174</v>
      </c>
      <c r="B1433" s="51" t="s">
        <v>4175</v>
      </c>
      <c r="C1433" s="52" t="s">
        <v>2522</v>
      </c>
      <c r="D1433" s="53" t="e">
        <f>VLOOKUP(C1433,#REF!,2,0)</f>
        <v>#REF!</v>
      </c>
      <c r="E1433" s="20" t="e">
        <f>VLOOKUP(D1433,数据集标准分类!E:F,2,0)</f>
        <v>#REF!</v>
      </c>
      <c r="F1433" s="54">
        <v>5</v>
      </c>
      <c r="G1433" s="55" t="s">
        <v>216</v>
      </c>
      <c r="H1433" s="55" t="s">
        <v>5634</v>
      </c>
      <c r="I1433" s="55" t="s">
        <v>219</v>
      </c>
      <c r="J1433" s="55" t="s">
        <v>217</v>
      </c>
      <c r="K1433" s="55" t="s">
        <v>219</v>
      </c>
      <c r="L1433" s="55" t="s">
        <v>2549</v>
      </c>
      <c r="M1433" s="50" t="s">
        <v>5593</v>
      </c>
      <c r="N1433" s="50" t="s">
        <v>5595</v>
      </c>
      <c r="O1433" s="56">
        <v>14</v>
      </c>
      <c r="P1433" s="57" t="e">
        <f>VLOOKUP(I1433,#REF!,2,0)</f>
        <v>#REF!</v>
      </c>
      <c r="Q1433" s="58"/>
      <c r="R1433" s="57"/>
      <c r="S1433" s="59"/>
      <c r="T1433" s="57"/>
      <c r="U1433" s="59"/>
      <c r="V1433" s="59"/>
      <c r="W1433" s="60">
        <v>1122</v>
      </c>
      <c r="X1433" s="61"/>
      <c r="Y1433" s="62"/>
      <c r="Z1433" s="62"/>
      <c r="AA1433" s="62"/>
      <c r="AB1433" s="62"/>
      <c r="AC1433" s="62"/>
      <c r="AD1433" s="62"/>
      <c r="AE1433" s="62"/>
      <c r="AF1433" s="62"/>
    </row>
    <row r="1434" spans="1:32">
      <c r="A1434" s="50" t="s">
        <v>4174</v>
      </c>
      <c r="B1434" s="51" t="s">
        <v>4175</v>
      </c>
      <c r="C1434" s="52" t="s">
        <v>2522</v>
      </c>
      <c r="D1434" s="53" t="e">
        <f>VLOOKUP(C1434,#REF!,2,0)</f>
        <v>#REF!</v>
      </c>
      <c r="E1434" s="20" t="e">
        <f>VLOOKUP(D1434,数据集标准分类!E:F,2,0)</f>
        <v>#REF!</v>
      </c>
      <c r="F1434" s="54">
        <v>5</v>
      </c>
      <c r="G1434" s="55" t="s">
        <v>1272</v>
      </c>
      <c r="H1434" s="55" t="s">
        <v>5635</v>
      </c>
      <c r="I1434" s="55" t="s">
        <v>1275</v>
      </c>
      <c r="J1434" s="55" t="s">
        <v>1273</v>
      </c>
      <c r="K1434" s="55" t="s">
        <v>1275</v>
      </c>
      <c r="L1434" s="55" t="s">
        <v>1276</v>
      </c>
      <c r="M1434" s="50" t="s">
        <v>5593</v>
      </c>
      <c r="N1434" s="50" t="s">
        <v>5595</v>
      </c>
      <c r="O1434" s="56">
        <v>15</v>
      </c>
      <c r="P1434" s="57" t="e">
        <f>VLOOKUP(I1434,#REF!,2,0)</f>
        <v>#REF!</v>
      </c>
      <c r="Q1434" s="58"/>
      <c r="R1434" s="57"/>
      <c r="S1434" s="59"/>
      <c r="T1434" s="57"/>
      <c r="U1434" s="59"/>
      <c r="V1434" s="59"/>
      <c r="W1434" s="60">
        <v>1123</v>
      </c>
      <c r="X1434" s="61"/>
      <c r="Y1434" s="62"/>
      <c r="Z1434" s="62"/>
      <c r="AA1434" s="62"/>
      <c r="AB1434" s="62"/>
      <c r="AC1434" s="62"/>
      <c r="AD1434" s="62"/>
      <c r="AE1434" s="62"/>
      <c r="AF1434" s="62"/>
    </row>
    <row r="1435" ht="46" spans="1:32">
      <c r="A1435" s="50" t="s">
        <v>4174</v>
      </c>
      <c r="B1435" s="51" t="s">
        <v>4175</v>
      </c>
      <c r="C1435" s="52" t="s">
        <v>2522</v>
      </c>
      <c r="D1435" s="53" t="e">
        <f>VLOOKUP(C1435,#REF!,2,0)</f>
        <v>#REF!</v>
      </c>
      <c r="E1435" s="20" t="e">
        <f>VLOOKUP(D1435,数据集标准分类!E:F,2,0)</f>
        <v>#REF!</v>
      </c>
      <c r="F1435" s="54">
        <v>5</v>
      </c>
      <c r="G1435" s="55" t="s">
        <v>1430</v>
      </c>
      <c r="H1435" s="55" t="s">
        <v>5643</v>
      </c>
      <c r="I1435" s="55" t="s">
        <v>5644</v>
      </c>
      <c r="J1435" s="55" t="s">
        <v>1431</v>
      </c>
      <c r="K1435" s="55" t="s">
        <v>1433</v>
      </c>
      <c r="L1435" s="55" t="s">
        <v>2550</v>
      </c>
      <c r="M1435" s="50" t="s">
        <v>5593</v>
      </c>
      <c r="N1435" s="50" t="s">
        <v>5593</v>
      </c>
      <c r="O1435" s="56">
        <v>16</v>
      </c>
      <c r="P1435" s="57" t="e">
        <f>VLOOKUP(I1435,#REF!,2,0)</f>
        <v>#REF!</v>
      </c>
      <c r="Q1435" s="58"/>
      <c r="R1435" s="57"/>
      <c r="S1435" s="59"/>
      <c r="T1435" s="57"/>
      <c r="U1435" s="59"/>
      <c r="V1435" s="59"/>
      <c r="W1435" s="60">
        <v>1124</v>
      </c>
      <c r="X1435" s="61"/>
      <c r="Y1435" s="62"/>
      <c r="Z1435" s="62"/>
      <c r="AA1435" s="62"/>
      <c r="AB1435" s="62"/>
      <c r="AC1435" s="62"/>
      <c r="AD1435" s="62"/>
      <c r="AE1435" s="62"/>
      <c r="AF1435" s="62"/>
    </row>
    <row r="1436" ht="46" spans="1:32">
      <c r="A1436" s="50" t="s">
        <v>4174</v>
      </c>
      <c r="B1436" s="51" t="s">
        <v>4175</v>
      </c>
      <c r="C1436" s="52" t="s">
        <v>2522</v>
      </c>
      <c r="D1436" s="53" t="e">
        <f>VLOOKUP(C1436,#REF!,2,0)</f>
        <v>#REF!</v>
      </c>
      <c r="E1436" s="20" t="e">
        <f>VLOOKUP(D1436,数据集标准分类!E:F,2,0)</f>
        <v>#REF!</v>
      </c>
      <c r="F1436" s="54">
        <v>5</v>
      </c>
      <c r="G1436" s="55" t="s">
        <v>421</v>
      </c>
      <c r="H1436" s="55" t="s">
        <v>5685</v>
      </c>
      <c r="I1436" s="55" t="s">
        <v>424</v>
      </c>
      <c r="J1436" s="55" t="s">
        <v>422</v>
      </c>
      <c r="K1436" s="55" t="s">
        <v>424</v>
      </c>
      <c r="L1436" s="55" t="s">
        <v>425</v>
      </c>
      <c r="M1436" s="50" t="s">
        <v>5593</v>
      </c>
      <c r="N1436" s="50" t="s">
        <v>5595</v>
      </c>
      <c r="O1436" s="56">
        <v>17</v>
      </c>
      <c r="P1436" s="57" t="e">
        <f>VLOOKUP(I1436,#REF!,2,0)</f>
        <v>#REF!</v>
      </c>
      <c r="Q1436" s="58"/>
      <c r="R1436" s="57"/>
      <c r="S1436" s="59"/>
      <c r="T1436" s="57"/>
      <c r="U1436" s="59"/>
      <c r="V1436" s="59"/>
      <c r="W1436" s="60">
        <v>1125</v>
      </c>
      <c r="X1436" s="61"/>
      <c r="Y1436" s="62"/>
      <c r="Z1436" s="62"/>
      <c r="AA1436" s="62"/>
      <c r="AB1436" s="62"/>
      <c r="AC1436" s="62"/>
      <c r="AD1436" s="62"/>
      <c r="AE1436" s="62"/>
      <c r="AF1436" s="62"/>
    </row>
    <row r="1437" ht="31" spans="1:32">
      <c r="A1437" s="50" t="s">
        <v>4174</v>
      </c>
      <c r="B1437" s="51" t="s">
        <v>4175</v>
      </c>
      <c r="C1437" s="52" t="s">
        <v>2522</v>
      </c>
      <c r="D1437" s="53" t="e">
        <f>VLOOKUP(C1437,#REF!,2,0)</f>
        <v>#REF!</v>
      </c>
      <c r="E1437" s="20" t="e">
        <f>VLOOKUP(D1437,数据集标准分类!E:F,2,0)</f>
        <v>#REF!</v>
      </c>
      <c r="F1437" s="54">
        <v>5</v>
      </c>
      <c r="G1437" s="55" t="s">
        <v>784</v>
      </c>
      <c r="H1437" s="55" t="s">
        <v>785</v>
      </c>
      <c r="I1437" s="55" t="s">
        <v>787</v>
      </c>
      <c r="J1437" s="55" t="s">
        <v>785</v>
      </c>
      <c r="K1437" s="55" t="s">
        <v>787</v>
      </c>
      <c r="L1437" s="55" t="s">
        <v>2551</v>
      </c>
      <c r="M1437" s="50" t="s">
        <v>5595</v>
      </c>
      <c r="N1437" s="50" t="s">
        <v>5595</v>
      </c>
      <c r="O1437" s="56">
        <v>18</v>
      </c>
      <c r="P1437" s="57" t="e">
        <f>VLOOKUP(I1437,#REF!,2,0)</f>
        <v>#REF!</v>
      </c>
      <c r="Q1437" s="58"/>
      <c r="R1437" s="57"/>
      <c r="S1437" s="59"/>
      <c r="T1437" s="57"/>
      <c r="U1437" s="59"/>
      <c r="V1437" s="59"/>
      <c r="W1437" s="60">
        <v>1126</v>
      </c>
      <c r="X1437" s="61"/>
      <c r="Y1437" s="62"/>
      <c r="Z1437" s="62"/>
      <c r="AA1437" s="62"/>
      <c r="AB1437" s="62"/>
      <c r="AC1437" s="62"/>
      <c r="AD1437" s="62"/>
      <c r="AE1437" s="62"/>
      <c r="AF1437" s="62"/>
    </row>
    <row r="1438" ht="31" spans="1:32">
      <c r="A1438" s="50" t="s">
        <v>4174</v>
      </c>
      <c r="B1438" s="51" t="s">
        <v>4175</v>
      </c>
      <c r="C1438" s="52" t="s">
        <v>2522</v>
      </c>
      <c r="D1438" s="53" t="e">
        <f>VLOOKUP(C1438,#REF!,2,0)</f>
        <v>#REF!</v>
      </c>
      <c r="E1438" s="20" t="e">
        <f>VLOOKUP(D1438,数据集标准分类!E:F,2,0)</f>
        <v>#REF!</v>
      </c>
      <c r="F1438" s="54">
        <v>5</v>
      </c>
      <c r="G1438" s="55" t="s">
        <v>2553</v>
      </c>
      <c r="H1438" s="55" t="s">
        <v>6163</v>
      </c>
      <c r="I1438" s="55" t="s">
        <v>6164</v>
      </c>
      <c r="J1438" s="55" t="s">
        <v>2554</v>
      </c>
      <c r="K1438" s="55" t="s">
        <v>2556</v>
      </c>
      <c r="L1438" s="55" t="s">
        <v>2557</v>
      </c>
      <c r="M1438" s="50" t="s">
        <v>5593</v>
      </c>
      <c r="N1438" s="50" t="s">
        <v>5593</v>
      </c>
      <c r="O1438" s="56">
        <v>19</v>
      </c>
      <c r="P1438" s="57" t="e">
        <f>VLOOKUP(I1438,#REF!,2,0)</f>
        <v>#REF!</v>
      </c>
      <c r="Q1438" s="58"/>
      <c r="R1438" s="57"/>
      <c r="S1438" s="59"/>
      <c r="T1438" s="57"/>
      <c r="U1438" s="59"/>
      <c r="V1438" s="59"/>
      <c r="W1438" s="60">
        <v>1127</v>
      </c>
      <c r="X1438" s="61"/>
      <c r="Y1438" s="62"/>
      <c r="Z1438" s="62"/>
      <c r="AA1438" s="62"/>
      <c r="AB1438" s="62"/>
      <c r="AC1438" s="62"/>
      <c r="AD1438" s="62"/>
      <c r="AE1438" s="62"/>
      <c r="AF1438" s="62"/>
    </row>
    <row r="1439" spans="1:32">
      <c r="A1439" s="50" t="s">
        <v>4174</v>
      </c>
      <c r="B1439" s="51" t="s">
        <v>4175</v>
      </c>
      <c r="C1439" s="52" t="s">
        <v>2522</v>
      </c>
      <c r="D1439" s="53" t="e">
        <f>VLOOKUP(C1439,#REF!,2,0)</f>
        <v>#REF!</v>
      </c>
      <c r="E1439" s="20" t="e">
        <f>VLOOKUP(D1439,数据集标准分类!E:F,2,0)</f>
        <v>#REF!</v>
      </c>
      <c r="F1439" s="54">
        <v>5</v>
      </c>
      <c r="G1439" s="55" t="s">
        <v>966</v>
      </c>
      <c r="H1439" s="55" t="s">
        <v>5715</v>
      </c>
      <c r="I1439" s="55" t="s">
        <v>969</v>
      </c>
      <c r="J1439" s="55" t="s">
        <v>967</v>
      </c>
      <c r="K1439" s="55" t="s">
        <v>969</v>
      </c>
      <c r="L1439" s="55" t="s">
        <v>970</v>
      </c>
      <c r="M1439" s="50" t="s">
        <v>5593</v>
      </c>
      <c r="N1439" s="50" t="s">
        <v>5595</v>
      </c>
      <c r="O1439" s="56">
        <v>20</v>
      </c>
      <c r="P1439" s="57" t="e">
        <f>VLOOKUP(I1439,#REF!,2,0)</f>
        <v>#REF!</v>
      </c>
      <c r="Q1439" s="58"/>
      <c r="R1439" s="57"/>
      <c r="S1439" s="59"/>
      <c r="T1439" s="57"/>
      <c r="U1439" s="59"/>
      <c r="V1439" s="59"/>
      <c r="W1439" s="60">
        <v>1128</v>
      </c>
      <c r="X1439" s="61"/>
      <c r="Y1439" s="62"/>
      <c r="Z1439" s="62"/>
      <c r="AA1439" s="62"/>
      <c r="AB1439" s="62"/>
      <c r="AC1439" s="62"/>
      <c r="AD1439" s="62"/>
      <c r="AE1439" s="62"/>
      <c r="AF1439" s="62"/>
    </row>
    <row r="1440" spans="1:32">
      <c r="A1440" s="50" t="s">
        <v>4174</v>
      </c>
      <c r="B1440" s="51" t="s">
        <v>4175</v>
      </c>
      <c r="C1440" s="52" t="s">
        <v>2522</v>
      </c>
      <c r="D1440" s="53" t="e">
        <f>VLOOKUP(C1440,#REF!,2,0)</f>
        <v>#REF!</v>
      </c>
      <c r="E1440" s="20" t="e">
        <f>VLOOKUP(D1440,数据集标准分类!E:F,2,0)</f>
        <v>#REF!</v>
      </c>
      <c r="F1440" s="54">
        <v>5</v>
      </c>
      <c r="G1440" s="55" t="s">
        <v>2424</v>
      </c>
      <c r="H1440" s="55" t="s">
        <v>6165</v>
      </c>
      <c r="I1440" s="55" t="s">
        <v>2427</v>
      </c>
      <c r="J1440" s="55" t="s">
        <v>2425</v>
      </c>
      <c r="K1440" s="55" t="s">
        <v>2427</v>
      </c>
      <c r="L1440" s="55" t="s">
        <v>2428</v>
      </c>
      <c r="M1440" s="50" t="s">
        <v>5593</v>
      </c>
      <c r="N1440" s="50" t="s">
        <v>5595</v>
      </c>
      <c r="O1440" s="56">
        <v>21</v>
      </c>
      <c r="P1440" s="57" t="e">
        <f>VLOOKUP(I1440,#REF!,2,0)</f>
        <v>#REF!</v>
      </c>
      <c r="Q1440" s="58"/>
      <c r="R1440" s="57"/>
      <c r="S1440" s="59"/>
      <c r="T1440" s="57"/>
      <c r="U1440" s="59"/>
      <c r="V1440" s="59"/>
      <c r="W1440" s="60">
        <v>1129</v>
      </c>
      <c r="X1440" s="61"/>
      <c r="Y1440" s="62"/>
      <c r="Z1440" s="62"/>
      <c r="AA1440" s="62"/>
      <c r="AB1440" s="62"/>
      <c r="AC1440" s="62"/>
      <c r="AD1440" s="62"/>
      <c r="AE1440" s="62"/>
      <c r="AF1440" s="62"/>
    </row>
    <row r="1441" spans="1:32">
      <c r="A1441" s="50" t="s">
        <v>4174</v>
      </c>
      <c r="B1441" s="51" t="s">
        <v>4175</v>
      </c>
      <c r="C1441" s="52" t="s">
        <v>2522</v>
      </c>
      <c r="D1441" s="53" t="e">
        <f>VLOOKUP(C1441,#REF!,2,0)</f>
        <v>#REF!</v>
      </c>
      <c r="E1441" s="20" t="e">
        <f>VLOOKUP(D1441,数据集标准分类!E:F,2,0)</f>
        <v>#REF!</v>
      </c>
      <c r="F1441" s="54">
        <v>5</v>
      </c>
      <c r="G1441" s="55" t="s">
        <v>2434</v>
      </c>
      <c r="H1441" s="55" t="s">
        <v>6166</v>
      </c>
      <c r="I1441" s="55" t="s">
        <v>2437</v>
      </c>
      <c r="J1441" s="55" t="s">
        <v>2435</v>
      </c>
      <c r="K1441" s="55" t="s">
        <v>2437</v>
      </c>
      <c r="L1441" s="55" t="s">
        <v>2438</v>
      </c>
      <c r="M1441" s="50" t="s">
        <v>5593</v>
      </c>
      <c r="N1441" s="50" t="s">
        <v>5595</v>
      </c>
      <c r="O1441" s="56">
        <v>22</v>
      </c>
      <c r="P1441" s="57" t="e">
        <f>VLOOKUP(I1441,#REF!,2,0)</f>
        <v>#REF!</v>
      </c>
      <c r="Q1441" s="58"/>
      <c r="R1441" s="57"/>
      <c r="S1441" s="59"/>
      <c r="T1441" s="57"/>
      <c r="U1441" s="59"/>
      <c r="V1441" s="59"/>
      <c r="W1441" s="60">
        <v>1130</v>
      </c>
      <c r="X1441" s="61"/>
      <c r="Y1441" s="62"/>
      <c r="Z1441" s="62"/>
      <c r="AA1441" s="62"/>
      <c r="AB1441" s="62"/>
      <c r="AC1441" s="62"/>
      <c r="AD1441" s="62"/>
      <c r="AE1441" s="62"/>
      <c r="AF1441" s="62"/>
    </row>
    <row r="1442" spans="1:32">
      <c r="A1442" s="50" t="s">
        <v>4174</v>
      </c>
      <c r="B1442" s="51" t="s">
        <v>4175</v>
      </c>
      <c r="C1442" s="52" t="s">
        <v>2522</v>
      </c>
      <c r="D1442" s="53" t="e">
        <f>VLOOKUP(C1442,#REF!,2,0)</f>
        <v>#REF!</v>
      </c>
      <c r="E1442" s="20" t="e">
        <f>VLOOKUP(D1442,数据集标准分类!E:F,2,0)</f>
        <v>#REF!</v>
      </c>
      <c r="F1442" s="54">
        <v>5</v>
      </c>
      <c r="G1442" s="55" t="s">
        <v>2559</v>
      </c>
      <c r="H1442" s="55" t="s">
        <v>2560</v>
      </c>
      <c r="I1442" s="55" t="s">
        <v>2562</v>
      </c>
      <c r="J1442" s="55" t="s">
        <v>2560</v>
      </c>
      <c r="K1442" s="55" t="s">
        <v>2562</v>
      </c>
      <c r="L1442" s="55" t="s">
        <v>2563</v>
      </c>
      <c r="M1442" s="50" t="s">
        <v>5595</v>
      </c>
      <c r="N1442" s="50" t="s">
        <v>5595</v>
      </c>
      <c r="O1442" s="56">
        <v>23</v>
      </c>
      <c r="P1442" s="57" t="e">
        <f>VLOOKUP(I1442,#REF!,2,0)</f>
        <v>#REF!</v>
      </c>
      <c r="Q1442" s="58"/>
      <c r="R1442" s="57"/>
      <c r="S1442" s="59"/>
      <c r="T1442" s="57"/>
      <c r="U1442" s="59"/>
      <c r="V1442" s="59"/>
      <c r="W1442" s="60">
        <v>1131</v>
      </c>
      <c r="X1442" s="61"/>
      <c r="Y1442" s="62"/>
      <c r="Z1442" s="62"/>
      <c r="AA1442" s="62"/>
      <c r="AB1442" s="62"/>
      <c r="AC1442" s="62"/>
      <c r="AD1442" s="62"/>
      <c r="AE1442" s="62"/>
      <c r="AF1442" s="62"/>
    </row>
    <row r="1443" ht="31" spans="1:32">
      <c r="A1443" s="16" t="s">
        <v>4174</v>
      </c>
      <c r="B1443" s="17" t="s">
        <v>4175</v>
      </c>
      <c r="C1443" s="30" t="s">
        <v>2522</v>
      </c>
      <c r="D1443" s="19" t="e">
        <f>VLOOKUP(C1443,#REF!,2,0)</f>
        <v>#REF!</v>
      </c>
      <c r="E1443" s="20" t="e">
        <f>VLOOKUP(D1443,数据集标准分类!E:F,2,0)</f>
        <v>#REF!</v>
      </c>
      <c r="F1443" s="21">
        <v>5</v>
      </c>
      <c r="G1443" s="22" t="s">
        <v>2439</v>
      </c>
      <c r="H1443" s="22" t="s">
        <v>2440</v>
      </c>
      <c r="I1443" s="22" t="s">
        <v>6167</v>
      </c>
      <c r="J1443" s="22" t="s">
        <v>2440</v>
      </c>
      <c r="K1443" s="22" t="s">
        <v>2442</v>
      </c>
      <c r="L1443" s="22" t="s">
        <v>2443</v>
      </c>
      <c r="M1443" s="16" t="s">
        <v>5595</v>
      </c>
      <c r="N1443" s="16" t="s">
        <v>5593</v>
      </c>
      <c r="O1443" s="23">
        <v>24</v>
      </c>
      <c r="P1443" s="24" t="e">
        <f>VLOOKUP(I1443,#REF!,2,0)</f>
        <v>#REF!</v>
      </c>
      <c r="Q1443" s="25"/>
      <c r="R1443" s="24"/>
      <c r="S1443" s="26"/>
      <c r="T1443" s="24"/>
      <c r="U1443" s="26"/>
      <c r="V1443" s="26"/>
      <c r="W1443" s="27">
        <v>1132</v>
      </c>
      <c r="X1443" s="28"/>
    </row>
    <row r="1444" ht="46" spans="1:32">
      <c r="A1444" s="50" t="s">
        <v>4174</v>
      </c>
      <c r="B1444" s="51" t="s">
        <v>4175</v>
      </c>
      <c r="C1444" s="52" t="s">
        <v>2522</v>
      </c>
      <c r="D1444" s="53" t="e">
        <f>VLOOKUP(C1444,#REF!,2,0)</f>
        <v>#REF!</v>
      </c>
      <c r="E1444" s="20" t="e">
        <f>VLOOKUP(D1444,数据集标准分类!E:F,2,0)</f>
        <v>#REF!</v>
      </c>
      <c r="F1444" s="54">
        <v>5</v>
      </c>
      <c r="G1444" s="55" t="s">
        <v>2444</v>
      </c>
      <c r="H1444" s="55" t="s">
        <v>2445</v>
      </c>
      <c r="I1444" s="55" t="s">
        <v>6168</v>
      </c>
      <c r="J1444" s="55" t="s">
        <v>2445</v>
      </c>
      <c r="K1444" s="55" t="s">
        <v>2447</v>
      </c>
      <c r="L1444" s="55" t="s">
        <v>2564</v>
      </c>
      <c r="M1444" s="50" t="s">
        <v>5595</v>
      </c>
      <c r="N1444" s="50" t="s">
        <v>5593</v>
      </c>
      <c r="O1444" s="56">
        <v>25</v>
      </c>
      <c r="P1444" s="57" t="e">
        <f>VLOOKUP(I1444,#REF!,2,0)</f>
        <v>#REF!</v>
      </c>
      <c r="Q1444" s="58"/>
      <c r="R1444" s="57"/>
      <c r="S1444" s="59"/>
      <c r="T1444" s="57"/>
      <c r="U1444" s="59"/>
      <c r="V1444" s="59"/>
      <c r="W1444" s="60">
        <v>1133</v>
      </c>
      <c r="X1444" s="61"/>
      <c r="Y1444" s="62"/>
      <c r="Z1444" s="62"/>
      <c r="AA1444" s="62"/>
      <c r="AB1444" s="62"/>
      <c r="AC1444" s="62"/>
      <c r="AD1444" s="62"/>
      <c r="AE1444" s="62"/>
      <c r="AF1444" s="62"/>
    </row>
    <row r="1445" ht="31" spans="1:32">
      <c r="A1445" s="16" t="s">
        <v>4174</v>
      </c>
      <c r="B1445" s="17" t="s">
        <v>4175</v>
      </c>
      <c r="C1445" s="30" t="s">
        <v>2522</v>
      </c>
      <c r="D1445" s="19" t="e">
        <f>VLOOKUP(C1445,#REF!,2,0)</f>
        <v>#REF!</v>
      </c>
      <c r="E1445" s="20" t="e">
        <f>VLOOKUP(D1445,数据集标准分类!E:F,2,0)</f>
        <v>#REF!</v>
      </c>
      <c r="F1445" s="21">
        <v>5</v>
      </c>
      <c r="G1445" s="22" t="s">
        <v>2565</v>
      </c>
      <c r="H1445" s="22" t="s">
        <v>2566</v>
      </c>
      <c r="I1445" s="22" t="s">
        <v>2568</v>
      </c>
      <c r="J1445" s="22" t="s">
        <v>2566</v>
      </c>
      <c r="K1445" s="22" t="s">
        <v>2568</v>
      </c>
      <c r="L1445" s="22" t="s">
        <v>2569</v>
      </c>
      <c r="M1445" s="16" t="s">
        <v>5595</v>
      </c>
      <c r="N1445" s="16" t="s">
        <v>5595</v>
      </c>
      <c r="O1445" s="23">
        <v>26</v>
      </c>
      <c r="P1445" s="24" t="e">
        <f>VLOOKUP(I1445,#REF!,2,0)</f>
        <v>#REF!</v>
      </c>
      <c r="Q1445" s="25"/>
      <c r="R1445" s="24"/>
      <c r="S1445" s="26"/>
      <c r="T1445" s="24"/>
      <c r="U1445" s="26"/>
      <c r="V1445" s="26"/>
      <c r="W1445" s="27">
        <v>1134</v>
      </c>
      <c r="X1445" s="28"/>
    </row>
    <row r="1446" ht="31" spans="1:32">
      <c r="A1446" s="16" t="s">
        <v>4174</v>
      </c>
      <c r="B1446" s="17" t="s">
        <v>4175</v>
      </c>
      <c r="C1446" s="30" t="s">
        <v>2522</v>
      </c>
      <c r="D1446" s="19" t="e">
        <f>VLOOKUP(C1446,#REF!,2,0)</f>
        <v>#REF!</v>
      </c>
      <c r="E1446" s="20" t="e">
        <f>VLOOKUP(D1446,数据集标准分类!E:F,2,0)</f>
        <v>#REF!</v>
      </c>
      <c r="F1446" s="21">
        <v>5</v>
      </c>
      <c r="G1446" s="22" t="s">
        <v>2570</v>
      </c>
      <c r="H1446" s="22" t="s">
        <v>6169</v>
      </c>
      <c r="I1446" s="22" t="s">
        <v>2573</v>
      </c>
      <c r="J1446" s="22" t="s">
        <v>2571</v>
      </c>
      <c r="K1446" s="22" t="s">
        <v>2573</v>
      </c>
      <c r="L1446" s="22" t="s">
        <v>2574</v>
      </c>
      <c r="M1446" s="16" t="s">
        <v>5593</v>
      </c>
      <c r="N1446" s="16" t="s">
        <v>5595</v>
      </c>
      <c r="O1446" s="23">
        <v>27</v>
      </c>
      <c r="P1446" s="24" t="e">
        <f>VLOOKUP(I1446,#REF!,2,0)</f>
        <v>#REF!</v>
      </c>
      <c r="Q1446" s="25"/>
      <c r="R1446" s="24"/>
      <c r="S1446" s="26"/>
      <c r="T1446" s="24"/>
      <c r="U1446" s="26"/>
      <c r="V1446" s="26"/>
      <c r="W1446" s="27">
        <v>1135</v>
      </c>
      <c r="X1446" s="28"/>
    </row>
    <row r="1447" ht="46" spans="1:32">
      <c r="A1447" s="16" t="s">
        <v>4174</v>
      </c>
      <c r="B1447" s="17" t="s">
        <v>4175</v>
      </c>
      <c r="C1447" s="30" t="s">
        <v>2522</v>
      </c>
      <c r="D1447" s="19" t="e">
        <f>VLOOKUP(C1447,#REF!,2,0)</f>
        <v>#REF!</v>
      </c>
      <c r="E1447" s="20" t="e">
        <f>VLOOKUP(D1447,数据集标准分类!E:F,2,0)</f>
        <v>#REF!</v>
      </c>
      <c r="F1447" s="21">
        <v>5</v>
      </c>
      <c r="G1447" s="22" t="s">
        <v>2575</v>
      </c>
      <c r="H1447" s="22" t="s">
        <v>2576</v>
      </c>
      <c r="I1447" s="22" t="s">
        <v>2578</v>
      </c>
      <c r="J1447" s="22" t="s">
        <v>2576</v>
      </c>
      <c r="K1447" s="22" t="s">
        <v>2578</v>
      </c>
      <c r="L1447" s="22" t="s">
        <v>2579</v>
      </c>
      <c r="M1447" s="16" t="s">
        <v>5595</v>
      </c>
      <c r="N1447" s="16" t="s">
        <v>5595</v>
      </c>
      <c r="O1447" s="23">
        <v>28</v>
      </c>
      <c r="P1447" s="24" t="e">
        <f>VLOOKUP(I1447,#REF!,2,0)</f>
        <v>#REF!</v>
      </c>
      <c r="Q1447" s="25"/>
      <c r="R1447" s="24"/>
      <c r="S1447" s="26"/>
      <c r="T1447" s="24"/>
      <c r="U1447" s="26"/>
      <c r="V1447" s="26"/>
      <c r="W1447" s="27">
        <v>1136</v>
      </c>
      <c r="X1447" s="28"/>
    </row>
    <row r="1448" spans="1:32">
      <c r="A1448" s="50" t="s">
        <v>4174</v>
      </c>
      <c r="B1448" s="51" t="s">
        <v>4175</v>
      </c>
      <c r="C1448" s="52" t="s">
        <v>2522</v>
      </c>
      <c r="D1448" s="53" t="e">
        <f>VLOOKUP(C1448,#REF!,2,0)</f>
        <v>#REF!</v>
      </c>
      <c r="E1448" s="20" t="e">
        <f>VLOOKUP(D1448,数据集标准分类!E:F,2,0)</f>
        <v>#REF!</v>
      </c>
      <c r="F1448" s="54">
        <v>5</v>
      </c>
      <c r="G1448" s="55" t="s">
        <v>1298</v>
      </c>
      <c r="H1448" s="55" t="s">
        <v>1299</v>
      </c>
      <c r="I1448" s="55" t="s">
        <v>1301</v>
      </c>
      <c r="J1448" s="55" t="s">
        <v>1299</v>
      </c>
      <c r="K1448" s="55" t="s">
        <v>1301</v>
      </c>
      <c r="L1448" s="55" t="s">
        <v>2580</v>
      </c>
      <c r="M1448" s="50" t="s">
        <v>5595</v>
      </c>
      <c r="N1448" s="50" t="s">
        <v>5595</v>
      </c>
      <c r="O1448" s="56">
        <v>29</v>
      </c>
      <c r="P1448" s="57" t="e">
        <f>VLOOKUP(I1448,#REF!,2,0)</f>
        <v>#REF!</v>
      </c>
      <c r="Q1448" s="58"/>
      <c r="R1448" s="57"/>
      <c r="S1448" s="59"/>
      <c r="T1448" s="57"/>
      <c r="U1448" s="59"/>
      <c r="V1448" s="59"/>
      <c r="W1448" s="60">
        <v>1137</v>
      </c>
      <c r="X1448" s="61"/>
      <c r="Y1448" s="62"/>
      <c r="Z1448" s="62"/>
      <c r="AA1448" s="62"/>
      <c r="AB1448" s="62"/>
      <c r="AC1448" s="62"/>
      <c r="AD1448" s="62"/>
      <c r="AE1448" s="62"/>
      <c r="AF1448" s="62"/>
    </row>
    <row r="1449" ht="31" spans="1:32">
      <c r="A1449" s="50" t="s">
        <v>4174</v>
      </c>
      <c r="B1449" s="51" t="s">
        <v>4175</v>
      </c>
      <c r="C1449" s="52" t="s">
        <v>2522</v>
      </c>
      <c r="D1449" s="53" t="e">
        <f>VLOOKUP(C1449,#REF!,2,0)</f>
        <v>#REF!</v>
      </c>
      <c r="E1449" s="20" t="e">
        <f>VLOOKUP(D1449,数据集标准分类!E:F,2,0)</f>
        <v>#REF!</v>
      </c>
      <c r="F1449" s="54">
        <v>5</v>
      </c>
      <c r="G1449" s="55" t="s">
        <v>1293</v>
      </c>
      <c r="H1449" s="55" t="s">
        <v>1294</v>
      </c>
      <c r="I1449" s="55" t="s">
        <v>1296</v>
      </c>
      <c r="J1449" s="55" t="s">
        <v>1294</v>
      </c>
      <c r="K1449" s="55" t="s">
        <v>1296</v>
      </c>
      <c r="L1449" s="55" t="s">
        <v>2581</v>
      </c>
      <c r="M1449" s="50" t="s">
        <v>5595</v>
      </c>
      <c r="N1449" s="50" t="s">
        <v>5595</v>
      </c>
      <c r="O1449" s="56">
        <v>30</v>
      </c>
      <c r="P1449" s="57" t="e">
        <f>VLOOKUP(I1449,#REF!,2,0)</f>
        <v>#REF!</v>
      </c>
      <c r="Q1449" s="58"/>
      <c r="R1449" s="57"/>
      <c r="S1449" s="59"/>
      <c r="T1449" s="57"/>
      <c r="U1449" s="59"/>
      <c r="V1449" s="59"/>
      <c r="W1449" s="60">
        <v>1138</v>
      </c>
      <c r="X1449" s="61"/>
      <c r="Y1449" s="62"/>
      <c r="Z1449" s="62"/>
      <c r="AA1449" s="62"/>
      <c r="AB1449" s="62"/>
      <c r="AC1449" s="62"/>
      <c r="AD1449" s="62"/>
      <c r="AE1449" s="62"/>
      <c r="AF1449" s="62"/>
    </row>
    <row r="1450" ht="31" spans="1:32">
      <c r="A1450" s="50" t="s">
        <v>4174</v>
      </c>
      <c r="B1450" s="51" t="s">
        <v>4175</v>
      </c>
      <c r="C1450" s="52" t="s">
        <v>2522</v>
      </c>
      <c r="D1450" s="53" t="e">
        <f>VLOOKUP(C1450,#REF!,2,0)</f>
        <v>#REF!</v>
      </c>
      <c r="E1450" s="20" t="e">
        <f>VLOOKUP(D1450,数据集标准分类!E:F,2,0)</f>
        <v>#REF!</v>
      </c>
      <c r="F1450" s="54">
        <v>5</v>
      </c>
      <c r="G1450" s="55" t="s">
        <v>2466</v>
      </c>
      <c r="H1450" s="55" t="s">
        <v>6170</v>
      </c>
      <c r="I1450" s="55" t="s">
        <v>2469</v>
      </c>
      <c r="J1450" s="55" t="s">
        <v>2467</v>
      </c>
      <c r="K1450" s="55" t="s">
        <v>2469</v>
      </c>
      <c r="L1450" s="55" t="s">
        <v>2582</v>
      </c>
      <c r="M1450" s="50" t="s">
        <v>5593</v>
      </c>
      <c r="N1450" s="50" t="s">
        <v>5595</v>
      </c>
      <c r="O1450" s="56">
        <v>31</v>
      </c>
      <c r="P1450" s="57" t="e">
        <f>VLOOKUP(I1450,#REF!,2,0)</f>
        <v>#REF!</v>
      </c>
      <c r="Q1450" s="58"/>
      <c r="R1450" s="57"/>
      <c r="S1450" s="59"/>
      <c r="T1450" s="57"/>
      <c r="U1450" s="59"/>
      <c r="V1450" s="59"/>
      <c r="W1450" s="60">
        <v>1139</v>
      </c>
      <c r="X1450" s="61"/>
      <c r="Y1450" s="62"/>
      <c r="Z1450" s="62"/>
      <c r="AA1450" s="62"/>
      <c r="AB1450" s="62"/>
      <c r="AC1450" s="62"/>
      <c r="AD1450" s="62"/>
      <c r="AE1450" s="62"/>
      <c r="AF1450" s="62"/>
    </row>
    <row r="1451" ht="31" spans="1:32">
      <c r="A1451" s="16" t="s">
        <v>4174</v>
      </c>
      <c r="B1451" s="17" t="s">
        <v>4175</v>
      </c>
      <c r="C1451" s="30" t="s">
        <v>2522</v>
      </c>
      <c r="D1451" s="19" t="e">
        <f>VLOOKUP(C1451,#REF!,2,0)</f>
        <v>#REF!</v>
      </c>
      <c r="E1451" s="20" t="e">
        <f>VLOOKUP(D1451,数据集标准分类!E:F,2,0)</f>
        <v>#REF!</v>
      </c>
      <c r="F1451" s="21">
        <v>5</v>
      </c>
      <c r="G1451" s="22" t="s">
        <v>2583</v>
      </c>
      <c r="H1451" s="22" t="s">
        <v>2584</v>
      </c>
      <c r="I1451" s="22" t="s">
        <v>2586</v>
      </c>
      <c r="J1451" s="22" t="s">
        <v>2584</v>
      </c>
      <c r="K1451" s="22" t="s">
        <v>2586</v>
      </c>
      <c r="L1451" s="22" t="s">
        <v>2587</v>
      </c>
      <c r="M1451" s="16" t="s">
        <v>5595</v>
      </c>
      <c r="N1451" s="16" t="s">
        <v>5595</v>
      </c>
      <c r="O1451" s="23">
        <v>32</v>
      </c>
      <c r="P1451" s="24" t="e">
        <f>VLOOKUP(I1451,#REF!,2,0)</f>
        <v>#REF!</v>
      </c>
      <c r="Q1451" s="25"/>
      <c r="R1451" s="24"/>
      <c r="S1451" s="26"/>
      <c r="T1451" s="24"/>
      <c r="U1451" s="26"/>
      <c r="V1451" s="26"/>
      <c r="W1451" s="27">
        <v>1140</v>
      </c>
      <c r="X1451" s="28"/>
    </row>
    <row r="1452" ht="31" spans="1:32">
      <c r="A1452" s="50" t="s">
        <v>4174</v>
      </c>
      <c r="B1452" s="51" t="s">
        <v>4175</v>
      </c>
      <c r="C1452" s="52" t="s">
        <v>2522</v>
      </c>
      <c r="D1452" s="53" t="e">
        <f>VLOOKUP(C1452,#REF!,2,0)</f>
        <v>#REF!</v>
      </c>
      <c r="E1452" s="20" t="e">
        <f>VLOOKUP(D1452,数据集标准分类!E:F,2,0)</f>
        <v>#REF!</v>
      </c>
      <c r="F1452" s="54">
        <v>5</v>
      </c>
      <c r="G1452" s="55" t="s">
        <v>2588</v>
      </c>
      <c r="H1452" s="55" t="s">
        <v>6171</v>
      </c>
      <c r="I1452" s="55" t="s">
        <v>2591</v>
      </c>
      <c r="J1452" s="55" t="s">
        <v>2589</v>
      </c>
      <c r="K1452" s="55" t="s">
        <v>2591</v>
      </c>
      <c r="L1452" s="55" t="s">
        <v>2592</v>
      </c>
      <c r="M1452" s="50" t="s">
        <v>5593</v>
      </c>
      <c r="N1452" s="50" t="s">
        <v>5595</v>
      </c>
      <c r="O1452" s="56">
        <v>33</v>
      </c>
      <c r="P1452" s="57" t="e">
        <f>VLOOKUP(I1452,#REF!,2,0)</f>
        <v>#REF!</v>
      </c>
      <c r="Q1452" s="58"/>
      <c r="R1452" s="57"/>
      <c r="S1452" s="59"/>
      <c r="T1452" s="57"/>
      <c r="U1452" s="59"/>
      <c r="V1452" s="59"/>
      <c r="W1452" s="60">
        <v>1141</v>
      </c>
      <c r="X1452" s="61"/>
      <c r="Y1452" s="62"/>
      <c r="Z1452" s="62"/>
      <c r="AA1452" s="62"/>
      <c r="AB1452" s="62"/>
      <c r="AC1452" s="62"/>
      <c r="AD1452" s="62"/>
      <c r="AE1452" s="62"/>
      <c r="AF1452" s="62"/>
    </row>
    <row r="1453" ht="31" spans="1:32">
      <c r="A1453" s="50" t="s">
        <v>4174</v>
      </c>
      <c r="B1453" s="51" t="s">
        <v>4175</v>
      </c>
      <c r="C1453" s="52" t="s">
        <v>2522</v>
      </c>
      <c r="D1453" s="53" t="e">
        <f>VLOOKUP(C1453,#REF!,2,0)</f>
        <v>#REF!</v>
      </c>
      <c r="E1453" s="20" t="e">
        <f>VLOOKUP(D1453,数据集标准分类!E:F,2,0)</f>
        <v>#REF!</v>
      </c>
      <c r="F1453" s="54">
        <v>5</v>
      </c>
      <c r="G1453" s="55" t="s">
        <v>2593</v>
      </c>
      <c r="H1453" s="55" t="s">
        <v>6172</v>
      </c>
      <c r="I1453" s="55" t="s">
        <v>2596</v>
      </c>
      <c r="J1453" s="55" t="s">
        <v>2594</v>
      </c>
      <c r="K1453" s="55" t="s">
        <v>2596</v>
      </c>
      <c r="L1453" s="55" t="s">
        <v>2597</v>
      </c>
      <c r="M1453" s="50" t="s">
        <v>5593</v>
      </c>
      <c r="N1453" s="50" t="s">
        <v>5595</v>
      </c>
      <c r="O1453" s="56">
        <v>34</v>
      </c>
      <c r="P1453" s="57" t="e">
        <f>VLOOKUP(I1453,#REF!,2,0)</f>
        <v>#REF!</v>
      </c>
      <c r="Q1453" s="58"/>
      <c r="R1453" s="57"/>
      <c r="S1453" s="59"/>
      <c r="T1453" s="57"/>
      <c r="U1453" s="59"/>
      <c r="V1453" s="59"/>
      <c r="W1453" s="60">
        <v>1142</v>
      </c>
      <c r="X1453" s="61"/>
      <c r="Y1453" s="62"/>
      <c r="Z1453" s="62"/>
      <c r="AA1453" s="62"/>
      <c r="AB1453" s="62"/>
      <c r="AC1453" s="62"/>
      <c r="AD1453" s="62"/>
      <c r="AE1453" s="62"/>
      <c r="AF1453" s="62"/>
    </row>
    <row r="1454" ht="14.4" customHeight="1" spans="1:32">
      <c r="A1454" s="16" t="s">
        <v>4174</v>
      </c>
      <c r="B1454" s="17" t="s">
        <v>4175</v>
      </c>
      <c r="C1454" s="30" t="s">
        <v>2522</v>
      </c>
      <c r="D1454" s="19" t="e">
        <f>VLOOKUP(C1454,#REF!,2,0)</f>
        <v>#REF!</v>
      </c>
      <c r="E1454" s="20" t="e">
        <f>VLOOKUP(D1454,数据集标准分类!E:F,2,0)</f>
        <v>#REF!</v>
      </c>
      <c r="F1454" s="21">
        <v>5</v>
      </c>
      <c r="G1454" s="22" t="s">
        <v>2598</v>
      </c>
      <c r="H1454" s="22" t="s">
        <v>2599</v>
      </c>
      <c r="I1454" s="22" t="s">
        <v>2601</v>
      </c>
      <c r="J1454" s="22" t="s">
        <v>2599</v>
      </c>
      <c r="K1454" s="22" t="s">
        <v>2601</v>
      </c>
      <c r="L1454" s="22" t="s">
        <v>2602</v>
      </c>
      <c r="M1454" s="16" t="s">
        <v>5595</v>
      </c>
      <c r="N1454" s="16" t="s">
        <v>5595</v>
      </c>
      <c r="O1454" s="23">
        <v>35</v>
      </c>
      <c r="P1454" s="24" t="e">
        <f>VLOOKUP(I1454,#REF!,2,0)</f>
        <v>#REF!</v>
      </c>
      <c r="Q1454" s="25"/>
      <c r="R1454" s="24"/>
      <c r="S1454" s="26"/>
      <c r="T1454" s="24"/>
      <c r="U1454" s="26"/>
      <c r="V1454" s="26"/>
      <c r="W1454" s="27">
        <v>1143</v>
      </c>
      <c r="X1454" s="28"/>
    </row>
    <row r="1455" ht="31" spans="1:32">
      <c r="A1455" s="16" t="s">
        <v>4174</v>
      </c>
      <c r="B1455" s="17" t="s">
        <v>4175</v>
      </c>
      <c r="C1455" s="30" t="s">
        <v>2522</v>
      </c>
      <c r="D1455" s="19" t="e">
        <f>VLOOKUP(C1455,#REF!,2,0)</f>
        <v>#REF!</v>
      </c>
      <c r="E1455" s="20" t="e">
        <f>VLOOKUP(D1455,数据集标准分类!E:F,2,0)</f>
        <v>#REF!</v>
      </c>
      <c r="F1455" s="21">
        <v>5</v>
      </c>
      <c r="G1455" s="231" t="s">
        <v>2603</v>
      </c>
      <c r="H1455" s="231" t="s">
        <v>2604</v>
      </c>
      <c r="I1455" s="231" t="s">
        <v>2606</v>
      </c>
      <c r="J1455" s="231" t="s">
        <v>2604</v>
      </c>
      <c r="K1455" s="231" t="s">
        <v>2606</v>
      </c>
      <c r="L1455" s="22" t="s">
        <v>2607</v>
      </c>
      <c r="M1455" s="16" t="s">
        <v>5595</v>
      </c>
      <c r="N1455" s="16" t="s">
        <v>5595</v>
      </c>
      <c r="O1455" s="23">
        <v>36</v>
      </c>
      <c r="P1455" s="24" t="e">
        <f>VLOOKUP(I1455,#REF!,2,0)</f>
        <v>#REF!</v>
      </c>
      <c r="Q1455" s="25"/>
      <c r="R1455" s="24"/>
      <c r="S1455" s="26"/>
      <c r="T1455" s="24"/>
      <c r="U1455" s="26"/>
      <c r="V1455" s="26"/>
      <c r="W1455" s="27">
        <v>1144</v>
      </c>
      <c r="X1455" s="28"/>
    </row>
    <row r="1456" spans="1:32">
      <c r="A1456" s="149" t="s">
        <v>4174</v>
      </c>
      <c r="B1456" s="149" t="s">
        <v>4175</v>
      </c>
      <c r="C1456" s="146" t="s">
        <v>2522</v>
      </c>
      <c r="D1456" s="109" t="s">
        <v>2558</v>
      </c>
      <c r="E1456" s="101" t="s">
        <v>2552</v>
      </c>
      <c r="F1456" s="181" t="s">
        <v>3370</v>
      </c>
      <c r="G1456" s="171" t="s">
        <v>2608</v>
      </c>
      <c r="H1456" s="171" t="s">
        <v>2609</v>
      </c>
      <c r="I1456" s="171" t="s">
        <v>6173</v>
      </c>
      <c r="J1456" s="171" t="s">
        <v>2609</v>
      </c>
      <c r="K1456" s="171" t="s">
        <v>2611</v>
      </c>
      <c r="L1456" s="232"/>
      <c r="M1456" s="16"/>
      <c r="N1456" s="16"/>
      <c r="O1456" s="23">
        <v>37</v>
      </c>
      <c r="P1456" s="24"/>
      <c r="Q1456" s="25"/>
      <c r="R1456" s="24"/>
      <c r="S1456" s="26"/>
      <c r="T1456" s="24"/>
      <c r="U1456" s="26"/>
      <c r="V1456" s="26"/>
      <c r="W1456" s="27"/>
      <c r="X1456" s="28"/>
    </row>
    <row r="1457" spans="1:32">
      <c r="A1457" s="149" t="s">
        <v>4174</v>
      </c>
      <c r="B1457" s="149" t="s">
        <v>4175</v>
      </c>
      <c r="C1457" s="146" t="s">
        <v>2522</v>
      </c>
      <c r="D1457" s="109" t="s">
        <v>2558</v>
      </c>
      <c r="E1457" s="101" t="s">
        <v>2552</v>
      </c>
      <c r="F1457" s="181" t="s">
        <v>3370</v>
      </c>
      <c r="G1457" s="171" t="s">
        <v>2612</v>
      </c>
      <c r="H1457" s="171" t="s">
        <v>2613</v>
      </c>
      <c r="I1457" s="171" t="s">
        <v>6174</v>
      </c>
      <c r="J1457" s="171" t="s">
        <v>2613</v>
      </c>
      <c r="K1457" s="171" t="s">
        <v>2615</v>
      </c>
      <c r="L1457" s="232"/>
      <c r="M1457" s="16"/>
      <c r="N1457" s="16"/>
      <c r="O1457" s="23">
        <v>38</v>
      </c>
      <c r="P1457" s="24"/>
      <c r="Q1457" s="25"/>
      <c r="R1457" s="24"/>
      <c r="S1457" s="26"/>
      <c r="T1457" s="24"/>
      <c r="U1457" s="26"/>
      <c r="V1457" s="26"/>
      <c r="W1457" s="27"/>
      <c r="X1457" s="28"/>
    </row>
    <row r="1458" spans="1:32">
      <c r="A1458" s="183" t="s">
        <v>4174</v>
      </c>
      <c r="B1458" s="183" t="s">
        <v>4175</v>
      </c>
      <c r="C1458" s="146" t="s">
        <v>2522</v>
      </c>
      <c r="D1458" s="109" t="s">
        <v>2558</v>
      </c>
      <c r="E1458" s="109" t="s">
        <v>2552</v>
      </c>
      <c r="F1458" s="181" t="s">
        <v>3370</v>
      </c>
      <c r="G1458" s="171" t="s">
        <v>2616</v>
      </c>
      <c r="H1458" s="171" t="s">
        <v>2617</v>
      </c>
      <c r="I1458" s="171" t="s">
        <v>2619</v>
      </c>
      <c r="J1458" s="171" t="s">
        <v>2617</v>
      </c>
      <c r="K1458" s="171" t="s">
        <v>2619</v>
      </c>
      <c r="L1458" s="232"/>
      <c r="M1458" s="16"/>
      <c r="N1458" s="16"/>
      <c r="O1458" s="23">
        <v>39</v>
      </c>
      <c r="P1458" s="24"/>
      <c r="Q1458" s="25"/>
      <c r="R1458" s="24"/>
      <c r="S1458" s="26"/>
      <c r="T1458" s="24"/>
      <c r="U1458" s="26"/>
      <c r="V1458" s="26"/>
      <c r="W1458" s="27"/>
      <c r="X1458" s="28"/>
    </row>
    <row r="1459" spans="1:32">
      <c r="A1459" s="149" t="s">
        <v>4174</v>
      </c>
      <c r="B1459" s="149" t="s">
        <v>4175</v>
      </c>
      <c r="C1459" s="146" t="s">
        <v>2522</v>
      </c>
      <c r="D1459" s="109" t="s">
        <v>2558</v>
      </c>
      <c r="E1459" s="101" t="s">
        <v>2552</v>
      </c>
      <c r="F1459" s="181" t="s">
        <v>3370</v>
      </c>
      <c r="G1459" s="171" t="s">
        <v>2620</v>
      </c>
      <c r="H1459" s="171" t="s">
        <v>2621</v>
      </c>
      <c r="I1459" s="171" t="s">
        <v>2623</v>
      </c>
      <c r="J1459" s="171" t="s">
        <v>2621</v>
      </c>
      <c r="K1459" s="171" t="s">
        <v>2623</v>
      </c>
      <c r="L1459" s="232"/>
      <c r="M1459" s="16"/>
      <c r="N1459" s="16"/>
      <c r="O1459" s="23">
        <v>40</v>
      </c>
      <c r="P1459" s="24"/>
      <c r="Q1459" s="25"/>
      <c r="R1459" s="24"/>
      <c r="S1459" s="26"/>
      <c r="T1459" s="24"/>
      <c r="U1459" s="26"/>
      <c r="V1459" s="26"/>
      <c r="W1459" s="27"/>
      <c r="X1459" s="28"/>
    </row>
    <row r="1460" spans="1:32">
      <c r="A1460" s="183" t="s">
        <v>4174</v>
      </c>
      <c r="B1460" s="183" t="s">
        <v>4175</v>
      </c>
      <c r="C1460" s="146" t="s">
        <v>2522</v>
      </c>
      <c r="D1460" s="109" t="s">
        <v>2558</v>
      </c>
      <c r="E1460" s="109" t="s">
        <v>2552</v>
      </c>
      <c r="F1460" s="181" t="s">
        <v>3370</v>
      </c>
      <c r="G1460" s="171" t="s">
        <v>2506</v>
      </c>
      <c r="H1460" s="171" t="s">
        <v>2507</v>
      </c>
      <c r="I1460" s="171" t="s">
        <v>2509</v>
      </c>
      <c r="J1460" s="171" t="s">
        <v>2507</v>
      </c>
      <c r="K1460" s="171" t="s">
        <v>2624</v>
      </c>
      <c r="L1460" s="232"/>
      <c r="M1460" s="16"/>
      <c r="N1460" s="16"/>
      <c r="O1460" s="23">
        <v>41</v>
      </c>
      <c r="P1460" s="24"/>
      <c r="Q1460" s="25"/>
      <c r="R1460" s="24"/>
      <c r="S1460" s="26"/>
      <c r="T1460" s="24"/>
      <c r="U1460" s="26"/>
      <c r="V1460" s="26"/>
      <c r="W1460" s="27"/>
      <c r="X1460" s="28"/>
    </row>
    <row r="1461" spans="1:32">
      <c r="A1461" s="16" t="s">
        <v>4174</v>
      </c>
      <c r="B1461" s="17" t="s">
        <v>4175</v>
      </c>
      <c r="C1461" s="30" t="s">
        <v>2417</v>
      </c>
      <c r="D1461" s="19" t="e">
        <f>VLOOKUP(C1461,#REF!,2,0)</f>
        <v>#REF!</v>
      </c>
      <c r="E1461" s="20" t="e">
        <f>VLOOKUP(D1461,数据集标准分类!E:F,2,0)</f>
        <v>#REF!</v>
      </c>
      <c r="F1461" s="21">
        <v>6</v>
      </c>
      <c r="G1461" s="22" t="s">
        <v>137</v>
      </c>
      <c r="H1461" s="22" t="s">
        <v>138</v>
      </c>
      <c r="I1461" s="22" t="s">
        <v>140</v>
      </c>
      <c r="J1461" s="22" t="s">
        <v>138</v>
      </c>
      <c r="K1461" s="22" t="s">
        <v>140</v>
      </c>
      <c r="L1461" s="22" t="s">
        <v>141</v>
      </c>
      <c r="M1461" s="16" t="s">
        <v>5595</v>
      </c>
      <c r="N1461" s="16" t="s">
        <v>5595</v>
      </c>
      <c r="O1461" s="23">
        <v>1</v>
      </c>
      <c r="P1461" s="24" t="e">
        <f>VLOOKUP(I1461,#REF!,2,0)</f>
        <v>#REF!</v>
      </c>
      <c r="Q1461" s="25"/>
      <c r="R1461" s="24"/>
      <c r="S1461" s="26"/>
      <c r="T1461" s="24"/>
      <c r="U1461" s="26"/>
      <c r="V1461" s="26"/>
      <c r="W1461" s="27">
        <v>1145</v>
      </c>
      <c r="X1461" s="28"/>
    </row>
    <row r="1462" ht="31" spans="1:32">
      <c r="A1462" s="16" t="s">
        <v>4174</v>
      </c>
      <c r="B1462" s="17" t="s">
        <v>4175</v>
      </c>
      <c r="C1462" s="30" t="s">
        <v>2417</v>
      </c>
      <c r="D1462" s="19" t="e">
        <f>VLOOKUP(C1462,#REF!,2,0)</f>
        <v>#REF!</v>
      </c>
      <c r="E1462" s="20" t="e">
        <f>VLOOKUP(D1462,数据集标准分类!E:F,2,0)</f>
        <v>#REF!</v>
      </c>
      <c r="F1462" s="21">
        <v>6</v>
      </c>
      <c r="G1462" s="22" t="s">
        <v>172</v>
      </c>
      <c r="H1462" s="22" t="s">
        <v>5639</v>
      </c>
      <c r="I1462" s="22" t="s">
        <v>5640</v>
      </c>
      <c r="J1462" s="22" t="s">
        <v>173</v>
      </c>
      <c r="K1462" s="22" t="s">
        <v>175</v>
      </c>
      <c r="L1462" s="22" t="s">
        <v>1245</v>
      </c>
      <c r="M1462" s="16" t="s">
        <v>5593</v>
      </c>
      <c r="N1462" s="16" t="s">
        <v>5593</v>
      </c>
      <c r="O1462" s="23">
        <v>2</v>
      </c>
      <c r="P1462" s="24" t="e">
        <f>VLOOKUP(I1462,#REF!,2,0)</f>
        <v>#REF!</v>
      </c>
      <c r="Q1462" s="25"/>
      <c r="R1462" s="24"/>
      <c r="S1462" s="26"/>
      <c r="T1462" s="24"/>
      <c r="U1462" s="26"/>
      <c r="V1462" s="26"/>
      <c r="W1462" s="27">
        <v>1146</v>
      </c>
      <c r="X1462" s="28"/>
    </row>
    <row r="1463" ht="31" spans="1:32">
      <c r="A1463" s="50" t="s">
        <v>4174</v>
      </c>
      <c r="B1463" s="51">
        <v>2</v>
      </c>
      <c r="C1463" s="52" t="s">
        <v>2417</v>
      </c>
      <c r="D1463" s="53" t="e">
        <f>VLOOKUP(C1463,#REF!,2,0)</f>
        <v>#REF!</v>
      </c>
      <c r="E1463" s="20" t="e">
        <f>VLOOKUP(D1463,数据集标准分类!E:F,2,0)</f>
        <v>#REF!</v>
      </c>
      <c r="F1463" s="54">
        <v>6</v>
      </c>
      <c r="G1463" s="55" t="s">
        <v>2419</v>
      </c>
      <c r="H1463" s="55" t="s">
        <v>6175</v>
      </c>
      <c r="I1463" s="55" t="s">
        <v>2422</v>
      </c>
      <c r="J1463" s="55" t="s">
        <v>2420</v>
      </c>
      <c r="K1463" s="55" t="s">
        <v>2422</v>
      </c>
      <c r="L1463" s="55" t="s">
        <v>2423</v>
      </c>
      <c r="M1463" s="50" t="s">
        <v>5593</v>
      </c>
      <c r="N1463" s="50" t="s">
        <v>5595</v>
      </c>
      <c r="O1463" s="56">
        <v>3</v>
      </c>
      <c r="P1463" s="57" t="e">
        <f>VLOOKUP(I1463,#REF!,2,0)</f>
        <v>#REF!</v>
      </c>
      <c r="Q1463" s="58"/>
      <c r="R1463" s="57"/>
      <c r="S1463" s="59"/>
      <c r="T1463" s="57"/>
      <c r="U1463" s="59"/>
      <c r="V1463" s="59"/>
      <c r="W1463" s="60">
        <v>1147</v>
      </c>
      <c r="X1463" s="61"/>
      <c r="Y1463" s="62"/>
      <c r="Z1463" s="62"/>
      <c r="AA1463" s="62"/>
      <c r="AB1463" s="62"/>
      <c r="AC1463" s="62"/>
      <c r="AD1463" s="62"/>
      <c r="AE1463" s="62"/>
      <c r="AF1463" s="62"/>
    </row>
    <row r="1464" ht="46" spans="1:32">
      <c r="A1464" s="50" t="s">
        <v>4174</v>
      </c>
      <c r="B1464" s="51" t="s">
        <v>4175</v>
      </c>
      <c r="C1464" s="52" t="s">
        <v>2417</v>
      </c>
      <c r="D1464" s="53" t="e">
        <f>VLOOKUP(C1464,#REF!,2,0)</f>
        <v>#REF!</v>
      </c>
      <c r="E1464" s="20" t="e">
        <f>VLOOKUP(D1464,数据集标准分类!E:F,2,0)</f>
        <v>#REF!</v>
      </c>
      <c r="F1464" s="54">
        <v>6</v>
      </c>
      <c r="G1464" s="55" t="s">
        <v>1463</v>
      </c>
      <c r="H1464" s="55" t="s">
        <v>6153</v>
      </c>
      <c r="I1464" s="55" t="s">
        <v>1466</v>
      </c>
      <c r="J1464" s="55" t="s">
        <v>1464</v>
      </c>
      <c r="K1464" s="55" t="s">
        <v>1466</v>
      </c>
      <c r="L1464" s="55" t="s">
        <v>1467</v>
      </c>
      <c r="M1464" s="50" t="s">
        <v>5593</v>
      </c>
      <c r="N1464" s="50" t="s">
        <v>5595</v>
      </c>
      <c r="O1464" s="56">
        <v>4</v>
      </c>
      <c r="P1464" s="57" t="e">
        <f>VLOOKUP(I1464,#REF!,2,0)</f>
        <v>#REF!</v>
      </c>
      <c r="Q1464" s="58"/>
      <c r="R1464" s="57"/>
      <c r="S1464" s="59"/>
      <c r="T1464" s="57"/>
      <c r="U1464" s="59"/>
      <c r="V1464" s="59"/>
      <c r="W1464" s="60">
        <v>1148</v>
      </c>
      <c r="X1464" s="61"/>
      <c r="Y1464" s="62"/>
      <c r="Z1464" s="62"/>
      <c r="AA1464" s="62"/>
      <c r="AB1464" s="62"/>
      <c r="AC1464" s="62"/>
      <c r="AD1464" s="62"/>
      <c r="AE1464" s="62"/>
      <c r="AF1464" s="62"/>
    </row>
    <row r="1465" spans="1:32">
      <c r="A1465" s="50" t="s">
        <v>4174</v>
      </c>
      <c r="B1465" s="51" t="s">
        <v>4175</v>
      </c>
      <c r="C1465" s="52" t="s">
        <v>2417</v>
      </c>
      <c r="D1465" s="53" t="e">
        <f>VLOOKUP(C1465,#REF!,2,0)</f>
        <v>#REF!</v>
      </c>
      <c r="E1465" s="20" t="e">
        <f>VLOOKUP(D1465,数据集标准分类!E:F,2,0)</f>
        <v>#REF!</v>
      </c>
      <c r="F1465" s="54">
        <v>6</v>
      </c>
      <c r="G1465" s="55" t="s">
        <v>2424</v>
      </c>
      <c r="H1465" s="55" t="s">
        <v>6165</v>
      </c>
      <c r="I1465" s="55" t="s">
        <v>2427</v>
      </c>
      <c r="J1465" s="55" t="s">
        <v>2425</v>
      </c>
      <c r="K1465" s="55" t="s">
        <v>2427</v>
      </c>
      <c r="L1465" s="55" t="s">
        <v>2428</v>
      </c>
      <c r="M1465" s="50" t="s">
        <v>5593</v>
      </c>
      <c r="N1465" s="50" t="s">
        <v>5595</v>
      </c>
      <c r="O1465" s="56">
        <v>5</v>
      </c>
      <c r="P1465" s="57" t="e">
        <f>VLOOKUP(I1465,#REF!,2,0)</f>
        <v>#REF!</v>
      </c>
      <c r="Q1465" s="58"/>
      <c r="R1465" s="57"/>
      <c r="S1465" s="59"/>
      <c r="T1465" s="57"/>
      <c r="U1465" s="59"/>
      <c r="V1465" s="59"/>
      <c r="W1465" s="60">
        <v>1149</v>
      </c>
      <c r="X1465" s="61"/>
      <c r="Y1465" s="62"/>
      <c r="Z1465" s="62"/>
      <c r="AA1465" s="62"/>
      <c r="AB1465" s="62"/>
      <c r="AC1465" s="62"/>
      <c r="AD1465" s="62"/>
      <c r="AE1465" s="62"/>
      <c r="AF1465" s="62"/>
    </row>
    <row r="1466" ht="31" spans="1:32">
      <c r="A1466" s="16" t="s">
        <v>4174</v>
      </c>
      <c r="B1466" s="17" t="s">
        <v>4175</v>
      </c>
      <c r="C1466" s="30" t="s">
        <v>2417</v>
      </c>
      <c r="D1466" s="19" t="e">
        <f>VLOOKUP(C1466,#REF!,2,0)</f>
        <v>#REF!</v>
      </c>
      <c r="E1466" s="20" t="e">
        <f>VLOOKUP(D1466,数据集标准分类!E:F,2,0)</f>
        <v>#REF!</v>
      </c>
      <c r="F1466" s="21">
        <v>6</v>
      </c>
      <c r="G1466" s="22" t="s">
        <v>2429</v>
      </c>
      <c r="H1466" s="22" t="s">
        <v>2430</v>
      </c>
      <c r="I1466" s="22" t="s">
        <v>2432</v>
      </c>
      <c r="J1466" s="22" t="s">
        <v>2430</v>
      </c>
      <c r="K1466" s="22" t="s">
        <v>2432</v>
      </c>
      <c r="L1466" s="22" t="s">
        <v>2433</v>
      </c>
      <c r="M1466" s="16" t="s">
        <v>5595</v>
      </c>
      <c r="N1466" s="16" t="s">
        <v>5595</v>
      </c>
      <c r="O1466" s="23">
        <v>6</v>
      </c>
      <c r="P1466" s="24" t="e">
        <f>VLOOKUP(I1466,#REF!,2,0)</f>
        <v>#REF!</v>
      </c>
      <c r="Q1466" s="25"/>
      <c r="R1466" s="24"/>
      <c r="S1466" s="26"/>
      <c r="T1466" s="24"/>
      <c r="U1466" s="26"/>
      <c r="V1466" s="26"/>
      <c r="W1466" s="27">
        <v>1150</v>
      </c>
      <c r="X1466" s="28"/>
    </row>
    <row r="1467" spans="1:32">
      <c r="A1467" s="16" t="s">
        <v>4174</v>
      </c>
      <c r="B1467" s="17" t="s">
        <v>4175</v>
      </c>
      <c r="C1467" s="30" t="s">
        <v>2417</v>
      </c>
      <c r="D1467" s="19" t="e">
        <f>VLOOKUP(C1467,#REF!,2,0)</f>
        <v>#REF!</v>
      </c>
      <c r="E1467" s="20" t="e">
        <f>VLOOKUP(D1467,数据集标准分类!E:F,2,0)</f>
        <v>#REF!</v>
      </c>
      <c r="F1467" s="21">
        <v>6</v>
      </c>
      <c r="G1467" s="22" t="s">
        <v>2434</v>
      </c>
      <c r="H1467" s="22" t="s">
        <v>6166</v>
      </c>
      <c r="I1467" s="22" t="s">
        <v>2437</v>
      </c>
      <c r="J1467" s="22" t="s">
        <v>2435</v>
      </c>
      <c r="K1467" s="22" t="s">
        <v>2437</v>
      </c>
      <c r="L1467" s="22" t="s">
        <v>2438</v>
      </c>
      <c r="M1467" s="16" t="s">
        <v>5593</v>
      </c>
      <c r="N1467" s="16" t="s">
        <v>5595</v>
      </c>
      <c r="O1467" s="23">
        <v>7</v>
      </c>
      <c r="P1467" s="24" t="e">
        <f>VLOOKUP(I1467,#REF!,2,0)</f>
        <v>#REF!</v>
      </c>
      <c r="Q1467" s="25"/>
      <c r="R1467" s="24"/>
      <c r="S1467" s="26"/>
      <c r="T1467" s="24"/>
      <c r="U1467" s="26"/>
      <c r="V1467" s="26"/>
      <c r="W1467" s="27">
        <v>1151</v>
      </c>
      <c r="X1467" s="28"/>
    </row>
    <row r="1468" ht="31" spans="1:32">
      <c r="A1468" s="16" t="s">
        <v>4174</v>
      </c>
      <c r="B1468" s="17" t="s">
        <v>4175</v>
      </c>
      <c r="C1468" s="30" t="s">
        <v>2417</v>
      </c>
      <c r="D1468" s="19" t="e">
        <f>VLOOKUP(C1468,#REF!,2,0)</f>
        <v>#REF!</v>
      </c>
      <c r="E1468" s="20" t="e">
        <f>VLOOKUP(D1468,数据集标准分类!E:F,2,0)</f>
        <v>#REF!</v>
      </c>
      <c r="F1468" s="21">
        <v>6</v>
      </c>
      <c r="G1468" s="22" t="s">
        <v>2439</v>
      </c>
      <c r="H1468" s="22" t="s">
        <v>2440</v>
      </c>
      <c r="I1468" s="22" t="s">
        <v>6167</v>
      </c>
      <c r="J1468" s="22" t="s">
        <v>2440</v>
      </c>
      <c r="K1468" s="22" t="s">
        <v>2442</v>
      </c>
      <c r="L1468" s="22" t="s">
        <v>2443</v>
      </c>
      <c r="M1468" s="16" t="s">
        <v>5595</v>
      </c>
      <c r="N1468" s="16" t="s">
        <v>5593</v>
      </c>
      <c r="O1468" s="23">
        <v>8</v>
      </c>
      <c r="P1468" s="24" t="e">
        <f>VLOOKUP(I1468,#REF!,2,0)</f>
        <v>#REF!</v>
      </c>
      <c r="Q1468" s="25"/>
      <c r="R1468" s="24"/>
      <c r="S1468" s="26"/>
      <c r="T1468" s="24"/>
      <c r="U1468" s="26"/>
      <c r="V1468" s="26"/>
      <c r="W1468" s="27">
        <v>1152</v>
      </c>
      <c r="X1468" s="28"/>
    </row>
    <row r="1469" ht="46" spans="1:32">
      <c r="A1469" s="16" t="s">
        <v>4174</v>
      </c>
      <c r="B1469" s="17" t="s">
        <v>4175</v>
      </c>
      <c r="C1469" s="30" t="s">
        <v>2417</v>
      </c>
      <c r="D1469" s="19" t="e">
        <f>VLOOKUP(C1469,#REF!,2,0)</f>
        <v>#REF!</v>
      </c>
      <c r="E1469" s="20" t="e">
        <f>VLOOKUP(D1469,数据集标准分类!E:F,2,0)</f>
        <v>#REF!</v>
      </c>
      <c r="F1469" s="21">
        <v>6</v>
      </c>
      <c r="G1469" s="22" t="s">
        <v>2444</v>
      </c>
      <c r="H1469" s="22" t="s">
        <v>2445</v>
      </c>
      <c r="I1469" s="22" t="s">
        <v>6168</v>
      </c>
      <c r="J1469" s="22" t="s">
        <v>2445</v>
      </c>
      <c r="K1469" s="22" t="s">
        <v>2447</v>
      </c>
      <c r="L1469" s="22" t="s">
        <v>2448</v>
      </c>
      <c r="M1469" s="16" t="s">
        <v>5595</v>
      </c>
      <c r="N1469" s="16" t="s">
        <v>5593</v>
      </c>
      <c r="O1469" s="23">
        <v>9</v>
      </c>
      <c r="P1469" s="24" t="e">
        <f>VLOOKUP(I1469,#REF!,2,0)</f>
        <v>#REF!</v>
      </c>
      <c r="Q1469" s="25"/>
      <c r="R1469" s="24"/>
      <c r="S1469" s="26"/>
      <c r="T1469" s="24"/>
      <c r="U1469" s="26"/>
      <c r="V1469" s="26"/>
      <c r="W1469" s="27">
        <v>1153</v>
      </c>
      <c r="X1469" s="28"/>
    </row>
    <row r="1470" ht="31" spans="1:32">
      <c r="A1470" s="16" t="s">
        <v>4174</v>
      </c>
      <c r="B1470" s="17" t="s">
        <v>4175</v>
      </c>
      <c r="C1470" s="30" t="s">
        <v>2417</v>
      </c>
      <c r="D1470" s="19" t="e">
        <f>VLOOKUP(C1470,#REF!,2,0)</f>
        <v>#REF!</v>
      </c>
      <c r="E1470" s="20" t="e">
        <f>VLOOKUP(D1470,数据集标准分类!E:F,2,0)</f>
        <v>#REF!</v>
      </c>
      <c r="F1470" s="21">
        <v>6</v>
      </c>
      <c r="G1470" s="22" t="s">
        <v>2449</v>
      </c>
      <c r="H1470" s="22" t="s">
        <v>2450</v>
      </c>
      <c r="I1470" s="22" t="s">
        <v>2452</v>
      </c>
      <c r="J1470" s="22" t="s">
        <v>2450</v>
      </c>
      <c r="K1470" s="22" t="s">
        <v>2452</v>
      </c>
      <c r="L1470" s="22" t="s">
        <v>2453</v>
      </c>
      <c r="M1470" s="16" t="s">
        <v>5595</v>
      </c>
      <c r="N1470" s="16" t="s">
        <v>5595</v>
      </c>
      <c r="O1470" s="23">
        <v>10</v>
      </c>
      <c r="P1470" s="24" t="e">
        <f>VLOOKUP(I1470,#REF!,2,0)</f>
        <v>#REF!</v>
      </c>
      <c r="Q1470" s="25"/>
      <c r="R1470" s="24"/>
      <c r="S1470" s="26"/>
      <c r="T1470" s="24"/>
      <c r="U1470" s="26"/>
      <c r="V1470" s="26"/>
      <c r="W1470" s="27">
        <v>1154</v>
      </c>
      <c r="X1470" s="28"/>
    </row>
    <row r="1471" ht="31" spans="1:32">
      <c r="A1471" s="16" t="s">
        <v>4174</v>
      </c>
      <c r="B1471" s="17" t="s">
        <v>4175</v>
      </c>
      <c r="C1471" s="30" t="s">
        <v>2417</v>
      </c>
      <c r="D1471" s="19" t="e">
        <f>VLOOKUP(C1471,#REF!,2,0)</f>
        <v>#REF!</v>
      </c>
      <c r="E1471" s="20" t="e">
        <f>VLOOKUP(D1471,数据集标准分类!E:F,2,0)</f>
        <v>#REF!</v>
      </c>
      <c r="F1471" s="21">
        <v>6</v>
      </c>
      <c r="G1471" s="22" t="s">
        <v>2454</v>
      </c>
      <c r="H1471" s="22" t="s">
        <v>6176</v>
      </c>
      <c r="I1471" s="22" t="s">
        <v>2457</v>
      </c>
      <c r="J1471" s="22" t="s">
        <v>2455</v>
      </c>
      <c r="K1471" s="22" t="s">
        <v>2457</v>
      </c>
      <c r="L1471" s="22" t="s">
        <v>2458</v>
      </c>
      <c r="M1471" s="16" t="s">
        <v>5593</v>
      </c>
      <c r="N1471" s="16" t="s">
        <v>5595</v>
      </c>
      <c r="O1471" s="23">
        <v>11</v>
      </c>
      <c r="P1471" s="24" t="e">
        <f>VLOOKUP(I1471,#REF!,2,0)</f>
        <v>#REF!</v>
      </c>
      <c r="Q1471" s="47"/>
      <c r="R1471" s="24"/>
      <c r="S1471" s="48"/>
      <c r="T1471" s="24"/>
      <c r="U1471" s="48"/>
      <c r="V1471" s="48"/>
      <c r="W1471" s="27">
        <v>1155</v>
      </c>
      <c r="X1471" s="28"/>
      <c r="Y1471" s="5"/>
      <c r="Z1471" s="5"/>
      <c r="AA1471" s="5"/>
      <c r="AB1471" s="5"/>
      <c r="AC1471" s="5"/>
      <c r="AD1471" s="5"/>
      <c r="AE1471" s="5"/>
      <c r="AF1471" s="5"/>
    </row>
    <row r="1472" ht="46" spans="1:32">
      <c r="A1472" s="16" t="s">
        <v>4174</v>
      </c>
      <c r="B1472" s="17" t="s">
        <v>4175</v>
      </c>
      <c r="C1472" s="30" t="s">
        <v>2417</v>
      </c>
      <c r="D1472" s="19" t="e">
        <f>VLOOKUP(C1472,#REF!,2,0)</f>
        <v>#REF!</v>
      </c>
      <c r="E1472" s="20" t="e">
        <f>VLOOKUP(D1472,数据集标准分类!E:F,2,0)</f>
        <v>#REF!</v>
      </c>
      <c r="F1472" s="21">
        <v>6</v>
      </c>
      <c r="G1472" s="22" t="s">
        <v>2459</v>
      </c>
      <c r="H1472" s="22" t="s">
        <v>2460</v>
      </c>
      <c r="I1472" s="22" t="s">
        <v>2462</v>
      </c>
      <c r="J1472" s="22" t="s">
        <v>2460</v>
      </c>
      <c r="K1472" s="22" t="s">
        <v>2462</v>
      </c>
      <c r="L1472" s="22" t="s">
        <v>2463</v>
      </c>
      <c r="M1472" s="16" t="s">
        <v>5595</v>
      </c>
      <c r="N1472" s="16" t="s">
        <v>5595</v>
      </c>
      <c r="O1472" s="23">
        <v>12</v>
      </c>
      <c r="P1472" s="24" t="e">
        <f>VLOOKUP(I1472,#REF!,2,0)</f>
        <v>#REF!</v>
      </c>
      <c r="Q1472" s="25"/>
      <c r="R1472" s="24"/>
      <c r="S1472" s="26"/>
      <c r="T1472" s="24"/>
      <c r="U1472" s="26"/>
      <c r="V1472" s="26"/>
      <c r="W1472" s="27">
        <v>1156</v>
      </c>
      <c r="X1472" s="28"/>
    </row>
    <row r="1473" spans="1:32">
      <c r="A1473" s="16" t="s">
        <v>4174</v>
      </c>
      <c r="B1473" s="17" t="s">
        <v>4175</v>
      </c>
      <c r="C1473" s="30" t="s">
        <v>2417</v>
      </c>
      <c r="D1473" s="19" t="e">
        <f>VLOOKUP(C1473,#REF!,2,0)</f>
        <v>#REF!</v>
      </c>
      <c r="E1473" s="20" t="e">
        <f>VLOOKUP(D1473,数据集标准分类!E:F,2,0)</f>
        <v>#REF!</v>
      </c>
      <c r="F1473" s="21">
        <v>6</v>
      </c>
      <c r="G1473" s="22" t="s">
        <v>1298</v>
      </c>
      <c r="H1473" s="22" t="s">
        <v>1299</v>
      </c>
      <c r="I1473" s="22" t="s">
        <v>1301</v>
      </c>
      <c r="J1473" s="22" t="s">
        <v>1299</v>
      </c>
      <c r="K1473" s="22" t="s">
        <v>1301</v>
      </c>
      <c r="L1473" s="22" t="s">
        <v>2464</v>
      </c>
      <c r="M1473" s="16" t="s">
        <v>5595</v>
      </c>
      <c r="N1473" s="16" t="s">
        <v>5595</v>
      </c>
      <c r="O1473" s="23">
        <v>13</v>
      </c>
      <c r="P1473" s="24" t="e">
        <f>VLOOKUP(I1473,#REF!,2,0)</f>
        <v>#REF!</v>
      </c>
      <c r="Q1473" s="47"/>
      <c r="R1473" s="24"/>
      <c r="S1473" s="48"/>
      <c r="T1473" s="24"/>
      <c r="U1473" s="48"/>
      <c r="V1473" s="48"/>
      <c r="W1473" s="27">
        <v>1157</v>
      </c>
      <c r="X1473" s="28"/>
      <c r="Y1473" s="5"/>
      <c r="Z1473" s="5"/>
      <c r="AA1473" s="5"/>
      <c r="AB1473" s="5"/>
      <c r="AC1473" s="5"/>
      <c r="AD1473" s="5"/>
      <c r="AE1473" s="5"/>
      <c r="AF1473" s="5"/>
    </row>
    <row r="1474" ht="31" spans="1:32">
      <c r="A1474" s="16" t="s">
        <v>4174</v>
      </c>
      <c r="B1474" s="17" t="s">
        <v>4175</v>
      </c>
      <c r="C1474" s="30" t="s">
        <v>2417</v>
      </c>
      <c r="D1474" s="19" t="e">
        <f>VLOOKUP(C1474,#REF!,2,0)</f>
        <v>#REF!</v>
      </c>
      <c r="E1474" s="20" t="e">
        <f>VLOOKUP(D1474,数据集标准分类!E:F,2,0)</f>
        <v>#REF!</v>
      </c>
      <c r="F1474" s="21">
        <v>6</v>
      </c>
      <c r="G1474" s="22" t="s">
        <v>1293</v>
      </c>
      <c r="H1474" s="22" t="s">
        <v>1294</v>
      </c>
      <c r="I1474" s="22" t="s">
        <v>1296</v>
      </c>
      <c r="J1474" s="22" t="s">
        <v>1294</v>
      </c>
      <c r="K1474" s="22" t="s">
        <v>1296</v>
      </c>
      <c r="L1474" s="22" t="s">
        <v>2465</v>
      </c>
      <c r="M1474" s="16" t="s">
        <v>5595</v>
      </c>
      <c r="N1474" s="16" t="s">
        <v>5595</v>
      </c>
      <c r="O1474" s="23">
        <v>14</v>
      </c>
      <c r="P1474" s="24" t="e">
        <f>VLOOKUP(I1474,#REF!,2,0)</f>
        <v>#REF!</v>
      </c>
      <c r="Q1474" s="47"/>
      <c r="R1474" s="24"/>
      <c r="S1474" s="48"/>
      <c r="T1474" s="24"/>
      <c r="U1474" s="48"/>
      <c r="V1474" s="48"/>
      <c r="W1474" s="27">
        <v>1158</v>
      </c>
      <c r="X1474" s="28"/>
      <c r="Y1474" s="5"/>
      <c r="Z1474" s="5"/>
      <c r="AA1474" s="5"/>
      <c r="AB1474" s="5"/>
      <c r="AC1474" s="5"/>
      <c r="AD1474" s="5"/>
      <c r="AE1474" s="5"/>
      <c r="AF1474" s="5"/>
    </row>
    <row r="1475" ht="31" spans="1:32">
      <c r="A1475" s="16" t="s">
        <v>4174</v>
      </c>
      <c r="B1475" s="17" t="s">
        <v>4175</v>
      </c>
      <c r="C1475" s="30" t="s">
        <v>2417</v>
      </c>
      <c r="D1475" s="19" t="e">
        <f>VLOOKUP(C1475,#REF!,2,0)</f>
        <v>#REF!</v>
      </c>
      <c r="E1475" s="20" t="e">
        <f>VLOOKUP(D1475,数据集标准分类!E:F,2,0)</f>
        <v>#REF!</v>
      </c>
      <c r="F1475" s="21">
        <v>6</v>
      </c>
      <c r="G1475" s="22" t="s">
        <v>2466</v>
      </c>
      <c r="H1475" s="22" t="s">
        <v>6170</v>
      </c>
      <c r="I1475" s="22" t="s">
        <v>2469</v>
      </c>
      <c r="J1475" s="22" t="s">
        <v>2467</v>
      </c>
      <c r="K1475" s="22" t="s">
        <v>2469</v>
      </c>
      <c r="L1475" s="22" t="s">
        <v>2470</v>
      </c>
      <c r="M1475" s="16" t="s">
        <v>5593</v>
      </c>
      <c r="N1475" s="16" t="s">
        <v>5595</v>
      </c>
      <c r="O1475" s="23">
        <v>15</v>
      </c>
      <c r="P1475" s="24" t="e">
        <f>VLOOKUP(I1475,#REF!,2,0)</f>
        <v>#REF!</v>
      </c>
      <c r="Q1475" s="47"/>
      <c r="R1475" s="24"/>
      <c r="S1475" s="48"/>
      <c r="T1475" s="24"/>
      <c r="U1475" s="48"/>
      <c r="V1475" s="48"/>
      <c r="W1475" s="27">
        <v>1159</v>
      </c>
      <c r="X1475" s="28"/>
      <c r="Y1475" s="5"/>
      <c r="Z1475" s="5"/>
      <c r="AA1475" s="5"/>
      <c r="AB1475" s="5"/>
      <c r="AC1475" s="5"/>
      <c r="AD1475" s="5"/>
      <c r="AE1475" s="5"/>
      <c r="AF1475" s="5"/>
    </row>
    <row r="1476" ht="31" spans="1:32">
      <c r="A1476" s="16" t="s">
        <v>4174</v>
      </c>
      <c r="B1476" s="17" t="s">
        <v>4175</v>
      </c>
      <c r="C1476" s="30" t="s">
        <v>2417</v>
      </c>
      <c r="D1476" s="19" t="e">
        <f>VLOOKUP(C1476,#REF!,2,0)</f>
        <v>#REF!</v>
      </c>
      <c r="E1476" s="20" t="e">
        <f>VLOOKUP(D1476,数据集标准分类!E:F,2,0)</f>
        <v>#REF!</v>
      </c>
      <c r="F1476" s="21">
        <v>6</v>
      </c>
      <c r="G1476" s="22" t="s">
        <v>2471</v>
      </c>
      <c r="H1476" s="22" t="s">
        <v>2472</v>
      </c>
      <c r="I1476" s="22" t="s">
        <v>2474</v>
      </c>
      <c r="J1476" s="22" t="s">
        <v>2472</v>
      </c>
      <c r="K1476" s="22" t="s">
        <v>2474</v>
      </c>
      <c r="L1476" s="22" t="s">
        <v>2475</v>
      </c>
      <c r="M1476" s="16" t="s">
        <v>5595</v>
      </c>
      <c r="N1476" s="16" t="s">
        <v>5595</v>
      </c>
      <c r="O1476" s="23">
        <v>16</v>
      </c>
      <c r="P1476" s="24" t="e">
        <f>VLOOKUP(I1476,#REF!,2,0)</f>
        <v>#REF!</v>
      </c>
      <c r="Q1476" s="25"/>
      <c r="R1476" s="24"/>
      <c r="S1476" s="26"/>
      <c r="T1476" s="24"/>
      <c r="U1476" s="26"/>
      <c r="V1476" s="26"/>
      <c r="W1476" s="27">
        <v>1160</v>
      </c>
      <c r="X1476" s="28"/>
    </row>
    <row r="1477" ht="31" spans="1:32">
      <c r="A1477" s="50" t="s">
        <v>4174</v>
      </c>
      <c r="B1477" s="51" t="s">
        <v>4175</v>
      </c>
      <c r="C1477" s="52" t="s">
        <v>2417</v>
      </c>
      <c r="D1477" s="53" t="e">
        <f>VLOOKUP(C1477,#REF!,2,0)</f>
        <v>#REF!</v>
      </c>
      <c r="E1477" s="20" t="e">
        <f>VLOOKUP(D1477,数据集标准分类!E:F,2,0)</f>
        <v>#REF!</v>
      </c>
      <c r="F1477" s="54">
        <v>6</v>
      </c>
      <c r="G1477" s="55" t="s">
        <v>2476</v>
      </c>
      <c r="H1477" s="55" t="s">
        <v>2477</v>
      </c>
      <c r="I1477" s="55" t="s">
        <v>2479</v>
      </c>
      <c r="J1477" s="55" t="s">
        <v>2477</v>
      </c>
      <c r="K1477" s="55" t="s">
        <v>2479</v>
      </c>
      <c r="L1477" s="55" t="s">
        <v>2480</v>
      </c>
      <c r="M1477" s="50" t="s">
        <v>5595</v>
      </c>
      <c r="N1477" s="50" t="s">
        <v>5595</v>
      </c>
      <c r="O1477" s="56">
        <v>17</v>
      </c>
      <c r="P1477" s="57" t="e">
        <f>VLOOKUP(I1477,#REF!,2,0)</f>
        <v>#REF!</v>
      </c>
      <c r="Q1477" s="58"/>
      <c r="R1477" s="57"/>
      <c r="S1477" s="59"/>
      <c r="T1477" s="57"/>
      <c r="U1477" s="59"/>
      <c r="V1477" s="59"/>
      <c r="W1477" s="60">
        <v>1161</v>
      </c>
      <c r="X1477" s="61"/>
      <c r="Y1477" s="62"/>
      <c r="Z1477" s="62"/>
      <c r="AA1477" s="62"/>
      <c r="AB1477" s="62"/>
      <c r="AC1477" s="62"/>
      <c r="AD1477" s="62"/>
      <c r="AE1477" s="62"/>
      <c r="AF1477" s="62"/>
    </row>
    <row r="1478" ht="24" customHeight="1" spans="1:32">
      <c r="A1478" s="16" t="s">
        <v>4174</v>
      </c>
      <c r="B1478" s="17" t="s">
        <v>4175</v>
      </c>
      <c r="C1478" s="30" t="s">
        <v>2417</v>
      </c>
      <c r="D1478" s="19" t="e">
        <f>VLOOKUP(C1478,#REF!,2,0)</f>
        <v>#REF!</v>
      </c>
      <c r="E1478" s="20" t="e">
        <f>VLOOKUP(D1478,数据集标准分类!E:F,2,0)</f>
        <v>#REF!</v>
      </c>
      <c r="F1478" s="21">
        <v>6</v>
      </c>
      <c r="G1478" s="22" t="s">
        <v>2481</v>
      </c>
      <c r="H1478" s="22" t="s">
        <v>2482</v>
      </c>
      <c r="I1478" s="22" t="s">
        <v>2484</v>
      </c>
      <c r="J1478" s="22" t="s">
        <v>2482</v>
      </c>
      <c r="K1478" s="22" t="s">
        <v>2484</v>
      </c>
      <c r="L1478" s="22" t="s">
        <v>2485</v>
      </c>
      <c r="M1478" s="16" t="s">
        <v>5595</v>
      </c>
      <c r="N1478" s="16" t="s">
        <v>5595</v>
      </c>
      <c r="O1478" s="23">
        <v>18</v>
      </c>
      <c r="P1478" s="24" t="e">
        <f>VLOOKUP(I1478,#REF!,2,0)</f>
        <v>#REF!</v>
      </c>
      <c r="Q1478" s="25"/>
      <c r="R1478" s="24"/>
      <c r="S1478" s="26"/>
      <c r="T1478" s="24"/>
      <c r="U1478" s="26"/>
      <c r="V1478" s="26"/>
      <c r="W1478" s="27">
        <v>1162</v>
      </c>
      <c r="X1478" s="28"/>
    </row>
    <row r="1479" ht="31" spans="1:32">
      <c r="A1479" s="16" t="s">
        <v>4174</v>
      </c>
      <c r="B1479" s="17" t="s">
        <v>4175</v>
      </c>
      <c r="C1479" s="30" t="s">
        <v>2417</v>
      </c>
      <c r="D1479" s="19" t="e">
        <f>VLOOKUP(C1479,#REF!,2,0)</f>
        <v>#REF!</v>
      </c>
      <c r="E1479" s="20" t="e">
        <f>VLOOKUP(D1479,数据集标准分类!E:F,2,0)</f>
        <v>#REF!</v>
      </c>
      <c r="F1479" s="21">
        <v>6</v>
      </c>
      <c r="G1479" s="22" t="s">
        <v>2486</v>
      </c>
      <c r="H1479" s="22" t="s">
        <v>2487</v>
      </c>
      <c r="I1479" s="22" t="s">
        <v>2489</v>
      </c>
      <c r="J1479" s="22" t="s">
        <v>2487</v>
      </c>
      <c r="K1479" s="22" t="s">
        <v>2489</v>
      </c>
      <c r="L1479" s="22" t="s">
        <v>2490</v>
      </c>
      <c r="M1479" s="16" t="s">
        <v>5595</v>
      </c>
      <c r="N1479" s="16" t="s">
        <v>5595</v>
      </c>
      <c r="O1479" s="23">
        <v>19</v>
      </c>
      <c r="P1479" s="24" t="e">
        <f>VLOOKUP(I1479,#REF!,2,0)</f>
        <v>#REF!</v>
      </c>
      <c r="Q1479" s="25"/>
      <c r="R1479" s="24"/>
      <c r="S1479" s="26"/>
      <c r="T1479" s="24"/>
      <c r="U1479" s="26"/>
      <c r="V1479" s="26"/>
      <c r="W1479" s="27">
        <v>1163</v>
      </c>
      <c r="X1479" s="28"/>
    </row>
    <row r="1480" ht="31" spans="1:32">
      <c r="A1480" s="57" t="s">
        <v>4174</v>
      </c>
      <c r="B1480" s="60" t="s">
        <v>4175</v>
      </c>
      <c r="C1480" s="52" t="s">
        <v>2417</v>
      </c>
      <c r="D1480" s="53" t="e">
        <f>VLOOKUP(C1480,#REF!,2,0)</f>
        <v>#REF!</v>
      </c>
      <c r="E1480" s="45" t="e">
        <f>VLOOKUP(D1480,数据集标准分类!E:F,2,0)</f>
        <v>#REF!</v>
      </c>
      <c r="F1480" s="21">
        <v>6</v>
      </c>
      <c r="G1480" s="22" t="s">
        <v>2491</v>
      </c>
      <c r="H1480" s="22" t="s">
        <v>2492</v>
      </c>
      <c r="I1480" s="22" t="s">
        <v>2494</v>
      </c>
      <c r="J1480" s="22" t="s">
        <v>2492</v>
      </c>
      <c r="K1480" s="22" t="s">
        <v>2494</v>
      </c>
      <c r="L1480" s="22" t="s">
        <v>2495</v>
      </c>
      <c r="M1480" s="24" t="s">
        <v>5595</v>
      </c>
      <c r="N1480" s="24" t="s">
        <v>5595</v>
      </c>
      <c r="O1480" s="46">
        <v>20</v>
      </c>
      <c r="P1480" s="24"/>
      <c r="Q1480" s="25">
        <v>45838</v>
      </c>
      <c r="R1480" s="45" t="s">
        <v>6177</v>
      </c>
      <c r="S1480" s="26"/>
      <c r="T1480" s="24"/>
      <c r="U1480" s="26"/>
      <c r="V1480" s="26"/>
      <c r="W1480" s="27">
        <v>1164</v>
      </c>
      <c r="X1480" s="28"/>
    </row>
    <row r="1481" ht="31" spans="1:32">
      <c r="A1481" s="24" t="s">
        <v>4174</v>
      </c>
      <c r="B1481" s="27" t="s">
        <v>4175</v>
      </c>
      <c r="C1481" s="30" t="s">
        <v>2417</v>
      </c>
      <c r="D1481" s="19" t="e">
        <f>VLOOKUP(C1481,#REF!,2,0)</f>
        <v>#REF!</v>
      </c>
      <c r="E1481" s="45" t="e">
        <f>VLOOKUP(D1481,数据集标准分类!E:F,2,0)</f>
        <v>#REF!</v>
      </c>
      <c r="F1481" s="54">
        <v>6</v>
      </c>
      <c r="G1481" s="22" t="s">
        <v>2496</v>
      </c>
      <c r="H1481" s="22" t="s">
        <v>6178</v>
      </c>
      <c r="I1481" s="22" t="s">
        <v>2499</v>
      </c>
      <c r="J1481" s="22" t="s">
        <v>2497</v>
      </c>
      <c r="K1481" s="22" t="s">
        <v>2499</v>
      </c>
      <c r="L1481" s="22" t="s">
        <v>2500</v>
      </c>
      <c r="M1481" s="24" t="s">
        <v>5593</v>
      </c>
      <c r="N1481" s="24" t="s">
        <v>5595</v>
      </c>
      <c r="O1481" s="46">
        <v>21</v>
      </c>
      <c r="P1481" s="24"/>
      <c r="Q1481" s="25">
        <v>45838</v>
      </c>
      <c r="R1481" s="45" t="s">
        <v>6177</v>
      </c>
      <c r="S1481" s="26"/>
      <c r="T1481" s="24"/>
      <c r="U1481" s="26"/>
      <c r="V1481" s="26"/>
      <c r="W1481" s="27">
        <v>1165</v>
      </c>
      <c r="X1481" s="28"/>
    </row>
    <row r="1482" spans="1:32">
      <c r="A1482" s="24" t="s">
        <v>4174</v>
      </c>
      <c r="B1482" s="27" t="s">
        <v>4175</v>
      </c>
      <c r="C1482" s="30" t="s">
        <v>2417</v>
      </c>
      <c r="D1482" s="19" t="e">
        <f>VLOOKUP(C1482,#REF!,2,0)</f>
        <v>#REF!</v>
      </c>
      <c r="E1482" s="45" t="e">
        <f>VLOOKUP(D1482,数据集标准分类!E:F,2,0)</f>
        <v>#REF!</v>
      </c>
      <c r="F1482" s="21">
        <v>6</v>
      </c>
      <c r="G1482" s="22" t="s">
        <v>2501</v>
      </c>
      <c r="H1482" s="22" t="s">
        <v>6179</v>
      </c>
      <c r="I1482" s="22" t="s">
        <v>2504</v>
      </c>
      <c r="J1482" s="22" t="s">
        <v>2502</v>
      </c>
      <c r="K1482" s="22" t="s">
        <v>2504</v>
      </c>
      <c r="L1482" s="22" t="s">
        <v>2505</v>
      </c>
      <c r="M1482" s="24" t="s">
        <v>5593</v>
      </c>
      <c r="N1482" s="24" t="s">
        <v>5595</v>
      </c>
      <c r="O1482" s="46">
        <v>22</v>
      </c>
      <c r="P1482" s="24"/>
      <c r="Q1482" s="25">
        <v>45838</v>
      </c>
      <c r="R1482" s="45" t="s">
        <v>6177</v>
      </c>
      <c r="S1482" s="26"/>
      <c r="T1482" s="24"/>
      <c r="U1482" s="26"/>
      <c r="V1482" s="26"/>
      <c r="W1482" s="27">
        <v>1166</v>
      </c>
      <c r="X1482" s="28"/>
    </row>
    <row r="1483" ht="31" spans="1:32">
      <c r="A1483" s="83" t="s">
        <v>4167</v>
      </c>
      <c r="B1483" s="84" t="s">
        <v>4168</v>
      </c>
      <c r="C1483" s="85" t="s">
        <v>16</v>
      </c>
      <c r="D1483" s="86" t="e">
        <f>VLOOKUP(C1483,#REF!,2,0)</f>
        <v>#REF!</v>
      </c>
      <c r="E1483" s="20" t="e">
        <f>VLOOKUP(D1483,数据集标准分类!E:F,2,0)</f>
        <v>#REF!</v>
      </c>
      <c r="F1483" s="87">
        <v>54</v>
      </c>
      <c r="G1483" s="88" t="s">
        <v>5552</v>
      </c>
      <c r="H1483" s="88" t="s">
        <v>6180</v>
      </c>
      <c r="I1483" s="88" t="s">
        <v>20</v>
      </c>
      <c r="J1483" s="88" t="s">
        <v>18</v>
      </c>
      <c r="K1483" s="88" t="s">
        <v>20</v>
      </c>
      <c r="L1483" s="88" t="s">
        <v>21</v>
      </c>
      <c r="M1483" s="83" t="s">
        <v>5593</v>
      </c>
      <c r="N1483" s="83" t="s">
        <v>5595</v>
      </c>
      <c r="O1483" s="89">
        <v>1</v>
      </c>
      <c r="P1483" s="90" t="e">
        <f>VLOOKUP(I1483,#REF!,2,0)</f>
        <v>#REF!</v>
      </c>
      <c r="Q1483" s="91"/>
      <c r="R1483" s="90"/>
      <c r="S1483" s="92"/>
      <c r="T1483" s="90"/>
      <c r="U1483" s="92"/>
      <c r="V1483" s="92"/>
      <c r="W1483" s="93">
        <v>1167</v>
      </c>
      <c r="X1483" s="94"/>
      <c r="Y1483" s="95"/>
      <c r="Z1483" s="95"/>
      <c r="AA1483" s="95"/>
      <c r="AB1483" s="95"/>
      <c r="AC1483" s="95"/>
      <c r="AD1483" s="95"/>
      <c r="AE1483" s="95"/>
      <c r="AF1483" s="95"/>
    </row>
    <row r="1484" ht="31" spans="1:32">
      <c r="A1484" s="83" t="s">
        <v>4167</v>
      </c>
      <c r="B1484" s="84" t="s">
        <v>4168</v>
      </c>
      <c r="C1484" s="85" t="s">
        <v>16</v>
      </c>
      <c r="D1484" s="86" t="e">
        <f>VLOOKUP(C1484,#REF!,2,0)</f>
        <v>#REF!</v>
      </c>
      <c r="E1484" s="20" t="e">
        <f>VLOOKUP(D1484,数据集标准分类!E:F,2,0)</f>
        <v>#REF!</v>
      </c>
      <c r="F1484" s="87">
        <v>54</v>
      </c>
      <c r="G1484" s="88" t="s">
        <v>22</v>
      </c>
      <c r="H1484" s="88" t="s">
        <v>6181</v>
      </c>
      <c r="I1484" s="88" t="s">
        <v>6182</v>
      </c>
      <c r="J1484" s="88" t="s">
        <v>23</v>
      </c>
      <c r="K1484" s="88" t="s">
        <v>25</v>
      </c>
      <c r="L1484" s="88" t="s">
        <v>26</v>
      </c>
      <c r="M1484" s="83" t="s">
        <v>5593</v>
      </c>
      <c r="N1484" s="83" t="s">
        <v>5593</v>
      </c>
      <c r="O1484" s="89">
        <v>2</v>
      </c>
      <c r="P1484" s="90" t="e">
        <f>VLOOKUP(I1484,#REF!,2,0)</f>
        <v>#REF!</v>
      </c>
      <c r="Q1484" s="91"/>
      <c r="R1484" s="90"/>
      <c r="S1484" s="92"/>
      <c r="T1484" s="90"/>
      <c r="U1484" s="92"/>
      <c r="V1484" s="92"/>
      <c r="W1484" s="93">
        <v>1168</v>
      </c>
      <c r="X1484" s="94"/>
      <c r="Y1484" s="95"/>
      <c r="Z1484" s="95"/>
      <c r="AA1484" s="95"/>
      <c r="AB1484" s="95"/>
      <c r="AC1484" s="95"/>
      <c r="AD1484" s="95"/>
      <c r="AE1484" s="95"/>
      <c r="AF1484" s="95"/>
    </row>
    <row r="1485" ht="31" spans="1:32">
      <c r="A1485" s="16" t="s">
        <v>4167</v>
      </c>
      <c r="B1485" s="17" t="s">
        <v>4168</v>
      </c>
      <c r="C1485" s="30" t="s">
        <v>16</v>
      </c>
      <c r="D1485" s="19" t="e">
        <f>VLOOKUP(C1485,#REF!,2,0)</f>
        <v>#REF!</v>
      </c>
      <c r="E1485" s="20" t="e">
        <f>VLOOKUP(D1485,数据集标准分类!E:F,2,0)</f>
        <v>#REF!</v>
      </c>
      <c r="F1485" s="21">
        <v>54</v>
      </c>
      <c r="G1485" s="22" t="s">
        <v>27</v>
      </c>
      <c r="H1485" s="22" t="s">
        <v>28</v>
      </c>
      <c r="I1485" s="22" t="s">
        <v>30</v>
      </c>
      <c r="J1485" s="22" t="s">
        <v>28</v>
      </c>
      <c r="K1485" s="22" t="s">
        <v>30</v>
      </c>
      <c r="L1485" s="22" t="s">
        <v>31</v>
      </c>
      <c r="M1485" s="16" t="s">
        <v>5595</v>
      </c>
      <c r="N1485" s="16" t="s">
        <v>5595</v>
      </c>
      <c r="O1485" s="23">
        <v>3</v>
      </c>
      <c r="P1485" s="24" t="e">
        <f>VLOOKUP(I1485,#REF!,2,0)</f>
        <v>#REF!</v>
      </c>
      <c r="Q1485" s="25"/>
      <c r="R1485" s="24"/>
      <c r="S1485" s="26"/>
      <c r="T1485" s="24"/>
      <c r="U1485" s="26"/>
      <c r="V1485" s="26"/>
      <c r="W1485" s="27">
        <v>1169</v>
      </c>
      <c r="X1485" s="28"/>
    </row>
    <row r="1486" ht="61" spans="1:32">
      <c r="A1486" s="83" t="s">
        <v>4167</v>
      </c>
      <c r="B1486" s="84" t="s">
        <v>4168</v>
      </c>
      <c r="C1486" s="85" t="s">
        <v>16</v>
      </c>
      <c r="D1486" s="86" t="e">
        <f>VLOOKUP(C1486,#REF!,2,0)</f>
        <v>#REF!</v>
      </c>
      <c r="E1486" s="20" t="e">
        <f>VLOOKUP(D1486,数据集标准分类!E:F,2,0)</f>
        <v>#REF!</v>
      </c>
      <c r="F1486" s="87">
        <v>54</v>
      </c>
      <c r="G1486" s="88" t="s">
        <v>32</v>
      </c>
      <c r="H1486" s="88" t="s">
        <v>33</v>
      </c>
      <c r="I1486" s="88" t="s">
        <v>34</v>
      </c>
      <c r="J1486" s="88" t="s">
        <v>33</v>
      </c>
      <c r="K1486" s="88" t="s">
        <v>34</v>
      </c>
      <c r="L1486" s="88" t="s">
        <v>35</v>
      </c>
      <c r="M1486" s="83" t="s">
        <v>5595</v>
      </c>
      <c r="N1486" s="83" t="s">
        <v>5595</v>
      </c>
      <c r="O1486" s="89">
        <v>4</v>
      </c>
      <c r="P1486" s="90" t="e">
        <f>VLOOKUP(I1486,#REF!,2,0)</f>
        <v>#REF!</v>
      </c>
      <c r="Q1486" s="91"/>
      <c r="R1486" s="90"/>
      <c r="S1486" s="92"/>
      <c r="T1486" s="90"/>
      <c r="U1486" s="92"/>
      <c r="V1486" s="92"/>
      <c r="W1486" s="93">
        <v>1170</v>
      </c>
      <c r="X1486" s="94"/>
      <c r="Y1486" s="95"/>
      <c r="Z1486" s="95"/>
      <c r="AA1486" s="95"/>
      <c r="AB1486" s="95"/>
      <c r="AC1486" s="95"/>
      <c r="AD1486" s="95"/>
      <c r="AE1486" s="95"/>
      <c r="AF1486" s="95"/>
    </row>
    <row r="1487" ht="76" spans="1:32">
      <c r="A1487" s="83" t="s">
        <v>4167</v>
      </c>
      <c r="B1487" s="84" t="s">
        <v>4168</v>
      </c>
      <c r="C1487" s="85" t="s">
        <v>16</v>
      </c>
      <c r="D1487" s="86" t="e">
        <f>VLOOKUP(C1487,#REF!,2,0)</f>
        <v>#REF!</v>
      </c>
      <c r="E1487" s="20" t="e">
        <f>VLOOKUP(D1487,数据集标准分类!E:F,2,0)</f>
        <v>#REF!</v>
      </c>
      <c r="F1487" s="87">
        <v>54</v>
      </c>
      <c r="G1487" s="88" t="s">
        <v>36</v>
      </c>
      <c r="H1487" s="88" t="s">
        <v>37</v>
      </c>
      <c r="I1487" s="88" t="s">
        <v>39</v>
      </c>
      <c r="J1487" s="88" t="s">
        <v>37</v>
      </c>
      <c r="K1487" s="88" t="s">
        <v>39</v>
      </c>
      <c r="L1487" s="88" t="s">
        <v>40</v>
      </c>
      <c r="M1487" s="83" t="s">
        <v>5595</v>
      </c>
      <c r="N1487" s="83" t="s">
        <v>5595</v>
      </c>
      <c r="O1487" s="89">
        <v>5</v>
      </c>
      <c r="P1487" s="90" t="e">
        <f>VLOOKUP(I1487,#REF!,2,0)</f>
        <v>#REF!</v>
      </c>
      <c r="Q1487" s="91"/>
      <c r="R1487" s="90"/>
      <c r="S1487" s="92"/>
      <c r="T1487" s="90"/>
      <c r="U1487" s="92"/>
      <c r="V1487" s="92"/>
      <c r="W1487" s="93">
        <v>1171</v>
      </c>
      <c r="X1487" s="94"/>
      <c r="Y1487" s="95"/>
      <c r="Z1487" s="95"/>
      <c r="AA1487" s="95"/>
      <c r="AB1487" s="95"/>
      <c r="AC1487" s="95"/>
      <c r="AD1487" s="95"/>
      <c r="AE1487" s="95"/>
      <c r="AF1487" s="95"/>
    </row>
    <row r="1488" ht="31" spans="1:32">
      <c r="A1488" s="16" t="s">
        <v>4167</v>
      </c>
      <c r="B1488" s="17" t="s">
        <v>4168</v>
      </c>
      <c r="C1488" s="30" t="s">
        <v>16</v>
      </c>
      <c r="D1488" s="19" t="e">
        <f>VLOOKUP(C1488,#REF!,2,0)</f>
        <v>#REF!</v>
      </c>
      <c r="E1488" s="20" t="e">
        <f>VLOOKUP(D1488,数据集标准分类!E:F,2,0)</f>
        <v>#REF!</v>
      </c>
      <c r="F1488" s="21">
        <v>54</v>
      </c>
      <c r="G1488" s="22" t="s">
        <v>41</v>
      </c>
      <c r="H1488" s="22" t="s">
        <v>42</v>
      </c>
      <c r="I1488" s="22" t="s">
        <v>44</v>
      </c>
      <c r="J1488" s="22" t="s">
        <v>42</v>
      </c>
      <c r="K1488" s="22" t="s">
        <v>44</v>
      </c>
      <c r="L1488" s="22" t="s">
        <v>45</v>
      </c>
      <c r="M1488" s="16" t="s">
        <v>5595</v>
      </c>
      <c r="N1488" s="16" t="s">
        <v>5595</v>
      </c>
      <c r="O1488" s="23">
        <v>6</v>
      </c>
      <c r="P1488" s="24" t="e">
        <f>VLOOKUP(I1488,#REF!,2,0)</f>
        <v>#REF!</v>
      </c>
      <c r="Q1488" s="25"/>
      <c r="R1488" s="24"/>
      <c r="S1488" s="26"/>
      <c r="T1488" s="24"/>
      <c r="U1488" s="26"/>
      <c r="V1488" s="26"/>
      <c r="W1488" s="27">
        <v>1172</v>
      </c>
      <c r="X1488" s="28"/>
    </row>
    <row r="1489" ht="76" spans="1:32">
      <c r="A1489" s="16" t="s">
        <v>4167</v>
      </c>
      <c r="B1489" s="17" t="s">
        <v>4168</v>
      </c>
      <c r="C1489" s="30" t="s">
        <v>16</v>
      </c>
      <c r="D1489" s="19" t="e">
        <f>VLOOKUP(C1489,#REF!,2,0)</f>
        <v>#REF!</v>
      </c>
      <c r="E1489" s="20" t="e">
        <f>VLOOKUP(D1489,数据集标准分类!E:F,2,0)</f>
        <v>#REF!</v>
      </c>
      <c r="F1489" s="21">
        <v>54</v>
      </c>
      <c r="G1489" s="22" t="s">
        <v>46</v>
      </c>
      <c r="H1489" s="22" t="s">
        <v>47</v>
      </c>
      <c r="I1489" s="22" t="s">
        <v>49</v>
      </c>
      <c r="J1489" s="22" t="s">
        <v>47</v>
      </c>
      <c r="K1489" s="22" t="s">
        <v>49</v>
      </c>
      <c r="L1489" s="22" t="s">
        <v>50</v>
      </c>
      <c r="M1489" s="16" t="s">
        <v>5595</v>
      </c>
      <c r="N1489" s="16" t="s">
        <v>5595</v>
      </c>
      <c r="O1489" s="23">
        <v>7</v>
      </c>
      <c r="P1489" s="24" t="e">
        <f>VLOOKUP(I1489,#REF!,2,0)</f>
        <v>#REF!</v>
      </c>
      <c r="Q1489" s="25"/>
      <c r="R1489" s="24"/>
      <c r="S1489" s="26"/>
      <c r="T1489" s="24"/>
      <c r="U1489" s="26"/>
      <c r="V1489" s="26"/>
      <c r="W1489" s="27">
        <v>1173</v>
      </c>
      <c r="X1489" s="28"/>
    </row>
    <row r="1490" ht="31" spans="1:32">
      <c r="A1490" s="224" t="s">
        <v>4293</v>
      </c>
      <c r="B1490" s="233" t="s">
        <v>4294</v>
      </c>
      <c r="C1490" s="162" t="s">
        <v>2888</v>
      </c>
      <c r="D1490" s="86" t="e">
        <f>VLOOKUP(C1490,#REF!,2,0)</f>
        <v>#REF!</v>
      </c>
      <c r="E1490" s="20" t="e">
        <f>VLOOKUP(D1490,数据集标准分类!E:F,2,0)</f>
        <v>#REF!</v>
      </c>
      <c r="F1490" s="87">
        <v>54</v>
      </c>
      <c r="G1490" s="88" t="s">
        <v>2889</v>
      </c>
      <c r="H1490" s="88" t="s">
        <v>6183</v>
      </c>
      <c r="I1490" s="88" t="s">
        <v>2892</v>
      </c>
      <c r="J1490" s="88" t="s">
        <v>2890</v>
      </c>
      <c r="K1490" s="88" t="s">
        <v>2892</v>
      </c>
      <c r="L1490" s="88" t="s">
        <v>2893</v>
      </c>
      <c r="M1490" s="83" t="s">
        <v>5593</v>
      </c>
      <c r="N1490" s="83" t="s">
        <v>5595</v>
      </c>
      <c r="O1490" s="89">
        <v>8</v>
      </c>
      <c r="P1490" s="90" t="e">
        <f>VLOOKUP(I1490,#REF!,2,0)</f>
        <v>#REF!</v>
      </c>
      <c r="Q1490" s="91"/>
      <c r="R1490" s="90"/>
      <c r="S1490" s="92" t="s">
        <v>5593</v>
      </c>
      <c r="T1490" s="90"/>
      <c r="U1490" s="92"/>
      <c r="V1490" s="92"/>
      <c r="W1490" s="93">
        <v>1174</v>
      </c>
      <c r="X1490" s="94"/>
      <c r="Y1490" s="95"/>
      <c r="Z1490" s="95"/>
      <c r="AA1490" s="95"/>
      <c r="AB1490" s="95"/>
      <c r="AC1490" s="95"/>
      <c r="AD1490" s="95"/>
      <c r="AE1490" s="95"/>
      <c r="AF1490" s="95"/>
    </row>
    <row r="1491" ht="31" spans="1:32">
      <c r="A1491" s="224" t="s">
        <v>4293</v>
      </c>
      <c r="B1491" s="233" t="s">
        <v>4294</v>
      </c>
      <c r="C1491" s="162" t="s">
        <v>2888</v>
      </c>
      <c r="D1491" s="86" t="e">
        <f>VLOOKUP(C1491,#REF!,2,0)</f>
        <v>#REF!</v>
      </c>
      <c r="E1491" s="20" t="e">
        <f>VLOOKUP(D1491,数据集标准分类!E:F,2,0)</f>
        <v>#REF!</v>
      </c>
      <c r="F1491" s="87">
        <v>54</v>
      </c>
      <c r="G1491" s="234" t="s">
        <v>2242</v>
      </c>
      <c r="H1491" s="234" t="s">
        <v>2243</v>
      </c>
      <c r="I1491" s="234" t="s">
        <v>2836</v>
      </c>
      <c r="J1491" s="88" t="s">
        <v>2243</v>
      </c>
      <c r="K1491" s="88" t="s">
        <v>2836</v>
      </c>
      <c r="L1491" s="88" t="s">
        <v>2894</v>
      </c>
      <c r="M1491" s="83" t="s">
        <v>5595</v>
      </c>
      <c r="N1491" s="83" t="s">
        <v>5595</v>
      </c>
      <c r="O1491" s="89">
        <v>9</v>
      </c>
      <c r="P1491" s="90" t="e">
        <f>VLOOKUP(I1491,#REF!,2,0)</f>
        <v>#REF!</v>
      </c>
      <c r="Q1491" s="91"/>
      <c r="R1491" s="90"/>
      <c r="S1491" s="92"/>
      <c r="T1491" s="90"/>
      <c r="U1491" s="92"/>
      <c r="V1491" s="92"/>
      <c r="W1491" s="93">
        <v>1175</v>
      </c>
      <c r="X1491" s="94"/>
      <c r="Y1491" s="95"/>
      <c r="Z1491" s="95"/>
      <c r="AA1491" s="95"/>
      <c r="AB1491" s="95"/>
      <c r="AC1491" s="95"/>
      <c r="AD1491" s="95"/>
      <c r="AE1491" s="95"/>
      <c r="AF1491" s="95"/>
    </row>
    <row r="1492" spans="1:32">
      <c r="A1492" s="224" t="s">
        <v>4293</v>
      </c>
      <c r="B1492" s="233" t="s">
        <v>4294</v>
      </c>
      <c r="C1492" s="162" t="s">
        <v>2888</v>
      </c>
      <c r="D1492" s="86" t="e">
        <f>VLOOKUP(C1492,#REF!,2,0)</f>
        <v>#REF!</v>
      </c>
      <c r="E1492" s="20" t="e">
        <f>VLOOKUP(D1492,数据集标准分类!E:F,2,0)</f>
        <v>#REF!</v>
      </c>
      <c r="F1492" s="87">
        <v>54</v>
      </c>
      <c r="G1492" s="88" t="s">
        <v>2895</v>
      </c>
      <c r="H1492" s="88" t="s">
        <v>2896</v>
      </c>
      <c r="I1492" s="88" t="s">
        <v>2898</v>
      </c>
      <c r="J1492" s="88" t="s">
        <v>2896</v>
      </c>
      <c r="K1492" s="88" t="s">
        <v>2898</v>
      </c>
      <c r="L1492" s="88" t="s">
        <v>2899</v>
      </c>
      <c r="M1492" s="83" t="s">
        <v>5595</v>
      </c>
      <c r="N1492" s="83" t="s">
        <v>5595</v>
      </c>
      <c r="O1492" s="89">
        <v>10</v>
      </c>
      <c r="P1492" s="90" t="e">
        <f>VLOOKUP(I1492,#REF!,2,0)</f>
        <v>#REF!</v>
      </c>
      <c r="Q1492" s="91"/>
      <c r="R1492" s="90"/>
      <c r="S1492" s="92"/>
      <c r="T1492" s="90"/>
      <c r="U1492" s="92"/>
      <c r="V1492" s="92"/>
      <c r="W1492" s="93">
        <v>1176</v>
      </c>
      <c r="X1492" s="94"/>
      <c r="Y1492" s="95"/>
      <c r="Z1492" s="95"/>
      <c r="AA1492" s="95"/>
      <c r="AB1492" s="95"/>
      <c r="AC1492" s="95"/>
      <c r="AD1492" s="95"/>
      <c r="AE1492" s="95"/>
      <c r="AF1492" s="95"/>
    </row>
    <row r="1493" ht="31" spans="1:32">
      <c r="A1493" s="224" t="s">
        <v>4293</v>
      </c>
      <c r="B1493" s="233" t="s">
        <v>4294</v>
      </c>
      <c r="C1493" s="162" t="s">
        <v>2888</v>
      </c>
      <c r="D1493" s="86" t="e">
        <f>VLOOKUP(C1493,#REF!,2,0)</f>
        <v>#REF!</v>
      </c>
      <c r="E1493" s="20" t="e">
        <f>VLOOKUP(D1493,数据集标准分类!E:F,2,0)</f>
        <v>#REF!</v>
      </c>
      <c r="F1493" s="87">
        <v>54</v>
      </c>
      <c r="G1493" s="88" t="s">
        <v>1097</v>
      </c>
      <c r="H1493" s="88" t="s">
        <v>570</v>
      </c>
      <c r="I1493" s="88" t="s">
        <v>572</v>
      </c>
      <c r="J1493" s="88" t="s">
        <v>1098</v>
      </c>
      <c r="K1493" s="88" t="s">
        <v>1100</v>
      </c>
      <c r="L1493" s="88" t="s">
        <v>1225</v>
      </c>
      <c r="M1493" s="83" t="s">
        <v>5593</v>
      </c>
      <c r="N1493" s="83" t="s">
        <v>5593</v>
      </c>
      <c r="O1493" s="89">
        <v>11</v>
      </c>
      <c r="P1493" s="90" t="e">
        <f>VLOOKUP(I1493,#REF!,2,0)</f>
        <v>#REF!</v>
      </c>
      <c r="Q1493" s="91"/>
      <c r="R1493" s="90"/>
      <c r="S1493" s="92"/>
      <c r="T1493" s="90"/>
      <c r="U1493" s="92"/>
      <c r="V1493" s="92"/>
      <c r="W1493" s="93">
        <v>1177</v>
      </c>
      <c r="X1493" s="94"/>
      <c r="Y1493" s="95"/>
      <c r="Z1493" s="95"/>
      <c r="AA1493" s="95"/>
      <c r="AB1493" s="95"/>
      <c r="AC1493" s="95"/>
      <c r="AD1493" s="95"/>
      <c r="AE1493" s="95"/>
      <c r="AF1493" s="95"/>
    </row>
    <row r="1494" ht="31" spans="1:32">
      <c r="A1494" s="224" t="s">
        <v>4293</v>
      </c>
      <c r="B1494" s="233" t="s">
        <v>4294</v>
      </c>
      <c r="C1494" s="162" t="s">
        <v>2888</v>
      </c>
      <c r="D1494" s="86" t="e">
        <f>VLOOKUP(C1494,#REF!,2,0)</f>
        <v>#REF!</v>
      </c>
      <c r="E1494" s="20" t="e">
        <f>VLOOKUP(D1494,数据集标准分类!E:F,2,0)</f>
        <v>#REF!</v>
      </c>
      <c r="F1494" s="87">
        <v>54</v>
      </c>
      <c r="G1494" s="88" t="s">
        <v>2246</v>
      </c>
      <c r="H1494" s="88" t="s">
        <v>3115</v>
      </c>
      <c r="I1494" s="88" t="s">
        <v>2900</v>
      </c>
      <c r="J1494" s="88" t="s">
        <v>2247</v>
      </c>
      <c r="K1494" s="88" t="s">
        <v>2900</v>
      </c>
      <c r="L1494" s="88" t="s">
        <v>2901</v>
      </c>
      <c r="M1494" s="83" t="s">
        <v>5593</v>
      </c>
      <c r="N1494" s="83" t="s">
        <v>5595</v>
      </c>
      <c r="O1494" s="89">
        <v>12</v>
      </c>
      <c r="P1494" s="90" t="e">
        <f>VLOOKUP(I1494,#REF!,2,0)</f>
        <v>#REF!</v>
      </c>
      <c r="Q1494" s="91"/>
      <c r="R1494" s="90"/>
      <c r="S1494" s="92"/>
      <c r="T1494" s="90"/>
      <c r="U1494" s="92"/>
      <c r="V1494" s="92"/>
      <c r="W1494" s="93">
        <v>1178</v>
      </c>
      <c r="X1494" s="94"/>
      <c r="Y1494" s="95"/>
      <c r="Z1494" s="95"/>
      <c r="AA1494" s="95"/>
      <c r="AB1494" s="95"/>
      <c r="AC1494" s="95"/>
      <c r="AD1494" s="95"/>
      <c r="AE1494" s="95"/>
      <c r="AF1494" s="95"/>
    </row>
    <row r="1495" ht="31" spans="1:32">
      <c r="A1495" s="224" t="s">
        <v>4293</v>
      </c>
      <c r="B1495" s="233" t="s">
        <v>4294</v>
      </c>
      <c r="C1495" s="162" t="s">
        <v>2888</v>
      </c>
      <c r="D1495" s="86" t="e">
        <f>VLOOKUP(C1495,#REF!,2,0)</f>
        <v>#REF!</v>
      </c>
      <c r="E1495" s="20" t="e">
        <f>VLOOKUP(D1495,数据集标准分类!E:F,2,0)</f>
        <v>#REF!</v>
      </c>
      <c r="F1495" s="87">
        <v>54</v>
      </c>
      <c r="G1495" s="162" t="s">
        <v>2902</v>
      </c>
      <c r="H1495" s="162" t="s">
        <v>2903</v>
      </c>
      <c r="I1495" s="162" t="s">
        <v>2905</v>
      </c>
      <c r="J1495" s="88" t="s">
        <v>2903</v>
      </c>
      <c r="K1495" s="88" t="s">
        <v>2905</v>
      </c>
      <c r="L1495" s="88" t="s">
        <v>2906</v>
      </c>
      <c r="M1495" s="83" t="s">
        <v>5595</v>
      </c>
      <c r="N1495" s="83" t="s">
        <v>5595</v>
      </c>
      <c r="O1495" s="89">
        <v>13</v>
      </c>
      <c r="P1495" s="90" t="e">
        <f>VLOOKUP(I1495,#REF!,2,0)</f>
        <v>#REF!</v>
      </c>
      <c r="Q1495" s="91"/>
      <c r="R1495" s="90"/>
      <c r="S1495" s="92"/>
      <c r="T1495" s="90"/>
      <c r="U1495" s="92"/>
      <c r="V1495" s="92"/>
      <c r="W1495" s="93">
        <v>1179</v>
      </c>
      <c r="X1495" s="94"/>
      <c r="Y1495" s="95"/>
      <c r="Z1495" s="95"/>
      <c r="AA1495" s="95"/>
      <c r="AB1495" s="95"/>
      <c r="AC1495" s="95"/>
      <c r="AD1495" s="95"/>
      <c r="AE1495" s="95"/>
      <c r="AF1495" s="95"/>
    </row>
    <row r="1496" ht="31" spans="1:32">
      <c r="A1496" s="224" t="s">
        <v>4293</v>
      </c>
      <c r="B1496" s="233" t="s">
        <v>4294</v>
      </c>
      <c r="C1496" s="162" t="s">
        <v>2888</v>
      </c>
      <c r="D1496" s="86" t="e">
        <f>VLOOKUP(C1496,#REF!,2,0)</f>
        <v>#REF!</v>
      </c>
      <c r="E1496" s="20" t="e">
        <f>VLOOKUP(D1496,数据集标准分类!E:F,2,0)</f>
        <v>#REF!</v>
      </c>
      <c r="F1496" s="87">
        <v>54</v>
      </c>
      <c r="G1496" s="162" t="s">
        <v>2907</v>
      </c>
      <c r="H1496" s="162" t="s">
        <v>2908</v>
      </c>
      <c r="I1496" s="162" t="s">
        <v>2910</v>
      </c>
      <c r="J1496" s="88" t="s">
        <v>2908</v>
      </c>
      <c r="K1496" s="88" t="s">
        <v>2910</v>
      </c>
      <c r="L1496" s="88" t="s">
        <v>2911</v>
      </c>
      <c r="M1496" s="83" t="s">
        <v>5595</v>
      </c>
      <c r="N1496" s="83" t="s">
        <v>5595</v>
      </c>
      <c r="O1496" s="89">
        <v>14</v>
      </c>
      <c r="P1496" s="90" t="e">
        <f>VLOOKUP(I1496,#REF!,2,0)</f>
        <v>#REF!</v>
      </c>
      <c r="Q1496" s="91"/>
      <c r="R1496" s="90"/>
      <c r="S1496" s="92"/>
      <c r="T1496" s="90"/>
      <c r="U1496" s="92"/>
      <c r="V1496" s="92"/>
      <c r="W1496" s="93">
        <v>1180</v>
      </c>
      <c r="X1496" s="94"/>
      <c r="Y1496" s="95"/>
      <c r="Z1496" s="95"/>
      <c r="AA1496" s="95"/>
      <c r="AB1496" s="95"/>
      <c r="AC1496" s="95"/>
      <c r="AD1496" s="95"/>
      <c r="AE1496" s="95"/>
      <c r="AF1496" s="95"/>
    </row>
    <row r="1497" ht="46" spans="1:32">
      <c r="A1497" s="224" t="s">
        <v>4293</v>
      </c>
      <c r="B1497" s="233" t="s">
        <v>4294</v>
      </c>
      <c r="C1497" s="162" t="s">
        <v>2888</v>
      </c>
      <c r="D1497" s="86" t="e">
        <f>VLOOKUP(C1497,#REF!,2,0)</f>
        <v>#REF!</v>
      </c>
      <c r="E1497" s="20" t="e">
        <f>VLOOKUP(D1497,数据集标准分类!E:F,2,0)</f>
        <v>#REF!</v>
      </c>
      <c r="F1497" s="87">
        <v>54</v>
      </c>
      <c r="G1497" s="162" t="s">
        <v>2912</v>
      </c>
      <c r="H1497" s="162" t="s">
        <v>2913</v>
      </c>
      <c r="I1497" s="162" t="s">
        <v>2915</v>
      </c>
      <c r="J1497" s="88" t="s">
        <v>2913</v>
      </c>
      <c r="K1497" s="88" t="s">
        <v>2915</v>
      </c>
      <c r="L1497" s="88" t="s">
        <v>2916</v>
      </c>
      <c r="M1497" s="83" t="s">
        <v>5595</v>
      </c>
      <c r="N1497" s="83" t="s">
        <v>5595</v>
      </c>
      <c r="O1497" s="89">
        <v>15</v>
      </c>
      <c r="P1497" s="90" t="e">
        <f>VLOOKUP(I1497,#REF!,2,0)</f>
        <v>#REF!</v>
      </c>
      <c r="Q1497" s="91"/>
      <c r="R1497" s="90"/>
      <c r="S1497" s="92"/>
      <c r="T1497" s="90"/>
      <c r="U1497" s="92"/>
      <c r="V1497" s="92"/>
      <c r="W1497" s="93">
        <v>1181</v>
      </c>
      <c r="X1497" s="94"/>
      <c r="Y1497" s="95"/>
      <c r="Z1497" s="95"/>
      <c r="AA1497" s="95"/>
      <c r="AB1497" s="95"/>
      <c r="AC1497" s="95"/>
      <c r="AD1497" s="95"/>
      <c r="AE1497" s="95"/>
      <c r="AF1497" s="95"/>
    </row>
    <row r="1498" spans="1:32">
      <c r="A1498" s="224" t="s">
        <v>4293</v>
      </c>
      <c r="B1498" s="233" t="s">
        <v>4294</v>
      </c>
      <c r="C1498" s="162" t="s">
        <v>2888</v>
      </c>
      <c r="D1498" s="86" t="e">
        <f>VLOOKUP(C1498,#REF!,2,0)</f>
        <v>#REF!</v>
      </c>
      <c r="E1498" s="20" t="e">
        <f>VLOOKUP(D1498,数据集标准分类!E:F,2,0)</f>
        <v>#REF!</v>
      </c>
      <c r="F1498" s="87">
        <v>54</v>
      </c>
      <c r="G1498" s="162" t="s">
        <v>2917</v>
      </c>
      <c r="H1498" s="162" t="s">
        <v>2918</v>
      </c>
      <c r="I1498" s="162" t="s">
        <v>2920</v>
      </c>
      <c r="J1498" s="88" t="s">
        <v>2918</v>
      </c>
      <c r="K1498" s="88" t="s">
        <v>2920</v>
      </c>
      <c r="L1498" s="88" t="s">
        <v>2921</v>
      </c>
      <c r="M1498" s="83" t="s">
        <v>5595</v>
      </c>
      <c r="N1498" s="83" t="s">
        <v>5595</v>
      </c>
      <c r="O1498" s="89">
        <v>16</v>
      </c>
      <c r="P1498" s="90" t="e">
        <f>VLOOKUP(I1498,#REF!,2,0)</f>
        <v>#REF!</v>
      </c>
      <c r="Q1498" s="91"/>
      <c r="R1498" s="90"/>
      <c r="S1498" s="92"/>
      <c r="T1498" s="90"/>
      <c r="U1498" s="92"/>
      <c r="V1498" s="92"/>
      <c r="W1498" s="93">
        <v>1182</v>
      </c>
      <c r="X1498" s="94"/>
      <c r="Y1498" s="95"/>
      <c r="Z1498" s="95"/>
      <c r="AA1498" s="95"/>
      <c r="AB1498" s="95"/>
      <c r="AC1498" s="95"/>
      <c r="AD1498" s="95"/>
      <c r="AE1498" s="95"/>
      <c r="AF1498" s="95"/>
    </row>
    <row r="1499" ht="31" spans="1:32">
      <c r="A1499" s="224" t="s">
        <v>4293</v>
      </c>
      <c r="B1499" s="233" t="s">
        <v>4294</v>
      </c>
      <c r="C1499" s="162" t="s">
        <v>2888</v>
      </c>
      <c r="D1499" s="86" t="e">
        <f>VLOOKUP(C1499,#REF!,2,0)</f>
        <v>#REF!</v>
      </c>
      <c r="E1499" s="20" t="e">
        <f>VLOOKUP(D1499,数据集标准分类!E:F,2,0)</f>
        <v>#REF!</v>
      </c>
      <c r="F1499" s="87">
        <v>54</v>
      </c>
      <c r="G1499" s="162" t="s">
        <v>2922</v>
      </c>
      <c r="H1499" s="162" t="s">
        <v>2923</v>
      </c>
      <c r="I1499" s="162" t="s">
        <v>2925</v>
      </c>
      <c r="J1499" s="88" t="s">
        <v>2923</v>
      </c>
      <c r="K1499" s="88" t="s">
        <v>2925</v>
      </c>
      <c r="L1499" s="88" t="s">
        <v>573</v>
      </c>
      <c r="M1499" s="83" t="s">
        <v>5595</v>
      </c>
      <c r="N1499" s="83" t="s">
        <v>5595</v>
      </c>
      <c r="O1499" s="89">
        <v>17</v>
      </c>
      <c r="P1499" s="90" t="e">
        <f>VLOOKUP(I1499,#REF!,2,0)</f>
        <v>#REF!</v>
      </c>
      <c r="Q1499" s="91"/>
      <c r="R1499" s="90"/>
      <c r="S1499" s="92"/>
      <c r="T1499" s="90"/>
      <c r="U1499" s="92"/>
      <c r="V1499" s="92"/>
      <c r="W1499" s="93">
        <v>1183</v>
      </c>
      <c r="X1499" s="94"/>
      <c r="Y1499" s="95"/>
      <c r="Z1499" s="95"/>
      <c r="AA1499" s="95"/>
      <c r="AB1499" s="95"/>
      <c r="AC1499" s="95"/>
      <c r="AD1499" s="95"/>
      <c r="AE1499" s="95"/>
      <c r="AF1499" s="95"/>
    </row>
    <row r="1500" ht="31" spans="1:32">
      <c r="A1500" s="224" t="s">
        <v>4293</v>
      </c>
      <c r="B1500" s="233" t="s">
        <v>4294</v>
      </c>
      <c r="C1500" s="162" t="s">
        <v>2888</v>
      </c>
      <c r="D1500" s="86" t="e">
        <f>VLOOKUP(C1500,#REF!,2,0)</f>
        <v>#REF!</v>
      </c>
      <c r="E1500" s="20" t="e">
        <f>VLOOKUP(D1500,数据集标准分类!E:F,2,0)</f>
        <v>#REF!</v>
      </c>
      <c r="F1500" s="87">
        <v>54</v>
      </c>
      <c r="G1500" s="88" t="s">
        <v>574</v>
      </c>
      <c r="H1500" s="88" t="s">
        <v>5907</v>
      </c>
      <c r="I1500" s="88" t="s">
        <v>577</v>
      </c>
      <c r="J1500" s="88" t="s">
        <v>575</v>
      </c>
      <c r="K1500" s="88" t="s">
        <v>577</v>
      </c>
      <c r="L1500" s="88" t="s">
        <v>578</v>
      </c>
      <c r="M1500" s="83" t="s">
        <v>5593</v>
      </c>
      <c r="N1500" s="83" t="s">
        <v>5595</v>
      </c>
      <c r="O1500" s="89">
        <v>18</v>
      </c>
      <c r="P1500" s="90" t="e">
        <f>VLOOKUP(I1500,#REF!,2,0)</f>
        <v>#REF!</v>
      </c>
      <c r="Q1500" s="91"/>
      <c r="R1500" s="90"/>
      <c r="S1500" s="92"/>
      <c r="T1500" s="90"/>
      <c r="U1500" s="92"/>
      <c r="V1500" s="92"/>
      <c r="W1500" s="93">
        <v>1184</v>
      </c>
      <c r="X1500" s="94"/>
      <c r="Y1500" s="95"/>
      <c r="Z1500" s="95"/>
      <c r="AA1500" s="95"/>
      <c r="AB1500" s="95"/>
      <c r="AC1500" s="95"/>
      <c r="AD1500" s="95"/>
      <c r="AE1500" s="95"/>
      <c r="AF1500" s="95"/>
    </row>
    <row r="1501" ht="46" spans="1:32">
      <c r="A1501" s="45" t="s">
        <v>4293</v>
      </c>
      <c r="B1501" s="235" t="s">
        <v>4294</v>
      </c>
      <c r="C1501" s="29" t="s">
        <v>2888</v>
      </c>
      <c r="D1501" s="19" t="e">
        <f>VLOOKUP(C1501,#REF!,2,0)</f>
        <v>#REF!</v>
      </c>
      <c r="E1501" s="45" t="e">
        <f>VLOOKUP(D1501,数据集标准分类!E:F,2,0)</f>
        <v>#REF!</v>
      </c>
      <c r="F1501" s="21">
        <v>56</v>
      </c>
      <c r="G1501" s="22" t="s">
        <v>152</v>
      </c>
      <c r="H1501" s="22" t="s">
        <v>5905</v>
      </c>
      <c r="I1501" s="22" t="s">
        <v>5906</v>
      </c>
      <c r="J1501" s="22" t="s">
        <v>153</v>
      </c>
      <c r="K1501" s="22" t="s">
        <v>155</v>
      </c>
      <c r="L1501" s="22" t="s">
        <v>156</v>
      </c>
      <c r="M1501" s="24" t="s">
        <v>5593</v>
      </c>
      <c r="N1501" s="24" t="s">
        <v>5593</v>
      </c>
      <c r="O1501" s="46">
        <v>5</v>
      </c>
      <c r="P1501" s="24" t="e">
        <f>VLOOKUP(I1501,#REF!,2,0)</f>
        <v>#REF!</v>
      </c>
      <c r="Q1501" s="47"/>
      <c r="R1501" s="24"/>
      <c r="S1501" s="48"/>
      <c r="T1501" s="24"/>
      <c r="U1501" s="48"/>
      <c r="V1501" s="48"/>
      <c r="W1501" s="27">
        <v>1185</v>
      </c>
      <c r="X1501" s="28"/>
      <c r="Y1501" s="5"/>
      <c r="Z1501" s="5"/>
      <c r="AA1501" s="5"/>
      <c r="AB1501" s="5"/>
      <c r="AC1501" s="5"/>
      <c r="AD1501" s="5"/>
      <c r="AE1501" s="5"/>
      <c r="AF1501" s="5"/>
    </row>
    <row r="1502" ht="46" spans="1:32">
      <c r="A1502" s="45" t="s">
        <v>4293</v>
      </c>
      <c r="B1502" s="235" t="s">
        <v>4294</v>
      </c>
      <c r="C1502" s="29" t="s">
        <v>2888</v>
      </c>
      <c r="D1502" s="19" t="e">
        <f>VLOOKUP(C1502,#REF!,2,0)</f>
        <v>#REF!</v>
      </c>
      <c r="E1502" s="45" t="e">
        <f>VLOOKUP(D1502,数据集标准分类!E:F,2,0)</f>
        <v>#REF!</v>
      </c>
      <c r="F1502" s="21">
        <v>56</v>
      </c>
      <c r="G1502" s="22" t="s">
        <v>157</v>
      </c>
      <c r="H1502" s="22" t="s">
        <v>158</v>
      </c>
      <c r="I1502" s="22" t="s">
        <v>5955</v>
      </c>
      <c r="J1502" s="22" t="s">
        <v>158</v>
      </c>
      <c r="K1502" s="22" t="s">
        <v>160</v>
      </c>
      <c r="L1502" s="22" t="s">
        <v>161</v>
      </c>
      <c r="M1502" s="24" t="s">
        <v>5595</v>
      </c>
      <c r="N1502" s="24" t="s">
        <v>5593</v>
      </c>
      <c r="O1502" s="46">
        <v>6</v>
      </c>
      <c r="P1502" s="24" t="e">
        <f>VLOOKUP(I1502,#REF!,2,0)</f>
        <v>#REF!</v>
      </c>
      <c r="Q1502" s="47"/>
      <c r="R1502" s="24"/>
      <c r="S1502" s="48"/>
      <c r="T1502" s="24"/>
      <c r="U1502" s="48"/>
      <c r="V1502" s="48"/>
      <c r="W1502" s="27">
        <v>1186</v>
      </c>
      <c r="X1502" s="28"/>
      <c r="Y1502" s="5"/>
      <c r="Z1502" s="5"/>
      <c r="AA1502" s="5"/>
      <c r="AB1502" s="5"/>
      <c r="AC1502" s="5"/>
      <c r="AD1502" s="5"/>
      <c r="AE1502" s="5"/>
      <c r="AF1502" s="5"/>
    </row>
    <row r="1503" ht="31" spans="1:32">
      <c r="A1503" s="16" t="s">
        <v>4167</v>
      </c>
      <c r="B1503" s="17" t="s">
        <v>4168</v>
      </c>
      <c r="C1503" s="30" t="s">
        <v>16</v>
      </c>
      <c r="D1503" s="19" t="e">
        <f>VLOOKUP(C1503,#REF!,2,0)</f>
        <v>#REF!</v>
      </c>
      <c r="E1503" s="20" t="e">
        <f>VLOOKUP(D1503,数据集标准分类!E:F,2,0)</f>
        <v>#REF!</v>
      </c>
      <c r="F1503" s="21">
        <v>54</v>
      </c>
      <c r="G1503" s="22" t="s">
        <v>51</v>
      </c>
      <c r="H1503" s="22" t="s">
        <v>52</v>
      </c>
      <c r="I1503" s="22" t="s">
        <v>54</v>
      </c>
      <c r="J1503" s="22" t="s">
        <v>52</v>
      </c>
      <c r="K1503" s="22" t="s">
        <v>54</v>
      </c>
      <c r="L1503" s="22" t="s">
        <v>55</v>
      </c>
      <c r="M1503" s="16" t="s">
        <v>5595</v>
      </c>
      <c r="N1503" s="16" t="s">
        <v>5595</v>
      </c>
      <c r="O1503" s="23">
        <v>19</v>
      </c>
      <c r="P1503" s="24" t="e">
        <f>VLOOKUP(I1503,#REF!,2,0)</f>
        <v>#REF!</v>
      </c>
      <c r="Q1503" s="25"/>
      <c r="R1503" s="24"/>
      <c r="S1503" s="26"/>
      <c r="T1503" s="24"/>
      <c r="U1503" s="26"/>
      <c r="V1503" s="26"/>
      <c r="W1503" s="27">
        <v>1187</v>
      </c>
      <c r="X1503" s="28"/>
    </row>
    <row r="1504" ht="31" spans="1:32">
      <c r="A1504" s="16" t="s">
        <v>4167</v>
      </c>
      <c r="B1504" s="17" t="s">
        <v>4168</v>
      </c>
      <c r="C1504" s="30" t="s">
        <v>16</v>
      </c>
      <c r="D1504" s="19" t="e">
        <f>VLOOKUP(C1504,#REF!,2,0)</f>
        <v>#REF!</v>
      </c>
      <c r="E1504" s="20" t="e">
        <f>VLOOKUP(D1504,数据集标准分类!E:F,2,0)</f>
        <v>#REF!</v>
      </c>
      <c r="F1504" s="21">
        <v>54</v>
      </c>
      <c r="G1504" s="22" t="s">
        <v>56</v>
      </c>
      <c r="H1504" s="22" t="s">
        <v>5929</v>
      </c>
      <c r="I1504" s="22" t="s">
        <v>5930</v>
      </c>
      <c r="J1504" s="22" t="s">
        <v>57</v>
      </c>
      <c r="K1504" s="22" t="s">
        <v>59</v>
      </c>
      <c r="L1504" s="22" t="s">
        <v>60</v>
      </c>
      <c r="M1504" s="16" t="s">
        <v>5593</v>
      </c>
      <c r="N1504" s="16" t="s">
        <v>5593</v>
      </c>
      <c r="O1504" s="23">
        <v>20</v>
      </c>
      <c r="P1504" s="24" t="e">
        <f>VLOOKUP(I1504,#REF!,2,0)</f>
        <v>#REF!</v>
      </c>
      <c r="Q1504" s="25"/>
      <c r="R1504" s="24"/>
      <c r="S1504" s="26"/>
      <c r="T1504" s="24"/>
      <c r="U1504" s="26"/>
      <c r="V1504" s="26"/>
      <c r="W1504" s="27">
        <v>1188</v>
      </c>
      <c r="X1504" s="28"/>
    </row>
    <row r="1505" ht="31" spans="1:32">
      <c r="A1505" s="16" t="s">
        <v>4167</v>
      </c>
      <c r="B1505" s="17" t="s">
        <v>4168</v>
      </c>
      <c r="C1505" s="30" t="s">
        <v>16</v>
      </c>
      <c r="D1505" s="19" t="e">
        <f>VLOOKUP(C1506,#REF!,2,0)</f>
        <v>#REF!</v>
      </c>
      <c r="E1505" s="20" t="e">
        <f>VLOOKUP(D1505,数据集标准分类!E:F,2,0)</f>
        <v>#REF!</v>
      </c>
      <c r="F1505" s="21">
        <v>54</v>
      </c>
      <c r="G1505" s="22" t="s">
        <v>61</v>
      </c>
      <c r="H1505" s="22" t="s">
        <v>62</v>
      </c>
      <c r="I1505" s="22" t="s">
        <v>64</v>
      </c>
      <c r="J1505" s="22" t="s">
        <v>62</v>
      </c>
      <c r="K1505" s="22" t="s">
        <v>64</v>
      </c>
      <c r="L1505" s="22" t="s">
        <v>65</v>
      </c>
      <c r="M1505" s="16" t="s">
        <v>5595</v>
      </c>
      <c r="N1505" s="16" t="s">
        <v>5595</v>
      </c>
      <c r="O1505" s="23">
        <v>21</v>
      </c>
      <c r="P1505" s="24" t="e">
        <f>VLOOKUP(I1505,#REF!,2,0)</f>
        <v>#REF!</v>
      </c>
      <c r="Q1505" s="25"/>
      <c r="R1505" s="24"/>
      <c r="S1505" s="26" t="s">
        <v>5593</v>
      </c>
      <c r="T1505" s="24"/>
      <c r="U1505" s="26"/>
      <c r="V1505" s="26"/>
      <c r="W1505" s="27">
        <v>1189</v>
      </c>
      <c r="X1505" s="28"/>
    </row>
    <row r="1506" ht="36" customHeight="1" spans="1:32">
      <c r="A1506" s="83" t="s">
        <v>4167</v>
      </c>
      <c r="B1506" s="84" t="s">
        <v>4168</v>
      </c>
      <c r="C1506" s="85" t="s">
        <v>16</v>
      </c>
      <c r="D1506" s="236" t="e">
        <f>VLOOKUP(C1507,#REF!,2,0)</f>
        <v>#REF!</v>
      </c>
      <c r="E1506" s="20" t="e">
        <f>VLOOKUP(D1506,数据集标准分类!E:F,2,0)</f>
        <v>#REF!</v>
      </c>
      <c r="F1506" s="237">
        <v>54</v>
      </c>
      <c r="G1506" s="238" t="s">
        <v>66</v>
      </c>
      <c r="H1506" s="238" t="s">
        <v>6184</v>
      </c>
      <c r="I1506" s="238" t="s">
        <v>69</v>
      </c>
      <c r="J1506" s="239" t="s">
        <v>67</v>
      </c>
      <c r="K1506" s="239" t="s">
        <v>69</v>
      </c>
      <c r="L1506" s="239" t="s">
        <v>70</v>
      </c>
      <c r="M1506" s="83" t="s">
        <v>5593</v>
      </c>
      <c r="N1506" s="83" t="s">
        <v>5595</v>
      </c>
      <c r="O1506" s="89">
        <v>22</v>
      </c>
      <c r="P1506" s="90" t="e">
        <f>VLOOKUP(I1506,#REF!,2,0)</f>
        <v>#REF!</v>
      </c>
      <c r="Q1506" s="91"/>
      <c r="R1506" s="90"/>
      <c r="S1506" s="92"/>
      <c r="T1506" s="90"/>
      <c r="U1506" s="92"/>
      <c r="V1506" s="92"/>
      <c r="W1506" s="93">
        <v>1190</v>
      </c>
      <c r="X1506" s="94"/>
      <c r="Y1506" s="95"/>
      <c r="Z1506" s="95"/>
      <c r="AA1506" s="95"/>
      <c r="AB1506" s="95"/>
      <c r="AC1506" s="95"/>
      <c r="AD1506" s="95"/>
      <c r="AE1506" s="95"/>
      <c r="AF1506" s="95"/>
    </row>
    <row r="1507" ht="46" spans="1:32">
      <c r="A1507" s="16" t="s">
        <v>4167</v>
      </c>
      <c r="B1507" s="17" t="s">
        <v>4168</v>
      </c>
      <c r="C1507" s="30" t="s">
        <v>16</v>
      </c>
      <c r="D1507" s="19" t="e">
        <f>VLOOKUP(C1507,#REF!,2,0)</f>
        <v>#REF!</v>
      </c>
      <c r="E1507" s="20" t="e">
        <f>VLOOKUP(D1507,数据集标准分类!E:F,2,0)</f>
        <v>#REF!</v>
      </c>
      <c r="F1507" s="21">
        <v>54</v>
      </c>
      <c r="G1507" s="22" t="s">
        <v>71</v>
      </c>
      <c r="H1507" s="22" t="s">
        <v>72</v>
      </c>
      <c r="I1507" s="22" t="s">
        <v>74</v>
      </c>
      <c r="J1507" s="22" t="s">
        <v>72</v>
      </c>
      <c r="K1507" s="22" t="s">
        <v>74</v>
      </c>
      <c r="L1507" s="22" t="s">
        <v>75</v>
      </c>
      <c r="M1507" s="16" t="s">
        <v>5595</v>
      </c>
      <c r="N1507" s="16" t="s">
        <v>5595</v>
      </c>
      <c r="O1507" s="23">
        <v>23</v>
      </c>
      <c r="P1507" s="24" t="e">
        <f>VLOOKUP(I1507,#REF!,2,0)</f>
        <v>#REF!</v>
      </c>
      <c r="Q1507" s="25"/>
      <c r="R1507" s="24"/>
      <c r="S1507" s="26" t="s">
        <v>5593</v>
      </c>
      <c r="T1507" s="24"/>
      <c r="U1507" s="26"/>
      <c r="V1507" s="26"/>
      <c r="W1507" s="27">
        <v>1191</v>
      </c>
      <c r="X1507" s="28"/>
    </row>
    <row r="1508" ht="61" spans="1:32">
      <c r="A1508" s="83" t="s">
        <v>4167</v>
      </c>
      <c r="B1508" s="84" t="s">
        <v>4168</v>
      </c>
      <c r="C1508" s="85" t="s">
        <v>76</v>
      </c>
      <c r="D1508" s="86" t="e">
        <f>VLOOKUP(C1508,#REF!,2,0)</f>
        <v>#REF!</v>
      </c>
      <c r="E1508" s="20" t="e">
        <f>VLOOKUP(D1508,数据集标准分类!E:F,2,0)</f>
        <v>#REF!</v>
      </c>
      <c r="F1508" s="87">
        <v>55</v>
      </c>
      <c r="G1508" s="88" t="s">
        <v>77</v>
      </c>
      <c r="H1508" s="88" t="s">
        <v>5686</v>
      </c>
      <c r="I1508" s="88" t="s">
        <v>80</v>
      </c>
      <c r="J1508" s="88" t="s">
        <v>78</v>
      </c>
      <c r="K1508" s="88" t="s">
        <v>80</v>
      </c>
      <c r="L1508" s="88" t="s">
        <v>81</v>
      </c>
      <c r="M1508" s="83" t="s">
        <v>5593</v>
      </c>
      <c r="N1508" s="83" t="s">
        <v>5595</v>
      </c>
      <c r="O1508" s="89">
        <v>1</v>
      </c>
      <c r="P1508" s="90" t="e">
        <f>VLOOKUP(I1508,#REF!,2,0)</f>
        <v>#REF!</v>
      </c>
      <c r="Q1508" s="91"/>
      <c r="R1508" s="90"/>
      <c r="S1508" s="92"/>
      <c r="T1508" s="90"/>
      <c r="U1508" s="92"/>
      <c r="V1508" s="92"/>
      <c r="W1508" s="93">
        <v>1192</v>
      </c>
      <c r="X1508" s="94"/>
      <c r="Y1508" s="95"/>
      <c r="Z1508" s="95"/>
      <c r="AA1508" s="95"/>
      <c r="AB1508" s="95"/>
      <c r="AC1508" s="95"/>
      <c r="AD1508" s="95"/>
      <c r="AE1508" s="95"/>
      <c r="AF1508" s="95"/>
    </row>
    <row r="1509" ht="46" spans="1:32">
      <c r="A1509" s="16" t="s">
        <v>4167</v>
      </c>
      <c r="B1509" s="17" t="s">
        <v>4168</v>
      </c>
      <c r="C1509" s="30" t="s">
        <v>76</v>
      </c>
      <c r="D1509" s="19" t="e">
        <f>VLOOKUP(C1509,#REF!,2,0)</f>
        <v>#REF!</v>
      </c>
      <c r="E1509" s="20" t="e">
        <f>VLOOKUP(D1509,数据集标准分类!E:F,2,0)</f>
        <v>#REF!</v>
      </c>
      <c r="F1509" s="21">
        <v>55</v>
      </c>
      <c r="G1509" s="22" t="s">
        <v>82</v>
      </c>
      <c r="H1509" s="22" t="s">
        <v>5687</v>
      </c>
      <c r="I1509" s="22" t="s">
        <v>85</v>
      </c>
      <c r="J1509" s="22" t="s">
        <v>83</v>
      </c>
      <c r="K1509" s="22" t="s">
        <v>85</v>
      </c>
      <c r="L1509" s="22" t="s">
        <v>86</v>
      </c>
      <c r="M1509" s="16" t="s">
        <v>5593</v>
      </c>
      <c r="N1509" s="16" t="s">
        <v>5595</v>
      </c>
      <c r="O1509" s="23">
        <v>2</v>
      </c>
      <c r="P1509" s="24" t="e">
        <f>VLOOKUP(I1509,#REF!,2,0)</f>
        <v>#REF!</v>
      </c>
      <c r="Q1509" s="25"/>
      <c r="R1509" s="24"/>
      <c r="S1509" s="26"/>
      <c r="T1509" s="24"/>
      <c r="U1509" s="26"/>
      <c r="V1509" s="26"/>
      <c r="W1509" s="27">
        <v>1193</v>
      </c>
      <c r="X1509" s="28"/>
    </row>
    <row r="1510" ht="31" spans="1:32">
      <c r="A1510" s="83" t="s">
        <v>4167</v>
      </c>
      <c r="B1510" s="84" t="s">
        <v>4168</v>
      </c>
      <c r="C1510" s="85" t="s">
        <v>76</v>
      </c>
      <c r="D1510" s="86" t="e">
        <f>VLOOKUP(C1510,#REF!,2,0)</f>
        <v>#REF!</v>
      </c>
      <c r="E1510" s="20" t="e">
        <f>VLOOKUP(D1510,数据集标准分类!E:F,2,0)</f>
        <v>#REF!</v>
      </c>
      <c r="F1510" s="87">
        <v>55</v>
      </c>
      <c r="G1510" s="88" t="s">
        <v>87</v>
      </c>
      <c r="H1510" s="88" t="s">
        <v>5936</v>
      </c>
      <c r="I1510" s="88" t="s">
        <v>90</v>
      </c>
      <c r="J1510" s="88" t="s">
        <v>88</v>
      </c>
      <c r="K1510" s="88" t="s">
        <v>90</v>
      </c>
      <c r="L1510" s="88" t="s">
        <v>91</v>
      </c>
      <c r="M1510" s="83" t="s">
        <v>5593</v>
      </c>
      <c r="N1510" s="83" t="s">
        <v>5595</v>
      </c>
      <c r="O1510" s="89">
        <v>3</v>
      </c>
      <c r="P1510" s="90" t="e">
        <f>VLOOKUP(I1510,#REF!,2,0)</f>
        <v>#REF!</v>
      </c>
      <c r="Q1510" s="91"/>
      <c r="R1510" s="90"/>
      <c r="S1510" s="92"/>
      <c r="T1510" s="90"/>
      <c r="U1510" s="92"/>
      <c r="V1510" s="92"/>
      <c r="W1510" s="93">
        <v>1194</v>
      </c>
      <c r="X1510" s="94"/>
      <c r="Y1510" s="95"/>
      <c r="Z1510" s="95"/>
      <c r="AA1510" s="95"/>
      <c r="AB1510" s="95"/>
      <c r="AC1510" s="95"/>
      <c r="AD1510" s="95"/>
      <c r="AE1510" s="95"/>
      <c r="AF1510" s="95"/>
    </row>
    <row r="1511" ht="46" spans="1:32">
      <c r="A1511" s="83" t="s">
        <v>4167</v>
      </c>
      <c r="B1511" s="84" t="s">
        <v>4168</v>
      </c>
      <c r="C1511" s="85" t="s">
        <v>76</v>
      </c>
      <c r="D1511" s="86" t="e">
        <f>VLOOKUP(C1511,#REF!,2,0)</f>
        <v>#REF!</v>
      </c>
      <c r="E1511" s="20" t="e">
        <f>VLOOKUP(D1511,数据集标准分类!E:F,2,0)</f>
        <v>#REF!</v>
      </c>
      <c r="F1511" s="87">
        <v>55</v>
      </c>
      <c r="G1511" s="88" t="s">
        <v>92</v>
      </c>
      <c r="H1511" s="88" t="s">
        <v>5939</v>
      </c>
      <c r="I1511" s="88" t="s">
        <v>95</v>
      </c>
      <c r="J1511" s="88" t="s">
        <v>93</v>
      </c>
      <c r="K1511" s="88" t="s">
        <v>95</v>
      </c>
      <c r="L1511" s="88" t="s">
        <v>96</v>
      </c>
      <c r="M1511" s="83" t="s">
        <v>5593</v>
      </c>
      <c r="N1511" s="83" t="s">
        <v>5595</v>
      </c>
      <c r="O1511" s="89">
        <v>4</v>
      </c>
      <c r="P1511" s="90" t="e">
        <f>VLOOKUP(I1511,#REF!,2,0)</f>
        <v>#REF!</v>
      </c>
      <c r="Q1511" s="91"/>
      <c r="R1511" s="90"/>
      <c r="S1511" s="92"/>
      <c r="T1511" s="90"/>
      <c r="U1511" s="92"/>
      <c r="V1511" s="92"/>
      <c r="W1511" s="93">
        <v>1195</v>
      </c>
      <c r="X1511" s="94"/>
      <c r="Y1511" s="95"/>
      <c r="Z1511" s="95"/>
      <c r="AA1511" s="95"/>
      <c r="AB1511" s="95"/>
      <c r="AC1511" s="95"/>
      <c r="AD1511" s="95"/>
      <c r="AE1511" s="95"/>
      <c r="AF1511" s="95"/>
    </row>
    <row r="1512" ht="31" spans="1:32">
      <c r="A1512" s="83" t="s">
        <v>4167</v>
      </c>
      <c r="B1512" s="84" t="s">
        <v>4168</v>
      </c>
      <c r="C1512" s="85" t="s">
        <v>76</v>
      </c>
      <c r="D1512" s="86" t="e">
        <f>VLOOKUP(C1512,#REF!,2,0)</f>
        <v>#REF!</v>
      </c>
      <c r="E1512" s="20" t="e">
        <f>VLOOKUP(D1512,数据集标准分类!E:F,2,0)</f>
        <v>#REF!</v>
      </c>
      <c r="F1512" s="87">
        <v>55</v>
      </c>
      <c r="G1512" s="88" t="s">
        <v>97</v>
      </c>
      <c r="H1512" s="88" t="s">
        <v>5755</v>
      </c>
      <c r="I1512" s="88" t="s">
        <v>100</v>
      </c>
      <c r="J1512" s="88" t="s">
        <v>98</v>
      </c>
      <c r="K1512" s="88" t="s">
        <v>100</v>
      </c>
      <c r="L1512" s="88" t="s">
        <v>101</v>
      </c>
      <c r="M1512" s="83" t="s">
        <v>5593</v>
      </c>
      <c r="N1512" s="83" t="s">
        <v>5595</v>
      </c>
      <c r="O1512" s="89">
        <v>5</v>
      </c>
      <c r="P1512" s="90" t="e">
        <f>VLOOKUP(I1512,#REF!,2,0)</f>
        <v>#REF!</v>
      </c>
      <c r="Q1512" s="91"/>
      <c r="R1512" s="90"/>
      <c r="S1512" s="92"/>
      <c r="T1512" s="90"/>
      <c r="U1512" s="92"/>
      <c r="V1512" s="92"/>
      <c r="W1512" s="93">
        <v>1196</v>
      </c>
      <c r="X1512" s="94"/>
      <c r="Y1512" s="95"/>
      <c r="Z1512" s="95"/>
      <c r="AA1512" s="95"/>
      <c r="AB1512" s="95"/>
      <c r="AC1512" s="95"/>
      <c r="AD1512" s="95"/>
      <c r="AE1512" s="95"/>
      <c r="AF1512" s="95"/>
    </row>
    <row r="1513" ht="31" spans="1:32">
      <c r="A1513" s="83" t="s">
        <v>4167</v>
      </c>
      <c r="B1513" s="84" t="s">
        <v>4168</v>
      </c>
      <c r="C1513" s="85" t="s">
        <v>76</v>
      </c>
      <c r="D1513" s="86" t="e">
        <f>VLOOKUP(C1513,#REF!,2,0)</f>
        <v>#REF!</v>
      </c>
      <c r="E1513" s="20" t="e">
        <f>VLOOKUP(D1513,数据集标准分类!E:F,2,0)</f>
        <v>#REF!</v>
      </c>
      <c r="F1513" s="87">
        <v>55</v>
      </c>
      <c r="G1513" s="88" t="s">
        <v>102</v>
      </c>
      <c r="H1513" s="88" t="s">
        <v>5756</v>
      </c>
      <c r="I1513" s="88" t="s">
        <v>105</v>
      </c>
      <c r="J1513" s="88" t="s">
        <v>103</v>
      </c>
      <c r="K1513" s="88" t="s">
        <v>105</v>
      </c>
      <c r="L1513" s="88" t="s">
        <v>106</v>
      </c>
      <c r="M1513" s="83" t="s">
        <v>5593</v>
      </c>
      <c r="N1513" s="83" t="s">
        <v>5595</v>
      </c>
      <c r="O1513" s="89">
        <v>6</v>
      </c>
      <c r="P1513" s="90" t="e">
        <f>VLOOKUP(I1513,#REF!,2,0)</f>
        <v>#REF!</v>
      </c>
      <c r="Q1513" s="91"/>
      <c r="R1513" s="90"/>
      <c r="S1513" s="92"/>
      <c r="T1513" s="90"/>
      <c r="U1513" s="92"/>
      <c r="V1513" s="92"/>
      <c r="W1513" s="93">
        <v>1197</v>
      </c>
      <c r="X1513" s="94"/>
      <c r="Y1513" s="95"/>
      <c r="Z1513" s="95"/>
      <c r="AA1513" s="95"/>
      <c r="AB1513" s="95"/>
      <c r="AC1513" s="95"/>
      <c r="AD1513" s="95"/>
      <c r="AE1513" s="95"/>
      <c r="AF1513" s="95"/>
    </row>
    <row r="1514" ht="31" spans="1:32">
      <c r="A1514" s="83" t="s">
        <v>4167</v>
      </c>
      <c r="B1514" s="84" t="s">
        <v>4168</v>
      </c>
      <c r="C1514" s="85" t="s">
        <v>76</v>
      </c>
      <c r="D1514" s="86" t="e">
        <f>VLOOKUP(C1514,#REF!,2,0)</f>
        <v>#REF!</v>
      </c>
      <c r="E1514" s="20" t="e">
        <f>VLOOKUP(D1514,数据集标准分类!E:F,2,0)</f>
        <v>#REF!</v>
      </c>
      <c r="F1514" s="87">
        <v>55</v>
      </c>
      <c r="G1514" s="88" t="s">
        <v>107</v>
      </c>
      <c r="H1514" s="88" t="s">
        <v>5940</v>
      </c>
      <c r="I1514" s="88" t="s">
        <v>110</v>
      </c>
      <c r="J1514" s="88" t="s">
        <v>108</v>
      </c>
      <c r="K1514" s="88" t="s">
        <v>110</v>
      </c>
      <c r="L1514" s="88" t="s">
        <v>111</v>
      </c>
      <c r="M1514" s="83" t="s">
        <v>5593</v>
      </c>
      <c r="N1514" s="83" t="s">
        <v>5595</v>
      </c>
      <c r="O1514" s="89">
        <v>7</v>
      </c>
      <c r="P1514" s="90" t="e">
        <f>VLOOKUP(I1514,#REF!,2,0)</f>
        <v>#REF!</v>
      </c>
      <c r="Q1514" s="91"/>
      <c r="R1514" s="90"/>
      <c r="S1514" s="92"/>
      <c r="T1514" s="90"/>
      <c r="U1514" s="92"/>
      <c r="V1514" s="92"/>
      <c r="W1514" s="93">
        <v>1198</v>
      </c>
      <c r="X1514" s="94"/>
      <c r="Y1514" s="95"/>
      <c r="Z1514" s="95"/>
      <c r="AA1514" s="95"/>
      <c r="AB1514" s="95"/>
      <c r="AC1514" s="95"/>
      <c r="AD1514" s="95"/>
      <c r="AE1514" s="95"/>
      <c r="AF1514" s="95"/>
    </row>
    <row r="1515" ht="31" spans="1:32">
      <c r="A1515" s="83" t="s">
        <v>4167</v>
      </c>
      <c r="B1515" s="84" t="s">
        <v>4168</v>
      </c>
      <c r="C1515" s="85" t="s">
        <v>76</v>
      </c>
      <c r="D1515" s="86" t="e">
        <f>VLOOKUP(C1515,#REF!,2,0)</f>
        <v>#REF!</v>
      </c>
      <c r="E1515" s="20" t="e">
        <f>VLOOKUP(D1515,数据集标准分类!E:F,2,0)</f>
        <v>#REF!</v>
      </c>
      <c r="F1515" s="87">
        <v>55</v>
      </c>
      <c r="G1515" s="88" t="s">
        <v>112</v>
      </c>
      <c r="H1515" s="88" t="s">
        <v>5941</v>
      </c>
      <c r="I1515" s="88" t="s">
        <v>115</v>
      </c>
      <c r="J1515" s="88" t="s">
        <v>113</v>
      </c>
      <c r="K1515" s="88" t="s">
        <v>115</v>
      </c>
      <c r="L1515" s="88" t="s">
        <v>116</v>
      </c>
      <c r="M1515" s="83" t="s">
        <v>5593</v>
      </c>
      <c r="N1515" s="83" t="s">
        <v>5595</v>
      </c>
      <c r="O1515" s="89">
        <v>8</v>
      </c>
      <c r="P1515" s="90" t="e">
        <f>VLOOKUP(I1515,#REF!,2,0)</f>
        <v>#REF!</v>
      </c>
      <c r="Q1515" s="91"/>
      <c r="R1515" s="90"/>
      <c r="S1515" s="92"/>
      <c r="T1515" s="90"/>
      <c r="U1515" s="92"/>
      <c r="V1515" s="92"/>
      <c r="W1515" s="93">
        <v>1199</v>
      </c>
      <c r="X1515" s="94"/>
      <c r="Y1515" s="95"/>
      <c r="Z1515" s="95"/>
      <c r="AA1515" s="95"/>
      <c r="AB1515" s="95"/>
      <c r="AC1515" s="95"/>
      <c r="AD1515" s="95"/>
      <c r="AE1515" s="95"/>
      <c r="AF1515" s="95"/>
    </row>
    <row r="1516" spans="1:32">
      <c r="A1516" s="83" t="s">
        <v>4167</v>
      </c>
      <c r="B1516" s="84" t="s">
        <v>4168</v>
      </c>
      <c r="C1516" s="85" t="s">
        <v>76</v>
      </c>
      <c r="D1516" s="86" t="e">
        <f>VLOOKUP(C1516,#REF!,2,0)</f>
        <v>#REF!</v>
      </c>
      <c r="E1516" s="20" t="e">
        <f>VLOOKUP(D1516,数据集标准分类!E:F,2,0)</f>
        <v>#REF!</v>
      </c>
      <c r="F1516" s="87">
        <v>55</v>
      </c>
      <c r="G1516" s="88" t="s">
        <v>117</v>
      </c>
      <c r="H1516" s="88" t="s">
        <v>6060</v>
      </c>
      <c r="I1516" s="88" t="s">
        <v>120</v>
      </c>
      <c r="J1516" s="88" t="s">
        <v>118</v>
      </c>
      <c r="K1516" s="88" t="s">
        <v>120</v>
      </c>
      <c r="L1516" s="88" t="s">
        <v>121</v>
      </c>
      <c r="M1516" s="83" t="s">
        <v>5593</v>
      </c>
      <c r="N1516" s="83" t="s">
        <v>5595</v>
      </c>
      <c r="O1516" s="89">
        <v>10</v>
      </c>
      <c r="P1516" s="90" t="e">
        <f>VLOOKUP(I1516,#REF!,2,0)</f>
        <v>#REF!</v>
      </c>
      <c r="Q1516" s="91"/>
      <c r="R1516" s="90"/>
      <c r="S1516" s="92"/>
      <c r="T1516" s="90"/>
      <c r="U1516" s="92"/>
      <c r="V1516" s="92"/>
      <c r="W1516" s="93">
        <v>1200</v>
      </c>
      <c r="X1516" s="94"/>
      <c r="Y1516" s="95"/>
      <c r="Z1516" s="95"/>
      <c r="AA1516" s="95"/>
      <c r="AB1516" s="95"/>
      <c r="AC1516" s="95"/>
      <c r="AD1516" s="95"/>
      <c r="AE1516" s="95"/>
      <c r="AF1516" s="95"/>
    </row>
    <row r="1517" ht="14.4" customHeight="1" spans="1:32">
      <c r="A1517" s="83" t="s">
        <v>4167</v>
      </c>
      <c r="B1517" s="84" t="s">
        <v>4168</v>
      </c>
      <c r="C1517" s="85" t="s">
        <v>76</v>
      </c>
      <c r="D1517" s="86" t="e">
        <f>VLOOKUP(C1517,#REF!,2,0)</f>
        <v>#REF!</v>
      </c>
      <c r="E1517" s="20" t="e">
        <f>VLOOKUP(D1517,数据集标准分类!E:F,2,0)</f>
        <v>#REF!</v>
      </c>
      <c r="F1517" s="87">
        <v>55</v>
      </c>
      <c r="G1517" s="88" t="s">
        <v>122</v>
      </c>
      <c r="H1517" s="88" t="s">
        <v>6061</v>
      </c>
      <c r="I1517" s="88" t="s">
        <v>124</v>
      </c>
      <c r="J1517" s="88" t="s">
        <v>123</v>
      </c>
      <c r="K1517" s="88" t="s">
        <v>124</v>
      </c>
      <c r="L1517" s="88" t="s">
        <v>125</v>
      </c>
      <c r="M1517" s="83" t="s">
        <v>5593</v>
      </c>
      <c r="N1517" s="83" t="s">
        <v>5595</v>
      </c>
      <c r="O1517" s="89">
        <v>11</v>
      </c>
      <c r="P1517" s="90" t="e">
        <f>VLOOKUP(I1517,#REF!,2,0)</f>
        <v>#REF!</v>
      </c>
      <c r="Q1517" s="91"/>
      <c r="R1517" s="90"/>
      <c r="S1517" s="92"/>
      <c r="T1517" s="90"/>
      <c r="U1517" s="92"/>
      <c r="V1517" s="92"/>
      <c r="W1517" s="93">
        <v>1201</v>
      </c>
      <c r="X1517" s="94"/>
      <c r="Y1517" s="95"/>
      <c r="Z1517" s="95"/>
      <c r="AA1517" s="95"/>
      <c r="AB1517" s="95"/>
      <c r="AC1517" s="95"/>
      <c r="AD1517" s="95"/>
      <c r="AE1517" s="95"/>
      <c r="AF1517" s="95"/>
    </row>
    <row r="1518" ht="46" spans="1:32">
      <c r="A1518" s="83" t="s">
        <v>4167</v>
      </c>
      <c r="B1518" s="84" t="s">
        <v>4168</v>
      </c>
      <c r="C1518" s="85" t="s">
        <v>76</v>
      </c>
      <c r="D1518" s="86" t="e">
        <f>VLOOKUP(C1518,#REF!,2,0)</f>
        <v>#REF!</v>
      </c>
      <c r="E1518" s="20" t="e">
        <f>VLOOKUP(D1518,数据集标准分类!E:F,2,0)</f>
        <v>#REF!</v>
      </c>
      <c r="F1518" s="87">
        <v>55</v>
      </c>
      <c r="G1518" s="88" t="s">
        <v>126</v>
      </c>
      <c r="H1518" s="88" t="s">
        <v>5942</v>
      </c>
      <c r="I1518" s="88" t="s">
        <v>129</v>
      </c>
      <c r="J1518" s="88" t="s">
        <v>127</v>
      </c>
      <c r="K1518" s="88" t="s">
        <v>129</v>
      </c>
      <c r="L1518" s="88" t="s">
        <v>130</v>
      </c>
      <c r="M1518" s="83" t="s">
        <v>5593</v>
      </c>
      <c r="N1518" s="83" t="s">
        <v>5595</v>
      </c>
      <c r="O1518" s="89">
        <v>12</v>
      </c>
      <c r="P1518" s="90" t="e">
        <f>VLOOKUP(I1518,#REF!,2,0)</f>
        <v>#REF!</v>
      </c>
      <c r="Q1518" s="91"/>
      <c r="R1518" s="90"/>
      <c r="S1518" s="92"/>
      <c r="T1518" s="90"/>
      <c r="U1518" s="92"/>
      <c r="V1518" s="92"/>
      <c r="W1518" s="93">
        <v>1202</v>
      </c>
      <c r="X1518" s="94"/>
      <c r="Y1518" s="95"/>
      <c r="Z1518" s="95"/>
      <c r="AA1518" s="95"/>
      <c r="AB1518" s="95"/>
      <c r="AC1518" s="95"/>
      <c r="AD1518" s="95"/>
      <c r="AE1518" s="95"/>
      <c r="AF1518" s="95"/>
    </row>
    <row r="1519" ht="46" spans="1:32">
      <c r="A1519" s="83" t="s">
        <v>4167</v>
      </c>
      <c r="B1519" s="84" t="s">
        <v>4168</v>
      </c>
      <c r="C1519" s="85" t="s">
        <v>131</v>
      </c>
      <c r="D1519" s="86" t="e">
        <f>VLOOKUP(C1519,#REF!,2,0)</f>
        <v>#REF!</v>
      </c>
      <c r="E1519" s="20" t="e">
        <f>VLOOKUP(D1519,数据集标准分类!E:F,2,0)</f>
        <v>#REF!</v>
      </c>
      <c r="F1519" s="87">
        <v>56</v>
      </c>
      <c r="G1519" s="88" t="s">
        <v>132</v>
      </c>
      <c r="H1519" s="88" t="s">
        <v>6185</v>
      </c>
      <c r="I1519" s="88" t="s">
        <v>135</v>
      </c>
      <c r="J1519" s="88" t="s">
        <v>133</v>
      </c>
      <c r="K1519" s="88" t="s">
        <v>135</v>
      </c>
      <c r="L1519" s="88" t="s">
        <v>136</v>
      </c>
      <c r="M1519" s="83" t="s">
        <v>5593</v>
      </c>
      <c r="N1519" s="83" t="s">
        <v>5595</v>
      </c>
      <c r="O1519" s="89">
        <v>1</v>
      </c>
      <c r="P1519" s="90" t="e">
        <f>VLOOKUP(I1519,#REF!,2,0)</f>
        <v>#REF!</v>
      </c>
      <c r="Q1519" s="91"/>
      <c r="R1519" s="90"/>
      <c r="S1519" s="92"/>
      <c r="T1519" s="90"/>
      <c r="U1519" s="92"/>
      <c r="V1519" s="92"/>
      <c r="W1519" s="93">
        <v>1203</v>
      </c>
      <c r="X1519" s="94"/>
      <c r="Y1519" s="95"/>
      <c r="Z1519" s="95"/>
      <c r="AA1519" s="95"/>
      <c r="AB1519" s="95"/>
      <c r="AC1519" s="95"/>
      <c r="AD1519" s="95"/>
      <c r="AE1519" s="95"/>
      <c r="AF1519" s="95"/>
    </row>
    <row r="1520" spans="1:32">
      <c r="A1520" s="16" t="s">
        <v>4167</v>
      </c>
      <c r="B1520" s="17" t="s">
        <v>4168</v>
      </c>
      <c r="C1520" s="30" t="s">
        <v>131</v>
      </c>
      <c r="D1520" s="19" t="e">
        <f>VLOOKUP(C1520,#REF!,2,0)</f>
        <v>#REF!</v>
      </c>
      <c r="E1520" s="20" t="e">
        <f>VLOOKUP(D1520,数据集标准分类!E:F,2,0)</f>
        <v>#REF!</v>
      </c>
      <c r="F1520" s="21">
        <v>56</v>
      </c>
      <c r="G1520" s="22" t="s">
        <v>137</v>
      </c>
      <c r="H1520" s="22" t="s">
        <v>138</v>
      </c>
      <c r="I1520" s="22" t="s">
        <v>140</v>
      </c>
      <c r="J1520" s="22" t="s">
        <v>138</v>
      </c>
      <c r="K1520" s="22" t="s">
        <v>140</v>
      </c>
      <c r="L1520" s="22" t="s">
        <v>141</v>
      </c>
      <c r="M1520" s="16" t="s">
        <v>5595</v>
      </c>
      <c r="N1520" s="16" t="s">
        <v>5595</v>
      </c>
      <c r="O1520" s="23">
        <v>2</v>
      </c>
      <c r="P1520" s="24" t="e">
        <f>VLOOKUP(I1520,#REF!,2,0)</f>
        <v>#REF!</v>
      </c>
      <c r="Q1520" s="47"/>
      <c r="R1520" s="24"/>
      <c r="S1520" s="48"/>
      <c r="T1520" s="24"/>
      <c r="U1520" s="48"/>
      <c r="V1520" s="48"/>
      <c r="W1520" s="27">
        <v>1204</v>
      </c>
      <c r="X1520" s="28"/>
      <c r="Y1520" s="5"/>
      <c r="Z1520" s="5"/>
      <c r="AA1520" s="5"/>
      <c r="AB1520" s="5"/>
      <c r="AC1520" s="5"/>
      <c r="AD1520" s="5"/>
      <c r="AE1520" s="5"/>
      <c r="AF1520" s="5"/>
    </row>
    <row r="1521" ht="46" spans="1:32">
      <c r="A1521" s="83" t="s">
        <v>4167</v>
      </c>
      <c r="B1521" s="84" t="s">
        <v>4168</v>
      </c>
      <c r="C1521" s="85" t="s">
        <v>131</v>
      </c>
      <c r="D1521" s="86" t="e">
        <f>VLOOKUP(C1521,#REF!,2,0)</f>
        <v>#REF!</v>
      </c>
      <c r="E1521" s="20" t="e">
        <f>VLOOKUP(D1521,数据集标准分类!E:F,2,0)</f>
        <v>#REF!</v>
      </c>
      <c r="F1521" s="87">
        <v>56</v>
      </c>
      <c r="G1521" s="88" t="s">
        <v>142</v>
      </c>
      <c r="H1521" s="88" t="s">
        <v>6186</v>
      </c>
      <c r="I1521" s="88" t="s">
        <v>145</v>
      </c>
      <c r="J1521" s="88" t="s">
        <v>143</v>
      </c>
      <c r="K1521" s="88" t="s">
        <v>145</v>
      </c>
      <c r="L1521" s="88" t="s">
        <v>146</v>
      </c>
      <c r="M1521" s="83" t="s">
        <v>5593</v>
      </c>
      <c r="N1521" s="83" t="s">
        <v>5595</v>
      </c>
      <c r="O1521" s="89">
        <v>3</v>
      </c>
      <c r="P1521" s="90" t="e">
        <f>VLOOKUP(I1521,#REF!,2,0)</f>
        <v>#REF!</v>
      </c>
      <c r="Q1521" s="91"/>
      <c r="R1521" s="90"/>
      <c r="S1521" s="92"/>
      <c r="T1521" s="90"/>
      <c r="U1521" s="92"/>
      <c r="V1521" s="92"/>
      <c r="W1521" s="93">
        <v>1205</v>
      </c>
      <c r="X1521" s="94"/>
      <c r="Y1521" s="95"/>
      <c r="Z1521" s="95"/>
      <c r="AA1521" s="95"/>
      <c r="AB1521" s="95"/>
      <c r="AC1521" s="95"/>
      <c r="AD1521" s="95"/>
      <c r="AE1521" s="95"/>
      <c r="AF1521" s="95"/>
    </row>
    <row r="1522" ht="46" spans="1:32">
      <c r="A1522" s="16" t="s">
        <v>4167</v>
      </c>
      <c r="B1522" s="17" t="s">
        <v>4168</v>
      </c>
      <c r="C1522" s="30" t="s">
        <v>131</v>
      </c>
      <c r="D1522" s="19" t="e">
        <f>VLOOKUP(C1522,#REF!,2,0)</f>
        <v>#REF!</v>
      </c>
      <c r="E1522" s="20" t="e">
        <f>VLOOKUP(D1522,数据集标准分类!E:F,2,0)</f>
        <v>#REF!</v>
      </c>
      <c r="F1522" s="21">
        <v>56</v>
      </c>
      <c r="G1522" s="22" t="s">
        <v>147</v>
      </c>
      <c r="H1522" s="22" t="s">
        <v>148</v>
      </c>
      <c r="I1522" s="22" t="s">
        <v>5596</v>
      </c>
      <c r="J1522" s="22" t="s">
        <v>148</v>
      </c>
      <c r="K1522" s="22" t="s">
        <v>150</v>
      </c>
      <c r="L1522" s="22" t="s">
        <v>151</v>
      </c>
      <c r="M1522" s="16" t="s">
        <v>5595</v>
      </c>
      <c r="N1522" s="16" t="s">
        <v>5593</v>
      </c>
      <c r="O1522" s="23">
        <v>4</v>
      </c>
      <c r="P1522" s="24" t="e">
        <f>VLOOKUP(I1522,#REF!,2,0)</f>
        <v>#REF!</v>
      </c>
      <c r="Q1522" s="47"/>
      <c r="R1522" s="24"/>
      <c r="S1522" s="48"/>
      <c r="T1522" s="24"/>
      <c r="U1522" s="48"/>
      <c r="V1522" s="48"/>
      <c r="W1522" s="27">
        <v>1206</v>
      </c>
      <c r="X1522" s="28"/>
      <c r="Y1522" s="5"/>
      <c r="Z1522" s="5"/>
      <c r="AA1522" s="5"/>
      <c r="AB1522" s="5"/>
      <c r="AC1522" s="5"/>
      <c r="AD1522" s="5"/>
      <c r="AE1522" s="5"/>
      <c r="AF1522" s="5"/>
    </row>
    <row r="1523" ht="46" spans="1:32">
      <c r="A1523" s="16" t="s">
        <v>4167</v>
      </c>
      <c r="B1523" s="17" t="s">
        <v>4168</v>
      </c>
      <c r="C1523" s="30" t="s">
        <v>131</v>
      </c>
      <c r="D1523" s="19" t="e">
        <f>VLOOKUP(C1523,#REF!,2,0)</f>
        <v>#REF!</v>
      </c>
      <c r="E1523" s="20" t="e">
        <f>VLOOKUP(D1523,数据集标准分类!E:F,2,0)</f>
        <v>#REF!</v>
      </c>
      <c r="F1523" s="21">
        <v>56</v>
      </c>
      <c r="G1523" s="22" t="s">
        <v>152</v>
      </c>
      <c r="H1523" s="22" t="s">
        <v>5905</v>
      </c>
      <c r="I1523" s="22" t="s">
        <v>5906</v>
      </c>
      <c r="J1523" s="22" t="s">
        <v>153</v>
      </c>
      <c r="K1523" s="22" t="s">
        <v>155</v>
      </c>
      <c r="L1523" s="22" t="s">
        <v>156</v>
      </c>
      <c r="M1523" s="16" t="s">
        <v>5593</v>
      </c>
      <c r="N1523" s="16" t="s">
        <v>5593</v>
      </c>
      <c r="O1523" s="23">
        <v>5</v>
      </c>
      <c r="P1523" s="24" t="e">
        <f>VLOOKUP(I1523,#REF!,2,0)</f>
        <v>#REF!</v>
      </c>
      <c r="Q1523" s="47"/>
      <c r="R1523" s="24"/>
      <c r="S1523" s="48"/>
      <c r="T1523" s="24"/>
      <c r="U1523" s="48"/>
      <c r="V1523" s="48"/>
      <c r="W1523" s="27">
        <v>1207</v>
      </c>
      <c r="X1523" s="28"/>
      <c r="Y1523" s="5"/>
      <c r="Z1523" s="5"/>
      <c r="AA1523" s="5"/>
      <c r="AB1523" s="5"/>
      <c r="AC1523" s="5"/>
      <c r="AD1523" s="5"/>
      <c r="AE1523" s="5"/>
      <c r="AF1523" s="5"/>
    </row>
    <row r="1524" ht="46" spans="1:32">
      <c r="A1524" s="16" t="s">
        <v>4167</v>
      </c>
      <c r="B1524" s="17" t="s">
        <v>4168</v>
      </c>
      <c r="C1524" s="30" t="s">
        <v>131</v>
      </c>
      <c r="D1524" s="19" t="e">
        <f>VLOOKUP(C1524,#REF!,2,0)</f>
        <v>#REF!</v>
      </c>
      <c r="E1524" s="20" t="e">
        <f>VLOOKUP(D1524,数据集标准分类!E:F,2,0)</f>
        <v>#REF!</v>
      </c>
      <c r="F1524" s="21">
        <v>56</v>
      </c>
      <c r="G1524" s="22" t="s">
        <v>157</v>
      </c>
      <c r="H1524" s="22" t="s">
        <v>158</v>
      </c>
      <c r="I1524" s="22" t="s">
        <v>5955</v>
      </c>
      <c r="J1524" s="22" t="s">
        <v>158</v>
      </c>
      <c r="K1524" s="22" t="s">
        <v>160</v>
      </c>
      <c r="L1524" s="22" t="s">
        <v>161</v>
      </c>
      <c r="M1524" s="16" t="s">
        <v>5595</v>
      </c>
      <c r="N1524" s="16" t="s">
        <v>5593</v>
      </c>
      <c r="O1524" s="23">
        <v>6</v>
      </c>
      <c r="P1524" s="24" t="e">
        <f>VLOOKUP(I1524,#REF!,2,0)</f>
        <v>#REF!</v>
      </c>
      <c r="Q1524" s="47"/>
      <c r="R1524" s="24"/>
      <c r="S1524" s="48"/>
      <c r="T1524" s="24"/>
      <c r="U1524" s="48"/>
      <c r="V1524" s="48"/>
      <c r="W1524" s="27">
        <v>1208</v>
      </c>
      <c r="X1524" s="28"/>
      <c r="Y1524" s="5"/>
      <c r="Z1524" s="5"/>
      <c r="AA1524" s="5"/>
      <c r="AB1524" s="5"/>
      <c r="AC1524" s="5"/>
      <c r="AD1524" s="5"/>
      <c r="AE1524" s="5"/>
      <c r="AF1524" s="5"/>
    </row>
    <row r="1525" ht="46" spans="1:32">
      <c r="A1525" s="83" t="s">
        <v>4167</v>
      </c>
      <c r="B1525" s="84" t="s">
        <v>4168</v>
      </c>
      <c r="C1525" s="85" t="s">
        <v>131</v>
      </c>
      <c r="D1525" s="86" t="e">
        <f>VLOOKUP(C1525,#REF!,2,0)</f>
        <v>#REF!</v>
      </c>
      <c r="E1525" s="20" t="e">
        <f>VLOOKUP(D1525,数据集标准分类!E:F,2,0)</f>
        <v>#REF!</v>
      </c>
      <c r="F1525" s="87">
        <v>56</v>
      </c>
      <c r="G1525" s="88" t="s">
        <v>162</v>
      </c>
      <c r="H1525" s="88" t="s">
        <v>6187</v>
      </c>
      <c r="I1525" s="88" t="s">
        <v>6188</v>
      </c>
      <c r="J1525" s="88" t="s">
        <v>163</v>
      </c>
      <c r="K1525" s="88" t="s">
        <v>165</v>
      </c>
      <c r="L1525" s="88" t="s">
        <v>166</v>
      </c>
      <c r="M1525" s="83" t="s">
        <v>5593</v>
      </c>
      <c r="N1525" s="83" t="s">
        <v>5593</v>
      </c>
      <c r="O1525" s="89">
        <v>7</v>
      </c>
      <c r="P1525" s="90" t="e">
        <f>VLOOKUP(I1525,#REF!,2,0)</f>
        <v>#REF!</v>
      </c>
      <c r="Q1525" s="91"/>
      <c r="R1525" s="90"/>
      <c r="S1525" s="92"/>
      <c r="T1525" s="90"/>
      <c r="U1525" s="92"/>
      <c r="V1525" s="92"/>
      <c r="W1525" s="93">
        <v>1209</v>
      </c>
      <c r="X1525" s="94"/>
      <c r="Y1525" s="95"/>
      <c r="Z1525" s="95"/>
      <c r="AA1525" s="95"/>
      <c r="AB1525" s="95"/>
      <c r="AC1525" s="95"/>
      <c r="AD1525" s="95"/>
      <c r="AE1525" s="95"/>
      <c r="AF1525" s="95"/>
    </row>
    <row r="1526" ht="46" spans="1:32">
      <c r="A1526" s="83" t="s">
        <v>4167</v>
      </c>
      <c r="B1526" s="84" t="s">
        <v>4168</v>
      </c>
      <c r="C1526" s="85" t="s">
        <v>131</v>
      </c>
      <c r="D1526" s="86" t="e">
        <f>VLOOKUP(C1526,#REF!,2,0)</f>
        <v>#REF!</v>
      </c>
      <c r="E1526" s="20" t="e">
        <f>VLOOKUP(D1526,数据集标准分类!E:F,2,0)</f>
        <v>#REF!</v>
      </c>
      <c r="F1526" s="87">
        <v>56</v>
      </c>
      <c r="G1526" s="88" t="s">
        <v>167</v>
      </c>
      <c r="H1526" s="88" t="s">
        <v>168</v>
      </c>
      <c r="I1526" s="88" t="s">
        <v>170</v>
      </c>
      <c r="J1526" s="88" t="s">
        <v>168</v>
      </c>
      <c r="K1526" s="88" t="s">
        <v>170</v>
      </c>
      <c r="L1526" s="88" t="s">
        <v>171</v>
      </c>
      <c r="M1526" s="83" t="s">
        <v>5595</v>
      </c>
      <c r="N1526" s="83" t="s">
        <v>5595</v>
      </c>
      <c r="O1526" s="89">
        <v>8</v>
      </c>
      <c r="P1526" s="90" t="e">
        <f>VLOOKUP(I1526,#REF!,2,0)</f>
        <v>#REF!</v>
      </c>
      <c r="Q1526" s="91"/>
      <c r="R1526" s="90"/>
      <c r="S1526" s="92"/>
      <c r="T1526" s="90"/>
      <c r="U1526" s="92"/>
      <c r="V1526" s="92"/>
      <c r="W1526" s="93">
        <v>1210</v>
      </c>
      <c r="X1526" s="94"/>
      <c r="Y1526" s="95"/>
      <c r="Z1526" s="95"/>
      <c r="AA1526" s="95"/>
      <c r="AB1526" s="95"/>
      <c r="AC1526" s="95"/>
      <c r="AD1526" s="95"/>
      <c r="AE1526" s="95"/>
      <c r="AF1526" s="95"/>
    </row>
    <row r="1527" ht="31" spans="1:32">
      <c r="A1527" s="16" t="s">
        <v>4167</v>
      </c>
      <c r="B1527" s="17" t="s">
        <v>4168</v>
      </c>
      <c r="C1527" s="30" t="s">
        <v>131</v>
      </c>
      <c r="D1527" s="19" t="e">
        <f>VLOOKUP(C1527,#REF!,2,0)</f>
        <v>#REF!</v>
      </c>
      <c r="E1527" s="20" t="e">
        <f>VLOOKUP(D1527,数据集标准分类!E:F,2,0)</f>
        <v>#REF!</v>
      </c>
      <c r="F1527" s="21">
        <v>56</v>
      </c>
      <c r="G1527" s="22" t="s">
        <v>172</v>
      </c>
      <c r="H1527" s="22" t="s">
        <v>5639</v>
      </c>
      <c r="I1527" s="22" t="s">
        <v>5640</v>
      </c>
      <c r="J1527" s="22" t="s">
        <v>173</v>
      </c>
      <c r="K1527" s="22" t="s">
        <v>175</v>
      </c>
      <c r="L1527" s="22" t="s">
        <v>176</v>
      </c>
      <c r="M1527" s="16" t="s">
        <v>5593</v>
      </c>
      <c r="N1527" s="16" t="s">
        <v>5593</v>
      </c>
      <c r="O1527" s="23">
        <v>9</v>
      </c>
      <c r="P1527" s="24" t="e">
        <f>VLOOKUP(I1527,#REF!,2,0)</f>
        <v>#REF!</v>
      </c>
      <c r="Q1527" s="47"/>
      <c r="R1527" s="24"/>
      <c r="S1527" s="48"/>
      <c r="T1527" s="24"/>
      <c r="U1527" s="48"/>
      <c r="V1527" s="48"/>
      <c r="W1527" s="27">
        <v>1211</v>
      </c>
      <c r="X1527" s="28"/>
      <c r="Y1527" s="5"/>
      <c r="Z1527" s="5"/>
      <c r="AA1527" s="5"/>
      <c r="AB1527" s="5"/>
      <c r="AC1527" s="5"/>
      <c r="AD1527" s="5"/>
      <c r="AE1527" s="5"/>
      <c r="AF1527" s="5"/>
    </row>
    <row r="1528" ht="31" spans="1:32">
      <c r="A1528" s="83" t="s">
        <v>4167</v>
      </c>
      <c r="B1528" s="84" t="s">
        <v>4168</v>
      </c>
      <c r="C1528" s="85" t="s">
        <v>131</v>
      </c>
      <c r="D1528" s="86" t="e">
        <f>VLOOKUP(C1528,#REF!,2,0)</f>
        <v>#REF!</v>
      </c>
      <c r="E1528" s="20" t="e">
        <f>VLOOKUP(D1528,数据集标准分类!E:F,2,0)</f>
        <v>#REF!</v>
      </c>
      <c r="F1528" s="87">
        <v>56</v>
      </c>
      <c r="G1528" s="88" t="s">
        <v>177</v>
      </c>
      <c r="H1528" s="88" t="s">
        <v>6129</v>
      </c>
      <c r="I1528" s="88" t="s">
        <v>180</v>
      </c>
      <c r="J1528" s="88" t="s">
        <v>178</v>
      </c>
      <c r="K1528" s="88" t="s">
        <v>180</v>
      </c>
      <c r="L1528" s="88" t="s">
        <v>181</v>
      </c>
      <c r="M1528" s="83" t="s">
        <v>5593</v>
      </c>
      <c r="N1528" s="83" t="s">
        <v>5595</v>
      </c>
      <c r="O1528" s="89">
        <v>10</v>
      </c>
      <c r="P1528" s="90" t="e">
        <f>VLOOKUP(I1528,#REF!,2,0)</f>
        <v>#REF!</v>
      </c>
      <c r="Q1528" s="91"/>
      <c r="R1528" s="90"/>
      <c r="S1528" s="92"/>
      <c r="T1528" s="90"/>
      <c r="U1528" s="92"/>
      <c r="V1528" s="92"/>
      <c r="W1528" s="93">
        <v>1212</v>
      </c>
      <c r="X1528" s="94"/>
      <c r="Y1528" s="95"/>
      <c r="Z1528" s="95"/>
      <c r="AA1528" s="95"/>
      <c r="AB1528" s="95"/>
      <c r="AC1528" s="95"/>
      <c r="AD1528" s="95"/>
      <c r="AE1528" s="95"/>
      <c r="AF1528" s="95"/>
    </row>
    <row r="1529" ht="31" spans="1:32">
      <c r="A1529" s="83" t="s">
        <v>4167</v>
      </c>
      <c r="B1529" s="84" t="s">
        <v>4168</v>
      </c>
      <c r="C1529" s="85" t="s">
        <v>131</v>
      </c>
      <c r="D1529" s="86" t="e">
        <f>VLOOKUP(C1529,#REF!,2,0)</f>
        <v>#REF!</v>
      </c>
      <c r="E1529" s="20" t="e">
        <f>VLOOKUP(D1529,数据集标准分类!E:F,2,0)</f>
        <v>#REF!</v>
      </c>
      <c r="F1529" s="87">
        <v>56</v>
      </c>
      <c r="G1529" s="88" t="s">
        <v>182</v>
      </c>
      <c r="H1529" s="88" t="s">
        <v>6131</v>
      </c>
      <c r="I1529" s="88" t="s">
        <v>185</v>
      </c>
      <c r="J1529" s="88" t="s">
        <v>183</v>
      </c>
      <c r="K1529" s="88" t="s">
        <v>185</v>
      </c>
      <c r="L1529" s="88" t="s">
        <v>186</v>
      </c>
      <c r="M1529" s="83" t="s">
        <v>5593</v>
      </c>
      <c r="N1529" s="83" t="s">
        <v>5595</v>
      </c>
      <c r="O1529" s="89">
        <v>11</v>
      </c>
      <c r="P1529" s="90" t="e">
        <f>VLOOKUP(I1529,#REF!,2,0)</f>
        <v>#REF!</v>
      </c>
      <c r="Q1529" s="91"/>
      <c r="R1529" s="90"/>
      <c r="S1529" s="92"/>
      <c r="T1529" s="90"/>
      <c r="U1529" s="92"/>
      <c r="V1529" s="92"/>
      <c r="W1529" s="93">
        <v>1213</v>
      </c>
      <c r="X1529" s="94"/>
      <c r="Y1529" s="95"/>
      <c r="Z1529" s="95"/>
      <c r="AA1529" s="95"/>
      <c r="AB1529" s="95"/>
      <c r="AC1529" s="95"/>
      <c r="AD1529" s="95"/>
      <c r="AE1529" s="95"/>
      <c r="AF1529" s="95"/>
    </row>
    <row r="1530" ht="46" spans="1:32">
      <c r="A1530" s="83" t="s">
        <v>4167</v>
      </c>
      <c r="B1530" s="84" t="s">
        <v>4168</v>
      </c>
      <c r="C1530" s="85" t="s">
        <v>131</v>
      </c>
      <c r="D1530" s="86" t="e">
        <f>VLOOKUP(C1530,#REF!,2,0)</f>
        <v>#REF!</v>
      </c>
      <c r="E1530" s="20" t="e">
        <f>VLOOKUP(D1530,数据集标准分类!E:F,2,0)</f>
        <v>#REF!</v>
      </c>
      <c r="F1530" s="87">
        <v>56</v>
      </c>
      <c r="G1530" s="161" t="s">
        <v>187</v>
      </c>
      <c r="H1530" s="161" t="s">
        <v>6017</v>
      </c>
      <c r="I1530" s="161" t="s">
        <v>6189</v>
      </c>
      <c r="J1530" s="88" t="s">
        <v>188</v>
      </c>
      <c r="K1530" s="88" t="s">
        <v>190</v>
      </c>
      <c r="L1530" s="88" t="s">
        <v>191</v>
      </c>
      <c r="M1530" s="83" t="s">
        <v>5593</v>
      </c>
      <c r="N1530" s="83" t="s">
        <v>5593</v>
      </c>
      <c r="O1530" s="89">
        <v>12</v>
      </c>
      <c r="P1530" s="90" t="e">
        <f>VLOOKUP(I1530,#REF!,2,0)</f>
        <v>#REF!</v>
      </c>
      <c r="Q1530" s="91"/>
      <c r="R1530" s="90"/>
      <c r="S1530" s="92"/>
      <c r="T1530" s="90"/>
      <c r="U1530" s="92"/>
      <c r="V1530" s="92"/>
      <c r="W1530" s="93">
        <v>1214</v>
      </c>
      <c r="X1530" s="94"/>
      <c r="Y1530" s="95"/>
      <c r="Z1530" s="95"/>
      <c r="AA1530" s="95"/>
      <c r="AB1530" s="95"/>
      <c r="AC1530" s="95"/>
      <c r="AD1530" s="95"/>
      <c r="AE1530" s="95"/>
      <c r="AF1530" s="95"/>
    </row>
    <row r="1531" ht="76" spans="1:32">
      <c r="A1531" s="83" t="s">
        <v>4167</v>
      </c>
      <c r="B1531" s="84" t="s">
        <v>4168</v>
      </c>
      <c r="C1531" s="85" t="s">
        <v>131</v>
      </c>
      <c r="D1531" s="86" t="e">
        <f>VLOOKUP(C1531,#REF!,2,0)</f>
        <v>#REF!</v>
      </c>
      <c r="E1531" s="20" t="e">
        <f>VLOOKUP(D1531,数据集标准分类!E:F,2,0)</f>
        <v>#REF!</v>
      </c>
      <c r="F1531" s="87">
        <v>56</v>
      </c>
      <c r="G1531" s="88" t="s">
        <v>192</v>
      </c>
      <c r="H1531" s="88" t="s">
        <v>5630</v>
      </c>
      <c r="I1531" s="88" t="s">
        <v>5631</v>
      </c>
      <c r="J1531" s="88" t="s">
        <v>193</v>
      </c>
      <c r="K1531" s="88" t="s">
        <v>195</v>
      </c>
      <c r="L1531" s="88" t="s">
        <v>196</v>
      </c>
      <c r="M1531" s="83" t="s">
        <v>5593</v>
      </c>
      <c r="N1531" s="83" t="s">
        <v>5593</v>
      </c>
      <c r="O1531" s="89">
        <v>13</v>
      </c>
      <c r="P1531" s="90" t="e">
        <f>VLOOKUP(I1531,#REF!,2,0)</f>
        <v>#REF!</v>
      </c>
      <c r="Q1531" s="91"/>
      <c r="R1531" s="90"/>
      <c r="S1531" s="92"/>
      <c r="T1531" s="90"/>
      <c r="U1531" s="92"/>
      <c r="V1531" s="92"/>
      <c r="W1531" s="93">
        <v>1215</v>
      </c>
      <c r="X1531" s="94"/>
      <c r="Y1531" s="95"/>
      <c r="Z1531" s="95"/>
      <c r="AA1531" s="95"/>
      <c r="AB1531" s="95"/>
      <c r="AC1531" s="95"/>
      <c r="AD1531" s="95"/>
      <c r="AE1531" s="95"/>
      <c r="AF1531" s="95"/>
    </row>
    <row r="1532" ht="31" spans="1:32">
      <c r="A1532" s="83" t="s">
        <v>4167</v>
      </c>
      <c r="B1532" s="84" t="s">
        <v>4168</v>
      </c>
      <c r="C1532" s="85" t="s">
        <v>131</v>
      </c>
      <c r="D1532" s="86" t="e">
        <f>VLOOKUP(C1532,#REF!,2,0)</f>
        <v>#REF!</v>
      </c>
      <c r="E1532" s="20" t="e">
        <f>VLOOKUP(D1532,数据集标准分类!E:F,2,0)</f>
        <v>#REF!</v>
      </c>
      <c r="F1532" s="87">
        <v>56</v>
      </c>
      <c r="G1532" s="88" t="s">
        <v>197</v>
      </c>
      <c r="H1532" s="88" t="s">
        <v>198</v>
      </c>
      <c r="I1532" s="88" t="s">
        <v>5645</v>
      </c>
      <c r="J1532" s="88" t="s">
        <v>198</v>
      </c>
      <c r="K1532" s="88" t="s">
        <v>199</v>
      </c>
      <c r="L1532" s="88" t="s">
        <v>200</v>
      </c>
      <c r="M1532" s="83" t="s">
        <v>5595</v>
      </c>
      <c r="N1532" s="83" t="s">
        <v>5593</v>
      </c>
      <c r="O1532" s="89">
        <v>14</v>
      </c>
      <c r="P1532" s="90" t="e">
        <f>VLOOKUP(I1532,#REF!,2,0)</f>
        <v>#REF!</v>
      </c>
      <c r="Q1532" s="91"/>
      <c r="R1532" s="90"/>
      <c r="S1532" s="92"/>
      <c r="T1532" s="90"/>
      <c r="U1532" s="92"/>
      <c r="V1532" s="92"/>
      <c r="W1532" s="93">
        <v>1216</v>
      </c>
      <c r="X1532" s="94"/>
      <c r="Y1532" s="95"/>
      <c r="Z1532" s="95"/>
      <c r="AA1532" s="95"/>
      <c r="AB1532" s="95"/>
      <c r="AC1532" s="95"/>
      <c r="AD1532" s="95"/>
      <c r="AE1532" s="95"/>
      <c r="AF1532" s="95"/>
    </row>
    <row r="1533" ht="46" spans="1:32">
      <c r="A1533" s="83" t="s">
        <v>4167</v>
      </c>
      <c r="B1533" s="84" t="s">
        <v>4168</v>
      </c>
      <c r="C1533" s="85" t="s">
        <v>131</v>
      </c>
      <c r="D1533" s="86" t="e">
        <f>VLOOKUP(C1533,#REF!,2,0)</f>
        <v>#REF!</v>
      </c>
      <c r="E1533" s="20" t="e">
        <f>VLOOKUP(D1533,数据集标准分类!E:F,2,0)</f>
        <v>#REF!</v>
      </c>
      <c r="F1533" s="87">
        <v>56</v>
      </c>
      <c r="G1533" s="88" t="s">
        <v>201</v>
      </c>
      <c r="H1533" s="88" t="s">
        <v>5646</v>
      </c>
      <c r="I1533" s="88" t="s">
        <v>5647</v>
      </c>
      <c r="J1533" s="88" t="s">
        <v>202</v>
      </c>
      <c r="K1533" s="88" t="s">
        <v>204</v>
      </c>
      <c r="L1533" s="88" t="s">
        <v>205</v>
      </c>
      <c r="M1533" s="83" t="s">
        <v>5593</v>
      </c>
      <c r="N1533" s="83" t="s">
        <v>5593</v>
      </c>
      <c r="O1533" s="89">
        <v>15</v>
      </c>
      <c r="P1533" s="90" t="e">
        <f>VLOOKUP(I1533,#REF!,2,0)</f>
        <v>#REF!</v>
      </c>
      <c r="Q1533" s="91"/>
      <c r="R1533" s="90"/>
      <c r="S1533" s="92"/>
      <c r="T1533" s="90"/>
      <c r="U1533" s="92"/>
      <c r="V1533" s="92"/>
      <c r="W1533" s="93">
        <v>1217</v>
      </c>
      <c r="X1533" s="94"/>
      <c r="Y1533" s="95"/>
      <c r="Z1533" s="95"/>
      <c r="AA1533" s="95"/>
      <c r="AB1533" s="95"/>
      <c r="AC1533" s="95"/>
      <c r="AD1533" s="95"/>
      <c r="AE1533" s="95"/>
      <c r="AF1533" s="95"/>
    </row>
    <row r="1534" ht="61" spans="1:32">
      <c r="A1534" s="83" t="s">
        <v>4167</v>
      </c>
      <c r="B1534" s="84" t="s">
        <v>4168</v>
      </c>
      <c r="C1534" s="85" t="s">
        <v>131</v>
      </c>
      <c r="D1534" s="86" t="e">
        <f>VLOOKUP(C1534,#REF!,2,0)</f>
        <v>#REF!</v>
      </c>
      <c r="E1534" s="20" t="e">
        <f>VLOOKUP(D1534,数据集标准分类!E:F,2,0)</f>
        <v>#REF!</v>
      </c>
      <c r="F1534" s="87">
        <v>56</v>
      </c>
      <c r="G1534" s="88" t="s">
        <v>206</v>
      </c>
      <c r="H1534" s="88" t="s">
        <v>6190</v>
      </c>
      <c r="I1534" s="88" t="s">
        <v>6191</v>
      </c>
      <c r="J1534" s="88" t="s">
        <v>207</v>
      </c>
      <c r="K1534" s="88" t="s">
        <v>209</v>
      </c>
      <c r="L1534" s="88" t="s">
        <v>210</v>
      </c>
      <c r="M1534" s="83" t="s">
        <v>5593</v>
      </c>
      <c r="N1534" s="83" t="s">
        <v>5593</v>
      </c>
      <c r="O1534" s="89">
        <v>16</v>
      </c>
      <c r="P1534" s="90" t="e">
        <f>VLOOKUP(I1534,#REF!,2,0)</f>
        <v>#REF!</v>
      </c>
      <c r="Q1534" s="91"/>
      <c r="R1534" s="90"/>
      <c r="S1534" s="92"/>
      <c r="T1534" s="90"/>
      <c r="U1534" s="92"/>
      <c r="V1534" s="92"/>
      <c r="W1534" s="93">
        <v>1218</v>
      </c>
      <c r="X1534" s="94"/>
      <c r="Y1534" s="95"/>
      <c r="Z1534" s="95"/>
      <c r="AA1534" s="95"/>
      <c r="AB1534" s="95"/>
      <c r="AC1534" s="95"/>
      <c r="AD1534" s="95"/>
      <c r="AE1534" s="95"/>
      <c r="AF1534" s="95"/>
    </row>
    <row r="1535" ht="31" spans="1:32">
      <c r="A1535" s="83" t="s">
        <v>4167</v>
      </c>
      <c r="B1535" s="84" t="s">
        <v>4168</v>
      </c>
      <c r="C1535" s="85" t="s">
        <v>131</v>
      </c>
      <c r="D1535" s="86" t="e">
        <f>VLOOKUP(C1535,#REF!,2,0)</f>
        <v>#REF!</v>
      </c>
      <c r="E1535" s="20" t="e">
        <f>VLOOKUP(D1535,数据集标准分类!E:F,2,0)</f>
        <v>#REF!</v>
      </c>
      <c r="F1535" s="87">
        <v>56</v>
      </c>
      <c r="G1535" s="88" t="s">
        <v>211</v>
      </c>
      <c r="H1535" s="88" t="s">
        <v>5648</v>
      </c>
      <c r="I1535" s="88" t="s">
        <v>214</v>
      </c>
      <c r="J1535" s="88" t="s">
        <v>212</v>
      </c>
      <c r="K1535" s="88" t="s">
        <v>214</v>
      </c>
      <c r="L1535" s="88" t="s">
        <v>215</v>
      </c>
      <c r="M1535" s="83" t="s">
        <v>5593</v>
      </c>
      <c r="N1535" s="83" t="s">
        <v>5595</v>
      </c>
      <c r="O1535" s="89">
        <v>17</v>
      </c>
      <c r="P1535" s="90" t="e">
        <f>VLOOKUP(I1535,#REF!,2,0)</f>
        <v>#REF!</v>
      </c>
      <c r="Q1535" s="91"/>
      <c r="R1535" s="90"/>
      <c r="S1535" s="92"/>
      <c r="T1535" s="90"/>
      <c r="U1535" s="92"/>
      <c r="V1535" s="92"/>
      <c r="W1535" s="93">
        <v>1219</v>
      </c>
      <c r="X1535" s="94"/>
      <c r="Y1535" s="95"/>
      <c r="Z1535" s="95"/>
      <c r="AA1535" s="95"/>
      <c r="AB1535" s="95"/>
      <c r="AC1535" s="95"/>
      <c r="AD1535" s="95"/>
      <c r="AE1535" s="95"/>
      <c r="AF1535" s="95"/>
    </row>
    <row r="1536" ht="61" spans="1:32">
      <c r="A1536" s="83" t="s">
        <v>4167</v>
      </c>
      <c r="B1536" s="84" t="s">
        <v>4168</v>
      </c>
      <c r="C1536" s="85" t="s">
        <v>131</v>
      </c>
      <c r="D1536" s="86" t="e">
        <f>VLOOKUP(C1536,#REF!,2,0)</f>
        <v>#REF!</v>
      </c>
      <c r="E1536" s="20" t="e">
        <f>VLOOKUP(D1536,数据集标准分类!E:F,2,0)</f>
        <v>#REF!</v>
      </c>
      <c r="F1536" s="87">
        <v>56</v>
      </c>
      <c r="G1536" s="88" t="s">
        <v>216</v>
      </c>
      <c r="H1536" s="88" t="s">
        <v>5634</v>
      </c>
      <c r="I1536" s="88" t="s">
        <v>219</v>
      </c>
      <c r="J1536" s="88" t="s">
        <v>217</v>
      </c>
      <c r="K1536" s="88" t="s">
        <v>219</v>
      </c>
      <c r="L1536" s="88" t="s">
        <v>220</v>
      </c>
      <c r="M1536" s="83" t="s">
        <v>5593</v>
      </c>
      <c r="N1536" s="83" t="s">
        <v>5595</v>
      </c>
      <c r="O1536" s="89">
        <v>18</v>
      </c>
      <c r="P1536" s="90" t="e">
        <f>VLOOKUP(I1536,#REF!,2,0)</f>
        <v>#REF!</v>
      </c>
      <c r="Q1536" s="91"/>
      <c r="R1536" s="90"/>
      <c r="S1536" s="92"/>
      <c r="T1536" s="90"/>
      <c r="U1536" s="92"/>
      <c r="V1536" s="92"/>
      <c r="W1536" s="93">
        <v>1220</v>
      </c>
      <c r="X1536" s="94"/>
      <c r="Y1536" s="95"/>
      <c r="Z1536" s="95"/>
      <c r="AA1536" s="95"/>
      <c r="AB1536" s="95"/>
      <c r="AC1536" s="95"/>
      <c r="AD1536" s="95"/>
      <c r="AE1536" s="95"/>
      <c r="AF1536" s="95"/>
    </row>
    <row r="1537" ht="31" spans="1:32">
      <c r="A1537" s="83" t="s">
        <v>4167</v>
      </c>
      <c r="B1537" s="84" t="s">
        <v>4168</v>
      </c>
      <c r="C1537" s="85" t="s">
        <v>131</v>
      </c>
      <c r="D1537" s="86" t="e">
        <f>VLOOKUP(C1537,#REF!,2,0)</f>
        <v>#REF!</v>
      </c>
      <c r="E1537" s="20" t="e">
        <f>VLOOKUP(D1537,数据集标准分类!E:F,2,0)</f>
        <v>#REF!</v>
      </c>
      <c r="F1537" s="87">
        <v>56</v>
      </c>
      <c r="G1537" s="88" t="s">
        <v>221</v>
      </c>
      <c r="H1537" s="88" t="s">
        <v>6192</v>
      </c>
      <c r="I1537" s="88" t="s">
        <v>6193</v>
      </c>
      <c r="J1537" s="88" t="s">
        <v>222</v>
      </c>
      <c r="K1537" s="88" t="s">
        <v>224</v>
      </c>
      <c r="L1537" s="88" t="s">
        <v>225</v>
      </c>
      <c r="M1537" s="83" t="s">
        <v>5593</v>
      </c>
      <c r="N1537" s="83" t="s">
        <v>5593</v>
      </c>
      <c r="O1537" s="89">
        <v>19</v>
      </c>
      <c r="P1537" s="90" t="e">
        <f>VLOOKUP(I1537,#REF!,2,0)</f>
        <v>#REF!</v>
      </c>
      <c r="Q1537" s="91"/>
      <c r="R1537" s="90"/>
      <c r="S1537" s="92"/>
      <c r="T1537" s="90"/>
      <c r="U1537" s="92"/>
      <c r="V1537" s="92"/>
      <c r="W1537" s="93">
        <v>1221</v>
      </c>
      <c r="X1537" s="94"/>
      <c r="Y1537" s="95"/>
      <c r="Z1537" s="95"/>
      <c r="AA1537" s="95"/>
      <c r="AB1537" s="95"/>
      <c r="AC1537" s="95"/>
      <c r="AD1537" s="95"/>
      <c r="AE1537" s="95"/>
      <c r="AF1537" s="95"/>
    </row>
    <row r="1538" ht="36" customHeight="1" spans="1:32">
      <c r="A1538" s="83" t="s">
        <v>4167</v>
      </c>
      <c r="B1538" s="84" t="s">
        <v>4168</v>
      </c>
      <c r="C1538" s="85" t="s">
        <v>131</v>
      </c>
      <c r="D1538" s="86" t="e">
        <f>VLOOKUP(C1538,#REF!,2,0)</f>
        <v>#REF!</v>
      </c>
      <c r="E1538" s="20" t="e">
        <f>VLOOKUP(D1538,数据集标准分类!E:F,2,0)</f>
        <v>#REF!</v>
      </c>
      <c r="F1538" s="87">
        <v>56</v>
      </c>
      <c r="G1538" s="88" t="s">
        <v>227</v>
      </c>
      <c r="H1538" s="88" t="s">
        <v>6150</v>
      </c>
      <c r="I1538" s="88" t="s">
        <v>230</v>
      </c>
      <c r="J1538" s="88" t="s">
        <v>228</v>
      </c>
      <c r="K1538" s="88" t="s">
        <v>230</v>
      </c>
      <c r="L1538" s="88" t="s">
        <v>231</v>
      </c>
      <c r="M1538" s="83" t="s">
        <v>5593</v>
      </c>
      <c r="N1538" s="83" t="s">
        <v>5595</v>
      </c>
      <c r="O1538" s="89">
        <v>20</v>
      </c>
      <c r="P1538" s="90" t="e">
        <f>VLOOKUP(I1538,#REF!,2,0)</f>
        <v>#REF!</v>
      </c>
      <c r="Q1538" s="91"/>
      <c r="R1538" s="90"/>
      <c r="S1538" s="92"/>
      <c r="T1538" s="90"/>
      <c r="U1538" s="92"/>
      <c r="V1538" s="92"/>
      <c r="W1538" s="93">
        <v>1222</v>
      </c>
      <c r="X1538" s="94"/>
      <c r="Y1538" s="95"/>
      <c r="Z1538" s="95"/>
      <c r="AA1538" s="95"/>
      <c r="AB1538" s="95"/>
      <c r="AC1538" s="95"/>
      <c r="AD1538" s="95"/>
      <c r="AE1538" s="95"/>
      <c r="AF1538" s="95"/>
    </row>
    <row r="1539" ht="61" spans="1:32">
      <c r="A1539" s="83" t="s">
        <v>4167</v>
      </c>
      <c r="B1539" s="84" t="s">
        <v>4168</v>
      </c>
      <c r="C1539" s="85" t="s">
        <v>131</v>
      </c>
      <c r="D1539" s="86" t="e">
        <f>VLOOKUP(C1539,#REF!,2,0)</f>
        <v>#REF!</v>
      </c>
      <c r="E1539" s="20" t="e">
        <f>VLOOKUP(D1539,数据集标准分类!E:F,2,0)</f>
        <v>#REF!</v>
      </c>
      <c r="F1539" s="87">
        <v>56</v>
      </c>
      <c r="G1539" s="88" t="s">
        <v>232</v>
      </c>
      <c r="H1539" s="88" t="s">
        <v>233</v>
      </c>
      <c r="I1539" s="88" t="s">
        <v>235</v>
      </c>
      <c r="J1539" s="88" t="s">
        <v>233</v>
      </c>
      <c r="K1539" s="88" t="s">
        <v>235</v>
      </c>
      <c r="L1539" s="88" t="s">
        <v>236</v>
      </c>
      <c r="M1539" s="83" t="s">
        <v>5595</v>
      </c>
      <c r="N1539" s="83" t="s">
        <v>5595</v>
      </c>
      <c r="O1539" s="89">
        <v>21</v>
      </c>
      <c r="P1539" s="90" t="e">
        <f>VLOOKUP(I1539,#REF!,2,0)</f>
        <v>#REF!</v>
      </c>
      <c r="Q1539" s="91"/>
      <c r="R1539" s="90"/>
      <c r="S1539" s="92" t="s">
        <v>5593</v>
      </c>
      <c r="T1539" s="90"/>
      <c r="U1539" s="92"/>
      <c r="V1539" s="92"/>
      <c r="W1539" s="93">
        <v>1223</v>
      </c>
      <c r="X1539" s="94"/>
      <c r="Y1539" s="95"/>
      <c r="Z1539" s="95"/>
      <c r="AA1539" s="95"/>
      <c r="AB1539" s="95"/>
      <c r="AC1539" s="95"/>
      <c r="AD1539" s="95"/>
      <c r="AE1539" s="95"/>
      <c r="AF1539" s="95"/>
    </row>
    <row r="1540" ht="46" spans="1:32">
      <c r="A1540" s="50" t="s">
        <v>4286</v>
      </c>
      <c r="B1540" s="51" t="s">
        <v>4287</v>
      </c>
      <c r="C1540" s="52" t="s">
        <v>2867</v>
      </c>
      <c r="D1540" s="53" t="e">
        <f>VLOOKUP(C1540,#REF!,2,0)</f>
        <v>#REF!</v>
      </c>
      <c r="E1540" s="20" t="e">
        <f>VLOOKUP(D1540,数据集标准分类!E:F,2,0)</f>
        <v>#REF!</v>
      </c>
      <c r="F1540" s="54">
        <v>57</v>
      </c>
      <c r="G1540" s="55" t="s">
        <v>142</v>
      </c>
      <c r="H1540" s="55" t="s">
        <v>6186</v>
      </c>
      <c r="I1540" s="55" t="s">
        <v>145</v>
      </c>
      <c r="J1540" s="55" t="s">
        <v>143</v>
      </c>
      <c r="K1540" s="55" t="s">
        <v>145</v>
      </c>
      <c r="L1540" s="55" t="s">
        <v>146</v>
      </c>
      <c r="M1540" s="50" t="s">
        <v>5593</v>
      </c>
      <c r="N1540" s="50" t="s">
        <v>5595</v>
      </c>
      <c r="O1540" s="56">
        <v>1</v>
      </c>
      <c r="P1540" s="57" t="e">
        <f>VLOOKUP(I1540,#REF!,2,0)</f>
        <v>#REF!</v>
      </c>
      <c r="Q1540" s="58"/>
      <c r="R1540" s="57"/>
      <c r="S1540" s="59"/>
      <c r="T1540" s="57"/>
      <c r="U1540" s="59"/>
      <c r="V1540" s="59"/>
      <c r="W1540" s="60">
        <v>1224</v>
      </c>
      <c r="X1540" s="61"/>
      <c r="Y1540" s="62"/>
      <c r="Z1540" s="62"/>
      <c r="AA1540" s="62"/>
      <c r="AB1540" s="62"/>
      <c r="AC1540" s="62"/>
      <c r="AD1540" s="62"/>
      <c r="AE1540" s="62"/>
      <c r="AF1540" s="62"/>
    </row>
    <row r="1541" ht="76" spans="1:32">
      <c r="A1541" s="16" t="s">
        <v>4286</v>
      </c>
      <c r="B1541" s="17" t="s">
        <v>4287</v>
      </c>
      <c r="C1541" s="30" t="s">
        <v>2867</v>
      </c>
      <c r="D1541" s="19" t="e">
        <f>VLOOKUP(C1541,#REF!,2,0)</f>
        <v>#REF!</v>
      </c>
      <c r="E1541" s="20" t="e">
        <f>VLOOKUP(D1541,数据集标准分类!E:F,2,0)</f>
        <v>#REF!</v>
      </c>
      <c r="F1541" s="21">
        <v>57</v>
      </c>
      <c r="G1541" s="22" t="s">
        <v>2868</v>
      </c>
      <c r="H1541" s="22" t="s">
        <v>2869</v>
      </c>
      <c r="I1541" s="22" t="s">
        <v>2871</v>
      </c>
      <c r="J1541" s="22" t="s">
        <v>2869</v>
      </c>
      <c r="K1541" s="22" t="s">
        <v>2871</v>
      </c>
      <c r="L1541" s="22" t="s">
        <v>2872</v>
      </c>
      <c r="M1541" s="16" t="s">
        <v>5595</v>
      </c>
      <c r="N1541" s="16" t="s">
        <v>5595</v>
      </c>
      <c r="O1541" s="23">
        <v>2</v>
      </c>
      <c r="P1541" s="24" t="e">
        <f>VLOOKUP(I1541,#REF!,2,0)</f>
        <v>#REF!</v>
      </c>
      <c r="Q1541" s="25"/>
      <c r="R1541" s="24"/>
      <c r="S1541" s="26"/>
      <c r="T1541" s="24"/>
      <c r="U1541" s="26"/>
      <c r="V1541" s="26"/>
      <c r="W1541" s="27">
        <v>1225</v>
      </c>
      <c r="X1541" s="28"/>
    </row>
    <row r="1542" ht="76" spans="1:32">
      <c r="A1542" s="16" t="s">
        <v>4286</v>
      </c>
      <c r="B1542" s="17" t="s">
        <v>4287</v>
      </c>
      <c r="C1542" s="30" t="s">
        <v>2867</v>
      </c>
      <c r="D1542" s="19" t="e">
        <f>VLOOKUP(C1542,#REF!,2,0)</f>
        <v>#REF!</v>
      </c>
      <c r="E1542" s="20" t="e">
        <f>VLOOKUP(D1542,数据集标准分类!E:F,2,0)</f>
        <v>#REF!</v>
      </c>
      <c r="F1542" s="21">
        <v>57</v>
      </c>
      <c r="G1542" s="22" t="s">
        <v>2873</v>
      </c>
      <c r="H1542" s="22" t="s">
        <v>6194</v>
      </c>
      <c r="I1542" s="22" t="s">
        <v>2876</v>
      </c>
      <c r="J1542" s="22" t="s">
        <v>2874</v>
      </c>
      <c r="K1542" s="22" t="s">
        <v>2876</v>
      </c>
      <c r="L1542" s="22" t="s">
        <v>2877</v>
      </c>
      <c r="M1542" s="16" t="s">
        <v>5593</v>
      </c>
      <c r="N1542" s="16" t="s">
        <v>5595</v>
      </c>
      <c r="O1542" s="23">
        <v>3</v>
      </c>
      <c r="P1542" s="24" t="e">
        <f>VLOOKUP(I1542,#REF!,2,0)</f>
        <v>#REF!</v>
      </c>
      <c r="Q1542" s="25"/>
      <c r="R1542" s="24"/>
      <c r="S1542" s="26"/>
      <c r="T1542" s="24"/>
      <c r="U1542" s="26"/>
      <c r="V1542" s="26"/>
      <c r="W1542" s="27">
        <v>1226</v>
      </c>
      <c r="X1542" s="28"/>
    </row>
    <row r="1543" ht="46" spans="1:32">
      <c r="A1543" s="16" t="s">
        <v>4286</v>
      </c>
      <c r="B1543" s="17" t="s">
        <v>4287</v>
      </c>
      <c r="C1543" s="30" t="s">
        <v>2867</v>
      </c>
      <c r="D1543" s="19" t="e">
        <f>VLOOKUP(C1543,#REF!,2,0)</f>
        <v>#REF!</v>
      </c>
      <c r="E1543" s="20" t="e">
        <f>VLOOKUP(D1543,数据集标准分类!E:F,2,0)</f>
        <v>#REF!</v>
      </c>
      <c r="F1543" s="21">
        <v>57</v>
      </c>
      <c r="G1543" s="22" t="s">
        <v>2878</v>
      </c>
      <c r="H1543" s="22" t="s">
        <v>6195</v>
      </c>
      <c r="I1543" s="22" t="s">
        <v>2881</v>
      </c>
      <c r="J1543" s="22" t="s">
        <v>2879</v>
      </c>
      <c r="K1543" s="22" t="s">
        <v>2881</v>
      </c>
      <c r="L1543" s="22" t="s">
        <v>2882</v>
      </c>
      <c r="M1543" s="16" t="s">
        <v>5593</v>
      </c>
      <c r="N1543" s="16" t="s">
        <v>5595</v>
      </c>
      <c r="O1543" s="23">
        <v>4</v>
      </c>
      <c r="P1543" s="24" t="e">
        <f>VLOOKUP(I1543,#REF!,2,0)</f>
        <v>#REF!</v>
      </c>
      <c r="Q1543" s="25"/>
      <c r="R1543" s="24"/>
      <c r="S1543" s="26"/>
      <c r="T1543" s="24"/>
      <c r="U1543" s="26"/>
      <c r="V1543" s="26"/>
      <c r="W1543" s="27">
        <v>1227</v>
      </c>
      <c r="X1543" s="28"/>
    </row>
    <row r="1544" ht="31" spans="1:32">
      <c r="A1544" s="16" t="s">
        <v>4286</v>
      </c>
      <c r="B1544" s="17" t="s">
        <v>4287</v>
      </c>
      <c r="C1544" s="30" t="s">
        <v>2867</v>
      </c>
      <c r="D1544" s="19" t="e">
        <f>VLOOKUP(C1544,#REF!,2,0)</f>
        <v>#REF!</v>
      </c>
      <c r="E1544" s="20" t="e">
        <f>VLOOKUP(D1544,数据集标准分类!E:F,2,0)</f>
        <v>#REF!</v>
      </c>
      <c r="F1544" s="21">
        <v>57</v>
      </c>
      <c r="G1544" s="22" t="s">
        <v>2883</v>
      </c>
      <c r="H1544" s="22" t="s">
        <v>6196</v>
      </c>
      <c r="I1544" s="22" t="s">
        <v>2886</v>
      </c>
      <c r="J1544" s="22" t="s">
        <v>2884</v>
      </c>
      <c r="K1544" s="22" t="s">
        <v>2886</v>
      </c>
      <c r="L1544" s="22" t="s">
        <v>2887</v>
      </c>
      <c r="M1544" s="16" t="s">
        <v>5593</v>
      </c>
      <c r="N1544" s="16" t="s">
        <v>5595</v>
      </c>
      <c r="O1544" s="23">
        <v>5</v>
      </c>
      <c r="P1544" s="24" t="e">
        <f>VLOOKUP(I1544,#REF!,2,0)</f>
        <v>#REF!</v>
      </c>
      <c r="Q1544" s="25"/>
      <c r="R1544" s="24"/>
      <c r="S1544" s="26"/>
      <c r="T1544" s="24"/>
      <c r="U1544" s="26"/>
      <c r="V1544" s="26"/>
      <c r="W1544" s="27">
        <v>1228</v>
      </c>
      <c r="X1544" s="28"/>
    </row>
    <row r="1545" ht="31" spans="1:32">
      <c r="A1545" s="16" t="s">
        <v>4276</v>
      </c>
      <c r="B1545" s="17" t="s">
        <v>4277</v>
      </c>
      <c r="C1545" s="30" t="s">
        <v>2770</v>
      </c>
      <c r="D1545" s="19" t="e">
        <f>VLOOKUP(C1545,#REF!,2,0)</f>
        <v>#REF!</v>
      </c>
      <c r="E1545" s="20" t="e">
        <f>VLOOKUP(D1545,数据集标准分类!E:F,2,0)</f>
        <v>#REF!</v>
      </c>
      <c r="F1545" s="21">
        <v>51</v>
      </c>
      <c r="G1545" s="22" t="s">
        <v>2772</v>
      </c>
      <c r="H1545" s="37" t="s">
        <v>6197</v>
      </c>
      <c r="I1545" s="37" t="s">
        <v>2775</v>
      </c>
      <c r="J1545" s="22" t="s">
        <v>2773</v>
      </c>
      <c r="K1545" s="22" t="s">
        <v>2775</v>
      </c>
      <c r="L1545" s="22" t="s">
        <v>2776</v>
      </c>
      <c r="M1545" s="16" t="s">
        <v>5593</v>
      </c>
      <c r="N1545" s="16" t="s">
        <v>5595</v>
      </c>
      <c r="O1545" s="23">
        <v>1</v>
      </c>
      <c r="P1545" s="24" t="e">
        <f>VLOOKUP(I1545,#REF!,2,0)</f>
        <v>#REF!</v>
      </c>
      <c r="Q1545" s="25"/>
      <c r="R1545" s="24"/>
      <c r="S1545" s="26"/>
      <c r="T1545" s="24"/>
      <c r="U1545" s="26"/>
      <c r="V1545" s="26"/>
      <c r="W1545" s="27">
        <v>1229</v>
      </c>
      <c r="X1545" s="28"/>
    </row>
    <row r="1546" ht="31" spans="1:32">
      <c r="A1546" s="16" t="s">
        <v>4276</v>
      </c>
      <c r="B1546" s="17" t="s">
        <v>4277</v>
      </c>
      <c r="C1546" s="30" t="s">
        <v>2770</v>
      </c>
      <c r="D1546" s="19" t="e">
        <f>VLOOKUP(C1546,#REF!,2,0)</f>
        <v>#REF!</v>
      </c>
      <c r="E1546" s="20" t="e">
        <f>VLOOKUP(D1546,数据集标准分类!E:F,2,0)</f>
        <v>#REF!</v>
      </c>
      <c r="F1546" s="21">
        <v>51</v>
      </c>
      <c r="G1546" s="22" t="s">
        <v>2685</v>
      </c>
      <c r="H1546" s="37" t="s">
        <v>5612</v>
      </c>
      <c r="I1546" s="37" t="s">
        <v>2688</v>
      </c>
      <c r="J1546" s="22" t="s">
        <v>2686</v>
      </c>
      <c r="K1546" s="22" t="s">
        <v>2688</v>
      </c>
      <c r="L1546" s="22" t="s">
        <v>2689</v>
      </c>
      <c r="M1546" s="16" t="s">
        <v>5593</v>
      </c>
      <c r="N1546" s="16" t="s">
        <v>5595</v>
      </c>
      <c r="O1546" s="23">
        <v>2</v>
      </c>
      <c r="P1546" s="24" t="e">
        <f>VLOOKUP(I1546,#REF!,2,0)</f>
        <v>#REF!</v>
      </c>
      <c r="Q1546" s="25"/>
      <c r="R1546" s="24"/>
      <c r="S1546" s="26"/>
      <c r="T1546" s="24"/>
      <c r="U1546" s="26"/>
      <c r="V1546" s="26"/>
      <c r="W1546" s="27">
        <v>1230</v>
      </c>
      <c r="X1546" s="28"/>
    </row>
    <row r="1547" spans="1:32">
      <c r="A1547" s="16" t="s">
        <v>4276</v>
      </c>
      <c r="B1547" s="17" t="s">
        <v>4277</v>
      </c>
      <c r="C1547" s="30" t="s">
        <v>2770</v>
      </c>
      <c r="D1547" s="19" t="e">
        <f>VLOOKUP(C1547,#REF!,2,0)</f>
        <v>#REF!</v>
      </c>
      <c r="E1547" s="20" t="e">
        <f>VLOOKUP(D1547,数据集标准分类!E:F,2,0)</f>
        <v>#REF!</v>
      </c>
      <c r="F1547" s="21">
        <v>51</v>
      </c>
      <c r="G1547" s="22" t="s">
        <v>2690</v>
      </c>
      <c r="H1547" s="37" t="s">
        <v>5613</v>
      </c>
      <c r="I1547" s="37" t="s">
        <v>2693</v>
      </c>
      <c r="J1547" s="22" t="s">
        <v>2691</v>
      </c>
      <c r="K1547" s="22" t="s">
        <v>2693</v>
      </c>
      <c r="L1547" s="22" t="s">
        <v>2694</v>
      </c>
      <c r="M1547" s="16" t="s">
        <v>5593</v>
      </c>
      <c r="N1547" s="16" t="s">
        <v>5595</v>
      </c>
      <c r="O1547" s="23">
        <v>3</v>
      </c>
      <c r="P1547" s="24" t="e">
        <f>VLOOKUP(I1547,#REF!,2,0)</f>
        <v>#REF!</v>
      </c>
      <c r="Q1547" s="25"/>
      <c r="R1547" s="24"/>
      <c r="S1547" s="26"/>
      <c r="T1547" s="24"/>
      <c r="U1547" s="26"/>
      <c r="V1547" s="26"/>
      <c r="W1547" s="27">
        <v>1231</v>
      </c>
      <c r="X1547" s="28"/>
    </row>
    <row r="1548" ht="31" spans="1:32">
      <c r="A1548" s="16" t="s">
        <v>4276</v>
      </c>
      <c r="B1548" s="17" t="s">
        <v>4277</v>
      </c>
      <c r="C1548" s="30" t="s">
        <v>2770</v>
      </c>
      <c r="D1548" s="19" t="e">
        <f>VLOOKUP(C1548,#REF!,2,0)</f>
        <v>#REF!</v>
      </c>
      <c r="E1548" s="20" t="e">
        <f>VLOOKUP(D1548,数据集标准分类!E:F,2,0)</f>
        <v>#REF!</v>
      </c>
      <c r="F1548" s="21">
        <v>51</v>
      </c>
      <c r="G1548" s="240" t="s">
        <v>2711</v>
      </c>
      <c r="H1548" s="37" t="s">
        <v>6198</v>
      </c>
      <c r="I1548" s="37" t="s">
        <v>6199</v>
      </c>
      <c r="J1548" s="22" t="s">
        <v>2712</v>
      </c>
      <c r="K1548" s="22" t="s">
        <v>2714</v>
      </c>
      <c r="L1548" s="22" t="s">
        <v>2777</v>
      </c>
      <c r="M1548" s="16" t="s">
        <v>5593</v>
      </c>
      <c r="N1548" s="16" t="s">
        <v>5593</v>
      </c>
      <c r="O1548" s="23">
        <v>4</v>
      </c>
      <c r="P1548" s="24" t="e">
        <f>VLOOKUP(I1548,#REF!,2,0)</f>
        <v>#REF!</v>
      </c>
      <c r="Q1548" s="25"/>
      <c r="R1548" s="24"/>
      <c r="S1548" s="26"/>
      <c r="T1548" s="24"/>
      <c r="U1548" s="26"/>
      <c r="V1548" s="26"/>
      <c r="W1548" s="27">
        <v>1232</v>
      </c>
      <c r="X1548" s="28"/>
    </row>
    <row r="1549" ht="31" spans="1:32">
      <c r="A1549" s="16" t="s">
        <v>4276</v>
      </c>
      <c r="B1549" s="17" t="s">
        <v>4277</v>
      </c>
      <c r="C1549" s="30" t="s">
        <v>2770</v>
      </c>
      <c r="D1549" s="19" t="e">
        <f>VLOOKUP(C1549,#REF!,2,0)</f>
        <v>#REF!</v>
      </c>
      <c r="E1549" s="20" t="e">
        <f>VLOOKUP(D1549,数据集标准分类!E:F,2,0)</f>
        <v>#REF!</v>
      </c>
      <c r="F1549" s="21">
        <v>51</v>
      </c>
      <c r="G1549" s="22" t="s">
        <v>1597</v>
      </c>
      <c r="H1549" s="37" t="s">
        <v>1598</v>
      </c>
      <c r="I1549" s="37" t="s">
        <v>5663</v>
      </c>
      <c r="J1549" s="22" t="s">
        <v>1598</v>
      </c>
      <c r="K1549" s="22" t="s">
        <v>1600</v>
      </c>
      <c r="L1549" s="22" t="s">
        <v>2778</v>
      </c>
      <c r="M1549" s="16" t="s">
        <v>5595</v>
      </c>
      <c r="N1549" s="16" t="s">
        <v>5593</v>
      </c>
      <c r="O1549" s="23">
        <v>5</v>
      </c>
      <c r="P1549" s="24" t="e">
        <f>VLOOKUP(I1549,#REF!,2,0)</f>
        <v>#REF!</v>
      </c>
      <c r="Q1549" s="25"/>
      <c r="R1549" s="24"/>
      <c r="S1549" s="26"/>
      <c r="T1549" s="24"/>
      <c r="U1549" s="26"/>
      <c r="V1549" s="26"/>
      <c r="W1549" s="27">
        <v>1233</v>
      </c>
      <c r="X1549" s="28"/>
    </row>
    <row r="1550" ht="31" spans="1:32">
      <c r="A1550" s="16" t="s">
        <v>4276</v>
      </c>
      <c r="B1550" s="17" t="s">
        <v>4277</v>
      </c>
      <c r="C1550" s="30" t="s">
        <v>2770</v>
      </c>
      <c r="D1550" s="19" t="e">
        <f>VLOOKUP(C1550,#REF!,2,0)</f>
        <v>#REF!</v>
      </c>
      <c r="E1550" s="20" t="e">
        <f>VLOOKUP(D1550,数据集标准分类!E:F,2,0)</f>
        <v>#REF!</v>
      </c>
      <c r="F1550" s="21">
        <v>51</v>
      </c>
      <c r="G1550" s="22" t="s">
        <v>1921</v>
      </c>
      <c r="H1550" s="37" t="s">
        <v>5614</v>
      </c>
      <c r="I1550" s="37" t="s">
        <v>5615</v>
      </c>
      <c r="J1550" s="22" t="s">
        <v>1922</v>
      </c>
      <c r="K1550" s="22" t="s">
        <v>1924</v>
      </c>
      <c r="L1550" s="22" t="s">
        <v>2695</v>
      </c>
      <c r="M1550" s="16" t="s">
        <v>5593</v>
      </c>
      <c r="N1550" s="16" t="s">
        <v>5593</v>
      </c>
      <c r="O1550" s="23">
        <v>6</v>
      </c>
      <c r="P1550" s="24" t="e">
        <f>VLOOKUP(I1550,#REF!,2,0)</f>
        <v>#REF!</v>
      </c>
      <c r="Q1550" s="25"/>
      <c r="R1550" s="24"/>
      <c r="S1550" s="26"/>
      <c r="T1550" s="24"/>
      <c r="U1550" s="26"/>
      <c r="V1550" s="26"/>
      <c r="W1550" s="27">
        <v>1234</v>
      </c>
      <c r="X1550" s="28"/>
    </row>
    <row r="1551" ht="31" spans="1:32">
      <c r="A1551" s="16" t="s">
        <v>4276</v>
      </c>
      <c r="B1551" s="17" t="s">
        <v>4277</v>
      </c>
      <c r="C1551" s="30" t="s">
        <v>2770</v>
      </c>
      <c r="D1551" s="19" t="e">
        <f>VLOOKUP(C1551,#REF!,2,0)</f>
        <v>#REF!</v>
      </c>
      <c r="E1551" s="20" t="e">
        <f>VLOOKUP(D1551,数据集标准分类!E:F,2,0)</f>
        <v>#REF!</v>
      </c>
      <c r="F1551" s="21">
        <v>51</v>
      </c>
      <c r="G1551" s="22" t="s">
        <v>2701</v>
      </c>
      <c r="H1551" s="22" t="s">
        <v>2702</v>
      </c>
      <c r="I1551" s="22" t="s">
        <v>5617</v>
      </c>
      <c r="J1551" s="22" t="s">
        <v>2702</v>
      </c>
      <c r="K1551" s="22" t="s">
        <v>2704</v>
      </c>
      <c r="L1551" s="22" t="s">
        <v>2705</v>
      </c>
      <c r="M1551" s="16" t="s">
        <v>5595</v>
      </c>
      <c r="N1551" s="16" t="s">
        <v>5593</v>
      </c>
      <c r="O1551" s="23">
        <v>7</v>
      </c>
      <c r="P1551" s="24" t="e">
        <f>VLOOKUP(I1551,#REF!,2,0)</f>
        <v>#REF!</v>
      </c>
      <c r="Q1551" s="25"/>
      <c r="R1551" s="24"/>
      <c r="S1551" s="26"/>
      <c r="T1551" s="24"/>
      <c r="U1551" s="26"/>
      <c r="V1551" s="26"/>
      <c r="W1551" s="27">
        <v>1235</v>
      </c>
      <c r="X1551" s="28"/>
    </row>
    <row r="1552" spans="1:32">
      <c r="A1552" s="16" t="s">
        <v>4276</v>
      </c>
      <c r="B1552" s="17" t="s">
        <v>4277</v>
      </c>
      <c r="C1552" s="30" t="s">
        <v>2770</v>
      </c>
      <c r="D1552" s="19" t="e">
        <f>VLOOKUP(C1552,#REF!,2,0)</f>
        <v>#REF!</v>
      </c>
      <c r="E1552" s="20" t="e">
        <f>VLOOKUP(D1552,数据集标准分类!E:F,2,0)</f>
        <v>#REF!</v>
      </c>
      <c r="F1552" s="21">
        <v>51</v>
      </c>
      <c r="G1552" s="29" t="s">
        <v>2696</v>
      </c>
      <c r="H1552" s="29" t="s">
        <v>5616</v>
      </c>
      <c r="I1552" s="29" t="s">
        <v>2699</v>
      </c>
      <c r="J1552" s="29" t="s">
        <v>2697</v>
      </c>
      <c r="K1552" s="29" t="s">
        <v>2699</v>
      </c>
      <c r="L1552" s="29" t="s">
        <v>2700</v>
      </c>
      <c r="M1552" s="16" t="s">
        <v>5593</v>
      </c>
      <c r="N1552" s="16" t="s">
        <v>5595</v>
      </c>
      <c r="O1552" s="23">
        <v>8</v>
      </c>
      <c r="P1552" s="24" t="e">
        <f>VLOOKUP(I1552,#REF!,2,0)</f>
        <v>#REF!</v>
      </c>
      <c r="Q1552" s="25"/>
      <c r="R1552" s="24"/>
      <c r="S1552" s="26"/>
      <c r="T1552" s="24"/>
      <c r="U1552" s="26"/>
      <c r="V1552" s="26"/>
      <c r="W1552" s="27">
        <v>1236</v>
      </c>
      <c r="X1552" s="28"/>
    </row>
    <row r="1553" ht="31" spans="1:32">
      <c r="A1553" s="16" t="s">
        <v>4276</v>
      </c>
      <c r="B1553" s="17" t="s">
        <v>4277</v>
      </c>
      <c r="C1553" s="30" t="s">
        <v>2770</v>
      </c>
      <c r="D1553" s="19" t="e">
        <f>VLOOKUP(C1553,#REF!,2,0)</f>
        <v>#REF!</v>
      </c>
      <c r="E1553" s="20" t="e">
        <f>VLOOKUP(D1553,数据集标准分类!E:F,2,0)</f>
        <v>#REF!</v>
      </c>
      <c r="F1553" s="21">
        <v>51</v>
      </c>
      <c r="G1553" s="22" t="s">
        <v>2779</v>
      </c>
      <c r="H1553" s="22" t="s">
        <v>6200</v>
      </c>
      <c r="I1553" s="22" t="s">
        <v>6201</v>
      </c>
      <c r="J1553" s="22" t="s">
        <v>2780</v>
      </c>
      <c r="K1553" s="22" t="s">
        <v>2782</v>
      </c>
      <c r="L1553" s="22" t="s">
        <v>2783</v>
      </c>
      <c r="M1553" s="16" t="s">
        <v>5593</v>
      </c>
      <c r="N1553" s="16" t="s">
        <v>5593</v>
      </c>
      <c r="O1553" s="23">
        <v>9</v>
      </c>
      <c r="P1553" s="24" t="e">
        <f>VLOOKUP(I1553,#REF!,2,0)</f>
        <v>#REF!</v>
      </c>
      <c r="Q1553" s="25"/>
      <c r="R1553" s="24"/>
      <c r="S1553" s="26"/>
      <c r="T1553" s="24"/>
      <c r="U1553" s="26"/>
      <c r="V1553" s="26"/>
      <c r="W1553" s="27">
        <v>1237</v>
      </c>
      <c r="X1553" s="28"/>
    </row>
    <row r="1554" ht="31" spans="1:32">
      <c r="A1554" s="16" t="s">
        <v>4276</v>
      </c>
      <c r="B1554" s="17" t="s">
        <v>4277</v>
      </c>
      <c r="C1554" s="30" t="s">
        <v>2770</v>
      </c>
      <c r="D1554" s="19" t="e">
        <f>VLOOKUP(C1554,#REF!,2,0)</f>
        <v>#REF!</v>
      </c>
      <c r="E1554" s="20" t="e">
        <f>VLOOKUP(D1554,数据集标准分类!E:F,2,0)</f>
        <v>#REF!</v>
      </c>
      <c r="F1554" s="21">
        <v>51</v>
      </c>
      <c r="G1554" s="240" t="s">
        <v>2711</v>
      </c>
      <c r="H1554" s="37" t="s">
        <v>5618</v>
      </c>
      <c r="I1554" s="37" t="s">
        <v>5619</v>
      </c>
      <c r="J1554" s="22" t="s">
        <v>2712</v>
      </c>
      <c r="K1554" s="22" t="s">
        <v>2714</v>
      </c>
      <c r="L1554" s="22" t="s">
        <v>2715</v>
      </c>
      <c r="M1554" s="16" t="s">
        <v>5593</v>
      </c>
      <c r="N1554" s="16" t="s">
        <v>5593</v>
      </c>
      <c r="O1554" s="23">
        <v>10</v>
      </c>
      <c r="P1554" s="24" t="e">
        <f>VLOOKUP(I1554,#REF!,2,0)</f>
        <v>#REF!</v>
      </c>
      <c r="Q1554" s="25"/>
      <c r="R1554" s="24"/>
      <c r="S1554" s="26"/>
      <c r="T1554" s="24"/>
      <c r="U1554" s="26"/>
      <c r="V1554" s="26"/>
      <c r="W1554" s="27">
        <v>1238</v>
      </c>
      <c r="X1554" s="28"/>
    </row>
    <row r="1555" spans="1:32">
      <c r="A1555" s="24" t="s">
        <v>4276</v>
      </c>
      <c r="B1555" s="27" t="s">
        <v>4277</v>
      </c>
      <c r="C1555" s="30" t="s">
        <v>2770</v>
      </c>
      <c r="D1555" s="19" t="e">
        <f>VLOOKUP(C1555,#REF!,2,0)</f>
        <v>#REF!</v>
      </c>
      <c r="E1555" s="45" t="e">
        <f>VLOOKUP(D1555,数据集标准分类!E:F,2,0)</f>
        <v>#REF!</v>
      </c>
      <c r="F1555" s="21">
        <v>51</v>
      </c>
      <c r="G1555" s="29" t="s">
        <v>2706</v>
      </c>
      <c r="H1555" s="29" t="s">
        <v>2707</v>
      </c>
      <c r="I1555" s="29" t="s">
        <v>2709</v>
      </c>
      <c r="J1555" s="29" t="s">
        <v>2707</v>
      </c>
      <c r="K1555" s="29" t="s">
        <v>2709</v>
      </c>
      <c r="L1555" s="29" t="s">
        <v>2710</v>
      </c>
      <c r="M1555" s="24" t="s">
        <v>5595</v>
      </c>
      <c r="N1555" s="24" t="s">
        <v>5595</v>
      </c>
      <c r="O1555" s="46">
        <v>10</v>
      </c>
      <c r="P1555" s="24" t="e">
        <f>VLOOKUP(I1555,#REF!,2,0)</f>
        <v>#REF!</v>
      </c>
      <c r="Q1555" s="47"/>
      <c r="R1555" s="24"/>
      <c r="S1555" s="48"/>
      <c r="T1555" s="24"/>
      <c r="U1555" s="48"/>
      <c r="V1555" s="48"/>
      <c r="W1555" s="27">
        <v>1239</v>
      </c>
      <c r="X1555" s="28"/>
      <c r="Y1555" s="5"/>
      <c r="Z1555" s="5"/>
      <c r="AA1555" s="5"/>
      <c r="AB1555" s="5"/>
      <c r="AC1555" s="5"/>
      <c r="AD1555" s="5"/>
      <c r="AE1555" s="5"/>
      <c r="AF1555" s="5"/>
    </row>
    <row r="1556" ht="31" spans="1:32">
      <c r="A1556" s="16" t="s">
        <v>4276</v>
      </c>
      <c r="B1556" s="17" t="s">
        <v>4277</v>
      </c>
      <c r="C1556" s="30" t="s">
        <v>2770</v>
      </c>
      <c r="D1556" s="19" t="e">
        <f>VLOOKUP(C1556,#REF!,2,0)</f>
        <v>#REF!</v>
      </c>
      <c r="E1556" s="20" t="e">
        <f>VLOOKUP(D1556,数据集标准分类!E:F,2,0)</f>
        <v>#REF!</v>
      </c>
      <c r="F1556" s="21">
        <v>51</v>
      </c>
      <c r="G1556" s="22" t="s">
        <v>2784</v>
      </c>
      <c r="H1556" s="22" t="s">
        <v>6202</v>
      </c>
      <c r="I1556" s="22" t="s">
        <v>2787</v>
      </c>
      <c r="J1556" s="22" t="s">
        <v>2785</v>
      </c>
      <c r="K1556" s="22" t="s">
        <v>2787</v>
      </c>
      <c r="L1556" s="22" t="s">
        <v>2788</v>
      </c>
      <c r="M1556" s="16" t="s">
        <v>5593</v>
      </c>
      <c r="N1556" s="16" t="s">
        <v>5595</v>
      </c>
      <c r="O1556" s="23">
        <v>11</v>
      </c>
      <c r="P1556" s="24" t="e">
        <f>VLOOKUP(I1556,#REF!,2,0)</f>
        <v>#REF!</v>
      </c>
      <c r="Q1556" s="25"/>
      <c r="R1556" s="24"/>
      <c r="S1556" s="26"/>
      <c r="T1556" s="24"/>
      <c r="U1556" s="26"/>
      <c r="V1556" s="26"/>
      <c r="W1556" s="27">
        <v>1240</v>
      </c>
      <c r="X1556" s="28"/>
    </row>
    <row r="1557" ht="30" customHeight="1" spans="1:32">
      <c r="A1557" s="16" t="s">
        <v>4276</v>
      </c>
      <c r="B1557" s="17" t="s">
        <v>4277</v>
      </c>
      <c r="C1557" s="30" t="s">
        <v>2770</v>
      </c>
      <c r="D1557" s="19" t="e">
        <f>VLOOKUP(C1557,#REF!,2,0)</f>
        <v>#REF!</v>
      </c>
      <c r="E1557" s="20" t="e">
        <f>VLOOKUP(D1557,数据集标准分类!E:F,2,0)</f>
        <v>#REF!</v>
      </c>
      <c r="F1557" s="21">
        <v>51</v>
      </c>
      <c r="G1557" s="241" t="s">
        <v>2789</v>
      </c>
      <c r="H1557" s="241" t="s">
        <v>6203</v>
      </c>
      <c r="I1557" s="242" t="s">
        <v>2792</v>
      </c>
      <c r="J1557" s="22" t="s">
        <v>2790</v>
      </c>
      <c r="K1557" s="22" t="s">
        <v>2792</v>
      </c>
      <c r="L1557" s="22" t="s">
        <v>2793</v>
      </c>
      <c r="M1557" s="16" t="s">
        <v>5593</v>
      </c>
      <c r="N1557" s="16" t="s">
        <v>5595</v>
      </c>
      <c r="O1557" s="23">
        <v>12</v>
      </c>
      <c r="P1557" s="24" t="e">
        <f>VLOOKUP(I1557,#REF!,2,0)</f>
        <v>#REF!</v>
      </c>
      <c r="Q1557" s="25"/>
      <c r="R1557" s="24"/>
      <c r="S1557" s="26"/>
      <c r="T1557" s="24"/>
      <c r="U1557" s="26"/>
      <c r="V1557" s="26"/>
      <c r="W1557" s="27">
        <v>1241</v>
      </c>
      <c r="X1557" s="28"/>
    </row>
    <row r="1558" ht="31" spans="1:32">
      <c r="A1558" s="16" t="s">
        <v>4276</v>
      </c>
      <c r="B1558" s="17" t="s">
        <v>4277</v>
      </c>
      <c r="C1558" s="30" t="s">
        <v>2770</v>
      </c>
      <c r="D1558" s="19" t="e">
        <f>VLOOKUP(C1558,#REF!,2,0)</f>
        <v>#REF!</v>
      </c>
      <c r="E1558" s="20" t="e">
        <f>VLOOKUP(D1558,数据集标准分类!E:F,2,0)</f>
        <v>#REF!</v>
      </c>
      <c r="F1558" s="21">
        <v>51</v>
      </c>
      <c r="G1558" s="22" t="s">
        <v>2794</v>
      </c>
      <c r="H1558" s="37" t="s">
        <v>6204</v>
      </c>
      <c r="I1558" s="37" t="s">
        <v>6205</v>
      </c>
      <c r="J1558" s="22" t="s">
        <v>2795</v>
      </c>
      <c r="K1558" s="22" t="s">
        <v>2797</v>
      </c>
      <c r="L1558" s="22" t="s">
        <v>2798</v>
      </c>
      <c r="M1558" s="16" t="s">
        <v>5593</v>
      </c>
      <c r="N1558" s="16" t="s">
        <v>5593</v>
      </c>
      <c r="O1558" s="23">
        <v>13</v>
      </c>
      <c r="P1558" s="24" t="e">
        <f>VLOOKUP(I1558,#REF!,2,0)</f>
        <v>#REF!</v>
      </c>
      <c r="Q1558" s="25"/>
      <c r="R1558" s="24"/>
      <c r="S1558" s="26"/>
      <c r="T1558" s="24"/>
      <c r="U1558" s="26"/>
      <c r="V1558" s="26"/>
      <c r="W1558" s="27">
        <v>1242</v>
      </c>
      <c r="X1558" s="28"/>
    </row>
    <row r="1559" spans="1:32">
      <c r="A1559" s="16" t="s">
        <v>4276</v>
      </c>
      <c r="B1559" s="17" t="s">
        <v>4277</v>
      </c>
      <c r="C1559" s="30" t="s">
        <v>2770</v>
      </c>
      <c r="D1559" s="19" t="e">
        <f>VLOOKUP(C1559,#REF!,2,0)</f>
        <v>#REF!</v>
      </c>
      <c r="E1559" s="20" t="e">
        <f>VLOOKUP(D1559,数据集标准分类!E:F,2,0)</f>
        <v>#REF!</v>
      </c>
      <c r="F1559" s="21">
        <v>51</v>
      </c>
      <c r="G1559" s="22" t="s">
        <v>2799</v>
      </c>
      <c r="H1559" s="22" t="s">
        <v>2800</v>
      </c>
      <c r="I1559" s="22" t="s">
        <v>2802</v>
      </c>
      <c r="J1559" s="22" t="s">
        <v>2800</v>
      </c>
      <c r="K1559" s="22" t="s">
        <v>2802</v>
      </c>
      <c r="L1559" s="22"/>
      <c r="M1559" s="16"/>
      <c r="N1559" s="16"/>
      <c r="O1559" s="23">
        <v>14</v>
      </c>
      <c r="P1559" s="24"/>
      <c r="Q1559" s="25"/>
      <c r="R1559" s="24"/>
      <c r="S1559" s="26"/>
      <c r="T1559" s="24"/>
      <c r="U1559" s="26"/>
      <c r="V1559" s="26"/>
      <c r="W1559" s="27"/>
      <c r="X1559" s="28"/>
    </row>
    <row r="1560" spans="1:32">
      <c r="A1560" s="16" t="s">
        <v>4276</v>
      </c>
      <c r="B1560" s="17" t="s">
        <v>4277</v>
      </c>
      <c r="C1560" s="30" t="s">
        <v>2770</v>
      </c>
      <c r="D1560" s="19" t="e">
        <f>VLOOKUP(C1560,#REF!,2,0)</f>
        <v>#REF!</v>
      </c>
      <c r="E1560" s="20" t="e">
        <f>VLOOKUP(D1560,数据集标准分类!E:F,2,0)</f>
        <v>#REF!</v>
      </c>
      <c r="F1560" s="21">
        <v>51</v>
      </c>
      <c r="G1560" s="22" t="s">
        <v>1702</v>
      </c>
      <c r="H1560" s="22" t="s">
        <v>1703</v>
      </c>
      <c r="I1560" s="22" t="s">
        <v>2803</v>
      </c>
      <c r="J1560" s="22" t="s">
        <v>1703</v>
      </c>
      <c r="K1560" s="22" t="s">
        <v>2803</v>
      </c>
      <c r="L1560" s="22"/>
      <c r="M1560" s="16"/>
      <c r="N1560" s="16"/>
      <c r="O1560" s="23">
        <v>15</v>
      </c>
      <c r="P1560" s="24"/>
      <c r="Q1560" s="25"/>
      <c r="R1560" s="24"/>
      <c r="S1560" s="26"/>
      <c r="T1560" s="24"/>
      <c r="U1560" s="26"/>
      <c r="V1560" s="26"/>
      <c r="W1560" s="27"/>
      <c r="X1560" s="28"/>
    </row>
    <row r="1561" spans="1:32">
      <c r="A1561" s="16" t="s">
        <v>4276</v>
      </c>
      <c r="B1561" s="17" t="s">
        <v>4277</v>
      </c>
      <c r="C1561" s="30" t="s">
        <v>2770</v>
      </c>
      <c r="D1561" s="19" t="e">
        <f>VLOOKUP(C1561,#REF!,2,0)</f>
        <v>#REF!</v>
      </c>
      <c r="E1561" s="20" t="e">
        <f>VLOOKUP(D1561,数据集标准分类!E:F,2,0)</f>
        <v>#REF!</v>
      </c>
      <c r="F1561" s="21">
        <v>51</v>
      </c>
      <c r="G1561" s="22" t="s">
        <v>2804</v>
      </c>
      <c r="H1561" s="22" t="s">
        <v>2805</v>
      </c>
      <c r="I1561" s="22" t="s">
        <v>2807</v>
      </c>
      <c r="J1561" s="22" t="s">
        <v>2805</v>
      </c>
      <c r="K1561" s="22" t="s">
        <v>2807</v>
      </c>
      <c r="L1561" s="22"/>
      <c r="M1561" s="16"/>
      <c r="N1561" s="16"/>
      <c r="O1561" s="23">
        <v>16</v>
      </c>
      <c r="P1561" s="24"/>
      <c r="Q1561" s="25"/>
      <c r="R1561" s="24"/>
      <c r="S1561" s="26"/>
      <c r="T1561" s="24"/>
      <c r="U1561" s="26"/>
      <c r="V1561" s="26"/>
      <c r="W1561" s="27"/>
      <c r="X1561" s="28"/>
    </row>
    <row r="1562" spans="1:32">
      <c r="A1562" s="16" t="s">
        <v>4276</v>
      </c>
      <c r="B1562" s="17" t="s">
        <v>4277</v>
      </c>
      <c r="C1562" s="30" t="s">
        <v>2770</v>
      </c>
      <c r="D1562" s="19" t="e">
        <f>VLOOKUP(C1562,#REF!,2,0)</f>
        <v>#REF!</v>
      </c>
      <c r="E1562" s="20" t="e">
        <f>VLOOKUP(D1562,数据集标准分类!E:F,2,0)</f>
        <v>#REF!</v>
      </c>
      <c r="F1562" s="21">
        <v>51</v>
      </c>
      <c r="G1562" s="22" t="s">
        <v>2808</v>
      </c>
      <c r="H1562" s="22" t="s">
        <v>2809</v>
      </c>
      <c r="I1562" s="22" t="s">
        <v>2811</v>
      </c>
      <c r="J1562" s="22" t="s">
        <v>2809</v>
      </c>
      <c r="K1562" s="22" t="s">
        <v>2811</v>
      </c>
      <c r="L1562" s="22"/>
      <c r="M1562" s="16"/>
      <c r="N1562" s="16"/>
      <c r="O1562" s="23">
        <v>17</v>
      </c>
      <c r="P1562" s="24"/>
      <c r="Q1562" s="25"/>
      <c r="R1562" s="24"/>
      <c r="S1562" s="26"/>
      <c r="T1562" s="24"/>
      <c r="U1562" s="26"/>
      <c r="V1562" s="26"/>
      <c r="W1562" s="27"/>
      <c r="X1562" s="28"/>
    </row>
    <row r="1563" spans="1:32">
      <c r="A1563" s="16" t="s">
        <v>4276</v>
      </c>
      <c r="B1563" s="17" t="s">
        <v>4277</v>
      </c>
      <c r="C1563" s="30" t="s">
        <v>2770</v>
      </c>
      <c r="D1563" s="19" t="e">
        <f>VLOOKUP(C1563,#REF!,2,0)</f>
        <v>#REF!</v>
      </c>
      <c r="E1563" s="20" t="e">
        <f>VLOOKUP(D1563,数据集标准分类!E:F,2,0)</f>
        <v>#REF!</v>
      </c>
      <c r="F1563" s="21">
        <v>51</v>
      </c>
      <c r="G1563" s="22" t="s">
        <v>2812</v>
      </c>
      <c r="H1563" s="22" t="s">
        <v>2813</v>
      </c>
      <c r="I1563" s="22" t="s">
        <v>2815</v>
      </c>
      <c r="J1563" s="22" t="s">
        <v>2813</v>
      </c>
      <c r="K1563" s="22" t="s">
        <v>2815</v>
      </c>
      <c r="L1563" s="22"/>
      <c r="M1563" s="16"/>
      <c r="N1563" s="16"/>
      <c r="O1563" s="23">
        <v>19</v>
      </c>
      <c r="P1563" s="24"/>
      <c r="Q1563" s="25"/>
      <c r="R1563" s="24"/>
      <c r="S1563" s="26"/>
      <c r="T1563" s="24"/>
      <c r="U1563" s="26"/>
      <c r="V1563" s="26"/>
      <c r="W1563" s="27"/>
      <c r="X1563" s="28"/>
    </row>
    <row r="1564" spans="1:32">
      <c r="A1564" s="16" t="s">
        <v>4276</v>
      </c>
      <c r="B1564" s="17" t="s">
        <v>4277</v>
      </c>
      <c r="C1564" s="30" t="s">
        <v>2770</v>
      </c>
      <c r="D1564" s="19" t="e">
        <f>VLOOKUP(C1564,#REF!,2,0)</f>
        <v>#REF!</v>
      </c>
      <c r="E1564" s="20" t="e">
        <f>VLOOKUP(D1564,数据集标准分类!E:F,2,0)</f>
        <v>#REF!</v>
      </c>
      <c r="F1564" s="21">
        <v>51</v>
      </c>
      <c r="G1564" s="22" t="s">
        <v>2816</v>
      </c>
      <c r="H1564" s="22" t="s">
        <v>2817</v>
      </c>
      <c r="I1564" s="22" t="s">
        <v>2819</v>
      </c>
      <c r="J1564" s="22" t="s">
        <v>2817</v>
      </c>
      <c r="K1564" s="22" t="s">
        <v>2819</v>
      </c>
      <c r="L1564" s="22"/>
      <c r="M1564" s="16"/>
      <c r="N1564" s="16"/>
      <c r="O1564" s="23">
        <v>20</v>
      </c>
      <c r="P1564" s="24"/>
      <c r="Q1564" s="25"/>
      <c r="R1564" s="24"/>
      <c r="S1564" s="26"/>
      <c r="T1564" s="24"/>
      <c r="U1564" s="26"/>
      <c r="V1564" s="26"/>
      <c r="W1564" s="27"/>
      <c r="X1564" s="28"/>
    </row>
    <row r="1565" ht="31" spans="1:32">
      <c r="A1565" s="16" t="s">
        <v>4276</v>
      </c>
      <c r="B1565" s="17" t="s">
        <v>4277</v>
      </c>
      <c r="C1565" s="30" t="s">
        <v>5550</v>
      </c>
      <c r="D1565" s="19" t="e">
        <f>VLOOKUP(C1565,#REF!,2,0)</f>
        <v>#REF!</v>
      </c>
      <c r="E1565" s="20" t="e">
        <f>VLOOKUP(D1565,数据集标准分类!E:F,2,0)</f>
        <v>#REF!</v>
      </c>
      <c r="F1565" s="21">
        <v>3</v>
      </c>
      <c r="G1565" s="22" t="s">
        <v>1011</v>
      </c>
      <c r="H1565" s="22" t="s">
        <v>6096</v>
      </c>
      <c r="I1565" s="22" t="s">
        <v>1014</v>
      </c>
      <c r="J1565" s="22" t="s">
        <v>1012</v>
      </c>
      <c r="K1565" s="22" t="s">
        <v>1014</v>
      </c>
      <c r="L1565" s="22" t="s">
        <v>2834</v>
      </c>
      <c r="M1565" s="16" t="s">
        <v>5593</v>
      </c>
      <c r="N1565" s="16" t="s">
        <v>5595</v>
      </c>
      <c r="O1565" s="23">
        <v>1</v>
      </c>
      <c r="P1565" s="24" t="e">
        <f>VLOOKUP(I1565,#REF!,2,0)</f>
        <v>#REF!</v>
      </c>
      <c r="Q1565" s="25"/>
      <c r="R1565" s="24"/>
      <c r="S1565" s="26"/>
      <c r="T1565" s="24"/>
      <c r="U1565" s="26"/>
      <c r="V1565" s="26"/>
      <c r="W1565" s="27">
        <v>1243</v>
      </c>
      <c r="X1565" s="28"/>
    </row>
    <row r="1566" ht="31" spans="1:32">
      <c r="A1566" s="16" t="s">
        <v>4276</v>
      </c>
      <c r="B1566" s="17" t="s">
        <v>4277</v>
      </c>
      <c r="C1566" s="30" t="s">
        <v>5550</v>
      </c>
      <c r="D1566" s="19" t="e">
        <f>VLOOKUP(C1566,#REF!,2,0)</f>
        <v>#REF!</v>
      </c>
      <c r="E1566" s="20" t="e">
        <f>VLOOKUP(D1566,数据集标准分类!E:F,2,0)</f>
        <v>#REF!</v>
      </c>
      <c r="F1566" s="21">
        <v>3</v>
      </c>
      <c r="G1566" s="22" t="s">
        <v>2242</v>
      </c>
      <c r="H1566" s="22" t="s">
        <v>2243</v>
      </c>
      <c r="I1566" s="22" t="s">
        <v>2836</v>
      </c>
      <c r="J1566" s="22" t="s">
        <v>2243</v>
      </c>
      <c r="K1566" s="22" t="s">
        <v>2836</v>
      </c>
      <c r="L1566" s="22" t="s">
        <v>2837</v>
      </c>
      <c r="M1566" s="16" t="s">
        <v>5595</v>
      </c>
      <c r="N1566" s="16" t="s">
        <v>5595</v>
      </c>
      <c r="O1566" s="23">
        <v>2</v>
      </c>
      <c r="P1566" s="24" t="e">
        <f>VLOOKUP(I1566,#REF!,2,0)</f>
        <v>#REF!</v>
      </c>
      <c r="Q1566" s="25"/>
      <c r="R1566" s="24"/>
      <c r="S1566" s="26"/>
      <c r="T1566" s="24"/>
      <c r="U1566" s="26"/>
      <c r="V1566" s="26"/>
      <c r="W1566" s="27">
        <v>1244</v>
      </c>
      <c r="X1566" s="28"/>
    </row>
    <row r="1567" ht="31" spans="1:32">
      <c r="A1567" s="16" t="s">
        <v>4276</v>
      </c>
      <c r="B1567" s="17" t="s">
        <v>4277</v>
      </c>
      <c r="C1567" s="30" t="s">
        <v>5550</v>
      </c>
      <c r="D1567" s="19" t="e">
        <f>VLOOKUP(C1567,#REF!,2,0)</f>
        <v>#REF!</v>
      </c>
      <c r="E1567" s="20" t="e">
        <f>VLOOKUP(D1567,数据集标准分类!E:F,2,0)</f>
        <v>#REF!</v>
      </c>
      <c r="F1567" s="21">
        <v>3</v>
      </c>
      <c r="G1567" s="22" t="s">
        <v>172</v>
      </c>
      <c r="H1567" s="22" t="s">
        <v>5639</v>
      </c>
      <c r="I1567" s="22" t="s">
        <v>5640</v>
      </c>
      <c r="J1567" s="22" t="s">
        <v>173</v>
      </c>
      <c r="K1567" s="22" t="s">
        <v>175</v>
      </c>
      <c r="L1567" s="22" t="s">
        <v>1245</v>
      </c>
      <c r="M1567" s="16" t="s">
        <v>5593</v>
      </c>
      <c r="N1567" s="16" t="s">
        <v>5593</v>
      </c>
      <c r="O1567" s="23">
        <v>3</v>
      </c>
      <c r="P1567" s="24" t="e">
        <f>VLOOKUP(I1567,#REF!,2,0)</f>
        <v>#REF!</v>
      </c>
      <c r="Q1567" s="25"/>
      <c r="R1567" s="24"/>
      <c r="S1567" s="26"/>
      <c r="T1567" s="24"/>
      <c r="U1567" s="26"/>
      <c r="V1567" s="26"/>
      <c r="W1567" s="27">
        <v>1245</v>
      </c>
      <c r="X1567" s="28"/>
    </row>
    <row r="1568" spans="1:32">
      <c r="A1568" s="16" t="s">
        <v>4276</v>
      </c>
      <c r="B1568" s="17" t="s">
        <v>4277</v>
      </c>
      <c r="C1568" s="30" t="s">
        <v>5550</v>
      </c>
      <c r="D1568" s="19" t="e">
        <f>VLOOKUP(C1568,#REF!,2,0)</f>
        <v>#REF!</v>
      </c>
      <c r="E1568" s="20" t="e">
        <f>VLOOKUP(D1568,数据集标准分类!E:F,2,0)</f>
        <v>#REF!</v>
      </c>
      <c r="F1568" s="21">
        <v>3</v>
      </c>
      <c r="G1568" s="22" t="s">
        <v>197</v>
      </c>
      <c r="H1568" s="22" t="s">
        <v>198</v>
      </c>
      <c r="I1568" s="22" t="s">
        <v>5645</v>
      </c>
      <c r="J1568" s="22" t="s">
        <v>198</v>
      </c>
      <c r="K1568" s="22" t="s">
        <v>199</v>
      </c>
      <c r="L1568" s="22" t="s">
        <v>2019</v>
      </c>
      <c r="M1568" s="16" t="s">
        <v>5595</v>
      </c>
      <c r="N1568" s="16" t="s">
        <v>5593</v>
      </c>
      <c r="O1568" s="23">
        <v>4</v>
      </c>
      <c r="P1568" s="24" t="e">
        <f>VLOOKUP(I1568,#REF!,2,0)</f>
        <v>#REF!</v>
      </c>
      <c r="Q1568" s="25"/>
      <c r="R1568" s="24"/>
      <c r="S1568" s="26"/>
      <c r="T1568" s="24"/>
      <c r="U1568" s="26"/>
      <c r="V1568" s="26"/>
      <c r="W1568" s="27">
        <v>1246</v>
      </c>
      <c r="X1568" s="28"/>
    </row>
    <row r="1569" spans="1:32">
      <c r="A1569" s="16" t="s">
        <v>4276</v>
      </c>
      <c r="B1569" s="17" t="s">
        <v>4277</v>
      </c>
      <c r="C1569" s="30" t="s">
        <v>5550</v>
      </c>
      <c r="D1569" s="19" t="e">
        <f>VLOOKUP(C1569,#REF!,2,0)</f>
        <v>#REF!</v>
      </c>
      <c r="E1569" s="20" t="e">
        <f>VLOOKUP(D1569,数据集标准分类!E:F,2,0)</f>
        <v>#REF!</v>
      </c>
      <c r="F1569" s="21">
        <v>3</v>
      </c>
      <c r="G1569" s="22" t="s">
        <v>2828</v>
      </c>
      <c r="H1569" s="22" t="s">
        <v>6206</v>
      </c>
      <c r="I1569" s="22" t="s">
        <v>6207</v>
      </c>
      <c r="J1569" s="22" t="s">
        <v>2829</v>
      </c>
      <c r="K1569" s="22" t="s">
        <v>2831</v>
      </c>
      <c r="L1569" s="22" t="s">
        <v>2832</v>
      </c>
      <c r="M1569" s="16" t="s">
        <v>5593</v>
      </c>
      <c r="N1569" s="16" t="s">
        <v>5593</v>
      </c>
      <c r="O1569" s="23">
        <v>5</v>
      </c>
      <c r="P1569" s="24" t="e">
        <f>VLOOKUP(I1569,#REF!,2,0)</f>
        <v>#REF!</v>
      </c>
      <c r="Q1569" s="25"/>
      <c r="R1569" s="24"/>
      <c r="S1569" s="26"/>
      <c r="T1569" s="24"/>
      <c r="U1569" s="26"/>
      <c r="V1569" s="26"/>
      <c r="W1569" s="27">
        <v>1247</v>
      </c>
      <c r="X1569" s="28"/>
    </row>
    <row r="1570" ht="31" spans="1:32">
      <c r="A1570" s="16" t="s">
        <v>4276</v>
      </c>
      <c r="B1570" s="17" t="s">
        <v>4277</v>
      </c>
      <c r="C1570" s="30" t="s">
        <v>5550</v>
      </c>
      <c r="D1570" s="19" t="e">
        <f>VLOOKUP(C1570,#REF!,2,0)</f>
        <v>#REF!</v>
      </c>
      <c r="E1570" s="20" t="e">
        <f>VLOOKUP(D1570,数据集标准分类!E:F,2,0)</f>
        <v>#REF!</v>
      </c>
      <c r="F1570" s="21">
        <v>3</v>
      </c>
      <c r="G1570" s="22" t="s">
        <v>2633</v>
      </c>
      <c r="H1570" s="22" t="s">
        <v>2634</v>
      </c>
      <c r="I1570" s="22" t="s">
        <v>2636</v>
      </c>
      <c r="J1570" s="22" t="s">
        <v>2634</v>
      </c>
      <c r="K1570" s="22" t="s">
        <v>2636</v>
      </c>
      <c r="L1570" s="22" t="s">
        <v>2637</v>
      </c>
      <c r="M1570" s="16" t="s">
        <v>5595</v>
      </c>
      <c r="N1570" s="16" t="s">
        <v>5595</v>
      </c>
      <c r="O1570" s="23">
        <v>6</v>
      </c>
      <c r="P1570" s="24" t="e">
        <f>VLOOKUP(I1570,#REF!,2,0)</f>
        <v>#REF!</v>
      </c>
      <c r="Q1570" s="25"/>
      <c r="R1570" s="24"/>
      <c r="S1570" s="26"/>
      <c r="T1570" s="24"/>
      <c r="U1570" s="26"/>
      <c r="V1570" s="26"/>
      <c r="W1570" s="27">
        <v>1248</v>
      </c>
      <c r="X1570" s="28"/>
    </row>
    <row r="1571" spans="1:32">
      <c r="A1571" s="16" t="s">
        <v>4276</v>
      </c>
      <c r="B1571" s="17" t="s">
        <v>4277</v>
      </c>
      <c r="C1571" s="30" t="s">
        <v>5550</v>
      </c>
      <c r="D1571" s="19" t="e">
        <f>VLOOKUP(C1571,#REF!,2,0)</f>
        <v>#REF!</v>
      </c>
      <c r="E1571" s="20" t="e">
        <f>VLOOKUP(D1571,数据集标准分类!E:F,2,0)</f>
        <v>#REF!</v>
      </c>
      <c r="F1571" s="21">
        <v>3</v>
      </c>
      <c r="G1571" s="22" t="s">
        <v>2086</v>
      </c>
      <c r="H1571" s="63" t="s">
        <v>5652</v>
      </c>
      <c r="I1571" s="22" t="s">
        <v>5653</v>
      </c>
      <c r="J1571" s="22" t="s">
        <v>2087</v>
      </c>
      <c r="K1571" s="22" t="s">
        <v>2089</v>
      </c>
      <c r="L1571" s="22" t="s">
        <v>2090</v>
      </c>
      <c r="M1571" s="16" t="s">
        <v>5593</v>
      </c>
      <c r="N1571" s="16" t="s">
        <v>5593</v>
      </c>
      <c r="O1571" s="23">
        <v>7</v>
      </c>
      <c r="P1571" s="24" t="e">
        <f>VLOOKUP(I1571,#REF!,2,0)</f>
        <v>#REF!</v>
      </c>
      <c r="Q1571" s="25"/>
      <c r="R1571" s="24"/>
      <c r="S1571" s="26"/>
      <c r="T1571" s="24"/>
      <c r="U1571" s="26"/>
      <c r="V1571" s="26"/>
      <c r="W1571" s="27">
        <v>1249</v>
      </c>
      <c r="X1571" s="28"/>
    </row>
    <row r="1572" spans="1:32">
      <c r="A1572" s="16" t="s">
        <v>4276</v>
      </c>
      <c r="B1572" s="17" t="s">
        <v>4277</v>
      </c>
      <c r="C1572" s="30" t="s">
        <v>5550</v>
      </c>
      <c r="D1572" s="19" t="e">
        <f>VLOOKUP(C1572,#REF!,2,0)</f>
        <v>#REF!</v>
      </c>
      <c r="E1572" s="20" t="e">
        <f>VLOOKUP(D1572,数据集标准分类!E:F,2,0)</f>
        <v>#REF!</v>
      </c>
      <c r="F1572" s="21">
        <v>3</v>
      </c>
      <c r="G1572" s="22" t="s">
        <v>2081</v>
      </c>
      <c r="H1572" s="22" t="s">
        <v>5650</v>
      </c>
      <c r="I1572" s="22" t="s">
        <v>5651</v>
      </c>
      <c r="J1572" s="22" t="s">
        <v>2082</v>
      </c>
      <c r="K1572" s="22" t="s">
        <v>2084</v>
      </c>
      <c r="L1572" s="22" t="s">
        <v>2085</v>
      </c>
      <c r="M1572" s="16" t="s">
        <v>5593</v>
      </c>
      <c r="N1572" s="16" t="s">
        <v>5593</v>
      </c>
      <c r="O1572" s="23">
        <v>8</v>
      </c>
      <c r="P1572" s="24" t="e">
        <f>VLOOKUP(I1572,#REF!,2,0)</f>
        <v>#REF!</v>
      </c>
      <c r="Q1572" s="25"/>
      <c r="R1572" s="24"/>
      <c r="S1572" s="26"/>
      <c r="T1572" s="24"/>
      <c r="U1572" s="26"/>
      <c r="V1572" s="26"/>
      <c r="W1572" s="27">
        <v>1250</v>
      </c>
      <c r="X1572" s="28"/>
    </row>
    <row r="1573" ht="31" spans="1:32">
      <c r="A1573" s="16" t="s">
        <v>4276</v>
      </c>
      <c r="B1573" s="17" t="s">
        <v>4277</v>
      </c>
      <c r="C1573" s="30" t="s">
        <v>5550</v>
      </c>
      <c r="D1573" s="19" t="e">
        <f>VLOOKUP(C1573,#REF!,2,0)</f>
        <v>#REF!</v>
      </c>
      <c r="E1573" s="20" t="e">
        <f>VLOOKUP(D1573,数据集标准分类!E:F,2,0)</f>
        <v>#REF!</v>
      </c>
      <c r="F1573" s="21">
        <v>3</v>
      </c>
      <c r="G1573" s="22" t="s">
        <v>2076</v>
      </c>
      <c r="H1573" s="22" t="s">
        <v>2077</v>
      </c>
      <c r="I1573" s="22" t="s">
        <v>5649</v>
      </c>
      <c r="J1573" s="22" t="s">
        <v>2077</v>
      </c>
      <c r="K1573" s="22" t="s">
        <v>2079</v>
      </c>
      <c r="L1573" s="22" t="s">
        <v>2080</v>
      </c>
      <c r="M1573" s="16" t="s">
        <v>5595</v>
      </c>
      <c r="N1573" s="16" t="s">
        <v>5593</v>
      </c>
      <c r="O1573" s="23">
        <v>9</v>
      </c>
      <c r="P1573" s="24" t="e">
        <f>VLOOKUP(I1573,#REF!,2,0)</f>
        <v>#REF!</v>
      </c>
      <c r="Q1573" s="25"/>
      <c r="R1573" s="24"/>
      <c r="S1573" s="26"/>
      <c r="T1573" s="24"/>
      <c r="U1573" s="26"/>
      <c r="V1573" s="26"/>
      <c r="W1573" s="27">
        <v>1251</v>
      </c>
      <c r="X1573" s="28"/>
    </row>
    <row r="1574" ht="31" spans="1:32">
      <c r="A1574" s="16" t="s">
        <v>4276</v>
      </c>
      <c r="B1574" s="17" t="s">
        <v>4277</v>
      </c>
      <c r="C1574" s="30" t="s">
        <v>5550</v>
      </c>
      <c r="D1574" s="19" t="e">
        <f>VLOOKUP(C1574,#REF!,2,0)</f>
        <v>#REF!</v>
      </c>
      <c r="E1574" s="20" t="e">
        <f>VLOOKUP(D1574,数据集标准分类!E:F,2,0)</f>
        <v>#REF!</v>
      </c>
      <c r="F1574" s="21">
        <v>3</v>
      </c>
      <c r="G1574" s="22" t="s">
        <v>2096</v>
      </c>
      <c r="H1574" s="22" t="s">
        <v>2097</v>
      </c>
      <c r="I1574" s="22" t="s">
        <v>5656</v>
      </c>
      <c r="J1574" s="22" t="s">
        <v>2097</v>
      </c>
      <c r="K1574" s="22" t="s">
        <v>2099</v>
      </c>
      <c r="L1574" s="22" t="s">
        <v>2100</v>
      </c>
      <c r="M1574" s="16" t="s">
        <v>5595</v>
      </c>
      <c r="N1574" s="16" t="s">
        <v>5593</v>
      </c>
      <c r="O1574" s="23">
        <v>10</v>
      </c>
      <c r="P1574" s="24" t="e">
        <f>VLOOKUP(I1574,#REF!,2,0)</f>
        <v>#REF!</v>
      </c>
      <c r="Q1574" s="25"/>
      <c r="R1574" s="24"/>
      <c r="S1574" s="26"/>
      <c r="T1574" s="24"/>
      <c r="U1574" s="26"/>
      <c r="V1574" s="26"/>
      <c r="W1574" s="27">
        <v>1252</v>
      </c>
      <c r="X1574" s="28"/>
    </row>
    <row r="1575" ht="31" spans="1:32">
      <c r="A1575" s="16" t="s">
        <v>4276</v>
      </c>
      <c r="B1575" s="17" t="s">
        <v>4277</v>
      </c>
      <c r="C1575" s="30" t="s">
        <v>5550</v>
      </c>
      <c r="D1575" s="19" t="e">
        <f>VLOOKUP(C1575,#REF!,2,0)</f>
        <v>#REF!</v>
      </c>
      <c r="E1575" s="20" t="e">
        <f>VLOOKUP(D1575,数据集标准分类!E:F,2,0)</f>
        <v>#REF!</v>
      </c>
      <c r="F1575" s="21">
        <v>3</v>
      </c>
      <c r="G1575" s="22" t="s">
        <v>2091</v>
      </c>
      <c r="H1575" s="63" t="s">
        <v>5654</v>
      </c>
      <c r="I1575" s="22" t="s">
        <v>5655</v>
      </c>
      <c r="J1575" s="22" t="s">
        <v>2092</v>
      </c>
      <c r="K1575" s="22" t="s">
        <v>2094</v>
      </c>
      <c r="L1575" s="22" t="s">
        <v>2095</v>
      </c>
      <c r="M1575" s="16" t="s">
        <v>5593</v>
      </c>
      <c r="N1575" s="16" t="s">
        <v>5593</v>
      </c>
      <c r="O1575" s="23">
        <v>11</v>
      </c>
      <c r="P1575" s="24" t="e">
        <f>VLOOKUP(I1575,#REF!,2,0)</f>
        <v>#REF!</v>
      </c>
      <c r="Q1575" s="25"/>
      <c r="R1575" s="24"/>
      <c r="S1575" s="26"/>
      <c r="T1575" s="24"/>
      <c r="U1575" s="26"/>
      <c r="V1575" s="26"/>
      <c r="W1575" s="27">
        <v>1253</v>
      </c>
      <c r="X1575" s="28"/>
    </row>
    <row r="1576" ht="48" customHeight="1" spans="1:32">
      <c r="A1576" s="16" t="s">
        <v>4276</v>
      </c>
      <c r="B1576" s="17" t="s">
        <v>4277</v>
      </c>
      <c r="C1576" s="30" t="s">
        <v>5550</v>
      </c>
      <c r="D1576" s="19" t="e">
        <f>VLOOKUP(C1576,#REF!,2,0)</f>
        <v>#REF!</v>
      </c>
      <c r="E1576" s="20" t="e">
        <f>VLOOKUP(D1576,数据集标准分类!E:F,2,0)</f>
        <v>#REF!</v>
      </c>
      <c r="F1576" s="21">
        <v>3</v>
      </c>
      <c r="G1576" s="22" t="s">
        <v>2839</v>
      </c>
      <c r="H1576" s="22" t="s">
        <v>2840</v>
      </c>
      <c r="I1576" s="22" t="s">
        <v>2842</v>
      </c>
      <c r="J1576" s="22" t="s">
        <v>2840</v>
      </c>
      <c r="K1576" s="22" t="s">
        <v>2842</v>
      </c>
      <c r="L1576" s="22" t="s">
        <v>2843</v>
      </c>
      <c r="M1576" s="16" t="s">
        <v>5595</v>
      </c>
      <c r="N1576" s="16" t="s">
        <v>5595</v>
      </c>
      <c r="O1576" s="23">
        <v>12</v>
      </c>
      <c r="P1576" s="24" t="e">
        <f>VLOOKUP(I1576,#REF!,2,0)</f>
        <v>#REF!</v>
      </c>
      <c r="Q1576" s="25"/>
      <c r="R1576" s="24"/>
      <c r="S1576" s="26"/>
      <c r="T1576" s="24"/>
      <c r="U1576" s="26"/>
      <c r="V1576" s="26"/>
      <c r="W1576" s="27">
        <v>1254</v>
      </c>
      <c r="X1576" s="28"/>
    </row>
    <row r="1577" ht="31" spans="1:32">
      <c r="A1577" s="16" t="s">
        <v>4276</v>
      </c>
      <c r="B1577" s="17" t="s">
        <v>4277</v>
      </c>
      <c r="C1577" s="30" t="s">
        <v>5550</v>
      </c>
      <c r="D1577" s="19" t="e">
        <f>VLOOKUP(C1577,#REF!,2,0)</f>
        <v>#REF!</v>
      </c>
      <c r="E1577" s="20" t="e">
        <f>VLOOKUP(D1577,数据集标准分类!E:F,2,0)</f>
        <v>#REF!</v>
      </c>
      <c r="F1577" s="21">
        <v>3</v>
      </c>
      <c r="G1577" s="22" t="s">
        <v>1921</v>
      </c>
      <c r="H1577" s="22" t="s">
        <v>6208</v>
      </c>
      <c r="I1577" s="22" t="s">
        <v>6209</v>
      </c>
      <c r="J1577" s="22" t="s">
        <v>1922</v>
      </c>
      <c r="K1577" s="22" t="s">
        <v>1924</v>
      </c>
      <c r="L1577" s="22" t="s">
        <v>2844</v>
      </c>
      <c r="M1577" s="16" t="s">
        <v>5593</v>
      </c>
      <c r="N1577" s="16" t="s">
        <v>5593</v>
      </c>
      <c r="O1577" s="23">
        <v>13</v>
      </c>
      <c r="P1577" s="24" t="e">
        <f>VLOOKUP(I1577,#REF!,2,0)</f>
        <v>#REF!</v>
      </c>
      <c r="Q1577" s="25"/>
      <c r="R1577" s="24"/>
      <c r="S1577" s="26"/>
      <c r="T1577" s="24"/>
      <c r="U1577" s="26"/>
      <c r="V1577" s="26"/>
      <c r="W1577" s="27">
        <v>1255</v>
      </c>
      <c r="X1577" s="28"/>
    </row>
    <row r="1578" ht="31" spans="1:32">
      <c r="A1578" s="16" t="s">
        <v>4276</v>
      </c>
      <c r="B1578" s="17" t="s">
        <v>4277</v>
      </c>
      <c r="C1578" s="30" t="s">
        <v>5551</v>
      </c>
      <c r="D1578" s="19" t="e">
        <f>VLOOKUP(C1578,#REF!,2,0)</f>
        <v>#REF!</v>
      </c>
      <c r="E1578" s="20" t="e">
        <f>VLOOKUP(D1578,数据集标准分类!E:F,2,0)</f>
        <v>#REF!</v>
      </c>
      <c r="F1578" s="21">
        <v>4</v>
      </c>
      <c r="G1578" s="22" t="s">
        <v>2847</v>
      </c>
      <c r="H1578" s="22" t="s">
        <v>6210</v>
      </c>
      <c r="I1578" s="22" t="s">
        <v>2850</v>
      </c>
      <c r="J1578" s="22" t="s">
        <v>2848</v>
      </c>
      <c r="K1578" s="22" t="s">
        <v>2850</v>
      </c>
      <c r="L1578" s="22" t="s">
        <v>2851</v>
      </c>
      <c r="M1578" s="16" t="s">
        <v>5593</v>
      </c>
      <c r="N1578" s="16" t="s">
        <v>5595</v>
      </c>
      <c r="O1578" s="23">
        <v>1</v>
      </c>
      <c r="P1578" s="24" t="e">
        <f>VLOOKUP(I1578,#REF!,2,0)</f>
        <v>#REF!</v>
      </c>
      <c r="Q1578" s="47"/>
      <c r="R1578" s="24"/>
      <c r="S1578" s="48"/>
      <c r="T1578" s="24"/>
      <c r="U1578" s="48"/>
      <c r="V1578" s="48"/>
      <c r="W1578" s="27">
        <v>1256</v>
      </c>
      <c r="X1578" s="28"/>
      <c r="Y1578" s="5"/>
      <c r="Z1578" s="5"/>
      <c r="AA1578" s="5"/>
      <c r="AB1578" s="5"/>
      <c r="AC1578" s="5"/>
      <c r="AD1578" s="5"/>
      <c r="AE1578" s="5"/>
      <c r="AF1578" s="5"/>
    </row>
    <row r="1579" ht="31" spans="1:32">
      <c r="A1579" s="16" t="s">
        <v>4276</v>
      </c>
      <c r="B1579" s="17" t="s">
        <v>4277</v>
      </c>
      <c r="C1579" s="30" t="s">
        <v>5551</v>
      </c>
      <c r="D1579" s="19" t="e">
        <f>VLOOKUP(C1579,#REF!,2,0)</f>
        <v>#REF!</v>
      </c>
      <c r="E1579" s="20" t="e">
        <f>VLOOKUP(D1579,数据集标准分类!E:F,2,0)</f>
        <v>#REF!</v>
      </c>
      <c r="F1579" s="21">
        <v>4</v>
      </c>
      <c r="G1579" s="22" t="s">
        <v>1011</v>
      </c>
      <c r="H1579" s="22" t="s">
        <v>6096</v>
      </c>
      <c r="I1579" s="22" t="s">
        <v>1014</v>
      </c>
      <c r="J1579" s="22" t="s">
        <v>1012</v>
      </c>
      <c r="K1579" s="22" t="s">
        <v>1014</v>
      </c>
      <c r="L1579" s="22" t="s">
        <v>2834</v>
      </c>
      <c r="M1579" s="16" t="s">
        <v>5593</v>
      </c>
      <c r="N1579" s="16" t="s">
        <v>5595</v>
      </c>
      <c r="O1579" s="23">
        <v>2</v>
      </c>
      <c r="P1579" s="24" t="e">
        <f>VLOOKUP(I1579,#REF!,2,0)</f>
        <v>#REF!</v>
      </c>
      <c r="Q1579" s="25"/>
      <c r="R1579" s="24"/>
      <c r="S1579" s="26"/>
      <c r="T1579" s="24"/>
      <c r="U1579" s="26"/>
      <c r="V1579" s="26"/>
      <c r="W1579" s="27">
        <v>1257</v>
      </c>
      <c r="X1579" s="28"/>
    </row>
    <row r="1580" ht="31" spans="1:32">
      <c r="A1580" s="50" t="s">
        <v>4276</v>
      </c>
      <c r="B1580" s="51" t="s">
        <v>4277</v>
      </c>
      <c r="C1580" s="52" t="s">
        <v>5551</v>
      </c>
      <c r="D1580" s="53" t="e">
        <f>VLOOKUP(C1580,#REF!,2,0)</f>
        <v>#REF!</v>
      </c>
      <c r="E1580" s="20" t="e">
        <f>VLOOKUP(D1580,数据集标准分类!E:F,2,0)</f>
        <v>#REF!</v>
      </c>
      <c r="F1580" s="54">
        <v>4</v>
      </c>
      <c r="G1580" s="55" t="s">
        <v>2852</v>
      </c>
      <c r="H1580" s="55" t="s">
        <v>6211</v>
      </c>
      <c r="I1580" s="55" t="s">
        <v>2855</v>
      </c>
      <c r="J1580" s="55" t="s">
        <v>2853</v>
      </c>
      <c r="K1580" s="55" t="s">
        <v>2855</v>
      </c>
      <c r="L1580" s="55" t="s">
        <v>2837</v>
      </c>
      <c r="M1580" s="50" t="s">
        <v>5593</v>
      </c>
      <c r="N1580" s="50" t="s">
        <v>5595</v>
      </c>
      <c r="O1580" s="56">
        <v>3</v>
      </c>
      <c r="P1580" s="57" t="e">
        <f>VLOOKUP(I1580,#REF!,2,0)</f>
        <v>#REF!</v>
      </c>
      <c r="Q1580" s="58"/>
      <c r="R1580" s="57"/>
      <c r="S1580" s="59"/>
      <c r="T1580" s="57"/>
      <c r="U1580" s="59"/>
      <c r="V1580" s="59"/>
      <c r="W1580" s="60">
        <v>1258</v>
      </c>
      <c r="X1580" s="61"/>
      <c r="Y1580" s="62"/>
      <c r="Z1580" s="62"/>
      <c r="AA1580" s="62"/>
      <c r="AB1580" s="62"/>
      <c r="AC1580" s="62"/>
      <c r="AD1580" s="62"/>
      <c r="AE1580" s="62"/>
      <c r="AF1580" s="62"/>
    </row>
    <row r="1581" ht="31" spans="1:32">
      <c r="A1581" s="16" t="s">
        <v>4276</v>
      </c>
      <c r="B1581" s="17" t="s">
        <v>4277</v>
      </c>
      <c r="C1581" s="30" t="s">
        <v>5551</v>
      </c>
      <c r="D1581" s="19" t="e">
        <f>VLOOKUP(C1581,#REF!,2,0)</f>
        <v>#REF!</v>
      </c>
      <c r="E1581" s="20" t="e">
        <f>VLOOKUP(D1581,数据集标准分类!E:F,2,0)</f>
        <v>#REF!</v>
      </c>
      <c r="F1581" s="21">
        <v>4</v>
      </c>
      <c r="G1581" s="22" t="s">
        <v>172</v>
      </c>
      <c r="H1581" s="22" t="s">
        <v>5639</v>
      </c>
      <c r="I1581" s="22" t="s">
        <v>5640</v>
      </c>
      <c r="J1581" s="22" t="s">
        <v>173</v>
      </c>
      <c r="K1581" s="22" t="s">
        <v>175</v>
      </c>
      <c r="L1581" s="22" t="s">
        <v>176</v>
      </c>
      <c r="M1581" s="16" t="s">
        <v>5593</v>
      </c>
      <c r="N1581" s="16" t="s">
        <v>5593</v>
      </c>
      <c r="O1581" s="23">
        <v>4</v>
      </c>
      <c r="P1581" s="24" t="e">
        <f>VLOOKUP(I1581,#REF!,2,0)</f>
        <v>#REF!</v>
      </c>
      <c r="Q1581" s="25"/>
      <c r="R1581" s="24"/>
      <c r="S1581" s="26"/>
      <c r="T1581" s="24"/>
      <c r="U1581" s="26"/>
      <c r="V1581" s="26"/>
      <c r="W1581" s="27">
        <v>1259</v>
      </c>
    </row>
    <row r="1582" ht="31" spans="1:32">
      <c r="A1582" s="16" t="s">
        <v>4276</v>
      </c>
      <c r="B1582" s="17" t="s">
        <v>4277</v>
      </c>
      <c r="C1582" s="30" t="s">
        <v>5551</v>
      </c>
      <c r="D1582" s="19" t="e">
        <f>VLOOKUP(C1582,#REF!,2,0)</f>
        <v>#REF!</v>
      </c>
      <c r="E1582" s="20" t="e">
        <f>VLOOKUP(D1582,数据集标准分类!E:F,2,0)</f>
        <v>#REF!</v>
      </c>
      <c r="F1582" s="21">
        <v>4</v>
      </c>
      <c r="G1582" s="22" t="s">
        <v>177</v>
      </c>
      <c r="H1582" s="22" t="s">
        <v>6129</v>
      </c>
      <c r="I1582" s="22" t="s">
        <v>180</v>
      </c>
      <c r="J1582" s="22" t="s">
        <v>178</v>
      </c>
      <c r="K1582" s="22" t="s">
        <v>180</v>
      </c>
      <c r="L1582" s="22" t="s">
        <v>181</v>
      </c>
      <c r="M1582" s="16" t="s">
        <v>5593</v>
      </c>
      <c r="N1582" s="16" t="s">
        <v>5595</v>
      </c>
      <c r="O1582" s="23">
        <v>5</v>
      </c>
      <c r="P1582" s="24" t="e">
        <f>VLOOKUP(I1582,#REF!,2,0)</f>
        <v>#REF!</v>
      </c>
      <c r="Q1582" s="25"/>
      <c r="R1582" s="24"/>
      <c r="S1582" s="26"/>
      <c r="T1582" s="24"/>
      <c r="U1582" s="26"/>
      <c r="V1582" s="26"/>
      <c r="W1582" s="27">
        <v>1260</v>
      </c>
    </row>
    <row r="1583" ht="31" spans="1:32">
      <c r="A1583" s="16" t="s">
        <v>4276</v>
      </c>
      <c r="B1583" s="17" t="s">
        <v>4277</v>
      </c>
      <c r="C1583" s="30" t="s">
        <v>5551</v>
      </c>
      <c r="D1583" s="19" t="e">
        <f>VLOOKUP(C1583,#REF!,2,0)</f>
        <v>#REF!</v>
      </c>
      <c r="E1583" s="20" t="e">
        <f>VLOOKUP(D1583,数据集标准分类!E:F,2,0)</f>
        <v>#REF!</v>
      </c>
      <c r="F1583" s="21">
        <v>4</v>
      </c>
      <c r="G1583" s="22" t="s">
        <v>182</v>
      </c>
      <c r="H1583" s="22" t="s">
        <v>6131</v>
      </c>
      <c r="I1583" s="22" t="s">
        <v>185</v>
      </c>
      <c r="J1583" s="22" t="s">
        <v>183</v>
      </c>
      <c r="K1583" s="22" t="s">
        <v>185</v>
      </c>
      <c r="L1583" s="22" t="s">
        <v>186</v>
      </c>
      <c r="M1583" s="16" t="s">
        <v>5593</v>
      </c>
      <c r="N1583" s="16" t="s">
        <v>5595</v>
      </c>
      <c r="O1583" s="23">
        <v>6</v>
      </c>
      <c r="P1583" s="24" t="e">
        <f>VLOOKUP(I1583,#REF!,2,0)</f>
        <v>#REF!</v>
      </c>
      <c r="Q1583" s="25"/>
      <c r="R1583" s="24"/>
      <c r="S1583" s="26"/>
      <c r="T1583" s="24"/>
      <c r="U1583" s="26"/>
      <c r="V1583" s="26"/>
      <c r="W1583" s="27">
        <v>1261</v>
      </c>
    </row>
    <row r="1584" spans="1:32">
      <c r="A1584" s="16" t="s">
        <v>4276</v>
      </c>
      <c r="B1584" s="17" t="s">
        <v>4277</v>
      </c>
      <c r="C1584" s="30" t="s">
        <v>5551</v>
      </c>
      <c r="D1584" s="19" t="e">
        <f>VLOOKUP(C1584,#REF!,2,0)</f>
        <v>#REF!</v>
      </c>
      <c r="E1584" s="20" t="e">
        <f>VLOOKUP(D1584,数据集标准分类!E:F,2,0)</f>
        <v>#REF!</v>
      </c>
      <c r="F1584" s="21">
        <v>4</v>
      </c>
      <c r="G1584" s="22" t="s">
        <v>197</v>
      </c>
      <c r="H1584" s="22" t="s">
        <v>198</v>
      </c>
      <c r="I1584" s="22" t="s">
        <v>5645</v>
      </c>
      <c r="J1584" s="22" t="s">
        <v>198</v>
      </c>
      <c r="K1584" s="22" t="s">
        <v>199</v>
      </c>
      <c r="L1584" s="22" t="s">
        <v>2019</v>
      </c>
      <c r="M1584" s="16" t="s">
        <v>5595</v>
      </c>
      <c r="N1584" s="16" t="s">
        <v>5593</v>
      </c>
      <c r="O1584" s="23">
        <v>7</v>
      </c>
      <c r="P1584" s="24" t="e">
        <f>VLOOKUP(I1584,#REF!,2,0)</f>
        <v>#REF!</v>
      </c>
      <c r="Q1584" s="25"/>
      <c r="R1584" s="24"/>
      <c r="S1584" s="26"/>
      <c r="T1584" s="24"/>
      <c r="U1584" s="26"/>
      <c r="V1584" s="26"/>
      <c r="W1584" s="27">
        <v>1262</v>
      </c>
    </row>
    <row r="1585" spans="1:23">
      <c r="A1585" s="16" t="s">
        <v>4276</v>
      </c>
      <c r="B1585" s="17" t="s">
        <v>4277</v>
      </c>
      <c r="C1585" s="30" t="s">
        <v>5551</v>
      </c>
      <c r="D1585" s="19" t="e">
        <f>VLOOKUP(C1585,#REF!,2,0)</f>
        <v>#REF!</v>
      </c>
      <c r="E1585" s="20" t="e">
        <f>VLOOKUP(D1585,数据集标准分类!E:F,2,0)</f>
        <v>#REF!</v>
      </c>
      <c r="F1585" s="21">
        <v>4</v>
      </c>
      <c r="G1585" s="22" t="s">
        <v>2828</v>
      </c>
      <c r="H1585" s="22" t="s">
        <v>6206</v>
      </c>
      <c r="I1585" s="22" t="s">
        <v>6207</v>
      </c>
      <c r="J1585" s="22" t="s">
        <v>2829</v>
      </c>
      <c r="K1585" s="22" t="s">
        <v>2831</v>
      </c>
      <c r="L1585" s="22" t="s">
        <v>2832</v>
      </c>
      <c r="M1585" s="16" t="s">
        <v>5593</v>
      </c>
      <c r="N1585" s="16" t="s">
        <v>5593</v>
      </c>
      <c r="O1585" s="23">
        <v>8</v>
      </c>
      <c r="P1585" s="24" t="e">
        <f>VLOOKUP(I1585,#REF!,2,0)</f>
        <v>#REF!</v>
      </c>
      <c r="Q1585" s="25"/>
      <c r="R1585" s="24"/>
      <c r="S1585" s="26"/>
      <c r="T1585" s="24"/>
      <c r="U1585" s="26"/>
      <c r="V1585" s="26"/>
      <c r="W1585" s="27">
        <v>1263</v>
      </c>
    </row>
    <row r="1586" ht="31" spans="1:23">
      <c r="A1586" s="16" t="s">
        <v>4276</v>
      </c>
      <c r="B1586" s="17" t="s">
        <v>4277</v>
      </c>
      <c r="C1586" s="30" t="s">
        <v>5551</v>
      </c>
      <c r="D1586" s="19" t="e">
        <f>VLOOKUP(C1586,#REF!,2,0)</f>
        <v>#REF!</v>
      </c>
      <c r="E1586" s="20" t="e">
        <f>VLOOKUP(D1586,数据集标准分类!E:F,2,0)</f>
        <v>#REF!</v>
      </c>
      <c r="F1586" s="21">
        <v>4</v>
      </c>
      <c r="G1586" s="22" t="s">
        <v>2633</v>
      </c>
      <c r="H1586" s="22" t="s">
        <v>2634</v>
      </c>
      <c r="I1586" s="22" t="s">
        <v>2636</v>
      </c>
      <c r="J1586" s="22" t="s">
        <v>2634</v>
      </c>
      <c r="K1586" s="22" t="s">
        <v>2636</v>
      </c>
      <c r="L1586" s="22" t="s">
        <v>2637</v>
      </c>
      <c r="M1586" s="16" t="s">
        <v>5595</v>
      </c>
      <c r="N1586" s="16" t="s">
        <v>5595</v>
      </c>
      <c r="O1586" s="23">
        <v>9</v>
      </c>
      <c r="P1586" s="24" t="e">
        <f>VLOOKUP(I1586,#REF!,2,0)</f>
        <v>#REF!</v>
      </c>
      <c r="Q1586" s="25"/>
      <c r="R1586" s="24"/>
      <c r="S1586" s="26"/>
      <c r="T1586" s="24"/>
      <c r="U1586" s="26"/>
      <c r="V1586" s="26"/>
      <c r="W1586" s="27">
        <v>1264</v>
      </c>
    </row>
    <row r="1587" spans="1:23">
      <c r="A1587" s="16" t="s">
        <v>4276</v>
      </c>
      <c r="B1587" s="17" t="s">
        <v>4277</v>
      </c>
      <c r="C1587" s="30" t="s">
        <v>5551</v>
      </c>
      <c r="D1587" s="19" t="e">
        <f>VLOOKUP(C1587,#REF!,2,0)</f>
        <v>#REF!</v>
      </c>
      <c r="E1587" s="20" t="e">
        <f>VLOOKUP(D1587,数据集标准分类!E:F,2,0)</f>
        <v>#REF!</v>
      </c>
      <c r="F1587" s="21">
        <v>4</v>
      </c>
      <c r="G1587" s="22" t="s">
        <v>2086</v>
      </c>
      <c r="H1587" s="63" t="s">
        <v>5652</v>
      </c>
      <c r="I1587" s="22" t="s">
        <v>5653</v>
      </c>
      <c r="J1587" s="22" t="s">
        <v>2087</v>
      </c>
      <c r="K1587" s="22" t="s">
        <v>2089</v>
      </c>
      <c r="L1587" s="22" t="s">
        <v>2090</v>
      </c>
      <c r="M1587" s="16" t="s">
        <v>5593</v>
      </c>
      <c r="N1587" s="16" t="s">
        <v>5593</v>
      </c>
      <c r="O1587" s="23">
        <v>10</v>
      </c>
      <c r="P1587" s="24" t="e">
        <f>VLOOKUP(I1587,#REF!,2,0)</f>
        <v>#REF!</v>
      </c>
      <c r="Q1587" s="25"/>
      <c r="R1587" s="24"/>
      <c r="S1587" s="26"/>
      <c r="T1587" s="24"/>
      <c r="U1587" s="26"/>
      <c r="V1587" s="26"/>
      <c r="W1587" s="27">
        <v>1265</v>
      </c>
    </row>
    <row r="1588" spans="1:23">
      <c r="A1588" s="16" t="s">
        <v>4276</v>
      </c>
      <c r="B1588" s="17" t="s">
        <v>4277</v>
      </c>
      <c r="C1588" s="30" t="s">
        <v>5551</v>
      </c>
      <c r="D1588" s="19" t="e">
        <f>VLOOKUP(C1588,#REF!,2,0)</f>
        <v>#REF!</v>
      </c>
      <c r="E1588" s="20" t="e">
        <f>VLOOKUP(D1588,数据集标准分类!E:F,2,0)</f>
        <v>#REF!</v>
      </c>
      <c r="F1588" s="21">
        <v>4</v>
      </c>
      <c r="G1588" s="22" t="s">
        <v>2081</v>
      </c>
      <c r="H1588" s="22" t="s">
        <v>5650</v>
      </c>
      <c r="I1588" s="22" t="s">
        <v>5651</v>
      </c>
      <c r="J1588" s="22" t="s">
        <v>2082</v>
      </c>
      <c r="K1588" s="22" t="s">
        <v>2084</v>
      </c>
      <c r="L1588" s="22" t="s">
        <v>2085</v>
      </c>
      <c r="M1588" s="16" t="s">
        <v>5593</v>
      </c>
      <c r="N1588" s="16" t="s">
        <v>5593</v>
      </c>
      <c r="O1588" s="23">
        <v>11</v>
      </c>
      <c r="P1588" s="24" t="e">
        <f>VLOOKUP(I1588,#REF!,2,0)</f>
        <v>#REF!</v>
      </c>
      <c r="Q1588" s="25"/>
      <c r="R1588" s="24"/>
      <c r="S1588" s="26"/>
      <c r="T1588" s="24"/>
      <c r="U1588" s="26"/>
      <c r="V1588" s="26"/>
      <c r="W1588" s="27">
        <v>1266</v>
      </c>
    </row>
    <row r="1589" ht="31" spans="1:23">
      <c r="A1589" s="16" t="s">
        <v>4276</v>
      </c>
      <c r="B1589" s="17" t="s">
        <v>4277</v>
      </c>
      <c r="C1589" s="30" t="s">
        <v>5551</v>
      </c>
      <c r="D1589" s="19" t="e">
        <f>VLOOKUP(C1589,#REF!,2,0)</f>
        <v>#REF!</v>
      </c>
      <c r="E1589" s="20" t="e">
        <f>VLOOKUP(D1589,数据集标准分类!E:F,2,0)</f>
        <v>#REF!</v>
      </c>
      <c r="F1589" s="21">
        <v>4</v>
      </c>
      <c r="G1589" s="22" t="s">
        <v>2076</v>
      </c>
      <c r="H1589" s="22" t="s">
        <v>2077</v>
      </c>
      <c r="I1589" s="22" t="s">
        <v>5649</v>
      </c>
      <c r="J1589" s="22" t="s">
        <v>2077</v>
      </c>
      <c r="K1589" s="22" t="s">
        <v>2079</v>
      </c>
      <c r="L1589" s="22" t="s">
        <v>2080</v>
      </c>
      <c r="M1589" s="16" t="s">
        <v>5595</v>
      </c>
      <c r="N1589" s="16" t="s">
        <v>5593</v>
      </c>
      <c r="O1589" s="23">
        <v>12</v>
      </c>
      <c r="P1589" s="24" t="e">
        <f>VLOOKUP(I1589,#REF!,2,0)</f>
        <v>#REF!</v>
      </c>
      <c r="Q1589" s="25"/>
      <c r="R1589" s="24"/>
      <c r="S1589" s="26"/>
      <c r="T1589" s="24"/>
      <c r="U1589" s="26"/>
      <c r="V1589" s="26"/>
      <c r="W1589" s="27">
        <v>1267</v>
      </c>
    </row>
    <row r="1590" ht="31" spans="1:23">
      <c r="A1590" s="16" t="s">
        <v>4276</v>
      </c>
      <c r="B1590" s="17" t="s">
        <v>4277</v>
      </c>
      <c r="C1590" s="30" t="s">
        <v>5551</v>
      </c>
      <c r="D1590" s="19" t="e">
        <f>VLOOKUP(C1590,#REF!,2,0)</f>
        <v>#REF!</v>
      </c>
      <c r="E1590" s="20" t="e">
        <f>VLOOKUP(D1590,数据集标准分类!E:F,2,0)</f>
        <v>#REF!</v>
      </c>
      <c r="F1590" s="21">
        <v>4</v>
      </c>
      <c r="G1590" s="22" t="s">
        <v>2096</v>
      </c>
      <c r="H1590" s="22" t="s">
        <v>2097</v>
      </c>
      <c r="I1590" s="22" t="s">
        <v>5656</v>
      </c>
      <c r="J1590" s="22" t="s">
        <v>2097</v>
      </c>
      <c r="K1590" s="22" t="s">
        <v>2099</v>
      </c>
      <c r="L1590" s="22" t="s">
        <v>2100</v>
      </c>
      <c r="M1590" s="16" t="s">
        <v>5595</v>
      </c>
      <c r="N1590" s="16" t="s">
        <v>5593</v>
      </c>
      <c r="O1590" s="23">
        <v>13</v>
      </c>
      <c r="P1590" s="24" t="e">
        <f>VLOOKUP(I1590,#REF!,2,0)</f>
        <v>#REF!</v>
      </c>
      <c r="Q1590" s="25"/>
      <c r="R1590" s="24"/>
      <c r="S1590" s="26"/>
      <c r="T1590" s="24"/>
      <c r="U1590" s="26"/>
      <c r="V1590" s="26"/>
      <c r="W1590" s="27">
        <v>1268</v>
      </c>
    </row>
    <row r="1591" ht="31" spans="1:23">
      <c r="A1591" s="16" t="s">
        <v>4276</v>
      </c>
      <c r="B1591" s="17" t="s">
        <v>4277</v>
      </c>
      <c r="C1591" s="30" t="s">
        <v>5551</v>
      </c>
      <c r="D1591" s="19" t="e">
        <f>VLOOKUP(C1591,#REF!,2,0)</f>
        <v>#REF!</v>
      </c>
      <c r="E1591" s="20" t="e">
        <f>VLOOKUP(D1591,数据集标准分类!E:F,2,0)</f>
        <v>#REF!</v>
      </c>
      <c r="F1591" s="21">
        <v>4</v>
      </c>
      <c r="G1591" s="22" t="s">
        <v>2091</v>
      </c>
      <c r="H1591" s="63" t="s">
        <v>5654</v>
      </c>
      <c r="I1591" s="22" t="s">
        <v>5655</v>
      </c>
      <c r="J1591" s="22" t="s">
        <v>2092</v>
      </c>
      <c r="K1591" s="22" t="s">
        <v>2094</v>
      </c>
      <c r="L1591" s="22" t="s">
        <v>2095</v>
      </c>
      <c r="M1591" s="16" t="s">
        <v>5593</v>
      </c>
      <c r="N1591" s="16" t="s">
        <v>5593</v>
      </c>
      <c r="O1591" s="23">
        <v>14</v>
      </c>
      <c r="P1591" s="24" t="e">
        <f>VLOOKUP(I1591,#REF!,2,0)</f>
        <v>#REF!</v>
      </c>
      <c r="Q1591" s="25"/>
      <c r="R1591" s="24"/>
      <c r="S1591" s="26"/>
      <c r="T1591" s="24"/>
      <c r="U1591" s="26"/>
      <c r="V1591" s="26"/>
      <c r="W1591" s="27">
        <v>1269</v>
      </c>
    </row>
    <row r="1592" spans="1:23">
      <c r="A1592" s="16" t="s">
        <v>4276</v>
      </c>
      <c r="B1592" s="17" t="s">
        <v>4277</v>
      </c>
      <c r="C1592" s="30" t="s">
        <v>5551</v>
      </c>
      <c r="D1592" s="19" t="e">
        <f>VLOOKUP(C1592,#REF!,2,0)</f>
        <v>#REF!</v>
      </c>
      <c r="E1592" s="20" t="e">
        <f>VLOOKUP(D1592,数据集标准分类!E:F,2,0)</f>
        <v>#REF!</v>
      </c>
      <c r="F1592" s="21">
        <v>4</v>
      </c>
      <c r="G1592" s="22" t="s">
        <v>2856</v>
      </c>
      <c r="H1592" s="22" t="s">
        <v>6212</v>
      </c>
      <c r="I1592" s="22" t="s">
        <v>2859</v>
      </c>
      <c r="J1592" s="22" t="s">
        <v>2857</v>
      </c>
      <c r="K1592" s="22" t="s">
        <v>2859</v>
      </c>
      <c r="L1592" s="22" t="s">
        <v>2860</v>
      </c>
      <c r="M1592" s="16" t="s">
        <v>5593</v>
      </c>
      <c r="N1592" s="16" t="s">
        <v>5595</v>
      </c>
      <c r="O1592" s="23">
        <v>15</v>
      </c>
      <c r="P1592" s="24" t="e">
        <f>VLOOKUP(I1592,#REF!,2,0)</f>
        <v>#REF!</v>
      </c>
      <c r="Q1592" s="25"/>
      <c r="R1592" s="24"/>
      <c r="S1592" s="26"/>
      <c r="T1592" s="24"/>
      <c r="U1592" s="26"/>
      <c r="V1592" s="26"/>
      <c r="W1592" s="27">
        <v>1270</v>
      </c>
    </row>
    <row r="1593" ht="31" spans="1:23">
      <c r="A1593" s="16" t="s">
        <v>4276</v>
      </c>
      <c r="B1593" s="17" t="s">
        <v>4277</v>
      </c>
      <c r="C1593" s="30" t="s">
        <v>5551</v>
      </c>
      <c r="D1593" s="19" t="e">
        <f>VLOOKUP(C1593,#REF!,2,0)</f>
        <v>#REF!</v>
      </c>
      <c r="E1593" s="20" t="e">
        <f>VLOOKUP(D1593,数据集标准分类!E:F,2,0)</f>
        <v>#REF!</v>
      </c>
      <c r="F1593" s="21">
        <v>4</v>
      </c>
      <c r="G1593" s="22" t="s">
        <v>2861</v>
      </c>
      <c r="H1593" s="22" t="s">
        <v>6213</v>
      </c>
      <c r="I1593" s="22" t="s">
        <v>2864</v>
      </c>
      <c r="J1593" s="22" t="s">
        <v>2862</v>
      </c>
      <c r="K1593" s="22" t="s">
        <v>2864</v>
      </c>
      <c r="L1593" s="22" t="s">
        <v>2865</v>
      </c>
      <c r="M1593" s="16" t="s">
        <v>5593</v>
      </c>
      <c r="N1593" s="16" t="s">
        <v>5595</v>
      </c>
      <c r="O1593" s="23">
        <v>16</v>
      </c>
      <c r="P1593" s="24" t="e">
        <f>VLOOKUP(I1593,#REF!,2,0)</f>
        <v>#REF!</v>
      </c>
      <c r="Q1593" s="25"/>
      <c r="R1593" s="24"/>
      <c r="S1593" s="26"/>
      <c r="T1593" s="24"/>
      <c r="U1593" s="26"/>
      <c r="V1593" s="26"/>
      <c r="W1593" s="27">
        <v>1271</v>
      </c>
    </row>
    <row r="1594" spans="1:23">
      <c r="A1594" s="16" t="s">
        <v>4276</v>
      </c>
      <c r="B1594" s="17" t="s">
        <v>4277</v>
      </c>
      <c r="C1594" s="30" t="s">
        <v>5551</v>
      </c>
      <c r="D1594" s="19" t="e">
        <f>VLOOKUP(C1594,#REF!,2,0)</f>
        <v>#REF!</v>
      </c>
      <c r="E1594" s="20" t="e">
        <f>VLOOKUP(D1594,数据集标准分类!E:F,2,0)</f>
        <v>#REF!</v>
      </c>
      <c r="F1594" s="21">
        <v>4</v>
      </c>
      <c r="G1594" s="22" t="s">
        <v>1109</v>
      </c>
      <c r="H1594" s="22" t="s">
        <v>6112</v>
      </c>
      <c r="I1594" s="22" t="s">
        <v>6113</v>
      </c>
      <c r="J1594" s="22" t="s">
        <v>1110</v>
      </c>
      <c r="K1594" s="22" t="s">
        <v>1112</v>
      </c>
      <c r="L1594" s="22" t="s">
        <v>2866</v>
      </c>
      <c r="M1594" s="16" t="s">
        <v>5593</v>
      </c>
      <c r="N1594" s="16" t="s">
        <v>5593</v>
      </c>
      <c r="O1594" s="23">
        <v>17</v>
      </c>
      <c r="P1594" s="24" t="e">
        <f>VLOOKUP(I1594,#REF!,2,0)</f>
        <v>#REF!</v>
      </c>
      <c r="Q1594" s="25"/>
      <c r="R1594" s="24"/>
      <c r="S1594" s="26"/>
      <c r="T1594" s="24"/>
      <c r="U1594" s="26"/>
      <c r="V1594" s="26"/>
      <c r="W1594" s="27">
        <v>1272</v>
      </c>
    </row>
    <row r="1595" spans="1:23">
      <c r="A1595" s="16" t="s">
        <v>4276</v>
      </c>
      <c r="B1595" s="17" t="s">
        <v>4277</v>
      </c>
      <c r="C1595" s="30" t="s">
        <v>5551</v>
      </c>
      <c r="D1595" s="19" t="e">
        <f>VLOOKUP(C1595,#REF!,2,0)</f>
        <v>#REF!</v>
      </c>
      <c r="E1595" s="20" t="e">
        <f>VLOOKUP(D1595,数据集标准分类!E:F,2,0)</f>
        <v>#REF!</v>
      </c>
      <c r="F1595" s="21">
        <v>4</v>
      </c>
      <c r="G1595" s="22" t="s">
        <v>201</v>
      </c>
      <c r="H1595" s="22" t="s">
        <v>5646</v>
      </c>
      <c r="I1595" s="22" t="s">
        <v>5647</v>
      </c>
      <c r="J1595" s="22" t="s">
        <v>202</v>
      </c>
      <c r="K1595" s="22" t="s">
        <v>204</v>
      </c>
      <c r="L1595" s="22" t="s">
        <v>1114</v>
      </c>
      <c r="M1595" s="16" t="s">
        <v>5593</v>
      </c>
      <c r="N1595" s="16" t="s">
        <v>5593</v>
      </c>
      <c r="O1595" s="23">
        <v>18</v>
      </c>
      <c r="P1595" s="24" t="e">
        <f>VLOOKUP(I1595,#REF!,2,0)</f>
        <v>#REF!</v>
      </c>
      <c r="Q1595" s="25"/>
      <c r="R1595" s="24"/>
      <c r="S1595" s="26"/>
      <c r="T1595" s="24"/>
      <c r="U1595" s="26"/>
      <c r="V1595" s="26"/>
      <c r="W1595" s="27">
        <v>1273</v>
      </c>
    </row>
    <row r="1596" ht="24" customHeight="1" spans="1:23">
      <c r="A1596" s="16" t="s">
        <v>4276</v>
      </c>
      <c r="B1596" s="17" t="s">
        <v>4277</v>
      </c>
      <c r="C1596" s="30" t="s">
        <v>5551</v>
      </c>
      <c r="D1596" s="19" t="e">
        <f>VLOOKUP(C1596,#REF!,2,0)</f>
        <v>#REF!</v>
      </c>
      <c r="E1596" s="20" t="e">
        <f>VLOOKUP(D1596,数据集标准分类!E:F,2,0)</f>
        <v>#REF!</v>
      </c>
      <c r="F1596" s="21">
        <v>4</v>
      </c>
      <c r="G1596" s="22" t="s">
        <v>789</v>
      </c>
      <c r="H1596" s="22" t="s">
        <v>790</v>
      </c>
      <c r="I1596" s="22" t="s">
        <v>791</v>
      </c>
      <c r="J1596" s="22" t="s">
        <v>790</v>
      </c>
      <c r="K1596" s="22" t="s">
        <v>791</v>
      </c>
      <c r="L1596" s="22" t="s">
        <v>792</v>
      </c>
      <c r="M1596" s="16" t="s">
        <v>5595</v>
      </c>
      <c r="N1596" s="16" t="s">
        <v>5595</v>
      </c>
      <c r="O1596" s="23">
        <v>19</v>
      </c>
      <c r="P1596" s="24" t="e">
        <f>VLOOKUP(I1596,#REF!,2,0)</f>
        <v>#REF!</v>
      </c>
      <c r="Q1596" s="25"/>
      <c r="R1596" s="24"/>
      <c r="S1596" s="26"/>
      <c r="T1596" s="24"/>
      <c r="U1596" s="26"/>
      <c r="V1596" s="26"/>
      <c r="W1596" s="27">
        <v>1274</v>
      </c>
    </row>
    <row r="1597" ht="31" spans="1:23">
      <c r="A1597" s="16" t="s">
        <v>4276</v>
      </c>
      <c r="B1597" s="17" t="s">
        <v>4277</v>
      </c>
      <c r="C1597" s="30" t="s">
        <v>5551</v>
      </c>
      <c r="D1597" s="19" t="e">
        <f>VLOOKUP(C1597,#REF!,2,0)</f>
        <v>#REF!</v>
      </c>
      <c r="E1597" s="20" t="e">
        <f>VLOOKUP(D1597,数据集标准分类!E:F,2,0)</f>
        <v>#REF!</v>
      </c>
      <c r="F1597" s="21">
        <v>4</v>
      </c>
      <c r="G1597" s="22" t="s">
        <v>1921</v>
      </c>
      <c r="H1597" s="22" t="s">
        <v>6208</v>
      </c>
      <c r="I1597" s="22" t="s">
        <v>6209</v>
      </c>
      <c r="J1597" s="22" t="s">
        <v>1922</v>
      </c>
      <c r="K1597" s="22" t="s">
        <v>1924</v>
      </c>
      <c r="L1597" s="22" t="s">
        <v>2844</v>
      </c>
      <c r="M1597" s="16" t="s">
        <v>5593</v>
      </c>
      <c r="N1597" s="16" t="s">
        <v>5593</v>
      </c>
      <c r="O1597" s="23">
        <v>20</v>
      </c>
      <c r="P1597" s="24" t="e">
        <f>VLOOKUP(I1597,#REF!,2,0)</f>
        <v>#REF!</v>
      </c>
      <c r="Q1597" s="25"/>
      <c r="R1597" s="24"/>
      <c r="S1597" s="26"/>
      <c r="T1597" s="24"/>
      <c r="U1597" s="26"/>
      <c r="V1597" s="26"/>
      <c r="W1597" s="27">
        <v>1275</v>
      </c>
    </row>
    <row r="1598" spans="1:23">
      <c r="A1598" s="24" t="s">
        <v>4293</v>
      </c>
      <c r="B1598" s="27" t="s">
        <v>4294</v>
      </c>
      <c r="C1598" s="30" t="s">
        <v>2926</v>
      </c>
      <c r="D1598" s="19" t="s">
        <v>4311</v>
      </c>
      <c r="E1598" s="24" t="s">
        <v>4310</v>
      </c>
      <c r="F1598" s="46">
        <v>58</v>
      </c>
      <c r="G1598" s="30" t="s">
        <v>2927</v>
      </c>
      <c r="H1598" s="30" t="s">
        <v>6214</v>
      </c>
      <c r="I1598" s="24" t="s">
        <v>6215</v>
      </c>
      <c r="J1598" s="22" t="s">
        <v>2928</v>
      </c>
      <c r="K1598" s="22" t="s">
        <v>2930</v>
      </c>
      <c r="L1598" s="22"/>
      <c r="M1598" s="24" t="s">
        <v>5593</v>
      </c>
      <c r="N1598" s="24" t="s">
        <v>5593</v>
      </c>
      <c r="O1598" s="46"/>
      <c r="P1598" s="24"/>
      <c r="Q1598" s="25"/>
      <c r="R1598" s="24"/>
      <c r="S1598" s="26"/>
      <c r="T1598" s="24"/>
      <c r="U1598" s="26"/>
      <c r="V1598" s="26"/>
      <c r="W1598" s="27">
        <v>1276</v>
      </c>
    </row>
    <row r="1599" spans="1:23">
      <c r="A1599" s="24" t="s">
        <v>4293</v>
      </c>
      <c r="B1599" s="27" t="s">
        <v>4294</v>
      </c>
      <c r="C1599" s="30" t="s">
        <v>2926</v>
      </c>
      <c r="D1599" s="19" t="s">
        <v>4311</v>
      </c>
      <c r="E1599" s="24" t="s">
        <v>4310</v>
      </c>
      <c r="F1599" s="46">
        <v>58</v>
      </c>
      <c r="G1599" s="30" t="s">
        <v>2931</v>
      </c>
      <c r="H1599" s="30" t="s">
        <v>6216</v>
      </c>
      <c r="I1599" s="24" t="s">
        <v>6217</v>
      </c>
      <c r="J1599" s="24" t="s">
        <v>2932</v>
      </c>
      <c r="K1599" s="24" t="s">
        <v>2934</v>
      </c>
      <c r="L1599" s="24"/>
      <c r="M1599" s="24" t="s">
        <v>5593</v>
      </c>
      <c r="N1599" s="24" t="s">
        <v>5593</v>
      </c>
      <c r="O1599" s="46"/>
      <c r="P1599" s="24"/>
      <c r="Q1599" s="24"/>
      <c r="R1599" s="24"/>
      <c r="S1599" s="24"/>
      <c r="T1599" s="24"/>
      <c r="U1599" s="24"/>
      <c r="V1599" s="24"/>
      <c r="W1599" s="27">
        <v>1277</v>
      </c>
    </row>
    <row r="1600" spans="1:23">
      <c r="A1600" s="24" t="s">
        <v>4293</v>
      </c>
      <c r="B1600" s="27" t="s">
        <v>4294</v>
      </c>
      <c r="C1600" s="30" t="s">
        <v>2926</v>
      </c>
      <c r="D1600" s="19" t="s">
        <v>4311</v>
      </c>
      <c r="E1600" s="24" t="s">
        <v>4310</v>
      </c>
      <c r="F1600" s="46">
        <v>58</v>
      </c>
      <c r="G1600" s="30" t="s">
        <v>2935</v>
      </c>
      <c r="H1600" s="30" t="s">
        <v>2936</v>
      </c>
      <c r="I1600" s="24" t="s">
        <v>2938</v>
      </c>
      <c r="J1600" s="24" t="s">
        <v>2936</v>
      </c>
      <c r="K1600" s="24" t="s">
        <v>2938</v>
      </c>
      <c r="L1600" s="24"/>
      <c r="M1600" s="24" t="s">
        <v>5595</v>
      </c>
      <c r="N1600" s="24" t="s">
        <v>5595</v>
      </c>
      <c r="O1600" s="46"/>
      <c r="P1600" s="24"/>
      <c r="Q1600" s="24"/>
      <c r="R1600" s="24"/>
      <c r="S1600" s="24"/>
      <c r="T1600" s="24"/>
      <c r="U1600" s="24"/>
      <c r="V1600" s="24"/>
      <c r="W1600" s="27">
        <v>1278</v>
      </c>
    </row>
    <row r="1601" spans="1:23">
      <c r="A1601" s="24" t="s">
        <v>4293</v>
      </c>
      <c r="B1601" s="27" t="s">
        <v>4294</v>
      </c>
      <c r="C1601" s="30" t="s">
        <v>2926</v>
      </c>
      <c r="D1601" s="19" t="s">
        <v>4311</v>
      </c>
      <c r="E1601" s="24" t="s">
        <v>4310</v>
      </c>
      <c r="F1601" s="46">
        <v>58</v>
      </c>
      <c r="G1601" s="30" t="s">
        <v>2939</v>
      </c>
      <c r="H1601" s="30" t="s">
        <v>2940</v>
      </c>
      <c r="I1601" s="24" t="s">
        <v>2942</v>
      </c>
      <c r="J1601" s="24" t="s">
        <v>2940</v>
      </c>
      <c r="K1601" s="24" t="s">
        <v>2942</v>
      </c>
      <c r="L1601" s="24"/>
      <c r="M1601" s="24" t="s">
        <v>5595</v>
      </c>
      <c r="N1601" s="24" t="s">
        <v>5595</v>
      </c>
      <c r="O1601" s="46"/>
      <c r="P1601" s="24"/>
      <c r="Q1601" s="24"/>
      <c r="R1601" s="24"/>
      <c r="S1601" s="24"/>
      <c r="T1601" s="24"/>
      <c r="U1601" s="24"/>
      <c r="V1601" s="24"/>
      <c r="W1601" s="27">
        <v>1279</v>
      </c>
    </row>
    <row r="1602" spans="1:23">
      <c r="A1602" s="24" t="s">
        <v>4293</v>
      </c>
      <c r="B1602" s="27" t="s">
        <v>4294</v>
      </c>
      <c r="C1602" s="30" t="s">
        <v>2926</v>
      </c>
      <c r="D1602" s="19" t="s">
        <v>4311</v>
      </c>
      <c r="E1602" s="24" t="s">
        <v>4310</v>
      </c>
      <c r="F1602" s="46">
        <v>58</v>
      </c>
      <c r="G1602" s="30" t="s">
        <v>2943</v>
      </c>
      <c r="H1602" s="30" t="s">
        <v>6218</v>
      </c>
      <c r="I1602" s="24" t="s">
        <v>2946</v>
      </c>
      <c r="J1602" s="24" t="s">
        <v>2944</v>
      </c>
      <c r="K1602" s="24" t="s">
        <v>2946</v>
      </c>
      <c r="L1602" s="24"/>
      <c r="M1602" s="24" t="s">
        <v>5593</v>
      </c>
      <c r="N1602" s="24" t="s">
        <v>5595</v>
      </c>
      <c r="O1602" s="46"/>
      <c r="P1602" s="24"/>
      <c r="Q1602" s="24"/>
      <c r="R1602" s="24"/>
      <c r="S1602" s="24"/>
      <c r="T1602" s="24"/>
      <c r="U1602" s="24"/>
      <c r="V1602" s="24"/>
      <c r="W1602" s="27">
        <v>1280</v>
      </c>
    </row>
    <row r="1603" spans="1:23">
      <c r="A1603" s="24" t="s">
        <v>4293</v>
      </c>
      <c r="B1603" s="27" t="s">
        <v>4294</v>
      </c>
      <c r="C1603" s="30" t="s">
        <v>2926</v>
      </c>
      <c r="D1603" s="19" t="s">
        <v>4311</v>
      </c>
      <c r="E1603" s="24" t="s">
        <v>4310</v>
      </c>
      <c r="F1603" s="46">
        <v>58</v>
      </c>
      <c r="G1603" s="30" t="s">
        <v>2947</v>
      </c>
      <c r="H1603" s="30" t="s">
        <v>6219</v>
      </c>
      <c r="I1603" s="24" t="s">
        <v>2950</v>
      </c>
      <c r="J1603" s="24" t="s">
        <v>2948</v>
      </c>
      <c r="K1603" s="24" t="s">
        <v>2950</v>
      </c>
      <c r="L1603" s="24"/>
      <c r="M1603" s="24" t="s">
        <v>5593</v>
      </c>
      <c r="N1603" s="24" t="s">
        <v>5595</v>
      </c>
      <c r="O1603" s="46"/>
      <c r="P1603" s="24"/>
      <c r="Q1603" s="24"/>
      <c r="R1603" s="24"/>
      <c r="S1603" s="24"/>
      <c r="T1603" s="24"/>
      <c r="U1603" s="24"/>
      <c r="V1603" s="24"/>
      <c r="W1603" s="27">
        <v>1281</v>
      </c>
    </row>
    <row r="1604" spans="1:23">
      <c r="A1604" s="24" t="s">
        <v>4293</v>
      </c>
      <c r="B1604" s="27" t="s">
        <v>4294</v>
      </c>
      <c r="C1604" s="30" t="s">
        <v>2926</v>
      </c>
      <c r="D1604" s="19" t="s">
        <v>4311</v>
      </c>
      <c r="E1604" s="24" t="s">
        <v>4310</v>
      </c>
      <c r="F1604" s="46">
        <v>58</v>
      </c>
      <c r="G1604" s="30" t="s">
        <v>2951</v>
      </c>
      <c r="H1604" s="30" t="s">
        <v>6220</v>
      </c>
      <c r="I1604" s="24" t="s">
        <v>6221</v>
      </c>
      <c r="J1604" s="24" t="s">
        <v>2952</v>
      </c>
      <c r="K1604" s="24" t="s">
        <v>2954</v>
      </c>
      <c r="L1604" s="24"/>
      <c r="M1604" s="24" t="s">
        <v>5593</v>
      </c>
      <c r="N1604" s="24" t="s">
        <v>5593</v>
      </c>
      <c r="O1604" s="46"/>
      <c r="P1604" s="24"/>
      <c r="Q1604" s="24"/>
      <c r="R1604" s="24"/>
      <c r="S1604" s="24"/>
      <c r="T1604" s="24"/>
      <c r="U1604" s="24"/>
      <c r="V1604" s="24"/>
      <c r="W1604" s="27">
        <v>1282</v>
      </c>
    </row>
    <row r="1605" spans="1:23">
      <c r="A1605" s="24" t="s">
        <v>4293</v>
      </c>
      <c r="B1605" s="27" t="s">
        <v>4294</v>
      </c>
      <c r="C1605" s="30" t="s">
        <v>2926</v>
      </c>
      <c r="D1605" s="19" t="s">
        <v>4311</v>
      </c>
      <c r="E1605" s="24" t="s">
        <v>4310</v>
      </c>
      <c r="F1605" s="46">
        <v>58</v>
      </c>
      <c r="G1605" s="30" t="s">
        <v>2955</v>
      </c>
      <c r="H1605" s="30" t="s">
        <v>6222</v>
      </c>
      <c r="I1605" s="24" t="s">
        <v>6223</v>
      </c>
      <c r="J1605" s="24" t="s">
        <v>2956</v>
      </c>
      <c r="K1605" s="24" t="s">
        <v>2958</v>
      </c>
      <c r="L1605" s="24"/>
      <c r="M1605" s="24" t="s">
        <v>5593</v>
      </c>
      <c r="N1605" s="24" t="s">
        <v>5593</v>
      </c>
      <c r="O1605" s="46"/>
      <c r="P1605" s="24"/>
      <c r="Q1605" s="24"/>
      <c r="R1605" s="24"/>
      <c r="S1605" s="24"/>
      <c r="T1605" s="24"/>
      <c r="U1605" s="24"/>
      <c r="V1605" s="24"/>
      <c r="W1605" s="27">
        <v>1283</v>
      </c>
    </row>
    <row r="1606" spans="1:23">
      <c r="A1606" s="24" t="s">
        <v>4293</v>
      </c>
      <c r="B1606" s="27" t="s">
        <v>4294</v>
      </c>
      <c r="C1606" s="30" t="s">
        <v>2926</v>
      </c>
      <c r="D1606" s="19" t="s">
        <v>4311</v>
      </c>
      <c r="E1606" s="24" t="s">
        <v>4310</v>
      </c>
      <c r="F1606" s="46">
        <v>58</v>
      </c>
      <c r="G1606" s="30" t="s">
        <v>2959</v>
      </c>
      <c r="H1606" s="30" t="s">
        <v>2960</v>
      </c>
      <c r="I1606" s="24" t="s">
        <v>2962</v>
      </c>
      <c r="J1606" s="24" t="s">
        <v>2960</v>
      </c>
      <c r="K1606" s="24" t="s">
        <v>2962</v>
      </c>
      <c r="L1606" s="24"/>
      <c r="M1606" s="24" t="s">
        <v>5595</v>
      </c>
      <c r="N1606" s="24" t="s">
        <v>5595</v>
      </c>
      <c r="O1606" s="46"/>
      <c r="P1606" s="24"/>
      <c r="Q1606" s="24"/>
      <c r="R1606" s="24"/>
      <c r="S1606" s="24"/>
      <c r="T1606" s="24"/>
      <c r="U1606" s="24"/>
      <c r="V1606" s="24"/>
      <c r="W1606" s="27">
        <v>1284</v>
      </c>
    </row>
    <row r="1607" spans="1:23">
      <c r="A1607" s="24" t="s">
        <v>4293</v>
      </c>
      <c r="B1607" s="27" t="s">
        <v>4294</v>
      </c>
      <c r="C1607" s="30" t="s">
        <v>2926</v>
      </c>
      <c r="D1607" s="19" t="s">
        <v>4311</v>
      </c>
      <c r="E1607" s="24" t="s">
        <v>4310</v>
      </c>
      <c r="F1607" s="46">
        <v>58</v>
      </c>
      <c r="G1607" s="30" t="s">
        <v>2963</v>
      </c>
      <c r="H1607" s="30" t="s">
        <v>2964</v>
      </c>
      <c r="I1607" s="24" t="s">
        <v>2966</v>
      </c>
      <c r="J1607" s="24" t="s">
        <v>2964</v>
      </c>
      <c r="K1607" s="24" t="s">
        <v>2966</v>
      </c>
      <c r="L1607" s="24"/>
      <c r="M1607" s="24" t="s">
        <v>5595</v>
      </c>
      <c r="N1607" s="24" t="s">
        <v>5595</v>
      </c>
      <c r="O1607" s="46"/>
      <c r="P1607" s="24"/>
      <c r="Q1607" s="24"/>
      <c r="R1607" s="24"/>
      <c r="S1607" s="24"/>
      <c r="T1607" s="24"/>
      <c r="U1607" s="24"/>
      <c r="V1607" s="24"/>
      <c r="W1607" s="27">
        <v>1285</v>
      </c>
    </row>
    <row r="1608" spans="1:23">
      <c r="A1608" s="24" t="s">
        <v>4293</v>
      </c>
      <c r="B1608" s="27" t="s">
        <v>4294</v>
      </c>
      <c r="C1608" s="30" t="s">
        <v>2926</v>
      </c>
      <c r="D1608" s="19" t="s">
        <v>4311</v>
      </c>
      <c r="E1608" s="24" t="s">
        <v>4310</v>
      </c>
      <c r="F1608" s="46">
        <v>58</v>
      </c>
      <c r="G1608" s="30" t="s">
        <v>2967</v>
      </c>
      <c r="H1608" s="30" t="s">
        <v>6224</v>
      </c>
      <c r="I1608" s="24" t="s">
        <v>2970</v>
      </c>
      <c r="J1608" s="24" t="s">
        <v>2968</v>
      </c>
      <c r="K1608" s="24" t="s">
        <v>2970</v>
      </c>
      <c r="L1608" s="24"/>
      <c r="M1608" s="24" t="s">
        <v>5593</v>
      </c>
      <c r="N1608" s="24" t="s">
        <v>5595</v>
      </c>
      <c r="O1608" s="46"/>
      <c r="P1608" s="24"/>
      <c r="Q1608" s="24"/>
      <c r="R1608" s="24"/>
      <c r="S1608" s="24"/>
      <c r="T1608" s="24"/>
      <c r="U1608" s="24"/>
      <c r="V1608" s="24"/>
      <c r="W1608" s="27">
        <v>1286</v>
      </c>
    </row>
    <row r="1609" spans="1:23">
      <c r="A1609" s="24" t="s">
        <v>4293</v>
      </c>
      <c r="B1609" s="27" t="s">
        <v>4294</v>
      </c>
      <c r="C1609" s="30" t="s">
        <v>2926</v>
      </c>
      <c r="D1609" s="19" t="s">
        <v>4311</v>
      </c>
      <c r="E1609" s="24" t="s">
        <v>4310</v>
      </c>
      <c r="F1609" s="46">
        <v>58</v>
      </c>
      <c r="G1609" s="30" t="s">
        <v>2971</v>
      </c>
      <c r="H1609" s="30" t="s">
        <v>6225</v>
      </c>
      <c r="I1609" s="24" t="s">
        <v>2974</v>
      </c>
      <c r="J1609" s="24" t="s">
        <v>2972</v>
      </c>
      <c r="K1609" s="24" t="s">
        <v>2974</v>
      </c>
      <c r="L1609" s="24"/>
      <c r="M1609" s="24" t="s">
        <v>5593</v>
      </c>
      <c r="N1609" s="24" t="s">
        <v>5595</v>
      </c>
      <c r="O1609" s="46"/>
      <c r="P1609" s="24"/>
      <c r="Q1609" s="24"/>
      <c r="R1609" s="24"/>
      <c r="S1609" s="24"/>
      <c r="T1609" s="24"/>
      <c r="U1609" s="24"/>
      <c r="V1609" s="24"/>
      <c r="W1609" s="27">
        <v>1287</v>
      </c>
    </row>
    <row r="1610" spans="1:23">
      <c r="A1610" s="24" t="s">
        <v>4293</v>
      </c>
      <c r="B1610" s="27" t="s">
        <v>4294</v>
      </c>
      <c r="C1610" s="30" t="s">
        <v>2926</v>
      </c>
      <c r="D1610" s="19" t="s">
        <v>4311</v>
      </c>
      <c r="E1610" s="24" t="s">
        <v>4310</v>
      </c>
      <c r="F1610" s="46">
        <v>58</v>
      </c>
      <c r="G1610" s="30" t="s">
        <v>2975</v>
      </c>
      <c r="H1610" s="30" t="s">
        <v>6226</v>
      </c>
      <c r="I1610" s="24" t="s">
        <v>2978</v>
      </c>
      <c r="J1610" s="24" t="s">
        <v>2976</v>
      </c>
      <c r="K1610" s="24" t="s">
        <v>2978</v>
      </c>
      <c r="L1610" s="24"/>
      <c r="M1610" s="24" t="s">
        <v>5593</v>
      </c>
      <c r="N1610" s="24" t="s">
        <v>5595</v>
      </c>
      <c r="O1610" s="46"/>
      <c r="P1610" s="24"/>
      <c r="Q1610" s="24"/>
      <c r="R1610" s="24"/>
      <c r="S1610" s="24"/>
      <c r="T1610" s="24"/>
      <c r="U1610" s="24"/>
      <c r="V1610" s="24"/>
      <c r="W1610" s="27">
        <v>1288</v>
      </c>
    </row>
    <row r="1611" spans="1:23">
      <c r="A1611" s="24" t="s">
        <v>4293</v>
      </c>
      <c r="B1611" s="27" t="s">
        <v>4294</v>
      </c>
      <c r="C1611" s="30" t="s">
        <v>2926</v>
      </c>
      <c r="D1611" s="19" t="s">
        <v>4311</v>
      </c>
      <c r="E1611" s="24" t="s">
        <v>4310</v>
      </c>
      <c r="F1611" s="46">
        <v>58</v>
      </c>
      <c r="G1611" s="30" t="s">
        <v>2979</v>
      </c>
      <c r="H1611" s="30" t="s">
        <v>6227</v>
      </c>
      <c r="I1611" s="24" t="s">
        <v>2982</v>
      </c>
      <c r="J1611" s="24" t="s">
        <v>2980</v>
      </c>
      <c r="K1611" s="24" t="s">
        <v>2982</v>
      </c>
      <c r="L1611" s="24"/>
      <c r="M1611" s="24" t="s">
        <v>5593</v>
      </c>
      <c r="N1611" s="24" t="s">
        <v>5595</v>
      </c>
      <c r="O1611" s="46"/>
      <c r="P1611" s="24"/>
      <c r="Q1611" s="24"/>
      <c r="R1611" s="24"/>
      <c r="S1611" s="24"/>
      <c r="T1611" s="24"/>
      <c r="U1611" s="24"/>
      <c r="V1611" s="24"/>
      <c r="W1611" s="27">
        <v>1289</v>
      </c>
    </row>
    <row r="1612" spans="1:23">
      <c r="A1612" s="24" t="s">
        <v>4293</v>
      </c>
      <c r="B1612" s="27" t="s">
        <v>4294</v>
      </c>
      <c r="C1612" s="30" t="s">
        <v>2926</v>
      </c>
      <c r="D1612" s="19" t="s">
        <v>4311</v>
      </c>
      <c r="E1612" s="24" t="s">
        <v>4310</v>
      </c>
      <c r="F1612" s="46">
        <v>58</v>
      </c>
      <c r="G1612" s="30" t="s">
        <v>2983</v>
      </c>
      <c r="H1612" s="30" t="s">
        <v>6228</v>
      </c>
      <c r="I1612" s="24" t="s">
        <v>2986</v>
      </c>
      <c r="J1612" s="24" t="s">
        <v>2984</v>
      </c>
      <c r="K1612" s="24" t="s">
        <v>2986</v>
      </c>
      <c r="L1612" s="24"/>
      <c r="M1612" s="24" t="s">
        <v>5593</v>
      </c>
      <c r="N1612" s="24" t="s">
        <v>5595</v>
      </c>
      <c r="O1612" s="46"/>
      <c r="P1612" s="24"/>
      <c r="Q1612" s="24"/>
      <c r="R1612" s="24"/>
      <c r="S1612" s="24"/>
      <c r="T1612" s="24"/>
      <c r="U1612" s="24"/>
      <c r="V1612" s="24"/>
      <c r="W1612" s="27">
        <v>1290</v>
      </c>
    </row>
    <row r="1613" spans="1:23">
      <c r="A1613" s="24" t="s">
        <v>4293</v>
      </c>
      <c r="B1613" s="27" t="s">
        <v>4294</v>
      </c>
      <c r="C1613" s="30" t="s">
        <v>2926</v>
      </c>
      <c r="D1613" s="19" t="s">
        <v>4311</v>
      </c>
      <c r="E1613" s="24" t="s">
        <v>4310</v>
      </c>
      <c r="F1613" s="46">
        <v>58</v>
      </c>
      <c r="G1613" s="30" t="s">
        <v>2987</v>
      </c>
      <c r="H1613" s="30" t="s">
        <v>6229</v>
      </c>
      <c r="I1613" s="24" t="s">
        <v>2990</v>
      </c>
      <c r="J1613" s="24" t="s">
        <v>2988</v>
      </c>
      <c r="K1613" s="24" t="s">
        <v>2990</v>
      </c>
      <c r="L1613" s="24"/>
      <c r="M1613" s="24" t="s">
        <v>5593</v>
      </c>
      <c r="N1613" s="24" t="s">
        <v>5595</v>
      </c>
      <c r="O1613" s="46"/>
      <c r="P1613" s="24"/>
      <c r="Q1613" s="24"/>
      <c r="R1613" s="24"/>
      <c r="S1613" s="24"/>
      <c r="T1613" s="24"/>
      <c r="U1613" s="24"/>
      <c r="V1613" s="24"/>
      <c r="W1613" s="27">
        <v>1291</v>
      </c>
    </row>
    <row r="1614" spans="1:23">
      <c r="A1614" s="24" t="s">
        <v>4293</v>
      </c>
      <c r="B1614" s="27" t="s">
        <v>4294</v>
      </c>
      <c r="C1614" s="30" t="s">
        <v>2926</v>
      </c>
      <c r="D1614" s="19" t="s">
        <v>4311</v>
      </c>
      <c r="E1614" s="24" t="s">
        <v>4310</v>
      </c>
      <c r="F1614" s="46">
        <v>58</v>
      </c>
      <c r="G1614" s="30" t="s">
        <v>2991</v>
      </c>
      <c r="H1614" s="30" t="s">
        <v>6230</v>
      </c>
      <c r="I1614" s="24" t="s">
        <v>2994</v>
      </c>
      <c r="J1614" s="24" t="s">
        <v>2992</v>
      </c>
      <c r="K1614" s="24" t="s">
        <v>2994</v>
      </c>
      <c r="L1614" s="24"/>
      <c r="M1614" s="24" t="s">
        <v>5593</v>
      </c>
      <c r="N1614" s="24" t="s">
        <v>5595</v>
      </c>
      <c r="O1614" s="46"/>
      <c r="P1614" s="24"/>
      <c r="Q1614" s="24"/>
      <c r="R1614" s="24"/>
      <c r="S1614" s="24"/>
      <c r="T1614" s="24"/>
      <c r="U1614" s="24"/>
      <c r="V1614" s="24"/>
      <c r="W1614" s="27">
        <v>1292</v>
      </c>
    </row>
    <row r="1615" spans="1:23">
      <c r="A1615" s="24" t="s">
        <v>4293</v>
      </c>
      <c r="B1615" s="27" t="s">
        <v>4294</v>
      </c>
      <c r="C1615" s="30" t="s">
        <v>2926</v>
      </c>
      <c r="D1615" s="19" t="s">
        <v>4311</v>
      </c>
      <c r="E1615" s="24" t="s">
        <v>4310</v>
      </c>
      <c r="F1615" s="46">
        <v>58</v>
      </c>
      <c r="G1615" s="30" t="s">
        <v>2995</v>
      </c>
      <c r="H1615" s="30" t="s">
        <v>6231</v>
      </c>
      <c r="I1615" s="24" t="s">
        <v>2998</v>
      </c>
      <c r="J1615" s="24" t="s">
        <v>2996</v>
      </c>
      <c r="K1615" s="24" t="s">
        <v>2998</v>
      </c>
      <c r="L1615" s="24"/>
      <c r="M1615" s="24" t="s">
        <v>5593</v>
      </c>
      <c r="N1615" s="24" t="s">
        <v>5595</v>
      </c>
      <c r="O1615" s="46"/>
      <c r="P1615" s="24"/>
      <c r="Q1615" s="24"/>
      <c r="R1615" s="24"/>
      <c r="S1615" s="24"/>
      <c r="T1615" s="24"/>
      <c r="U1615" s="24"/>
      <c r="V1615" s="24"/>
      <c r="W1615" s="27">
        <v>1293</v>
      </c>
    </row>
    <row r="1616" spans="1:23">
      <c r="A1616" s="24" t="s">
        <v>4293</v>
      </c>
      <c r="B1616" s="27" t="s">
        <v>4294</v>
      </c>
      <c r="C1616" s="30" t="s">
        <v>2926</v>
      </c>
      <c r="D1616" s="19" t="s">
        <v>4311</v>
      </c>
      <c r="E1616" s="24" t="s">
        <v>4310</v>
      </c>
      <c r="F1616" s="46">
        <v>58</v>
      </c>
      <c r="G1616" s="30" t="s">
        <v>2999</v>
      </c>
      <c r="H1616" s="30" t="s">
        <v>6232</v>
      </c>
      <c r="I1616" s="24" t="s">
        <v>3002</v>
      </c>
      <c r="J1616" s="24" t="s">
        <v>3000</v>
      </c>
      <c r="K1616" s="24" t="s">
        <v>3002</v>
      </c>
      <c r="L1616" s="24"/>
      <c r="M1616" s="24" t="s">
        <v>5593</v>
      </c>
      <c r="N1616" s="24" t="s">
        <v>5595</v>
      </c>
      <c r="O1616" s="46"/>
      <c r="P1616" s="24"/>
      <c r="Q1616" s="24"/>
      <c r="R1616" s="24"/>
      <c r="S1616" s="24"/>
      <c r="T1616" s="24"/>
      <c r="U1616" s="24"/>
      <c r="V1616" s="24"/>
      <c r="W1616" s="27">
        <v>1294</v>
      </c>
    </row>
    <row r="1617" spans="1:23">
      <c r="A1617" s="24" t="s">
        <v>4293</v>
      </c>
      <c r="B1617" s="27" t="s">
        <v>4294</v>
      </c>
      <c r="C1617" s="30" t="s">
        <v>2926</v>
      </c>
      <c r="D1617" s="19" t="s">
        <v>4311</v>
      </c>
      <c r="E1617" s="24" t="s">
        <v>4310</v>
      </c>
      <c r="F1617" s="46">
        <v>58</v>
      </c>
      <c r="G1617" s="30" t="s">
        <v>3003</v>
      </c>
      <c r="H1617" s="30" t="s">
        <v>6233</v>
      </c>
      <c r="I1617" s="24" t="s">
        <v>3006</v>
      </c>
      <c r="J1617" s="24" t="s">
        <v>3004</v>
      </c>
      <c r="K1617" s="24" t="s">
        <v>3006</v>
      </c>
      <c r="L1617" s="24"/>
      <c r="M1617" s="24" t="s">
        <v>5593</v>
      </c>
      <c r="N1617" s="24" t="s">
        <v>5595</v>
      </c>
      <c r="O1617" s="46"/>
      <c r="P1617" s="24"/>
      <c r="Q1617" s="24"/>
      <c r="R1617" s="24"/>
      <c r="S1617" s="24"/>
      <c r="T1617" s="24"/>
      <c r="U1617" s="24"/>
      <c r="V1617" s="24"/>
      <c r="W1617" s="27">
        <v>1295</v>
      </c>
    </row>
    <row r="1618" spans="1:23">
      <c r="A1618" s="24" t="s">
        <v>4293</v>
      </c>
      <c r="B1618" s="27" t="s">
        <v>4294</v>
      </c>
      <c r="C1618" s="30" t="s">
        <v>2926</v>
      </c>
      <c r="D1618" s="19" t="s">
        <v>4311</v>
      </c>
      <c r="E1618" s="24" t="s">
        <v>4310</v>
      </c>
      <c r="F1618" s="46">
        <v>58</v>
      </c>
      <c r="G1618" s="30" t="s">
        <v>3007</v>
      </c>
      <c r="H1618" s="30" t="s">
        <v>6234</v>
      </c>
      <c r="I1618" s="24" t="s">
        <v>3010</v>
      </c>
      <c r="J1618" s="24" t="s">
        <v>3008</v>
      </c>
      <c r="K1618" s="24" t="s">
        <v>3010</v>
      </c>
      <c r="L1618" s="24"/>
      <c r="M1618" s="24" t="s">
        <v>5593</v>
      </c>
      <c r="N1618" s="24" t="s">
        <v>5595</v>
      </c>
      <c r="O1618" s="46"/>
      <c r="P1618" s="24"/>
      <c r="Q1618" s="24"/>
      <c r="R1618" s="24"/>
      <c r="S1618" s="24"/>
      <c r="T1618" s="24"/>
      <c r="U1618" s="24"/>
      <c r="V1618" s="24"/>
      <c r="W1618" s="27">
        <v>1296</v>
      </c>
    </row>
    <row r="1619" spans="1:23">
      <c r="A1619" s="24" t="s">
        <v>4293</v>
      </c>
      <c r="B1619" s="27" t="s">
        <v>4294</v>
      </c>
      <c r="C1619" s="30" t="s">
        <v>2926</v>
      </c>
      <c r="D1619" s="19" t="s">
        <v>4311</v>
      </c>
      <c r="E1619" s="24" t="s">
        <v>4310</v>
      </c>
      <c r="F1619" s="46">
        <v>58</v>
      </c>
      <c r="G1619" s="30" t="s">
        <v>3011</v>
      </c>
      <c r="H1619" s="30" t="s">
        <v>6235</v>
      </c>
      <c r="I1619" s="24" t="s">
        <v>6236</v>
      </c>
      <c r="J1619" s="24" t="s">
        <v>3012</v>
      </c>
      <c r="K1619" s="24" t="s">
        <v>3014</v>
      </c>
      <c r="L1619" s="24"/>
      <c r="M1619" s="24" t="s">
        <v>5593</v>
      </c>
      <c r="N1619" s="24" t="s">
        <v>5593</v>
      </c>
      <c r="O1619" s="46"/>
      <c r="P1619" s="24"/>
      <c r="Q1619" s="24"/>
      <c r="R1619" s="24"/>
      <c r="S1619" s="24"/>
      <c r="T1619" s="24"/>
      <c r="U1619" s="24"/>
      <c r="V1619" s="24"/>
      <c r="W1619" s="27">
        <v>1297</v>
      </c>
    </row>
    <row r="1620" spans="1:23">
      <c r="A1620" s="24" t="s">
        <v>4293</v>
      </c>
      <c r="B1620" s="27" t="s">
        <v>4294</v>
      </c>
      <c r="C1620" s="30" t="s">
        <v>2926</v>
      </c>
      <c r="D1620" s="19" t="s">
        <v>4311</v>
      </c>
      <c r="E1620" s="24" t="s">
        <v>4310</v>
      </c>
      <c r="F1620" s="46">
        <v>58</v>
      </c>
      <c r="G1620" s="65" t="s">
        <v>3015</v>
      </c>
      <c r="H1620" s="30" t="s">
        <v>6237</v>
      </c>
      <c r="I1620" s="24" t="s">
        <v>3018</v>
      </c>
      <c r="J1620" s="24" t="s">
        <v>3016</v>
      </c>
      <c r="K1620" s="24" t="s">
        <v>3018</v>
      </c>
      <c r="L1620" s="24"/>
      <c r="M1620" s="24" t="s">
        <v>5593</v>
      </c>
      <c r="N1620" s="24" t="s">
        <v>5595</v>
      </c>
      <c r="O1620" s="46"/>
      <c r="P1620" s="24"/>
      <c r="Q1620" s="24"/>
      <c r="R1620" s="24"/>
      <c r="S1620" s="24"/>
      <c r="T1620" s="24"/>
      <c r="U1620" s="24"/>
      <c r="V1620" s="24"/>
      <c r="W1620" s="27">
        <v>1298</v>
      </c>
    </row>
    <row r="1621" spans="1:23">
      <c r="A1621" s="24" t="s">
        <v>4293</v>
      </c>
      <c r="B1621" s="27" t="s">
        <v>4294</v>
      </c>
      <c r="C1621" s="30" t="s">
        <v>2926</v>
      </c>
      <c r="D1621" s="19" t="s">
        <v>4311</v>
      </c>
      <c r="E1621" s="24" t="s">
        <v>4310</v>
      </c>
      <c r="F1621" s="46">
        <v>58</v>
      </c>
      <c r="G1621" s="30" t="s">
        <v>3019</v>
      </c>
      <c r="H1621" s="30" t="s">
        <v>3020</v>
      </c>
      <c r="I1621" s="24" t="s">
        <v>3022</v>
      </c>
      <c r="J1621" s="24" t="s">
        <v>3020</v>
      </c>
      <c r="K1621" s="24" t="s">
        <v>3022</v>
      </c>
      <c r="L1621" s="24"/>
      <c r="M1621" s="24" t="s">
        <v>5595</v>
      </c>
      <c r="N1621" s="24" t="s">
        <v>5595</v>
      </c>
      <c r="O1621" s="46"/>
      <c r="P1621" s="24"/>
      <c r="Q1621" s="24"/>
      <c r="R1621" s="24"/>
      <c r="S1621" s="24"/>
      <c r="T1621" s="24"/>
      <c r="U1621" s="24"/>
      <c r="V1621" s="24"/>
      <c r="W1621" s="27">
        <v>1299</v>
      </c>
    </row>
    <row r="1622" ht="46" spans="1:23">
      <c r="A1622" s="24" t="s">
        <v>4293</v>
      </c>
      <c r="B1622" s="27" t="s">
        <v>4294</v>
      </c>
      <c r="C1622" s="30" t="s">
        <v>2926</v>
      </c>
      <c r="D1622" s="19" t="s">
        <v>4311</v>
      </c>
      <c r="E1622" s="24" t="s">
        <v>4310</v>
      </c>
      <c r="F1622" s="46">
        <v>58</v>
      </c>
      <c r="G1622" s="30" t="s">
        <v>3023</v>
      </c>
      <c r="H1622" s="30" t="s">
        <v>6238</v>
      </c>
      <c r="I1622" s="24" t="s">
        <v>3026</v>
      </c>
      <c r="J1622" s="65" t="s">
        <v>3024</v>
      </c>
      <c r="K1622" s="65" t="s">
        <v>3026</v>
      </c>
      <c r="L1622" s="65" t="s">
        <v>3027</v>
      </c>
      <c r="M1622" s="24" t="s">
        <v>5593</v>
      </c>
      <c r="N1622" s="24" t="s">
        <v>5595</v>
      </c>
      <c r="O1622" s="46"/>
      <c r="P1622" s="24"/>
      <c r="Q1622" s="24"/>
      <c r="R1622" s="24"/>
      <c r="S1622" s="24"/>
      <c r="T1622" s="24"/>
      <c r="U1622" s="24"/>
      <c r="V1622" s="24"/>
      <c r="W1622" s="27">
        <v>1300</v>
      </c>
    </row>
    <row r="1623" spans="1:23">
      <c r="A1623" s="24" t="s">
        <v>4293</v>
      </c>
      <c r="B1623" s="27" t="s">
        <v>4294</v>
      </c>
      <c r="C1623" s="30" t="s">
        <v>2926</v>
      </c>
      <c r="D1623" s="19" t="s">
        <v>4311</v>
      </c>
      <c r="E1623" s="24" t="s">
        <v>4310</v>
      </c>
      <c r="F1623" s="46">
        <v>58</v>
      </c>
      <c r="G1623" s="30" t="s">
        <v>3028</v>
      </c>
      <c r="H1623" s="30" t="s">
        <v>6239</v>
      </c>
      <c r="I1623" s="24" t="s">
        <v>3031</v>
      </c>
      <c r="J1623" s="24" t="s">
        <v>3029</v>
      </c>
      <c r="K1623" s="24" t="s">
        <v>3031</v>
      </c>
      <c r="L1623" s="24"/>
      <c r="M1623" s="24" t="s">
        <v>5593</v>
      </c>
      <c r="N1623" s="24" t="s">
        <v>5595</v>
      </c>
      <c r="O1623" s="46"/>
      <c r="P1623" s="24"/>
      <c r="Q1623" s="24"/>
      <c r="R1623" s="24"/>
      <c r="S1623" s="24"/>
      <c r="T1623" s="24"/>
      <c r="U1623" s="24"/>
      <c r="V1623" s="24"/>
      <c r="W1623" s="27">
        <v>1301</v>
      </c>
    </row>
    <row r="1624" spans="1:23">
      <c r="A1624" s="24" t="s">
        <v>4293</v>
      </c>
      <c r="B1624" s="27" t="s">
        <v>4294</v>
      </c>
      <c r="C1624" s="30" t="s">
        <v>2926</v>
      </c>
      <c r="D1624" s="19" t="s">
        <v>4311</v>
      </c>
      <c r="E1624" s="24" t="s">
        <v>4310</v>
      </c>
      <c r="F1624" s="46">
        <v>58</v>
      </c>
      <c r="G1624" s="30" t="s">
        <v>3032</v>
      </c>
      <c r="H1624" s="30" t="s">
        <v>6015</v>
      </c>
      <c r="I1624" s="24" t="s">
        <v>3035</v>
      </c>
      <c r="J1624" s="24" t="s">
        <v>3033</v>
      </c>
      <c r="K1624" s="24" t="s">
        <v>3035</v>
      </c>
      <c r="L1624" s="24"/>
      <c r="M1624" s="24" t="s">
        <v>5593</v>
      </c>
      <c r="N1624" s="24" t="s">
        <v>5595</v>
      </c>
      <c r="O1624" s="46"/>
      <c r="P1624" s="24"/>
      <c r="Q1624" s="24"/>
      <c r="R1624" s="24"/>
      <c r="S1624" s="24"/>
      <c r="T1624" s="24"/>
      <c r="U1624" s="24"/>
      <c r="V1624" s="24"/>
      <c r="W1624" s="27">
        <v>1302</v>
      </c>
    </row>
    <row r="1625" spans="1:23">
      <c r="A1625" s="24" t="s">
        <v>4293</v>
      </c>
      <c r="B1625" s="27" t="s">
        <v>4294</v>
      </c>
      <c r="C1625" s="30" t="s">
        <v>2926</v>
      </c>
      <c r="D1625" s="19" t="s">
        <v>4311</v>
      </c>
      <c r="E1625" s="24" t="s">
        <v>4310</v>
      </c>
      <c r="F1625" s="46">
        <v>58</v>
      </c>
      <c r="G1625" s="30" t="s">
        <v>3036</v>
      </c>
      <c r="H1625" s="30" t="s">
        <v>6240</v>
      </c>
      <c r="I1625" s="24" t="s">
        <v>3039</v>
      </c>
      <c r="J1625" s="24" t="s">
        <v>3037</v>
      </c>
      <c r="K1625" s="24" t="s">
        <v>3039</v>
      </c>
      <c r="L1625" s="24"/>
      <c r="M1625" s="24" t="s">
        <v>5593</v>
      </c>
      <c r="N1625" s="24" t="s">
        <v>5595</v>
      </c>
      <c r="O1625" s="46"/>
      <c r="P1625" s="24"/>
      <c r="Q1625" s="24"/>
      <c r="R1625" s="24"/>
      <c r="S1625" s="24"/>
      <c r="T1625" s="24"/>
      <c r="U1625" s="24"/>
      <c r="V1625" s="24"/>
      <c r="W1625" s="27">
        <v>1303</v>
      </c>
    </row>
    <row r="1626" spans="1:23">
      <c r="A1626" s="24" t="s">
        <v>4293</v>
      </c>
      <c r="B1626" s="27" t="s">
        <v>4294</v>
      </c>
      <c r="C1626" s="30" t="s">
        <v>2926</v>
      </c>
      <c r="D1626" s="19" t="s">
        <v>4311</v>
      </c>
      <c r="E1626" s="24" t="s">
        <v>4310</v>
      </c>
      <c r="F1626" s="46">
        <v>58</v>
      </c>
      <c r="G1626" s="30" t="s">
        <v>1666</v>
      </c>
      <c r="H1626" s="30" t="s">
        <v>5635</v>
      </c>
      <c r="I1626" s="24" t="s">
        <v>3040</v>
      </c>
      <c r="J1626" s="24" t="s">
        <v>1667</v>
      </c>
      <c r="K1626" s="24" t="s">
        <v>3040</v>
      </c>
      <c r="L1626" s="24"/>
      <c r="M1626" s="24" t="s">
        <v>5593</v>
      </c>
      <c r="N1626" s="24" t="s">
        <v>5595</v>
      </c>
      <c r="O1626" s="46"/>
      <c r="P1626" s="24"/>
      <c r="Q1626" s="24"/>
      <c r="R1626" s="24"/>
      <c r="S1626" s="24"/>
      <c r="T1626" s="24"/>
      <c r="U1626" s="24"/>
      <c r="V1626" s="24"/>
      <c r="W1626" s="27">
        <v>1304</v>
      </c>
    </row>
    <row r="1627" spans="1:23">
      <c r="A1627" s="24" t="s">
        <v>4293</v>
      </c>
      <c r="B1627" s="27" t="s">
        <v>4294</v>
      </c>
      <c r="C1627" s="30" t="s">
        <v>2926</v>
      </c>
      <c r="D1627" s="19" t="s">
        <v>4311</v>
      </c>
      <c r="E1627" s="24" t="s">
        <v>4310</v>
      </c>
      <c r="F1627" s="46">
        <v>58</v>
      </c>
      <c r="G1627" s="30" t="s">
        <v>3041</v>
      </c>
      <c r="H1627" s="30" t="s">
        <v>6241</v>
      </c>
      <c r="I1627" s="24" t="s">
        <v>6242</v>
      </c>
      <c r="J1627" s="24" t="s">
        <v>3042</v>
      </c>
      <c r="K1627" s="24" t="s">
        <v>3044</v>
      </c>
      <c r="L1627" s="24"/>
      <c r="M1627" s="24" t="s">
        <v>5593</v>
      </c>
      <c r="N1627" s="24" t="s">
        <v>5593</v>
      </c>
      <c r="O1627" s="46"/>
      <c r="P1627" s="24"/>
      <c r="Q1627" s="24"/>
      <c r="R1627" s="24"/>
      <c r="S1627" s="24"/>
      <c r="T1627" s="24"/>
      <c r="U1627" s="24"/>
      <c r="V1627" s="24"/>
      <c r="W1627" s="27">
        <v>1305</v>
      </c>
    </row>
    <row r="1628" spans="1:23">
      <c r="A1628" s="24" t="s">
        <v>4293</v>
      </c>
      <c r="B1628" s="27" t="s">
        <v>4294</v>
      </c>
      <c r="C1628" s="30" t="s">
        <v>2926</v>
      </c>
      <c r="D1628" s="19" t="s">
        <v>4311</v>
      </c>
      <c r="E1628" s="24" t="s">
        <v>4310</v>
      </c>
      <c r="F1628" s="46">
        <v>58</v>
      </c>
      <c r="G1628" s="30" t="s">
        <v>3045</v>
      </c>
      <c r="H1628" s="30" t="s">
        <v>6243</v>
      </c>
      <c r="I1628" s="24" t="s">
        <v>6244</v>
      </c>
      <c r="J1628" s="24" t="s">
        <v>3046</v>
      </c>
      <c r="K1628" s="24" t="s">
        <v>3048</v>
      </c>
      <c r="L1628" s="24"/>
      <c r="M1628" s="24" t="s">
        <v>5593</v>
      </c>
      <c r="N1628" s="24" t="s">
        <v>5593</v>
      </c>
      <c r="O1628" s="46"/>
      <c r="P1628" s="24"/>
      <c r="Q1628" s="24"/>
      <c r="R1628" s="24"/>
      <c r="S1628" s="24"/>
      <c r="T1628" s="24"/>
      <c r="U1628" s="24"/>
      <c r="V1628" s="24"/>
      <c r="W1628" s="27">
        <v>1306</v>
      </c>
    </row>
    <row r="1629" spans="1:23">
      <c r="A1629" s="24" t="s">
        <v>4293</v>
      </c>
      <c r="B1629" s="27" t="s">
        <v>4294</v>
      </c>
      <c r="C1629" s="30" t="s">
        <v>2926</v>
      </c>
      <c r="D1629" s="19" t="s">
        <v>4311</v>
      </c>
      <c r="E1629" s="24" t="s">
        <v>4310</v>
      </c>
      <c r="F1629" s="46">
        <v>58</v>
      </c>
      <c r="G1629" s="30" t="s">
        <v>3049</v>
      </c>
      <c r="H1629" s="30" t="s">
        <v>6245</v>
      </c>
      <c r="I1629" s="24" t="s">
        <v>3052</v>
      </c>
      <c r="J1629" s="24" t="s">
        <v>3050</v>
      </c>
      <c r="K1629" s="24" t="s">
        <v>3052</v>
      </c>
      <c r="L1629" s="24"/>
      <c r="M1629" s="24" t="s">
        <v>5593</v>
      </c>
      <c r="N1629" s="24" t="s">
        <v>5595</v>
      </c>
      <c r="O1629" s="46"/>
      <c r="P1629" s="24"/>
      <c r="Q1629" s="24"/>
      <c r="R1629" s="24"/>
      <c r="S1629" s="24"/>
      <c r="T1629" s="24"/>
      <c r="U1629" s="24"/>
      <c r="V1629" s="24"/>
      <c r="W1629" s="27">
        <v>1307</v>
      </c>
    </row>
    <row r="1630" spans="1:23">
      <c r="A1630" s="24" t="s">
        <v>4293</v>
      </c>
      <c r="B1630" s="27" t="s">
        <v>4294</v>
      </c>
      <c r="C1630" s="30" t="s">
        <v>2926</v>
      </c>
      <c r="D1630" s="19" t="s">
        <v>4311</v>
      </c>
      <c r="E1630" s="24" t="s">
        <v>4310</v>
      </c>
      <c r="F1630" s="46">
        <v>58</v>
      </c>
      <c r="G1630" s="30" t="s">
        <v>3053</v>
      </c>
      <c r="H1630" s="30" t="s">
        <v>6246</v>
      </c>
      <c r="I1630" s="24" t="s">
        <v>3056</v>
      </c>
      <c r="J1630" s="24" t="s">
        <v>3054</v>
      </c>
      <c r="K1630" s="24" t="s">
        <v>3056</v>
      </c>
      <c r="L1630" s="24"/>
      <c r="M1630" s="24" t="s">
        <v>5593</v>
      </c>
      <c r="N1630" s="24" t="s">
        <v>5595</v>
      </c>
      <c r="O1630" s="46"/>
      <c r="P1630" s="24"/>
      <c r="Q1630" s="24"/>
      <c r="R1630" s="24"/>
      <c r="S1630" s="24"/>
      <c r="T1630" s="24"/>
      <c r="U1630" s="24"/>
      <c r="V1630" s="24"/>
      <c r="W1630" s="27">
        <v>1308</v>
      </c>
    </row>
    <row r="1631" spans="1:23">
      <c r="A1631" s="24" t="s">
        <v>4293</v>
      </c>
      <c r="B1631" s="27" t="s">
        <v>4294</v>
      </c>
      <c r="C1631" s="30" t="s">
        <v>2926</v>
      </c>
      <c r="D1631" s="19" t="s">
        <v>4311</v>
      </c>
      <c r="E1631" s="24" t="s">
        <v>4310</v>
      </c>
      <c r="F1631" s="46">
        <v>58</v>
      </c>
      <c r="G1631" s="30" t="s">
        <v>3057</v>
      </c>
      <c r="H1631" s="30" t="s">
        <v>6247</v>
      </c>
      <c r="I1631" s="24" t="s">
        <v>3060</v>
      </c>
      <c r="J1631" s="24" t="s">
        <v>3058</v>
      </c>
      <c r="K1631" s="24" t="s">
        <v>3060</v>
      </c>
      <c r="L1631" s="24"/>
      <c r="M1631" s="24" t="s">
        <v>5593</v>
      </c>
      <c r="N1631" s="24" t="s">
        <v>5595</v>
      </c>
      <c r="O1631" s="46"/>
      <c r="P1631" s="24"/>
      <c r="Q1631" s="24"/>
      <c r="R1631" s="24"/>
      <c r="S1631" s="24"/>
      <c r="T1631" s="24"/>
      <c r="U1631" s="24"/>
      <c r="V1631" s="24"/>
      <c r="W1631" s="27">
        <v>1309</v>
      </c>
    </row>
    <row r="1632" spans="1:23">
      <c r="A1632" s="24" t="s">
        <v>4293</v>
      </c>
      <c r="B1632" s="27" t="s">
        <v>4294</v>
      </c>
      <c r="C1632" s="30" t="s">
        <v>2926</v>
      </c>
      <c r="D1632" s="19" t="s">
        <v>4311</v>
      </c>
      <c r="E1632" s="24" t="s">
        <v>4310</v>
      </c>
      <c r="F1632" s="46">
        <v>58</v>
      </c>
      <c r="G1632" s="30" t="s">
        <v>3061</v>
      </c>
      <c r="H1632" s="30" t="s">
        <v>6248</v>
      </c>
      <c r="I1632" s="24" t="s">
        <v>3064</v>
      </c>
      <c r="J1632" s="24" t="s">
        <v>3062</v>
      </c>
      <c r="K1632" s="24" t="s">
        <v>3064</v>
      </c>
      <c r="L1632" s="24"/>
      <c r="M1632" s="24" t="s">
        <v>5593</v>
      </c>
      <c r="N1632" s="24" t="s">
        <v>5595</v>
      </c>
      <c r="O1632" s="46"/>
      <c r="P1632" s="24"/>
      <c r="Q1632" s="24"/>
      <c r="R1632" s="24"/>
      <c r="S1632" s="24"/>
      <c r="T1632" s="24"/>
      <c r="U1632" s="24"/>
      <c r="V1632" s="24"/>
      <c r="W1632" s="27">
        <v>1310</v>
      </c>
    </row>
    <row r="1633" spans="1:23">
      <c r="A1633" s="183" t="s">
        <v>3728</v>
      </c>
      <c r="B1633" s="183" t="s">
        <v>4461</v>
      </c>
      <c r="C1633" s="64" t="s">
        <v>3728</v>
      </c>
      <c r="D1633" s="109" t="s">
        <v>6249</v>
      </c>
      <c r="E1633" s="171" t="s">
        <v>4438</v>
      </c>
      <c r="F1633" s="184" t="s">
        <v>6250</v>
      </c>
      <c r="G1633" s="146" t="s">
        <v>5577</v>
      </c>
      <c r="H1633" s="146" t="s">
        <v>5578</v>
      </c>
      <c r="I1633" s="183" t="s">
        <v>5580</v>
      </c>
      <c r="J1633" s="146" t="s">
        <v>5578</v>
      </c>
      <c r="K1633" s="183" t="s">
        <v>5580</v>
      </c>
      <c r="L1633" s="170"/>
      <c r="M1633" s="243"/>
      <c r="N1633" s="243"/>
      <c r="O1633" s="243">
        <v>1</v>
      </c>
      <c r="P1633" s="244"/>
      <c r="Q1633" s="243"/>
      <c r="R1633" s="243"/>
      <c r="S1633" s="243"/>
      <c r="T1633" s="243"/>
      <c r="U1633" s="243"/>
      <c r="V1633" s="243"/>
      <c r="W1633" s="243"/>
    </row>
    <row r="1634" spans="1:23">
      <c r="A1634" s="183" t="s">
        <v>3728</v>
      </c>
      <c r="B1634" s="183" t="s">
        <v>4461</v>
      </c>
      <c r="C1634" s="64" t="s">
        <v>3728</v>
      </c>
      <c r="D1634" s="109" t="s">
        <v>6249</v>
      </c>
      <c r="E1634" s="171" t="s">
        <v>4438</v>
      </c>
      <c r="F1634" s="184" t="s">
        <v>6250</v>
      </c>
      <c r="G1634" s="146" t="s">
        <v>5565</v>
      </c>
      <c r="H1634" s="146" t="s">
        <v>5566</v>
      </c>
      <c r="I1634" s="146" t="s">
        <v>5568</v>
      </c>
      <c r="J1634" s="146" t="s">
        <v>5566</v>
      </c>
      <c r="K1634" s="146" t="s">
        <v>5568</v>
      </c>
      <c r="L1634" s="170"/>
      <c r="M1634" s="243"/>
      <c r="N1634" s="243"/>
      <c r="O1634" s="243">
        <v>2</v>
      </c>
      <c r="P1634" s="244"/>
      <c r="Q1634" s="243"/>
      <c r="R1634" s="243"/>
      <c r="S1634" s="243"/>
      <c r="T1634" s="243"/>
      <c r="U1634" s="243"/>
      <c r="V1634" s="243"/>
      <c r="W1634" s="243"/>
    </row>
    <row r="1635" spans="1:23">
      <c r="A1635" s="183" t="s">
        <v>3728</v>
      </c>
      <c r="B1635" s="183" t="s">
        <v>4461</v>
      </c>
      <c r="C1635" s="64" t="s">
        <v>3728</v>
      </c>
      <c r="D1635" s="109" t="s">
        <v>6249</v>
      </c>
      <c r="E1635" s="171" t="s">
        <v>4438</v>
      </c>
      <c r="F1635" s="184" t="s">
        <v>6250</v>
      </c>
      <c r="G1635" s="146" t="s">
        <v>2889</v>
      </c>
      <c r="H1635" s="146" t="s">
        <v>2890</v>
      </c>
      <c r="I1635" s="146" t="s">
        <v>2892</v>
      </c>
      <c r="J1635" s="146" t="s">
        <v>2890</v>
      </c>
      <c r="K1635" s="146" t="s">
        <v>2892</v>
      </c>
      <c r="L1635" s="170"/>
      <c r="M1635" s="243"/>
      <c r="N1635" s="243"/>
      <c r="O1635" s="243">
        <v>3</v>
      </c>
      <c r="P1635" s="244"/>
      <c r="Q1635" s="243"/>
      <c r="R1635" s="243"/>
      <c r="S1635" s="243"/>
      <c r="T1635" s="243"/>
      <c r="U1635" s="243"/>
      <c r="V1635" s="243"/>
      <c r="W1635" s="243"/>
    </row>
    <row r="1636" spans="1:23">
      <c r="A1636" s="183" t="s">
        <v>3728</v>
      </c>
      <c r="B1636" s="183" t="s">
        <v>4461</v>
      </c>
      <c r="C1636" s="64" t="s">
        <v>3728</v>
      </c>
      <c r="D1636" s="109" t="s">
        <v>6249</v>
      </c>
      <c r="E1636" s="171" t="s">
        <v>4438</v>
      </c>
      <c r="F1636" s="184" t="s">
        <v>6250</v>
      </c>
      <c r="G1636" s="146" t="s">
        <v>2935</v>
      </c>
      <c r="H1636" s="171" t="s">
        <v>2936</v>
      </c>
      <c r="I1636" s="146" t="s">
        <v>5571</v>
      </c>
      <c r="J1636" s="171" t="s">
        <v>2936</v>
      </c>
      <c r="K1636" s="146" t="s">
        <v>5571</v>
      </c>
      <c r="L1636" s="170"/>
      <c r="M1636" s="243"/>
      <c r="N1636" s="243"/>
      <c r="O1636" s="243">
        <v>4</v>
      </c>
      <c r="P1636" s="244"/>
      <c r="Q1636" s="243"/>
      <c r="R1636" s="243"/>
      <c r="S1636" s="243"/>
      <c r="T1636" s="243"/>
      <c r="U1636" s="243"/>
      <c r="V1636" s="243"/>
      <c r="W1636" s="243"/>
    </row>
    <row r="1637" spans="1:23">
      <c r="A1637" s="183" t="s">
        <v>3728</v>
      </c>
      <c r="B1637" s="183" t="s">
        <v>4461</v>
      </c>
      <c r="C1637" s="64" t="s">
        <v>3728</v>
      </c>
      <c r="D1637" s="109" t="s">
        <v>6249</v>
      </c>
      <c r="E1637" s="171" t="s">
        <v>4438</v>
      </c>
      <c r="F1637" s="184" t="s">
        <v>6250</v>
      </c>
      <c r="G1637" s="146" t="s">
        <v>5561</v>
      </c>
      <c r="H1637" s="171" t="s">
        <v>5562</v>
      </c>
      <c r="I1637" s="146" t="s">
        <v>5564</v>
      </c>
      <c r="J1637" s="171" t="s">
        <v>5562</v>
      </c>
      <c r="K1637" s="146" t="s">
        <v>5564</v>
      </c>
      <c r="L1637" s="170"/>
      <c r="M1637" s="243"/>
      <c r="N1637" s="243"/>
      <c r="O1637" s="243">
        <v>5</v>
      </c>
      <c r="P1637" s="244"/>
      <c r="Q1637" s="243"/>
      <c r="R1637" s="243"/>
      <c r="S1637" s="243"/>
      <c r="T1637" s="243"/>
      <c r="U1637" s="243"/>
      <c r="V1637" s="243"/>
      <c r="W1637" s="243"/>
    </row>
    <row r="1638" spans="1:23">
      <c r="A1638" s="183" t="s">
        <v>3728</v>
      </c>
      <c r="B1638" s="183" t="s">
        <v>4461</v>
      </c>
      <c r="C1638" s="64" t="s">
        <v>3728</v>
      </c>
      <c r="D1638" s="109" t="s">
        <v>6249</v>
      </c>
      <c r="E1638" s="171" t="s">
        <v>4438</v>
      </c>
      <c r="F1638" s="184" t="s">
        <v>6250</v>
      </c>
      <c r="G1638" s="146" t="s">
        <v>3641</v>
      </c>
      <c r="H1638" s="146" t="s">
        <v>3642</v>
      </c>
      <c r="I1638" s="146" t="s">
        <v>3644</v>
      </c>
      <c r="J1638" s="146" t="s">
        <v>3642</v>
      </c>
      <c r="K1638" s="146" t="s">
        <v>3644</v>
      </c>
      <c r="L1638" s="170"/>
      <c r="M1638" s="243"/>
      <c r="N1638" s="243"/>
      <c r="O1638" s="243">
        <v>6</v>
      </c>
      <c r="P1638" s="244"/>
      <c r="Q1638" s="243"/>
      <c r="R1638" s="243"/>
      <c r="S1638" s="243"/>
      <c r="T1638" s="243"/>
      <c r="U1638" s="243"/>
      <c r="V1638" s="243"/>
      <c r="W1638" s="243"/>
    </row>
    <row r="1639" spans="1:23">
      <c r="A1639" s="183" t="s">
        <v>3728</v>
      </c>
      <c r="B1639" s="183" t="s">
        <v>4461</v>
      </c>
      <c r="C1639" s="64" t="s">
        <v>3728</v>
      </c>
      <c r="D1639" s="109" t="s">
        <v>6249</v>
      </c>
      <c r="E1639" s="171" t="s">
        <v>4438</v>
      </c>
      <c r="F1639" s="184" t="s">
        <v>6250</v>
      </c>
      <c r="G1639" s="146" t="s">
        <v>3617</v>
      </c>
      <c r="H1639" s="146" t="s">
        <v>3618</v>
      </c>
      <c r="I1639" s="183" t="s">
        <v>3620</v>
      </c>
      <c r="J1639" s="146" t="s">
        <v>3618</v>
      </c>
      <c r="K1639" s="183" t="s">
        <v>3620</v>
      </c>
      <c r="L1639" s="170"/>
      <c r="M1639" s="243"/>
      <c r="N1639" s="243"/>
      <c r="O1639" s="243">
        <v>7</v>
      </c>
      <c r="P1639" s="244"/>
      <c r="Q1639" s="243"/>
      <c r="R1639" s="243"/>
      <c r="S1639" s="243"/>
      <c r="T1639" s="243"/>
      <c r="U1639" s="243"/>
      <c r="V1639" s="243"/>
      <c r="W1639" s="243"/>
    </row>
    <row r="1640" spans="1:23">
      <c r="A1640" s="183" t="s">
        <v>3728</v>
      </c>
      <c r="B1640" s="183" t="s">
        <v>4461</v>
      </c>
      <c r="C1640" s="64" t="s">
        <v>3728</v>
      </c>
      <c r="D1640" s="109" t="s">
        <v>6249</v>
      </c>
      <c r="E1640" s="171" t="s">
        <v>4438</v>
      </c>
      <c r="F1640" s="184" t="s">
        <v>6250</v>
      </c>
      <c r="G1640" s="146" t="s">
        <v>3729</v>
      </c>
      <c r="H1640" s="171" t="s">
        <v>3730</v>
      </c>
      <c r="I1640" s="183" t="s">
        <v>3732</v>
      </c>
      <c r="J1640" s="171" t="s">
        <v>3730</v>
      </c>
      <c r="K1640" s="183" t="s">
        <v>3732</v>
      </c>
      <c r="L1640" s="170"/>
      <c r="M1640" s="243"/>
      <c r="N1640" s="243"/>
      <c r="O1640" s="243">
        <v>8</v>
      </c>
      <c r="P1640" s="244"/>
      <c r="Q1640" s="243"/>
      <c r="R1640" s="243"/>
      <c r="S1640" s="243"/>
      <c r="T1640" s="243"/>
      <c r="U1640" s="243"/>
      <c r="V1640" s="243"/>
      <c r="W1640" s="243"/>
    </row>
    <row r="1641" spans="1:23">
      <c r="A1641" s="183" t="s">
        <v>3728</v>
      </c>
      <c r="B1641" s="183" t="s">
        <v>4461</v>
      </c>
      <c r="C1641" s="64" t="s">
        <v>3728</v>
      </c>
      <c r="D1641" s="109" t="s">
        <v>6249</v>
      </c>
      <c r="E1641" s="171" t="s">
        <v>4438</v>
      </c>
      <c r="F1641" s="184" t="s">
        <v>6250</v>
      </c>
      <c r="G1641" s="146" t="s">
        <v>3733</v>
      </c>
      <c r="H1641" s="171" t="s">
        <v>3734</v>
      </c>
      <c r="I1641" s="183" t="s">
        <v>3736</v>
      </c>
      <c r="J1641" s="171" t="s">
        <v>3734</v>
      </c>
      <c r="K1641" s="183" t="s">
        <v>3736</v>
      </c>
      <c r="L1641" s="170"/>
      <c r="M1641" s="243"/>
      <c r="N1641" s="243"/>
      <c r="O1641" s="243">
        <v>9</v>
      </c>
      <c r="P1641" s="244"/>
      <c r="Q1641" s="243"/>
      <c r="R1641" s="243"/>
      <c r="S1641" s="243"/>
      <c r="T1641" s="243"/>
      <c r="U1641" s="243"/>
      <c r="V1641" s="243"/>
      <c r="W1641" s="243"/>
    </row>
    <row r="1642" spans="1:23">
      <c r="A1642" s="183" t="s">
        <v>3728</v>
      </c>
      <c r="B1642" s="183" t="s">
        <v>4461</v>
      </c>
      <c r="C1642" s="64" t="s">
        <v>3728</v>
      </c>
      <c r="D1642" s="109" t="s">
        <v>6249</v>
      </c>
      <c r="E1642" s="171" t="s">
        <v>4438</v>
      </c>
      <c r="F1642" s="184" t="s">
        <v>6250</v>
      </c>
      <c r="G1642" s="146" t="s">
        <v>3737</v>
      </c>
      <c r="H1642" s="171" t="s">
        <v>3738</v>
      </c>
      <c r="I1642" s="183" t="s">
        <v>3740</v>
      </c>
      <c r="J1642" s="171" t="s">
        <v>3738</v>
      </c>
      <c r="K1642" s="183" t="s">
        <v>3740</v>
      </c>
      <c r="L1642" s="170"/>
      <c r="M1642" s="243"/>
      <c r="N1642" s="243"/>
      <c r="O1642" s="243">
        <v>10</v>
      </c>
      <c r="P1642" s="244"/>
      <c r="Q1642" s="243"/>
      <c r="R1642" s="243"/>
      <c r="S1642" s="243"/>
      <c r="T1642" s="243"/>
      <c r="U1642" s="243"/>
      <c r="V1642" s="243"/>
      <c r="W1642" s="243"/>
    </row>
    <row r="1643" spans="1:23">
      <c r="A1643" s="183" t="s">
        <v>3728</v>
      </c>
      <c r="B1643" s="183" t="s">
        <v>4461</v>
      </c>
      <c r="C1643" s="64" t="s">
        <v>3728</v>
      </c>
      <c r="D1643" s="109" t="s">
        <v>6249</v>
      </c>
      <c r="E1643" s="171" t="s">
        <v>4438</v>
      </c>
      <c r="F1643" s="184" t="s">
        <v>6250</v>
      </c>
      <c r="G1643" s="132" t="s">
        <v>3741</v>
      </c>
      <c r="H1643" s="171" t="s">
        <v>3742</v>
      </c>
      <c r="I1643" s="171" t="s">
        <v>3744</v>
      </c>
      <c r="J1643" s="171" t="s">
        <v>3742</v>
      </c>
      <c r="K1643" s="171" t="s">
        <v>3744</v>
      </c>
      <c r="L1643" s="171"/>
      <c r="M1643" s="157"/>
      <c r="N1643" s="157"/>
      <c r="O1643" s="157">
        <v>11</v>
      </c>
      <c r="P1643" s="244"/>
      <c r="Q1643" s="157"/>
      <c r="R1643" s="157"/>
      <c r="S1643" s="157"/>
      <c r="T1643" s="157"/>
      <c r="U1643" s="157"/>
      <c r="V1643" s="157"/>
      <c r="W1643" s="157"/>
    </row>
    <row r="1644" spans="1:23">
      <c r="A1644" s="183" t="s">
        <v>3728</v>
      </c>
      <c r="B1644" s="183" t="s">
        <v>4461</v>
      </c>
      <c r="C1644" s="64" t="s">
        <v>3728</v>
      </c>
      <c r="D1644" s="109" t="s">
        <v>6249</v>
      </c>
      <c r="E1644" s="171" t="s">
        <v>4438</v>
      </c>
      <c r="F1644" s="184" t="s">
        <v>6250</v>
      </c>
      <c r="G1644" s="132" t="s">
        <v>3745</v>
      </c>
      <c r="H1644" s="171" t="s">
        <v>3746</v>
      </c>
      <c r="I1644" s="171" t="s">
        <v>3748</v>
      </c>
      <c r="J1644" s="171" t="s">
        <v>3746</v>
      </c>
      <c r="K1644" s="171" t="s">
        <v>3748</v>
      </c>
      <c r="L1644" s="171"/>
      <c r="M1644" s="157"/>
      <c r="N1644" s="157"/>
      <c r="O1644" s="157">
        <v>12</v>
      </c>
      <c r="P1644" s="244"/>
      <c r="Q1644" s="157"/>
      <c r="R1644" s="157"/>
      <c r="S1644" s="157"/>
      <c r="T1644" s="157"/>
      <c r="U1644" s="157"/>
      <c r="V1644" s="157"/>
      <c r="W1644" s="157"/>
    </row>
    <row r="1645" spans="1:23">
      <c r="A1645" s="183" t="s">
        <v>3728</v>
      </c>
      <c r="B1645" s="183" t="s">
        <v>4461</v>
      </c>
      <c r="C1645" s="64" t="s">
        <v>3728</v>
      </c>
      <c r="D1645" s="109" t="s">
        <v>6249</v>
      </c>
      <c r="E1645" s="171" t="s">
        <v>4438</v>
      </c>
      <c r="F1645" s="184" t="s">
        <v>6250</v>
      </c>
      <c r="G1645" s="132" t="s">
        <v>3749</v>
      </c>
      <c r="H1645" s="171" t="s">
        <v>3750</v>
      </c>
      <c r="I1645" s="171" t="s">
        <v>3752</v>
      </c>
      <c r="J1645" s="171" t="s">
        <v>3750</v>
      </c>
      <c r="K1645" s="171" t="s">
        <v>3752</v>
      </c>
      <c r="L1645" s="171"/>
      <c r="M1645" s="157"/>
      <c r="N1645" s="157"/>
      <c r="O1645" s="157">
        <v>13</v>
      </c>
      <c r="P1645" s="244"/>
      <c r="Q1645" s="157"/>
      <c r="R1645" s="157"/>
      <c r="S1645" s="157"/>
      <c r="T1645" s="157"/>
      <c r="U1645" s="157"/>
      <c r="V1645" s="157"/>
      <c r="W1645" s="157"/>
    </row>
    <row r="1646" spans="1:23">
      <c r="A1646" s="183" t="s">
        <v>3728</v>
      </c>
      <c r="B1646" s="183" t="s">
        <v>4461</v>
      </c>
      <c r="C1646" s="64" t="s">
        <v>3728</v>
      </c>
      <c r="D1646" s="109" t="s">
        <v>6249</v>
      </c>
      <c r="E1646" s="171" t="s">
        <v>4438</v>
      </c>
      <c r="F1646" s="184" t="s">
        <v>6250</v>
      </c>
      <c r="G1646" s="132" t="s">
        <v>3753</v>
      </c>
      <c r="H1646" s="171" t="s">
        <v>3754</v>
      </c>
      <c r="I1646" s="171" t="s">
        <v>3756</v>
      </c>
      <c r="J1646" s="171" t="s">
        <v>3754</v>
      </c>
      <c r="K1646" s="171" t="s">
        <v>3756</v>
      </c>
      <c r="L1646" s="171"/>
      <c r="M1646" s="157"/>
      <c r="N1646" s="157"/>
      <c r="O1646" s="157">
        <v>14</v>
      </c>
      <c r="P1646" s="244"/>
      <c r="Q1646" s="157"/>
      <c r="R1646" s="157"/>
      <c r="S1646" s="157"/>
      <c r="T1646" s="157"/>
      <c r="U1646" s="157"/>
      <c r="V1646" s="157"/>
      <c r="W1646" s="157"/>
    </row>
    <row r="1647" spans="1:23">
      <c r="A1647" s="183" t="s">
        <v>3728</v>
      </c>
      <c r="B1647" s="183" t="s">
        <v>4461</v>
      </c>
      <c r="C1647" s="64" t="s">
        <v>3728</v>
      </c>
      <c r="D1647" s="109" t="s">
        <v>6249</v>
      </c>
      <c r="E1647" s="171" t="s">
        <v>4438</v>
      </c>
      <c r="F1647" s="184" t="s">
        <v>6250</v>
      </c>
      <c r="G1647" s="132" t="s">
        <v>3757</v>
      </c>
      <c r="H1647" s="171" t="s">
        <v>3758</v>
      </c>
      <c r="I1647" s="171" t="s">
        <v>3760</v>
      </c>
      <c r="J1647" s="171" t="s">
        <v>3758</v>
      </c>
      <c r="K1647" s="171" t="s">
        <v>3760</v>
      </c>
      <c r="L1647" s="171"/>
      <c r="M1647" s="157"/>
      <c r="N1647" s="157"/>
      <c r="O1647" s="157">
        <v>15</v>
      </c>
      <c r="P1647" s="244"/>
      <c r="Q1647" s="157"/>
      <c r="R1647" s="157"/>
      <c r="S1647" s="157"/>
      <c r="T1647" s="157"/>
      <c r="U1647" s="157"/>
      <c r="V1647" s="157"/>
      <c r="W1647" s="157"/>
    </row>
    <row r="1648" spans="1:23">
      <c r="A1648" s="183" t="s">
        <v>3728</v>
      </c>
      <c r="B1648" s="183" t="s">
        <v>4461</v>
      </c>
      <c r="C1648" s="64" t="s">
        <v>3728</v>
      </c>
      <c r="D1648" s="109" t="s">
        <v>6249</v>
      </c>
      <c r="E1648" s="171" t="s">
        <v>4438</v>
      </c>
      <c r="F1648" s="184" t="s">
        <v>6250</v>
      </c>
      <c r="G1648" s="132" t="s">
        <v>3761</v>
      </c>
      <c r="H1648" s="171" t="s">
        <v>3762</v>
      </c>
      <c r="I1648" s="171" t="s">
        <v>3764</v>
      </c>
      <c r="J1648" s="171" t="s">
        <v>3762</v>
      </c>
      <c r="K1648" s="171" t="s">
        <v>3764</v>
      </c>
      <c r="L1648" s="171"/>
      <c r="M1648" s="157"/>
      <c r="N1648" s="157"/>
      <c r="O1648" s="157">
        <v>16</v>
      </c>
      <c r="P1648" s="244"/>
      <c r="Q1648" s="157"/>
      <c r="R1648" s="157"/>
      <c r="S1648" s="157"/>
      <c r="T1648" s="157"/>
      <c r="U1648" s="157"/>
      <c r="V1648" s="157"/>
      <c r="W1648" s="157"/>
    </row>
    <row r="1649" spans="1:23">
      <c r="A1649" s="183" t="s">
        <v>3728</v>
      </c>
      <c r="B1649" s="183" t="s">
        <v>4461</v>
      </c>
      <c r="C1649" s="64" t="s">
        <v>3728</v>
      </c>
      <c r="D1649" s="109" t="s">
        <v>6249</v>
      </c>
      <c r="E1649" s="171" t="s">
        <v>4438</v>
      </c>
      <c r="F1649" s="184" t="s">
        <v>6250</v>
      </c>
      <c r="G1649" s="132" t="s">
        <v>3765</v>
      </c>
      <c r="H1649" s="171" t="s">
        <v>3766</v>
      </c>
      <c r="I1649" s="171" t="s">
        <v>3768</v>
      </c>
      <c r="J1649" s="171" t="s">
        <v>3766</v>
      </c>
      <c r="K1649" s="171" t="s">
        <v>3768</v>
      </c>
      <c r="L1649" s="171"/>
      <c r="M1649" s="157"/>
      <c r="N1649" s="157"/>
      <c r="O1649" s="157">
        <v>17</v>
      </c>
      <c r="P1649" s="244"/>
      <c r="Q1649" s="157"/>
      <c r="R1649" s="157"/>
      <c r="S1649" s="157"/>
      <c r="T1649" s="157"/>
      <c r="U1649" s="157"/>
      <c r="V1649" s="157"/>
      <c r="W1649" s="157"/>
    </row>
    <row r="1650" spans="1:23">
      <c r="A1650" s="183" t="s">
        <v>3728</v>
      </c>
      <c r="B1650" s="183" t="s">
        <v>4461</v>
      </c>
      <c r="C1650" s="64" t="s">
        <v>3728</v>
      </c>
      <c r="D1650" s="109" t="s">
        <v>6249</v>
      </c>
      <c r="E1650" s="171" t="s">
        <v>4438</v>
      </c>
      <c r="F1650" s="184" t="s">
        <v>6250</v>
      </c>
      <c r="G1650" s="132" t="s">
        <v>3769</v>
      </c>
      <c r="H1650" s="171" t="s">
        <v>3770</v>
      </c>
      <c r="I1650" s="171" t="s">
        <v>3772</v>
      </c>
      <c r="J1650" s="171" t="s">
        <v>3770</v>
      </c>
      <c r="K1650" s="171" t="s">
        <v>3772</v>
      </c>
      <c r="L1650" s="171"/>
      <c r="M1650" s="157"/>
      <c r="N1650" s="157"/>
      <c r="O1650" s="157">
        <v>18</v>
      </c>
      <c r="P1650" s="244"/>
      <c r="Q1650" s="157"/>
      <c r="R1650" s="157"/>
      <c r="S1650" s="157"/>
      <c r="T1650" s="157"/>
      <c r="U1650" s="157"/>
      <c r="V1650" s="157"/>
      <c r="W1650" s="157"/>
    </row>
  </sheetData>
  <mergeCells count="1">
    <mergeCell ref="A1:O1"/>
  </mergeCells>
  <dataValidations count="4">
    <dataValidation type="list" showInputMessage="1" showErrorMessage="1" sqref="O1296">
      <formula1>"不需要,"</formula1>
    </dataValidation>
    <dataValidation type="date" operator="between" showInputMessage="1" showErrorMessage="1" sqref="O547:O551"/>
    <dataValidation type="date" operator="between" allowBlank="1" showInputMessage="1" showErrorMessage="1" sqref="Q3:Q1048576"/>
    <dataValidation type="list" allowBlank="1" showInputMessage="1" showErrorMessage="1" sqref="S3:S1048576 U3:U1048576 V3:V1048576">
      <formula1>"是,否,"</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数据元</vt:lpstr>
      <vt:lpstr>数据集标准分类</vt:lpstr>
      <vt:lpstr>电子病历分类</vt:lpstr>
      <vt:lpstr>AI平台数据元(排序备份)</vt:lpstr>
      <vt:lpstr>数据元信息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丘丘</cp:lastModifiedBy>
  <dcterms:created xsi:type="dcterms:W3CDTF">2026-05-06T23:41:00Z</dcterms:created>
  <dcterms:modified xsi:type="dcterms:W3CDTF">2026-05-07T11:45:33Z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9513C962FF7D5D5CDD0AFC696EA538B9_43</vt:lpwstr>
  </property>
  <property fmtid="{D5CDD505-2E9C-101B-9397-08002B2CF9AE}" pid="3" name="KSOProductBuildVer">
    <vt:lpwstr>2052-12.1.25869.25869</vt:lpwstr>
  </property>
  <property fmtid="{D5CDD505-2E9C-101B-9397-08002B2CF9AE}" pid="4" name="CalculationRule">
    <vt:i4>0</vt:i4>
  </property>
</Properties>
</file>